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37557DB0-A45C-F546-A3CD-6AAB526CFB2F}" xr6:coauthVersionLast="47" xr6:coauthVersionMax="47" xr10:uidLastSave="{00000000-0000-0000-0000-000000000000}"/>
  <bookViews>
    <workbookView xWindow="0" yWindow="3960" windowWidth="19560" windowHeight="16940" activeTab="2" xr2:uid="{F774F2AE-DE0F-5F42-928C-9832770C6D48}"/>
  </bookViews>
  <sheets>
    <sheet name="Checklist" sheetId="11" r:id="rId1"/>
    <sheet name="Lightroots" sheetId="10" r:id="rId2"/>
    <sheet name="Towers" sheetId="12" r:id="rId3"/>
    <sheet name="Shrines" sheetId="1" r:id="rId4"/>
    <sheet name="Caves" sheetId="5" r:id="rId5"/>
    <sheet name="Chasms" sheetId="4" r:id="rId6"/>
    <sheet name="Dispensers" sheetId="6" r:id="rId7"/>
    <sheet name="Hudson Signs" sheetId="7" r:id="rId8"/>
    <sheet name="Named Locations" sheetId="8" r:id="rId9"/>
    <sheet name="Schemas" sheetId="9" r:id="rId10"/>
    <sheet name="Sheet1" sheetId="3" r:id="rId11"/>
    <sheet name="Sheet2" sheetId="2" r:id="rId12"/>
    <sheet name="Sheet13" sheetId="13" r:id="rId13"/>
  </sheets>
  <definedNames>
    <definedName name="_xlnm._FilterDatabase" localSheetId="4" hidden="1">Caves!$K$1:$K$787</definedName>
    <definedName name="_xlnm._FilterDatabase" localSheetId="5" hidden="1">Chasms!$A$1:$G$29</definedName>
    <definedName name="_xlnm._FilterDatabase" localSheetId="6" hidden="1">Dispensers!$A$1:$K$32</definedName>
    <definedName name="_xlnm._FilterDatabase" localSheetId="7" hidden="1">'Hudson Signs'!$A$1:$G$83</definedName>
    <definedName name="_xlnm._FilterDatabase" localSheetId="1" hidden="1">Lightroots!$A$1:$H$121</definedName>
    <definedName name="_xlnm._FilterDatabase" localSheetId="8" hidden="1">'Named Locations'!$A$1:$F$991</definedName>
    <definedName name="_xlnm._FilterDatabase" localSheetId="9" hidden="1">Schemas!$A$1:$G$896</definedName>
    <definedName name="_xlnm._FilterDatabase" localSheetId="3" hidden="1">Shrines!$A$1:$H$153</definedName>
    <definedName name="_xlnm._FilterDatabase" localSheetId="2" hidden="1">Towers!$A$1:$G$153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2" l="1"/>
  <c r="I2" i="5"/>
  <c r="I2" i="1"/>
  <c r="I2" i="10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B4" i="11"/>
  <c r="B3" i="11"/>
  <c r="E9" i="11"/>
  <c r="E10" i="11"/>
  <c r="E11" i="11"/>
  <c r="E12" i="11"/>
  <c r="E13" i="11"/>
  <c r="E14" i="11"/>
  <c r="E15" i="11"/>
  <c r="E16" i="11"/>
  <c r="E7" i="11"/>
  <c r="E8" i="11"/>
  <c r="E5" i="11"/>
  <c r="E6" i="11"/>
  <c r="E4" i="11"/>
  <c r="E3" i="11"/>
  <c r="E2" i="11"/>
  <c r="E17" i="11" s="1"/>
  <c r="D2" i="9"/>
  <c r="G2" i="9"/>
  <c r="F2" i="9"/>
  <c r="E2" i="9"/>
  <c r="B2" i="9"/>
  <c r="B2" i="7"/>
  <c r="D2" i="7"/>
  <c r="E2" i="7"/>
  <c r="F2" i="7"/>
  <c r="G2" i="7"/>
  <c r="H2" i="6"/>
  <c r="I2" i="6"/>
  <c r="J2" i="6"/>
  <c r="K2" i="6"/>
  <c r="G2" i="6"/>
  <c r="E2" i="6"/>
  <c r="F2" i="6"/>
  <c r="D2" i="6"/>
  <c r="B2" i="6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X3" i="2" l="1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<sst xmlns="http://schemas.openxmlformats.org/spreadsheetml/2006/main" count="12090" uniqueCount="5249">
  <si>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</si>
  <si>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</si>
  <si>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</si>
  <si>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</si>
  <si>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</si>
  <si>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</si>
  <si>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</si>
  <si>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</si>
  <si>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</si>
  <si>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</si>
  <si>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</si>
  <si>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</si>
  <si>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</si>
  <si>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</si>
  <si>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</si>
  <si>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</si>
  <si>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</si>
  <si>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</si>
  <si>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</si>
  <si>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</si>
  <si>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</si>
  <si>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</si>
  <si>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</si>
  <si>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</si>
  <si>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</si>
  <si>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</si>
  <si>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</si>
  <si>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</si>
  <si>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</si>
  <si>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</si>
  <si>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</si>
  <si>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</si>
  <si>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</si>
  <si>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</si>
  <si>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</si>
  <si>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</si>
  <si>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</si>
  <si>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</si>
  <si>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</si>
  <si>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</si>
  <si>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</si>
  <si>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</si>
  <si>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</si>
  <si>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</si>
  <si>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</si>
  <si>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</si>
  <si>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</si>
  <si>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</si>
  <si>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</si>
  <si>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</si>
  <si>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</si>
  <si>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</si>
  <si>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</si>
  <si>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</si>
  <si>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</si>
  <si>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</si>
  <si>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</si>
  <si>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</si>
  <si>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</si>
  <si>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</si>
  <si>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</si>
  <si>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</si>
  <si>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</si>
  <si>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</si>
  <si>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</si>
  <si>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</si>
  <si>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</si>
  <si>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</si>
  <si>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</si>
  <si>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</si>
  <si>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</si>
  <si>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</si>
  <si>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</si>
  <si>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</si>
  <si>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</si>
  <si>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</si>
  <si>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</si>
  <si>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</si>
  <si>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</si>
  <si>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</si>
  <si>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</si>
  <si>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</si>
  <si>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</si>
  <si>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</si>
  <si>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</si>
  <si>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</si>
  <si>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</si>
  <si>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</si>
  <si>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</si>
  <si>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</si>
  <si>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</si>
  <si>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</si>
  <si>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</si>
  <si>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</si>
  <si>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</si>
  <si>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</si>
  <si>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</si>
  <si>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</si>
  <si>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</si>
  <si>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</si>
  <si>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</si>
  <si>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</si>
  <si>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</si>
  <si>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</si>
  <si>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</si>
  <si>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</si>
  <si>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</si>
  <si>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</si>
  <si>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</si>
  <si>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</si>
  <si>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</si>
  <si>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</si>
  <si>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</si>
  <si>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</si>
  <si>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</si>
  <si>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</si>
  <si>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</si>
  <si>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</si>
  <si>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</si>
  <si>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</si>
  <si>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</si>
  <si>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</si>
  <si>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</si>
  <si>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</si>
  <si>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</si>
  <si>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</si>
  <si>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</si>
  <si>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</si>
  <si>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</si>
  <si>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</si>
  <si>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</si>
  <si>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</si>
  <si>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</si>
  <si>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</si>
  <si>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</si>
  <si>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</si>
  <si>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</si>
  <si>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</si>
  <si>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</si>
  <si>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</si>
  <si>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</si>
  <si>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</si>
  <si>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</si>
  <si>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</si>
  <si>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</si>
  <si>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</si>
  <si>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</si>
  <si>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</si>
  <si>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</si>
  <si>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</si>
  <si>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</si>
  <si>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</si>
  <si>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</si>
  <si>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</si>
  <si>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</si>
  <si>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</si>
  <si>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</si>
  <si>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</si>
  <si>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</si>
  <si>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</si>
  <si>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</si>
  <si>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</si>
  <si>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</si>
  <si>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</si>
  <si>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</si>
  <si>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</si>
  <si>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</si>
  <si>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</si>
  <si>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</si>
  <si>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</si>
  <si>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</si>
  <si>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</si>
  <si>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</si>
  <si>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</si>
  <si>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</si>
  <si>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</si>
  <si>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</si>
  <si>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</si>
  <si>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</si>
  <si>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</si>
  <si>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</si>
  <si>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</si>
  <si>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</si>
  <si>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</si>
  <si>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</si>
  <si>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</si>
  <si>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</si>
  <si>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</si>
  <si>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</si>
  <si>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</si>
  <si>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</si>
  <si>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</si>
  <si>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</si>
  <si>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</si>
  <si>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</si>
  <si>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</si>
  <si>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</si>
  <si>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</si>
  <si>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</si>
  <si>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</si>
  <si>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</si>
  <si>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</si>
  <si>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</si>
  <si>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</si>
  <si>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</si>
  <si>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</si>
  <si>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</si>
  <si>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</si>
  <si>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</si>
  <si>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</si>
  <si>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</si>
  <si>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</si>
  <si>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</si>
  <si>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</si>
  <si>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</si>
  <si>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</si>
  <si>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</si>
  <si>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</si>
  <si>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</si>
  <si>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</si>
  <si>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</si>
  <si>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</si>
  <si>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</si>
  <si>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</si>
  <si>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</si>
  <si>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</si>
  <si>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</si>
  <si>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</si>
  <si>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</si>
  <si>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</si>
  <si>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</si>
  <si>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</si>
  <si>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</si>
  <si>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</si>
  <si>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</si>
  <si>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</si>
  <si>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</si>
  <si>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</si>
  <si>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</si>
  <si>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</si>
  <si>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</si>
  <si>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</si>
  <si>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</si>
  <si>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</si>
  <si>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</si>
  <si>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</si>
  <si>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</si>
  <si>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</si>
  <si>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</si>
  <si>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</si>
  <si>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</si>
  <si>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</si>
  <si>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</si>
  <si>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</si>
  <si>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</si>
  <si>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</si>
  <si>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</si>
  <si>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</si>
  <si>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</si>
  <si>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</si>
  <si>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</si>
  <si>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</si>
  <si>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</si>
  <si>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</si>
  <si>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</si>
  <si>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</si>
  <si>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</si>
  <si>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</si>
  <si>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</si>
  <si>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</si>
  <si>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</si>
  <si>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</si>
  <si>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</si>
  <si>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</si>
  <si>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</si>
  <si>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</si>
  <si>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</si>
  <si>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</si>
  <si>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</si>
  <si>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</si>
  <si>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</si>
  <si>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</si>
  <si>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</si>
  <si>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</si>
  <si>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</si>
  <si>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</si>
  <si>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</si>
  <si>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</si>
  <si>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</si>
  <si>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</si>
  <si>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</si>
  <si>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</si>
  <si>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</si>
  <si>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</si>
  <si>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</si>
  <si>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</si>
  <si>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</si>
  <si>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</si>
  <si>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</si>
  <si>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</si>
  <si>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</si>
  <si>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</si>
  <si>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</si>
  <si>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</si>
  <si>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</si>
  <si>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</si>
  <si>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</si>
  <si>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</si>
  <si>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</si>
  <si>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</si>
  <si>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</si>
  <si>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</si>
  <si>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</si>
  <si>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</si>
  <si>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</si>
  <si>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</si>
  <si>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</si>
  <si>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</si>
  <si>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</si>
  <si>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</si>
  <si>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</si>
  <si>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</si>
  <si>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</si>
  <si>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</si>
  <si>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</si>
  <si>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</si>
  <si>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</si>
  <si>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</si>
  <si>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</si>
  <si>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</si>
  <si>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</si>
  <si>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</si>
  <si>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</si>
  <si>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</si>
  <si>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</si>
  <si>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</si>
  <si>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</si>
  <si>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</si>
  <si>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</si>
  <si>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</si>
  <si>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</si>
  <si>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</si>
  <si>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</si>
  <si>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</si>
  <si>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</si>
  <si>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</si>
  <si>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</si>
  <si>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</si>
  <si>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</si>
  <si>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</si>
  <si>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</si>
  <si>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</si>
  <si>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</si>
  <si>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</si>
  <si>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</si>
  <si>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</si>
  <si>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</si>
  <si>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</si>
  <si>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</si>
  <si>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</si>
  <si>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</si>
  <si>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</si>
  <si>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</si>
  <si>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</si>
  <si>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</si>
  <si>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</si>
  <si>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</si>
  <si>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</si>
  <si>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</si>
  <si>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</si>
  <si>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</si>
  <si>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</si>
  <si>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</si>
  <si>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</si>
  <si>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</si>
  <si>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</si>
  <si>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</si>
  <si>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</si>
  <si>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</si>
  <si>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</si>
  <si>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</si>
  <si>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</si>
  <si>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</si>
  <si>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</si>
  <si>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</si>
  <si>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</si>
  <si>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</si>
  <si>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</si>
  <si>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</si>
  <si>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</si>
  <si>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</si>
  <si>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</si>
  <si>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</si>
  <si>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</si>
  <si>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</si>
  <si>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</si>
  <si>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</si>
  <si>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</si>
  <si>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</si>
  <si>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</si>
  <si>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</si>
  <si>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</si>
  <si>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</si>
  <si>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</si>
  <si>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</si>
  <si>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</si>
  <si>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</si>
  <si>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</si>
  <si>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</si>
  <si>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</si>
  <si>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</si>
  <si>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</si>
  <si>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</si>
  <si>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</si>
  <si>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</si>
  <si>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</si>
  <si>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</si>
  <si>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</si>
  <si>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</si>
  <si>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</si>
  <si>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</si>
  <si>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</si>
  <si>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</si>
  <si>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</si>
  <si>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</si>
  <si>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</si>
  <si>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</si>
  <si>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</si>
  <si>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</si>
  <si>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</si>
  <si>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</si>
  <si>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</si>
  <si>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</si>
  <si>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</si>
  <si>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</si>
  <si>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</si>
  <si>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</si>
  <si>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</si>
  <si>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</si>
  <si>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</si>
  <si>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</si>
  <si>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</si>
  <si>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</si>
  <si>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</si>
  <si>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</si>
  <si>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</si>
  <si>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</si>
  <si>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</si>
  <si>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</si>
  <si>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</si>
  <si>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</si>
  <si>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</si>
  <si>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</si>
  <si>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</si>
  <si>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</si>
  <si>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</si>
  <si>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</si>
  <si>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</si>
  <si>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</si>
  <si>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</si>
  <si>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</si>
  <si>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</si>
  <si>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</si>
  <si>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</si>
  <si>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</si>
  <si>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</si>
  <si>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</si>
  <si>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</si>
  <si>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</si>
  <si>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</si>
  <si>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</si>
  <si>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</si>
  <si>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</si>
  <si>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</si>
  <si>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</si>
  <si>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</si>
  <si>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</si>
  <si>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</si>
  <si>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</si>
  <si>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</si>
  <si>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</si>
  <si>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</si>
  <si>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</si>
  <si>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</si>
  <si>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</si>
  <si>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</si>
  <si>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</si>
  <si>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</si>
  <si>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</si>
  <si>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</si>
  <si>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</si>
  <si>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</si>
  <si>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</si>
  <si>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</si>
  <si>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</si>
  <si>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</si>
  <si>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</si>
  <si>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</si>
  <si>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</si>
  <si>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</si>
  <si>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</si>
  <si>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</si>
  <si>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</si>
  <si>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</si>
  <si>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</si>
  <si>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</si>
  <si>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</si>
  <si>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</si>
  <si>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</si>
  <si>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</si>
  <si>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</si>
  <si>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</si>
  <si>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</si>
  <si>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</si>
  <si>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</si>
  <si>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</si>
  <si>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</si>
  <si>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</si>
  <si>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</si>
  <si>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</si>
  <si>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</si>
  <si>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</si>
  <si>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</si>
  <si>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</si>
  <si>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</si>
  <si>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</si>
  <si>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</si>
  <si>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</si>
  <si>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</si>
  <si>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</si>
  <si>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</si>
  <si>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</si>
  <si>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</si>
  <si>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</si>
  <si>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</si>
  <si>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</si>
  <si>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</si>
  <si>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</si>
  <si>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</si>
  <si>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</si>
  <si>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</si>
  <si>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</si>
  <si>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</si>
  <si>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</si>
  <si>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</si>
  <si>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</si>
  <si>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</si>
  <si>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</si>
  <si>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</si>
  <si>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</si>
  <si>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</si>
  <si>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</si>
  <si>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</si>
  <si>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</si>
  <si>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</si>
  <si>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</si>
  <si>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</si>
  <si>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</si>
  <si>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</si>
  <si>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</si>
  <si>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</si>
  <si>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</si>
  <si>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</si>
  <si>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</si>
  <si>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</si>
  <si>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</si>
  <si>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</si>
  <si>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</si>
  <si>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</si>
  <si>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</si>
  <si>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</si>
  <si>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</si>
  <si>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</si>
  <si>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</si>
  <si>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</si>
  <si>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</si>
  <si>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</si>
  <si>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</si>
  <si>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</si>
  <si>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</si>
  <si>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</si>
  <si>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</si>
  <si>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</si>
  <si>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</si>
  <si>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</si>
  <si>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</si>
  <si>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</si>
  <si>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</si>
  <si>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</si>
  <si>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</si>
  <si>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</si>
  <si>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</si>
  <si>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</si>
  <si>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</si>
  <si>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</si>
  <si>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</si>
  <si>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</si>
  <si>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</si>
  <si>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</si>
  <si>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</si>
  <si>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</si>
  <si>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</si>
  <si>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</si>
  <si>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</si>
  <si>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</si>
  <si>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</si>
  <si>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</si>
  <si>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</si>
  <si>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</si>
  <si>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</si>
  <si>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</si>
  <si>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</si>
  <si>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</si>
  <si>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</si>
  <si>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</si>
  <si>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</si>
  <si>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</si>
  <si>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</si>
  <si>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</si>
  <si>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</si>
  <si>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</si>
  <si>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</si>
  <si>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</si>
  <si>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</si>
  <si>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</si>
  <si>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</si>
  <si>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</si>
  <si>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</si>
  <si>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</si>
  <si>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</si>
  <si>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</si>
  <si>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</si>
  <si>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</si>
  <si>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</si>
  <si>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</si>
  <si>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</si>
  <si>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</si>
  <si>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</si>
  <si>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</si>
  <si>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</si>
  <si>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</si>
  <si>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</si>
  <si>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</si>
  <si>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</si>
  <si>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</si>
  <si>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</si>
  <si>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</si>
  <si>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</si>
  <si>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</si>
  <si>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</si>
  <si>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</si>
  <si>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</si>
  <si>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</si>
  <si>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</si>
  <si>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</si>
  <si>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</si>
  <si>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</si>
  <si>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</si>
  <si>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</si>
  <si>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</si>
  <si>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</si>
  <si>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</si>
  <si>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</si>
  <si>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</si>
  <si>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</si>
  <si>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</si>
  <si>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</si>
  <si>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</si>
  <si>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</si>
  <si>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</si>
  <si>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</si>
  <si>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</si>
  <si>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</si>
  <si>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</si>
  <si>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</si>
  <si>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</si>
  <si>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</si>
  <si>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</si>
  <si>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</si>
  <si>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</si>
  <si>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</si>
  <si>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</si>
  <si>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</si>
  <si>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</si>
  <si>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</si>
  <si>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</si>
  <si>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</si>
  <si>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</si>
  <si>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</si>
  <si>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</si>
  <si>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</si>
  <si>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</si>
  <si>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</si>
  <si>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</si>
  <si>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</si>
  <si>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</si>
  <si>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</si>
  <si>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</si>
  <si>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</si>
  <si>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</si>
  <si>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</si>
  <si>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</si>
  <si>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</si>
  <si>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</si>
  <si>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</si>
  <si>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</si>
  <si>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</si>
  <si>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</si>
  <si>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</si>
  <si>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</si>
  <si>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</si>
  <si>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</si>
  <si>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</si>
  <si>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</si>
  <si>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</si>
  <si>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</si>
  <si>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</si>
  <si>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</si>
  <si>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</si>
  <si>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</si>
  <si>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</si>
  <si>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</si>
  <si>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</si>
  <si>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</si>
  <si>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</si>
  <si>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</si>
  <si>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</si>
  <si>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</si>
  <si>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</si>
  <si>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</si>
  <si>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</si>
  <si>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</si>
  <si>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</si>
  <si>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</si>
  <si>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</si>
  <si>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</si>
  <si>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</si>
  <si>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</si>
  <si>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</si>
  <si>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</si>
  <si>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</si>
  <si>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</si>
  <si>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</si>
  <si>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</si>
  <si>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</si>
  <si>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</si>
  <si>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</si>
  <si>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</si>
  <si>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</si>
  <si>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</si>
  <si>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</si>
  <si>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</si>
  <si>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</si>
  <si>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</si>
  <si>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</si>
  <si>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</si>
  <si>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</si>
  <si>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</si>
  <si>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</si>
  <si>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</si>
  <si>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</si>
  <si>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</si>
  <si>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</si>
  <si>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</si>
  <si>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</si>
  <si>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</si>
  <si>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</si>
  <si>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</si>
  <si>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</si>
  <si>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</si>
  <si>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</si>
  <si>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</si>
  <si>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</si>
  <si>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</si>
  <si>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</si>
  <si>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</si>
  <si>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</si>
  <si>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</si>
  <si>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</si>
  <si>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</si>
  <si>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</si>
  <si>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</si>
  <si>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</si>
  <si>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</si>
  <si>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4505</t>
  </si>
  <si>
    <t>Akkala Sea</t>
  </si>
  <si>
    <t>4655</t>
  </si>
  <si>
    <t>Surface</t>
  </si>
  <si>
    <t>0426</t>
  </si>
  <si>
    <t>Deep Akkala</t>
  </si>
  <si>
    <t>0070</t>
  </si>
  <si>
    <t>2299</t>
  </si>
  <si>
    <t>0048</t>
  </si>
  <si>
    <t>0164</t>
  </si>
  <si>
    <t>0001</t>
  </si>
  <si>
    <t>0229</t>
  </si>
  <si>
    <t>0090</t>
  </si>
  <si>
    <t>4663</t>
  </si>
  <si>
    <t>0002</t>
  </si>
  <si>
    <t>0095</t>
  </si>
  <si>
    <t>0131</t>
  </si>
  <si>
    <t>Hyrule Ridge</t>
  </si>
  <si>
    <t>0824</t>
  </si>
  <si>
    <t>Central Hyrule</t>
  </si>
  <si>
    <t>1008</t>
  </si>
  <si>
    <t>Great Hyrule Forest</t>
  </si>
  <si>
    <t>0340</t>
  </si>
  <si>
    <t>0163</t>
  </si>
  <si>
    <t>Hyrule Field</t>
  </si>
  <si>
    <t>0021</t>
  </si>
  <si>
    <t>0023</t>
  </si>
  <si>
    <t>1170</t>
  </si>
  <si>
    <t>-0205</t>
  </si>
  <si>
    <t>0027</t>
  </si>
  <si>
    <t>0031</t>
  </si>
  <si>
    <t>0006</t>
  </si>
  <si>
    <t>0018</t>
  </si>
  <si>
    <t>0049</t>
  </si>
  <si>
    <t>-1413</t>
  </si>
  <si>
    <t>0089</t>
  </si>
  <si>
    <t>-1349</t>
  </si>
  <si>
    <t>0222</t>
  </si>
  <si>
    <t>0026</t>
  </si>
  <si>
    <t>0481</t>
  </si>
  <si>
    <t>0029</t>
  </si>
  <si>
    <t>0344</t>
  </si>
  <si>
    <t>0016</t>
  </si>
  <si>
    <t>0081</t>
  </si>
  <si>
    <t>1202</t>
  </si>
  <si>
    <t>0128</t>
  </si>
  <si>
    <t>-2532</t>
  </si>
  <si>
    <t>0177</t>
  </si>
  <si>
    <t>0233</t>
  </si>
  <si>
    <t>1194</t>
  </si>
  <si>
    <t>0147</t>
  </si>
  <si>
    <t>0093</t>
  </si>
  <si>
    <t>0178</t>
  </si>
  <si>
    <t>2089</t>
  </si>
  <si>
    <t>0104</t>
  </si>
  <si>
    <t>2129</t>
  </si>
  <si>
    <t>0143</t>
  </si>
  <si>
    <t>0287</t>
  </si>
  <si>
    <t>1062</t>
  </si>
  <si>
    <t>1279</t>
  </si>
  <si>
    <t>0045</t>
  </si>
  <si>
    <t>-0014</t>
  </si>
  <si>
    <t>Eldin Canyon</t>
  </si>
  <si>
    <t>Eldin Mountains</t>
  </si>
  <si>
    <t>0225</t>
  </si>
  <si>
    <t>0437</t>
  </si>
  <si>
    <t>1635</t>
  </si>
  <si>
    <t>0363</t>
  </si>
  <si>
    <t>Death Mountain</t>
  </si>
  <si>
    <t>0790</t>
  </si>
  <si>
    <t>0239</t>
  </si>
  <si>
    <t>3062</t>
  </si>
  <si>
    <t>1817</t>
  </si>
  <si>
    <t>0216</t>
  </si>
  <si>
    <t>3733</t>
  </si>
  <si>
    <t>0106</t>
  </si>
  <si>
    <t>0394</t>
  </si>
  <si>
    <t>2759</t>
  </si>
  <si>
    <t>1245</t>
  </si>
  <si>
    <t>0173</t>
  </si>
  <si>
    <t>Faron Grasslands</t>
  </si>
  <si>
    <t>0785</t>
  </si>
  <si>
    <t>Dragonhead Island</t>
  </si>
  <si>
    <t>0869</t>
  </si>
  <si>
    <t>0141</t>
  </si>
  <si>
    <t>0072</t>
  </si>
  <si>
    <t>Lake Hylia</t>
  </si>
  <si>
    <t>0105</t>
  </si>
  <si>
    <t>-2514</t>
  </si>
  <si>
    <t>0088</t>
  </si>
  <si>
    <t>-0563</t>
  </si>
  <si>
    <t>0129</t>
  </si>
  <si>
    <t>Gerudo Highlands</t>
  </si>
  <si>
    <t>1149</t>
  </si>
  <si>
    <t>0064</t>
  </si>
  <si>
    <t>Gerudo Desert</t>
  </si>
  <si>
    <t>0125</t>
  </si>
  <si>
    <t>-0669</t>
  </si>
  <si>
    <t>0452</t>
  </si>
  <si>
    <t>Tabantha Frontier</t>
  </si>
  <si>
    <t>0066</t>
  </si>
  <si>
    <t>0050</t>
  </si>
  <si>
    <t>-1531</t>
  </si>
  <si>
    <t>-2238</t>
  </si>
  <si>
    <t>0067</t>
  </si>
  <si>
    <t>0132</t>
  </si>
  <si>
    <t>-3210</t>
  </si>
  <si>
    <t>-0049</t>
  </si>
  <si>
    <t>0041</t>
  </si>
  <si>
    <t>-3722</t>
  </si>
  <si>
    <t>0043</t>
  </si>
  <si>
    <t>0028</t>
  </si>
  <si>
    <t>-3066</t>
  </si>
  <si>
    <t>0056</t>
  </si>
  <si>
    <t>0035</t>
  </si>
  <si>
    <t>-1795</t>
  </si>
  <si>
    <t>-3489</t>
  </si>
  <si>
    <t>1460</t>
  </si>
  <si>
    <t>-1381</t>
  </si>
  <si>
    <t>0388</t>
  </si>
  <si>
    <t>Hebra Mountains</t>
  </si>
  <si>
    <t>0949</t>
  </si>
  <si>
    <t>3430</t>
  </si>
  <si>
    <t>-3857</t>
  </si>
  <si>
    <t>2688</t>
  </si>
  <si>
    <t>1699</t>
  </si>
  <si>
    <t>3535</t>
  </si>
  <si>
    <t>0235</t>
  </si>
  <si>
    <t>-1405</t>
  </si>
  <si>
    <t>-1632</t>
  </si>
  <si>
    <t>0111</t>
  </si>
  <si>
    <t>3194</t>
  </si>
  <si>
    <t>0212</t>
  </si>
  <si>
    <t>-1163</t>
  </si>
  <si>
    <t>0086</t>
  </si>
  <si>
    <t>0262</t>
  </si>
  <si>
    <t>0040</t>
  </si>
  <si>
    <t>-3538</t>
  </si>
  <si>
    <t>Lanayru Great Spring</t>
  </si>
  <si>
    <t>Lanayru Sea</t>
  </si>
  <si>
    <t>-0948</t>
  </si>
  <si>
    <t>-0846</t>
  </si>
  <si>
    <t>Lanayru Wetlands</t>
  </si>
  <si>
    <t>0915</t>
  </si>
  <si>
    <t>0133</t>
  </si>
  <si>
    <t>0015</t>
  </si>
  <si>
    <t>0025</t>
  </si>
  <si>
    <t>3299</t>
  </si>
  <si>
    <t>0112</t>
  </si>
  <si>
    <t>-0220</t>
  </si>
  <si>
    <t>Mount Lanayru</t>
  </si>
  <si>
    <t>0181</t>
  </si>
  <si>
    <t>4412</t>
  </si>
  <si>
    <t>-0610</t>
  </si>
  <si>
    <t>0167</t>
  </si>
  <si>
    <t>2918</t>
  </si>
  <si>
    <t>0505</t>
  </si>
  <si>
    <t>0155</t>
  </si>
  <si>
    <t>2275</t>
  </si>
  <si>
    <t>0079</t>
  </si>
  <si>
    <t>-1089</t>
  </si>
  <si>
    <t>East Necluda</t>
  </si>
  <si>
    <t>2856</t>
  </si>
  <si>
    <t>-2860</t>
  </si>
  <si>
    <t>West Necluda</t>
  </si>
  <si>
    <t>-1780</t>
  </si>
  <si>
    <t>1770</t>
  </si>
  <si>
    <t>0166</t>
  </si>
  <si>
    <t>0142</t>
  </si>
  <si>
    <t>-1948</t>
  </si>
  <si>
    <t>0157</t>
  </si>
  <si>
    <t>0078</t>
  </si>
  <si>
    <t>Necluda Sea</t>
  </si>
  <si>
    <t>-2180</t>
  </si>
  <si>
    <t>0148</t>
  </si>
  <si>
    <t>-0007</t>
  </si>
  <si>
    <t>0096</t>
  </si>
  <si>
    <t>0057</t>
  </si>
  <si>
    <t>-0026</t>
  </si>
  <si>
    <t>2305</t>
  </si>
  <si>
    <t>-0028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</si>
  <si>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</si>
  <si>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</si>
  <si>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</si>
  <si>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</si>
  <si>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</si>
  <si>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</si>
  <si>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</si>
  <si>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</si>
  <si>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</si>
  <si>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</si>
  <si>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</si>
  <si>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</si>
  <si>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</si>
  <si>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</si>
  <si>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</si>
  <si>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</si>
  <si>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</si>
  <si>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Castle Moat West East Chasm</t>
  </si>
  <si>
    <t>Hyrule Field Chasm</t>
  </si>
  <si>
    <t>Mount Daphnes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</si>
  <si>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</si>
  <si>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</si>
  <si>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</si>
  <si>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</si>
  <si>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</si>
  <si>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</si>
  <si>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</si>
  <si>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</si>
  <si>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Original</t>
  </si>
  <si>
    <t>East Akkala Plains</t>
  </si>
  <si>
    <t>4004</t>
  </si>
  <si>
    <t>2155</t>
  </si>
  <si>
    <t>South Akkala Plains</t>
  </si>
  <si>
    <t>3284</t>
  </si>
  <si>
    <t>1303</t>
  </si>
  <si>
    <t>0217</t>
  </si>
  <si>
    <t>Tingel Island</t>
  </si>
  <si>
    <t>4706</t>
  </si>
  <si>
    <t>1306</t>
  </si>
  <si>
    <t>0061</t>
  </si>
  <si>
    <t>Skull Lake</t>
  </si>
  <si>
    <t>3245</t>
  </si>
  <si>
    <t>3440</t>
  </si>
  <si>
    <t>-0082</t>
  </si>
  <si>
    <t>2474</t>
  </si>
  <si>
    <t>2590</t>
  </si>
  <si>
    <t>-0963</t>
  </si>
  <si>
    <t>Birida Lookout</t>
  </si>
  <si>
    <t>-3658</t>
  </si>
  <si>
    <t>-1890</t>
  </si>
  <si>
    <t>0076</t>
  </si>
  <si>
    <t>East Gerudo</t>
  </si>
  <si>
    <t>-2527</t>
  </si>
  <si>
    <t>Gerudo Summit</t>
  </si>
  <si>
    <t>-4204</t>
  </si>
  <si>
    <t>-0654</t>
  </si>
  <si>
    <t>0682</t>
  </si>
  <si>
    <t>South Lomei</t>
  </si>
  <si>
    <t>-1796</t>
  </si>
  <si>
    <t>-3461</t>
  </si>
  <si>
    <t>0046</t>
  </si>
  <si>
    <t>Yiga Clan Hideout</t>
  </si>
  <si>
    <t>-3427</t>
  </si>
  <si>
    <t>-1351</t>
  </si>
  <si>
    <t>0335</t>
  </si>
  <si>
    <t>Forest of Time</t>
  </si>
  <si>
    <t>-0125</t>
  </si>
  <si>
    <t>-1690</t>
  </si>
  <si>
    <t>0010</t>
  </si>
  <si>
    <t>Great Plateau East</t>
  </si>
  <si>
    <t>-0451</t>
  </si>
  <si>
    <t>-1991</t>
  </si>
  <si>
    <t>0071</t>
  </si>
  <si>
    <t>Great Plateau North</t>
  </si>
  <si>
    <t>-0663</t>
  </si>
  <si>
    <t>-1506</t>
  </si>
  <si>
    <t>-0518</t>
  </si>
  <si>
    <t>Great Plateau South</t>
  </si>
  <si>
    <t>-0925</t>
  </si>
  <si>
    <t>-2313</t>
  </si>
  <si>
    <t>Great Plateau West</t>
  </si>
  <si>
    <t>-1441</t>
  </si>
  <si>
    <t>-1987</t>
  </si>
  <si>
    <t>0231</t>
  </si>
  <si>
    <t>Hyrule Castle</t>
  </si>
  <si>
    <t>-0275</t>
  </si>
  <si>
    <t>0970</t>
  </si>
  <si>
    <t>-0065</t>
  </si>
  <si>
    <t>Hyrule Castle Moat East</t>
  </si>
  <si>
    <t>0124</t>
  </si>
  <si>
    <t>0858</t>
  </si>
  <si>
    <t>0009</t>
  </si>
  <si>
    <t>Hyrule Castle Moat West East</t>
  </si>
  <si>
    <t>-0905</t>
  </si>
  <si>
    <t>0668</t>
  </si>
  <si>
    <t>-0251</t>
  </si>
  <si>
    <t>-0292</t>
  </si>
  <si>
    <t>-0479</t>
  </si>
  <si>
    <t>Mount Daphnes</t>
  </si>
  <si>
    <t>-1310</t>
  </si>
  <si>
    <t>-0628</t>
  </si>
  <si>
    <t>-2658</t>
  </si>
  <si>
    <t>1134</t>
  </si>
  <si>
    <t>0175</t>
  </si>
  <si>
    <t>Naydra Snowfield</t>
  </si>
  <si>
    <t>3599</t>
  </si>
  <si>
    <t>-1337</t>
  </si>
  <si>
    <t>0117</t>
  </si>
  <si>
    <t>East Hill</t>
  </si>
  <si>
    <t>1993</t>
  </si>
  <si>
    <t>-0888</t>
  </si>
  <si>
    <t>Hills of Baumer</t>
  </si>
  <si>
    <t>0221</t>
  </si>
  <si>
    <t>-2163</t>
  </si>
  <si>
    <t>0053</t>
  </si>
  <si>
    <t>North Lomei</t>
  </si>
  <si>
    <t>-0799</t>
  </si>
  <si>
    <t>3534</t>
  </si>
  <si>
    <t>Rito Village</t>
  </si>
  <si>
    <t>-3584</t>
  </si>
  <si>
    <t>0123</t>
  </si>
  <si>
    <t>0436</t>
  </si>
  <si>
    <t>0017</t>
  </si>
  <si>
    <t>Lomei Labyrinth</t>
  </si>
  <si>
    <t>3697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</si>
  <si>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</si>
  <si>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</si>
  <si>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</si>
  <si>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</si>
  <si>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</si>
  <si>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</si>
  <si>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</si>
  <si>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</si>
  <si>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</si>
  <si>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</si>
  <si>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</si>
  <si>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</si>
  <si>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</si>
  <si>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</si>
  <si>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</si>
  <si>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</si>
  <si>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</si>
  <si>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</si>
  <si>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</si>
  <si>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</si>
  <si>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</si>
  <si>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</si>
  <si>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</si>
  <si>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</si>
  <si>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</si>
  <si>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</si>
  <si>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</si>
  <si>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</si>
  <si>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</si>
  <si>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</si>
  <si>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</si>
  <si>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</si>
  <si>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</si>
  <si>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</si>
  <si>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</si>
  <si>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</si>
  <si>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</si>
  <si>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</si>
  <si>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</si>
  <si>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</si>
  <si>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</si>
  <si>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</si>
  <si>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</si>
  <si>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</si>
  <si>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</si>
  <si>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</si>
  <si>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</si>
  <si>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</si>
  <si>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</si>
  <si>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</si>
  <si>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</si>
  <si>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</si>
  <si>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</si>
  <si>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</si>
  <si>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</si>
  <si>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</si>
  <si>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</si>
  <si>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</si>
  <si>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</si>
  <si>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</si>
  <si>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</si>
  <si>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</si>
  <si>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</si>
  <si>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</si>
  <si>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</si>
  <si>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</si>
  <si>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</si>
  <si>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</si>
  <si>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</si>
  <si>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</si>
  <si>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</si>
  <si>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</si>
  <si>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</si>
  <si>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</si>
  <si>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</si>
  <si>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</si>
  <si>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</si>
  <si>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</si>
  <si>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</si>
  <si>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</si>
  <si>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</si>
  <si>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</si>
  <si>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</si>
  <si>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</si>
  <si>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</si>
  <si>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</si>
  <si>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</si>
  <si>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</si>
  <si>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</si>
  <si>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</si>
  <si>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</si>
  <si>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</si>
  <si>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</si>
  <si>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</si>
  <si>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</si>
  <si>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</si>
  <si>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</si>
  <si>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</si>
  <si>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</si>
  <si>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</si>
  <si>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</si>
  <si>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</si>
  <si>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</si>
  <si>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</si>
  <si>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</si>
  <si>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</si>
  <si>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</si>
  <si>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</si>
  <si>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</si>
  <si>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</si>
  <si>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</si>
  <si>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</si>
  <si>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</si>
  <si>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</si>
  <si>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</si>
  <si>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</si>
  <si>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</si>
  <si>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</si>
  <si>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</si>
  <si>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</si>
  <si>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</si>
  <si>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</si>
  <si>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</si>
  <si>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</si>
  <si>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</si>
  <si>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</si>
  <si>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</si>
  <si>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</si>
  <si>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</si>
  <si>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</si>
  <si>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</si>
  <si>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</si>
  <si>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</si>
  <si>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</si>
  <si>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</si>
  <si>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</si>
  <si>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</si>
  <si>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</si>
  <si>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</si>
  <si>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</si>
  <si>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</si>
  <si>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</si>
  <si>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</si>
  <si>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</si>
  <si>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</si>
  <si>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</si>
  <si>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</si>
  <si>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</si>
  <si>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3243</t>
  </si>
  <si>
    <t>0294</t>
  </si>
  <si>
    <t>1492</t>
  </si>
  <si>
    <t>-3626</t>
  </si>
  <si>
    <t>-0048</t>
  </si>
  <si>
    <t>-3465</t>
  </si>
  <si>
    <t>0449</t>
  </si>
  <si>
    <t>0254</t>
  </si>
  <si>
    <t>-3099</t>
  </si>
  <si>
    <t>-0051</t>
  </si>
  <si>
    <t>-0432</t>
  </si>
  <si>
    <t>0022</t>
  </si>
  <si>
    <t>3606</t>
  </si>
  <si>
    <t>0122</t>
  </si>
  <si>
    <t>-0001</t>
  </si>
  <si>
    <t>2454</t>
  </si>
  <si>
    <t>-3193</t>
  </si>
  <si>
    <t>2185</t>
  </si>
  <si>
    <t>0037</t>
  </si>
  <si>
    <t>Great Sky Island</t>
  </si>
  <si>
    <t>-1449</t>
  </si>
  <si>
    <t>0199</t>
  </si>
  <si>
    <t>1617</t>
  </si>
  <si>
    <t>-1260</t>
  </si>
  <si>
    <t>0192</t>
  </si>
  <si>
    <t>3650</t>
  </si>
  <si>
    <t>-0006</t>
  </si>
  <si>
    <t>0373</t>
  </si>
  <si>
    <t>0075</t>
  </si>
  <si>
    <t>-3679</t>
  </si>
  <si>
    <t>-3255</t>
  </si>
  <si>
    <t>-0018</t>
  </si>
  <si>
    <t>1330</t>
  </si>
  <si>
    <t>0150</t>
  </si>
  <si>
    <t>-1167</t>
  </si>
  <si>
    <t>1538</t>
  </si>
  <si>
    <t>0074</t>
  </si>
  <si>
    <t>-0256</t>
  </si>
  <si>
    <t>-2940</t>
  </si>
  <si>
    <t>0493</t>
  </si>
  <si>
    <t>1144</t>
  </si>
  <si>
    <t>0247</t>
  </si>
  <si>
    <t>1877</t>
  </si>
  <si>
    <t>-1160</t>
  </si>
  <si>
    <t>0198</t>
  </si>
  <si>
    <t>2778</t>
  </si>
  <si>
    <t>0521</t>
  </si>
  <si>
    <t>1949</t>
  </si>
  <si>
    <t>2687</t>
  </si>
  <si>
    <t>2682</t>
  </si>
  <si>
    <t>4213</t>
  </si>
  <si>
    <t>0000</t>
  </si>
  <si>
    <t>0307</t>
  </si>
  <si>
    <t>3579</t>
  </si>
  <si>
    <t>-1854</t>
  </si>
  <si>
    <t>1183</t>
  </si>
  <si>
    <t>-3555</t>
  </si>
  <si>
    <t>3088</t>
  </si>
  <si>
    <t>0273</t>
  </si>
  <si>
    <t>-2696</t>
  </si>
  <si>
    <t>-0067</t>
  </si>
  <si>
    <t>1853</t>
  </si>
  <si>
    <t>1719</t>
  </si>
  <si>
    <t>0012</t>
  </si>
  <si>
    <t>1520</t>
  </si>
  <si>
    <t>2243</t>
  </si>
  <si>
    <t>-1689</t>
  </si>
  <si>
    <t>-2611</t>
  </si>
  <si>
    <t>-4814</t>
  </si>
  <si>
    <t>-3875</t>
  </si>
  <si>
    <t>-3763</t>
  </si>
  <si>
    <t>0014</t>
  </si>
  <si>
    <t>0420</t>
  </si>
  <si>
    <t>1423</t>
  </si>
  <si>
    <t>0284</t>
  </si>
  <si>
    <t>-0832</t>
  </si>
  <si>
    <t>-1488</t>
  </si>
  <si>
    <t>3595</t>
  </si>
  <si>
    <t>0255</t>
  </si>
  <si>
    <t>-2900</t>
  </si>
  <si>
    <t>2510</t>
  </si>
  <si>
    <t>0539</t>
  </si>
  <si>
    <t>-3398</t>
  </si>
  <si>
    <t>2499</t>
  </si>
  <si>
    <t>0313</t>
  </si>
  <si>
    <t>-0255</t>
  </si>
  <si>
    <t>-0016</t>
  </si>
  <si>
    <t>-4429</t>
  </si>
  <si>
    <t>3760</t>
  </si>
  <si>
    <t>0223</t>
  </si>
  <si>
    <t>1554</t>
  </si>
  <si>
    <t>1947</t>
  </si>
  <si>
    <t>-3831</t>
  </si>
  <si>
    <t>0007</t>
  </si>
  <si>
    <t>-2395</t>
  </si>
  <si>
    <t>0169</t>
  </si>
  <si>
    <t>-1759</t>
  </si>
  <si>
    <t>2373</t>
  </si>
  <si>
    <t>0445</t>
  </si>
  <si>
    <t>-2501</t>
  </si>
  <si>
    <t>2485</t>
  </si>
  <si>
    <t>2861</t>
  </si>
  <si>
    <t>0091</t>
  </si>
  <si>
    <t>2698</t>
  </si>
  <si>
    <t>-1314</t>
  </si>
  <si>
    <t>2206</t>
  </si>
  <si>
    <t>3075</t>
  </si>
  <si>
    <t>0405</t>
  </si>
  <si>
    <t>-1744</t>
  </si>
  <si>
    <t>-2394</t>
  </si>
  <si>
    <t>-0011</t>
  </si>
  <si>
    <t>3094</t>
  </si>
  <si>
    <t>4585</t>
  </si>
  <si>
    <t>-2246</t>
  </si>
  <si>
    <t>-1245</t>
  </si>
  <si>
    <t>0380</t>
  </si>
  <si>
    <t>1411</t>
  </si>
  <si>
    <t>-1372</t>
  </si>
  <si>
    <t>0197</t>
  </si>
  <si>
    <t>3224</t>
  </si>
  <si>
    <t>0059</t>
  </si>
  <si>
    <t>1959</t>
  </si>
  <si>
    <t>-1967</t>
  </si>
  <si>
    <t>0030</t>
  </si>
  <si>
    <t>-2183</t>
  </si>
  <si>
    <t>0005</t>
  </si>
  <si>
    <t>-0726</t>
  </si>
  <si>
    <t>0569</t>
  </si>
  <si>
    <t>-3960</t>
  </si>
  <si>
    <t>-1234</t>
  </si>
  <si>
    <t>0770</t>
  </si>
  <si>
    <t>0077</t>
  </si>
  <si>
    <t>2504</t>
  </si>
  <si>
    <t>-0004</t>
  </si>
  <si>
    <t>-3109</t>
  </si>
  <si>
    <t>-0512</t>
  </si>
  <si>
    <t>0020</t>
  </si>
  <si>
    <t>1247</t>
  </si>
  <si>
    <t>-2642</t>
  </si>
  <si>
    <t>3268</t>
  </si>
  <si>
    <t>0249</t>
  </si>
  <si>
    <t>0632</t>
  </si>
  <si>
    <t>1483</t>
  </si>
  <si>
    <t>0538</t>
  </si>
  <si>
    <t>0268</t>
  </si>
  <si>
    <t>0170</t>
  </si>
  <si>
    <t>1377</t>
  </si>
  <si>
    <t>0608</t>
  </si>
  <si>
    <t>-2210</t>
  </si>
  <si>
    <t>3708</t>
  </si>
  <si>
    <t>0343</t>
  </si>
  <si>
    <t>0283</t>
  </si>
  <si>
    <t>-3851</t>
  </si>
  <si>
    <t>0033</t>
  </si>
  <si>
    <t>-2939</t>
  </si>
  <si>
    <t>0202</t>
  </si>
  <si>
    <t>-3738</t>
  </si>
  <si>
    <t>0118</t>
  </si>
  <si>
    <t>0676</t>
  </si>
  <si>
    <t>31 1</t>
  </si>
  <si>
    <t>0419</t>
  </si>
  <si>
    <t>0208</t>
  </si>
  <si>
    <t>3757</t>
  </si>
  <si>
    <t>0214</t>
  </si>
  <si>
    <t>-1092</t>
  </si>
  <si>
    <t>1896</t>
  </si>
  <si>
    <t>-3111</t>
  </si>
  <si>
    <t>-3559</t>
  </si>
  <si>
    <t>2488</t>
  </si>
  <si>
    <t>0227</t>
  </si>
  <si>
    <t>0054</t>
  </si>
  <si>
    <t>-1404</t>
  </si>
  <si>
    <t>-0003</t>
  </si>
  <si>
    <t>1373</t>
  </si>
  <si>
    <t>-1197</t>
  </si>
  <si>
    <t>1203</t>
  </si>
  <si>
    <t>-3170</t>
  </si>
  <si>
    <t>-2151</t>
  </si>
  <si>
    <t>0276</t>
  </si>
  <si>
    <t>-2198</t>
  </si>
  <si>
    <t>3424</t>
  </si>
  <si>
    <t>0171</t>
  </si>
  <si>
    <t>-0037</t>
  </si>
  <si>
    <t>1800</t>
  </si>
  <si>
    <t>1983</t>
  </si>
  <si>
    <t>0320</t>
  </si>
  <si>
    <t>-2222</t>
  </si>
  <si>
    <t>-0020</t>
  </si>
  <si>
    <t>-4041</t>
  </si>
  <si>
    <t>2671</t>
  </si>
  <si>
    <t>-2457</t>
  </si>
  <si>
    <t>0176</t>
  </si>
  <si>
    <t>2674</t>
  </si>
  <si>
    <t>1771</t>
  </si>
  <si>
    <t>2462</t>
  </si>
  <si>
    <t>-0804</t>
  </si>
  <si>
    <t>-2049</t>
  </si>
  <si>
    <t>-0056</t>
  </si>
  <si>
    <t>-3308</t>
  </si>
  <si>
    <t>4473</t>
  </si>
  <si>
    <t>1576</t>
  </si>
  <si>
    <t>0107</t>
  </si>
  <si>
    <t>-2268</t>
  </si>
  <si>
    <t>0899</t>
  </si>
  <si>
    <t>1169</t>
  </si>
  <si>
    <t>0705</t>
  </si>
  <si>
    <t>4122</t>
  </si>
  <si>
    <t>0662</t>
  </si>
  <si>
    <t>0187</t>
  </si>
  <si>
    <t>0346</t>
  </si>
  <si>
    <t>3147</t>
  </si>
  <si>
    <t>0667</t>
  </si>
  <si>
    <t>2570</t>
  </si>
  <si>
    <t>0517</t>
  </si>
  <si>
    <t>0324</t>
  </si>
  <si>
    <t>-3827</t>
  </si>
  <si>
    <t>-2650</t>
  </si>
  <si>
    <t>0180</t>
  </si>
  <si>
    <t>-4673</t>
  </si>
  <si>
    <t>-1986</t>
  </si>
  <si>
    <t>2029</t>
  </si>
  <si>
    <t>1642</t>
  </si>
  <si>
    <t>1729</t>
  </si>
  <si>
    <t>0279</t>
  </si>
  <si>
    <t>-0072</t>
  </si>
  <si>
    <t>-1819</t>
  </si>
  <si>
    <t>2040</t>
  </si>
  <si>
    <t>0154</t>
  </si>
  <si>
    <t>2837</t>
  </si>
  <si>
    <t>1713</t>
  </si>
  <si>
    <t>2718</t>
  </si>
  <si>
    <t>0400</t>
  </si>
  <si>
    <t>-0047</t>
  </si>
  <si>
    <t>Bravery Island</t>
  </si>
  <si>
    <t>30% Battery</t>
  </si>
  <si>
    <t>25% Construct Head</t>
  </si>
  <si>
    <t>20% Flame Emitter</t>
  </si>
  <si>
    <t>25% Light</t>
  </si>
  <si>
    <t>Courage Island</t>
  </si>
  <si>
    <t>30% Balloon</t>
  </si>
  <si>
    <t>20% Fan</t>
  </si>
  <si>
    <t>25% Portable Pot</t>
  </si>
  <si>
    <t>25% Time Bomb</t>
  </si>
  <si>
    <t>Death Mountain Depths</t>
  </si>
  <si>
    <t>Depths</t>
  </si>
  <si>
    <t>15% Battery</t>
  </si>
  <si>
    <t>30% Big Wheel</t>
  </si>
  <si>
    <t>15% Portable Pot</t>
  </si>
  <si>
    <t>40% Steering Stick</t>
  </si>
  <si>
    <t>25% Cart</t>
  </si>
  <si>
    <t>25% Fan</t>
  </si>
  <si>
    <t>25% Steering Stick</t>
  </si>
  <si>
    <t>25% Wing</t>
  </si>
  <si>
    <t>East Gerudo Sky Archipelago</t>
  </si>
  <si>
    <t>15% Beam Emitter</t>
  </si>
  <si>
    <t>20% Mirror</t>
  </si>
  <si>
    <t>20% Sled</t>
  </si>
  <si>
    <t>15% Stake</t>
  </si>
  <si>
    <t>30% Steering Stick</t>
  </si>
  <si>
    <t>East Hebra Sky Archipelago</t>
  </si>
  <si>
    <t>15% Cart</t>
  </si>
  <si>
    <t>15% Fan</t>
  </si>
  <si>
    <t>15% Light</t>
  </si>
  <si>
    <t>30% Sled</t>
  </si>
  <si>
    <t>Gerudo Canyon Pass</t>
  </si>
  <si>
    <t>15% Spring</t>
  </si>
  <si>
    <t>Great Sky Island (East)</t>
  </si>
  <si>
    <t>30% Fan</t>
  </si>
  <si>
    <t>15% Flame Emitter</t>
  </si>
  <si>
    <t>20% Portable Pot</t>
  </si>
  <si>
    <t>35% Wing</t>
  </si>
  <si>
    <t>Great Sky Island (South)</t>
  </si>
  <si>
    <t>40% Fan</t>
  </si>
  <si>
    <t>40% Portable Pot</t>
  </si>
  <si>
    <t>Hudson Construction Site</t>
  </si>
  <si>
    <t>15% Balloon</t>
  </si>
  <si>
    <t>15% Big Wheel</t>
  </si>
  <si>
    <t>15% Rocket</t>
  </si>
  <si>
    <t>Kakariko Village</t>
  </si>
  <si>
    <t>25% Balloon</t>
  </si>
  <si>
    <t>20% Big Wheel</t>
  </si>
  <si>
    <t>35% Stabilizer</t>
  </si>
  <si>
    <t>Lanayru Sky Archipelago</t>
  </si>
  <si>
    <t>20% Beam Emitter</t>
  </si>
  <si>
    <t>30% Cart</t>
  </si>
  <si>
    <t>30% Wing</t>
  </si>
  <si>
    <t>Left-Leg Depot</t>
  </si>
  <si>
    <t>15% Construct Head</t>
  </si>
  <si>
    <t>15% Small Wheel</t>
  </si>
  <si>
    <t>Lightcast Island</t>
  </si>
  <si>
    <t>15% Hover Stone</t>
  </si>
  <si>
    <t>35% Mirror</t>
  </si>
  <si>
    <t>20% Wing</t>
  </si>
  <si>
    <t>North Hyrule Sky Archipelago</t>
  </si>
  <si>
    <t>20% Homing Cart</t>
  </si>
  <si>
    <t>30% Light</t>
  </si>
  <si>
    <t>20% Shock Emitter</t>
  </si>
  <si>
    <t>North Necluda Sky Archipelago</t>
  </si>
  <si>
    <t>20% Cannon</t>
  </si>
  <si>
    <t>40% Spring</t>
  </si>
  <si>
    <t>20% Time Bomb</t>
  </si>
  <si>
    <t>Sky Mine</t>
  </si>
  <si>
    <t>25% Homing Cart</t>
  </si>
  <si>
    <t>35% Hover Stone</t>
  </si>
  <si>
    <t>15% Hydrant</t>
  </si>
  <si>
    <t>Sokkala Sky Archipelago</t>
  </si>
  <si>
    <t>15% Cannon</t>
  </si>
  <si>
    <t>20% Construct Head</t>
  </si>
  <si>
    <t>30% Homing Cart</t>
  </si>
  <si>
    <t>South Eldin Sky Archipelago</t>
  </si>
  <si>
    <t>20% Battery</t>
  </si>
  <si>
    <t>40% Hydrant</t>
  </si>
  <si>
    <t>South Hyrule Sky Archipelago</t>
  </si>
  <si>
    <t>25% Rocket</t>
  </si>
  <si>
    <t>30% Small Wheel</t>
  </si>
  <si>
    <t>South Lanayru Sky Archipelago</t>
  </si>
  <si>
    <t>30% Frost Emitter</t>
  </si>
  <si>
    <t>South Necluda Sky Archipelago</t>
  </si>
  <si>
    <t>20% Light</t>
  </si>
  <si>
    <t>Starview Island</t>
  </si>
  <si>
    <t>20% Frost Emitter</t>
  </si>
  <si>
    <t>25% Sled</t>
  </si>
  <si>
    <t>15% Stabilizer</t>
  </si>
  <si>
    <t>Tabantha Sky Archipelago</t>
  </si>
  <si>
    <t>25% Mirror</t>
  </si>
  <si>
    <t>25% Small Wheel</t>
  </si>
  <si>
    <t>Thunderhead Isles</t>
  </si>
  <si>
    <t>35% Fan</t>
  </si>
  <si>
    <t>35% Shock Emitter</t>
  </si>
  <si>
    <t>Valor Island</t>
  </si>
  <si>
    <t>25% Hydrant</t>
  </si>
  <si>
    <t>30% Spring</t>
  </si>
  <si>
    <t>Wellspring Island</t>
  </si>
  <si>
    <t>20% Stabilizer</t>
  </si>
  <si>
    <t>West Hebra Sky Archipelago</t>
  </si>
  <si>
    <t>30% Flame Emitter</t>
  </si>
  <si>
    <t>30% Rocket</t>
  </si>
  <si>
    <t>West Necluda Sky Archipelago</t>
  </si>
  <si>
    <t>20% Balloon</t>
  </si>
  <si>
    <t>20% Cart</t>
  </si>
  <si>
    <t>20% Hydrant</t>
  </si>
  <si>
    <t>Zonaite Forge Island</t>
  </si>
  <si>
    <t>Contains 1</t>
  </si>
  <si>
    <t>Contains 2</t>
  </si>
  <si>
    <t>Contains 3</t>
  </si>
  <si>
    <t>Contains 4</t>
  </si>
  <si>
    <t>0215</t>
  </si>
  <si>
    <t>1981</t>
  </si>
  <si>
    <t>0754</t>
  </si>
  <si>
    <t>-2370</t>
  </si>
  <si>
    <t>0781</t>
  </si>
  <si>
    <t>0610</t>
  </si>
  <si>
    <t>2190</t>
  </si>
  <si>
    <t>2640</t>
  </si>
  <si>
    <t>1390</t>
  </si>
  <si>
    <t>-3239</t>
  </si>
  <si>
    <t>0416</t>
  </si>
  <si>
    <t>-1771</t>
  </si>
  <si>
    <t>-2019</t>
  </si>
  <si>
    <t>1147</t>
  </si>
  <si>
    <t>-1705</t>
  </si>
  <si>
    <t>3371</t>
  </si>
  <si>
    <t>0947</t>
  </si>
  <si>
    <t>-1619</t>
  </si>
  <si>
    <t>-1888</t>
  </si>
  <si>
    <t>0769</t>
  </si>
  <si>
    <t>-1259</t>
  </si>
  <si>
    <t>1578</t>
  </si>
  <si>
    <t>0435</t>
  </si>
  <si>
    <t>-1686</t>
  </si>
  <si>
    <t>1442</t>
  </si>
  <si>
    <t>3807</t>
  </si>
  <si>
    <t>1561</t>
  </si>
  <si>
    <t>1838</t>
  </si>
  <si>
    <t>-1093</t>
  </si>
  <si>
    <t>2915</t>
  </si>
  <si>
    <t>0502</t>
  </si>
  <si>
    <t>0950</t>
  </si>
  <si>
    <t>1058</t>
  </si>
  <si>
    <t>-2320</t>
  </si>
  <si>
    <t>-0553</t>
  </si>
  <si>
    <t>-3612</t>
  </si>
  <si>
    <t>1066</t>
  </si>
  <si>
    <t>1655</t>
  </si>
  <si>
    <t>0443</t>
  </si>
  <si>
    <t>2821</t>
  </si>
  <si>
    <t>1819</t>
  </si>
  <si>
    <t>1778</t>
  </si>
  <si>
    <t>-1096</t>
  </si>
  <si>
    <t>0917</t>
  </si>
  <si>
    <t>4557</t>
  </si>
  <si>
    <t>2076</t>
  </si>
  <si>
    <t>1154</t>
  </si>
  <si>
    <t>3755</t>
  </si>
  <si>
    <t>1542</t>
  </si>
  <si>
    <t>1156</t>
  </si>
  <si>
    <t>1221</t>
  </si>
  <si>
    <t>1250</t>
  </si>
  <si>
    <t>-1212</t>
  </si>
  <si>
    <t>-1585</t>
  </si>
  <si>
    <t>1006</t>
  </si>
  <si>
    <t>4675</t>
  </si>
  <si>
    <t>-1029</t>
  </si>
  <si>
    <t>1788</t>
  </si>
  <si>
    <t>2851</t>
  </si>
  <si>
    <t>-2958</t>
  </si>
  <si>
    <t>1211</t>
  </si>
  <si>
    <t>-3457</t>
  </si>
  <si>
    <t>-0373</t>
  </si>
  <si>
    <t>1942</t>
  </si>
  <si>
    <t>-3455</t>
  </si>
  <si>
    <t>0393</t>
  </si>
  <si>
    <t>1694</t>
  </si>
  <si>
    <t>1104</t>
  </si>
  <si>
    <t>-3331</t>
  </si>
  <si>
    <t>0827</t>
  </si>
  <si>
    <t>4510</t>
  </si>
  <si>
    <t>-0805</t>
  </si>
  <si>
    <t>1116</t>
  </si>
  <si>
    <t>0636</t>
  </si>
  <si>
    <t>1316</t>
  </si>
  <si>
    <t>-3803</t>
  </si>
  <si>
    <t>2766</t>
  </si>
  <si>
    <t>0701</t>
  </si>
  <si>
    <t>1344</t>
  </si>
  <si>
    <t>0584</t>
  </si>
  <si>
    <t>2320</t>
  </si>
  <si>
    <t>-1718</t>
  </si>
  <si>
    <t>1484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</si>
  <si>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</si>
  <si>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</si>
  <si>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</si>
  <si>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</si>
  <si>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</si>
  <si>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</si>
  <si>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</si>
  <si>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</si>
  <si>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</si>
  <si>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</si>
  <si>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</si>
  <si>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</si>
  <si>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</si>
  <si>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</si>
  <si>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</si>
  <si>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</si>
  <si>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</si>
  <si>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</si>
  <si>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</si>
  <si>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</si>
  <si>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</si>
  <si>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</si>
  <si>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</si>
  <si>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</si>
  <si>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</si>
  <si>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</si>
  <si>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</si>
  <si>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</si>
  <si>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</si>
  <si>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</si>
  <si>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</si>
  <si>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</si>
  <si>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</si>
  <si>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</si>
  <si>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</si>
  <si>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</si>
  <si>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</si>
  <si>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</si>
  <si>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</si>
  <si>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</si>
  <si>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</si>
  <si>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</si>
  <si>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</si>
  <si>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</si>
  <si>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</si>
  <si>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</si>
  <si>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</si>
  <si>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</si>
  <si>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</si>
  <si>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</si>
  <si>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</si>
  <si>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</si>
  <si>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</si>
  <si>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</si>
  <si>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</si>
  <si>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</si>
  <si>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</si>
  <si>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</si>
  <si>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</si>
  <si>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</si>
  <si>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</si>
  <si>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</si>
  <si>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</si>
  <si>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</si>
  <si>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</si>
  <si>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</si>
  <si>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</si>
  <si>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</si>
  <si>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</si>
  <si>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</si>
  <si>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</si>
  <si>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</si>
  <si>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</si>
  <si>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4450</t>
  </si>
  <si>
    <t>0622</t>
  </si>
  <si>
    <t>0381</t>
  </si>
  <si>
    <t>1969</t>
  </si>
  <si>
    <t>-1899</t>
  </si>
  <si>
    <t>0036</t>
  </si>
  <si>
    <t>2268</t>
  </si>
  <si>
    <t>2317</t>
  </si>
  <si>
    <t>0523</t>
  </si>
  <si>
    <t>3973</t>
  </si>
  <si>
    <t>-0295</t>
  </si>
  <si>
    <t>-1722</t>
  </si>
  <si>
    <t>0052</t>
  </si>
  <si>
    <t>2797</t>
  </si>
  <si>
    <t>2655</t>
  </si>
  <si>
    <t>0670</t>
  </si>
  <si>
    <t>1980</t>
  </si>
  <si>
    <t>2656</t>
  </si>
  <si>
    <t>0463</t>
  </si>
  <si>
    <t>-0458</t>
  </si>
  <si>
    <t>3042</t>
  </si>
  <si>
    <t>0119</t>
  </si>
  <si>
    <t>0922</t>
  </si>
  <si>
    <t>-0995</t>
  </si>
  <si>
    <t>4237</t>
  </si>
  <si>
    <t>2648</t>
  </si>
  <si>
    <t>-2963</t>
  </si>
  <si>
    <t>-3793</t>
  </si>
  <si>
    <t>0042</t>
  </si>
  <si>
    <t>1024</t>
  </si>
  <si>
    <t>3110</t>
  </si>
  <si>
    <t>0282</t>
  </si>
  <si>
    <t>-0678</t>
  </si>
  <si>
    <t>-0864</t>
  </si>
  <si>
    <t>2572</t>
  </si>
  <si>
    <t>1100</t>
  </si>
  <si>
    <t>-0873</t>
  </si>
  <si>
    <t>-1472</t>
  </si>
  <si>
    <t>-2396</t>
  </si>
  <si>
    <t>-2161</t>
  </si>
  <si>
    <t>-1609</t>
  </si>
  <si>
    <t>-2249</t>
  </si>
  <si>
    <t>-2758</t>
  </si>
  <si>
    <t>-2263</t>
  </si>
  <si>
    <t>2820</t>
  </si>
  <si>
    <t>3549</t>
  </si>
  <si>
    <t>-3456</t>
  </si>
  <si>
    <t>-3613</t>
  </si>
  <si>
    <t>2188</t>
  </si>
  <si>
    <t>-0333</t>
  </si>
  <si>
    <t>-0268</t>
  </si>
  <si>
    <t>0383</t>
  </si>
  <si>
    <t>-2504</t>
  </si>
  <si>
    <t>0190</t>
  </si>
  <si>
    <t>-3134</t>
  </si>
  <si>
    <t>1224</t>
  </si>
  <si>
    <t>2616</t>
  </si>
  <si>
    <t>-2595</t>
  </si>
  <si>
    <t>-2087</t>
  </si>
  <si>
    <t>-1952</t>
  </si>
  <si>
    <t>0149</t>
  </si>
  <si>
    <t>4086</t>
  </si>
  <si>
    <t>1874</t>
  </si>
  <si>
    <t>-2674</t>
  </si>
  <si>
    <t>-0002</t>
  </si>
  <si>
    <t>-3382</t>
  </si>
  <si>
    <t>1549</t>
  </si>
  <si>
    <t>1595</t>
  </si>
  <si>
    <t>-3470</t>
  </si>
  <si>
    <t>2374</t>
  </si>
  <si>
    <t>-0679</t>
  </si>
  <si>
    <t>4334</t>
  </si>
  <si>
    <t>-0570</t>
  </si>
  <si>
    <t>-1783</t>
  </si>
  <si>
    <t>0660</t>
  </si>
  <si>
    <t>0160</t>
  </si>
  <si>
    <t>0186</t>
  </si>
  <si>
    <t>0039</t>
  </si>
  <si>
    <t>-1437</t>
  </si>
  <si>
    <t>-1059</t>
  </si>
  <si>
    <t>4651</t>
  </si>
  <si>
    <t>-2337</t>
  </si>
  <si>
    <t>-4108</t>
  </si>
  <si>
    <t>-1389</t>
  </si>
  <si>
    <t>0459</t>
  </si>
  <si>
    <t>1710</t>
  </si>
  <si>
    <t>96 5</t>
  </si>
  <si>
    <t>3142</t>
  </si>
  <si>
    <t>-2138</t>
  </si>
  <si>
    <t>-1075</t>
  </si>
  <si>
    <t>-1076</t>
  </si>
  <si>
    <t>-3351</t>
  </si>
  <si>
    <t>-0755</t>
  </si>
  <si>
    <t>0243</t>
  </si>
  <si>
    <t>4103</t>
  </si>
  <si>
    <t>-1144</t>
  </si>
  <si>
    <t>0325</t>
  </si>
  <si>
    <t>-2700</t>
  </si>
  <si>
    <t>0771</t>
  </si>
  <si>
    <t>0315</t>
  </si>
  <si>
    <t>-1603</t>
  </si>
  <si>
    <t>-0490</t>
  </si>
  <si>
    <t>3145</t>
  </si>
  <si>
    <t>-1612</t>
  </si>
  <si>
    <t>3339</t>
  </si>
  <si>
    <t>0250</t>
  </si>
  <si>
    <t>3873</t>
  </si>
  <si>
    <t>2476</t>
  </si>
  <si>
    <t>0065</t>
  </si>
  <si>
    <t>0389</t>
  </si>
  <si>
    <t>-1273</t>
  </si>
  <si>
    <t>3359</t>
  </si>
  <si>
    <t>-3494</t>
  </si>
  <si>
    <t>-3438</t>
  </si>
  <si>
    <t>-3123</t>
  </si>
  <si>
    <t>-0204</t>
  </si>
  <si>
    <t>-3488</t>
  </si>
  <si>
    <t>1310</t>
  </si>
  <si>
    <t>1222</t>
  </si>
  <si>
    <t>0126</t>
  </si>
  <si>
    <t>-2211</t>
  </si>
  <si>
    <t>2929</t>
  </si>
  <si>
    <t>0396</t>
  </si>
  <si>
    <t>2097</t>
  </si>
  <si>
    <t>-1265</t>
  </si>
  <si>
    <t>0674</t>
  </si>
  <si>
    <t>1 38</t>
  </si>
  <si>
    <t>0038</t>
  </si>
  <si>
    <t>-1011</t>
  </si>
  <si>
    <t>2023</t>
  </si>
  <si>
    <t>3208</t>
  </si>
  <si>
    <t>1490</t>
  </si>
  <si>
    <t>-0989</t>
  </si>
  <si>
    <t>-1451</t>
  </si>
  <si>
    <t>1177</t>
  </si>
  <si>
    <t>3229</t>
  </si>
  <si>
    <t>-0656</t>
  </si>
  <si>
    <t>0013</t>
  </si>
  <si>
    <t>-0150</t>
  </si>
  <si>
    <t>-2125</t>
  </si>
  <si>
    <t>3422</t>
  </si>
  <si>
    <t>3526</t>
  </si>
  <si>
    <t>0218</t>
  </si>
  <si>
    <t>3163</t>
  </si>
  <si>
    <t>1625</t>
  </si>
  <si>
    <t>-1870</t>
  </si>
  <si>
    <t>2324</t>
  </si>
  <si>
    <t>0246</t>
  </si>
  <si>
    <t>1573</t>
  </si>
  <si>
    <t>2164</t>
  </si>
  <si>
    <t>-2329</t>
  </si>
  <si>
    <t>-4113</t>
  </si>
  <si>
    <t>-3321</t>
  </si>
  <si>
    <t>0179</t>
  </si>
  <si>
    <t>-3256</t>
  </si>
  <si>
    <t>2571</t>
  </si>
  <si>
    <t>-2676</t>
  </si>
  <si>
    <t>-0426</t>
  </si>
  <si>
    <t>2214</t>
  </si>
  <si>
    <t>-3369</t>
  </si>
  <si>
    <t>1346</t>
  </si>
  <si>
    <t>0800</t>
  </si>
  <si>
    <t>2939</t>
  </si>
  <si>
    <t>4296</t>
  </si>
  <si>
    <t>0578</t>
  </si>
  <si>
    <t>2933</t>
  </si>
  <si>
    <t>0704</t>
  </si>
  <si>
    <t>0359</t>
  </si>
  <si>
    <t>-1800</t>
  </si>
  <si>
    <t>-2616</t>
  </si>
  <si>
    <t>2094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</si>
  <si>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</si>
  <si>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</si>
  <si>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</si>
  <si>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</si>
  <si>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</si>
  <si>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</si>
  <si>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</si>
  <si>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</si>
  <si>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</si>
  <si>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</si>
  <si>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</si>
  <si>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</si>
  <si>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</si>
  <si>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</si>
  <si>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</si>
  <si>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</si>
  <si>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</si>
  <si>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</si>
  <si>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</si>
  <si>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</si>
  <si>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</si>
  <si>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</si>
  <si>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</si>
  <si>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</si>
  <si>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</si>
  <si>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</si>
  <si>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</si>
  <si>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</si>
  <si>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</si>
  <si>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</si>
  <si>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</si>
  <si>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</si>
  <si>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</si>
  <si>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</si>
  <si>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</si>
  <si>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</si>
  <si>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</si>
  <si>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</si>
  <si>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</si>
  <si>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</si>
  <si>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</si>
  <si>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</si>
  <si>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</si>
  <si>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</si>
  <si>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</si>
  <si>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</si>
  <si>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</si>
  <si>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</si>
  <si>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</si>
  <si>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</si>
  <si>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</si>
  <si>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</si>
  <si>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</si>
  <si>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</si>
  <si>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</si>
  <si>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</si>
  <si>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</si>
  <si>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</si>
  <si>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</si>
  <si>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</si>
  <si>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</si>
  <si>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</si>
  <si>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</si>
  <si>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</si>
  <si>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</si>
  <si>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</si>
  <si>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</si>
  <si>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</si>
  <si>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</si>
  <si>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</si>
  <si>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</si>
  <si>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</si>
  <si>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</si>
  <si>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</si>
  <si>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</si>
  <si>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</si>
  <si>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</si>
  <si>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</si>
  <si>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</si>
  <si>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</si>
  <si>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</si>
  <si>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</si>
  <si>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</si>
  <si>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</si>
  <si>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</si>
  <si>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</si>
  <si>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</si>
  <si>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</si>
  <si>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</si>
  <si>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</si>
  <si>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</si>
  <si>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</si>
  <si>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</si>
  <si>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</si>
  <si>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</si>
  <si>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</si>
  <si>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</si>
  <si>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</si>
  <si>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</si>
  <si>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</si>
  <si>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</si>
  <si>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</si>
  <si>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</si>
  <si>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</si>
  <si>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</si>
  <si>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</si>
  <si>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</si>
  <si>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</si>
  <si>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</si>
  <si>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</si>
  <si>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</si>
  <si>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</si>
  <si>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</si>
  <si>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</si>
  <si>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</si>
  <si>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</si>
  <si>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</si>
  <si>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</si>
  <si>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</si>
  <si>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</si>
  <si>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</si>
  <si>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</si>
  <si>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</si>
  <si>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</si>
  <si>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</si>
  <si>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DragonTears01</t>
  </si>
  <si>
    <t>DragonTears02</t>
  </si>
  <si>
    <t>DragonTears03</t>
  </si>
  <si>
    <t>DragonTears04</t>
  </si>
  <si>
    <t>DragonTears05</t>
  </si>
  <si>
    <t>DragonTears06</t>
  </si>
  <si>
    <t>DragonTears07</t>
  </si>
  <si>
    <t>DragonTears08</t>
  </si>
  <si>
    <t>DragonTears09</t>
  </si>
  <si>
    <t>DragonTears10</t>
  </si>
  <si>
    <t>DragonTears11</t>
  </si>
  <si>
    <t>DragonTears12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</si>
  <si>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</si>
  <si>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</si>
  <si>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</si>
  <si>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</si>
  <si>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</si>
  <si>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</si>
  <si>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</si>
  <si>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</si>
  <si>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</si>
  <si>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</si>
  <si>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</si>
  <si>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</si>
  <si>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</si>
  <si>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</si>
  <si>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</si>
  <si>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</si>
  <si>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</si>
  <si>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</si>
  <si>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</si>
  <si>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</si>
  <si>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</si>
  <si>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</si>
  <si>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</si>
  <si>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</si>
  <si>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</si>
  <si>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</si>
  <si>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</si>
  <si>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</si>
  <si>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</si>
  <si>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</si>
  <si>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</si>
  <si>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</si>
  <si>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</si>
  <si>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</si>
  <si>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</si>
  <si>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</si>
  <si>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</si>
  <si>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</si>
  <si>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</si>
  <si>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</si>
  <si>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</si>
  <si>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</si>
  <si>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</si>
  <si>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</si>
  <si>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</si>
  <si>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</si>
  <si>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</si>
  <si>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</si>
  <si>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</si>
  <si>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</si>
  <si>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</si>
  <si>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</si>
  <si>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</si>
  <si>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</si>
  <si>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</si>
  <si>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</si>
  <si>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</si>
  <si>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</si>
  <si>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</si>
  <si>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</si>
  <si>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</si>
  <si>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</si>
  <si>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</si>
  <si>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</si>
  <si>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</si>
  <si>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</si>
  <si>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</si>
  <si>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</si>
  <si>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</si>
  <si>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</si>
  <si>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</si>
  <si>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</si>
  <si>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</si>
  <si>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</si>
  <si>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</si>
  <si>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</si>
  <si>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</si>
  <si>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</si>
  <si>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</si>
  <si>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</si>
  <si>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</si>
  <si>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</si>
  <si>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</si>
  <si>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</si>
  <si>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</si>
  <si>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</si>
  <si>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</si>
  <si>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</si>
  <si>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</si>
  <si>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</si>
  <si>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</si>
  <si>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</si>
  <si>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</si>
  <si>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</si>
  <si>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</si>
  <si>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</si>
  <si>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</si>
  <si>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</si>
  <si>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</si>
  <si>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</si>
  <si>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</si>
  <si>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</si>
  <si>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</si>
  <si>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</si>
  <si>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</si>
  <si>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</si>
  <si>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</si>
  <si>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</si>
  <si>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</si>
  <si>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</si>
  <si>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</si>
  <si>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</si>
  <si>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</si>
  <si>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</si>
  <si>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</si>
  <si>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</si>
  <si>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</si>
  <si>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</si>
  <si>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</si>
  <si>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</si>
  <si>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</si>
  <si>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</si>
  <si>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</si>
  <si>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</si>
  <si>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</si>
  <si>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</si>
  <si>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</si>
  <si>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</si>
  <si>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</si>
  <si>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</si>
  <si>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</si>
  <si>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</si>
  <si>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</si>
  <si>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</si>
  <si>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</si>
  <si>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</si>
  <si>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</si>
  <si>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</si>
  <si>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</si>
  <si>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</si>
  <si>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</si>
  <si>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</si>
  <si>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</si>
  <si>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</si>
  <si>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</si>
  <si>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</si>
  <si>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</si>
  <si>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</si>
  <si>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</si>
  <si>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</si>
  <si>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</si>
  <si>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</si>
  <si>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</si>
  <si>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</si>
  <si>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</si>
  <si>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</si>
  <si>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</si>
  <si>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</si>
  <si>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</si>
  <si>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</si>
  <si>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</si>
  <si>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</si>
  <si>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</si>
  <si>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</si>
  <si>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</si>
  <si>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</si>
  <si>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</si>
  <si>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</si>
  <si>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</si>
  <si>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</si>
  <si>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</si>
  <si>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</si>
  <si>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</si>
  <si>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</si>
  <si>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</si>
  <si>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</si>
  <si>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</si>
  <si>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</si>
  <si>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</si>
  <si>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</si>
  <si>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</si>
  <si>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</si>
  <si>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</si>
  <si>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</si>
  <si>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</si>
  <si>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</si>
  <si>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</si>
  <si>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</si>
  <si>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</si>
  <si>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</si>
  <si>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</si>
  <si>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</si>
  <si>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</si>
  <si>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</si>
  <si>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</si>
  <si>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</si>
  <si>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</si>
  <si>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</si>
  <si>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</si>
  <si>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</si>
  <si>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</si>
  <si>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</si>
  <si>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</si>
  <si>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</si>
  <si>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</si>
  <si>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</si>
  <si>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</si>
  <si>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</si>
  <si>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</si>
  <si>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</si>
  <si>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</si>
  <si>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</si>
  <si>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</si>
  <si>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</si>
  <si>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</si>
  <si>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</si>
  <si>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</si>
  <si>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</si>
  <si>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</si>
  <si>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</si>
  <si>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</si>
  <si>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</si>
  <si>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</si>
  <si>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</si>
  <si>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</si>
  <si>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</si>
  <si>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</si>
  <si>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</si>
  <si>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</si>
  <si>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</si>
  <si>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</si>
  <si>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</si>
  <si>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</si>
  <si>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</si>
  <si>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</si>
  <si>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</si>
  <si>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</si>
  <si>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</si>
  <si>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</si>
  <si>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</si>
  <si>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</si>
  <si>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</si>
  <si>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</si>
  <si>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</si>
  <si>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</si>
  <si>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</si>
  <si>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</si>
  <si>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</si>
  <si>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</si>
  <si>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</si>
  <si>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</si>
  <si>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</si>
  <si>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</si>
  <si>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</si>
  <si>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</si>
  <si>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</si>
  <si>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</si>
  <si>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</si>
  <si>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</si>
  <si>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</si>
  <si>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</si>
  <si>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</si>
  <si>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</si>
  <si>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</si>
  <si>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</si>
  <si>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</si>
  <si>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</si>
  <si>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</si>
  <si>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</si>
  <si>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</si>
  <si>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</si>
  <si>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</si>
  <si>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</si>
  <si>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</si>
  <si>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</si>
  <si>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</si>
  <si>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</si>
  <si>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</si>
  <si>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</si>
  <si>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</si>
  <si>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</si>
  <si>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</si>
  <si>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</si>
  <si>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</si>
  <si>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</si>
  <si>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</si>
  <si>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</si>
  <si>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</si>
  <si>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</si>
  <si>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</si>
  <si>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</si>
  <si>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</si>
  <si>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</si>
  <si>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</si>
  <si>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</si>
  <si>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</si>
  <si>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</si>
  <si>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</si>
  <si>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</si>
  <si>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</si>
  <si>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</si>
  <si>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</si>
  <si>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</si>
  <si>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</si>
  <si>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</si>
  <si>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</si>
  <si>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</si>
  <si>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</si>
  <si>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</si>
  <si>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</si>
  <si>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</si>
  <si>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</si>
  <si>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</si>
  <si>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</si>
  <si>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</si>
  <si>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</si>
  <si>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</si>
  <si>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</si>
  <si>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</si>
  <si>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</si>
  <si>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</si>
  <si>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</si>
  <si>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</si>
  <si>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</si>
  <si>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</si>
  <si>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</si>
  <si>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</si>
  <si>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</si>
  <si>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</si>
  <si>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</si>
  <si>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</si>
  <si>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</si>
  <si>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</si>
  <si>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</si>
  <si>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</si>
  <si>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</si>
  <si>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</si>
  <si>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</si>
  <si>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</si>
  <si>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</si>
  <si>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</si>
  <si>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</si>
  <si>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</si>
  <si>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</si>
  <si>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</si>
  <si>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</si>
  <si>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</si>
  <si>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</si>
  <si>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</si>
  <si>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</si>
  <si>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</si>
  <si>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</si>
  <si>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</si>
  <si>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</si>
  <si>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</si>
  <si>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</si>
  <si>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</si>
  <si>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</si>
  <si>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</si>
  <si>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</si>
  <si>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</si>
  <si>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</si>
  <si>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</si>
  <si>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</si>
  <si>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</si>
  <si>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</si>
  <si>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</si>
  <si>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</si>
  <si>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</si>
  <si>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</si>
  <si>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</si>
  <si>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</si>
  <si>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</si>
  <si>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</si>
  <si>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</si>
  <si>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</si>
  <si>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</si>
  <si>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</si>
  <si>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</si>
  <si>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</si>
  <si>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</si>
  <si>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</si>
  <si>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</si>
  <si>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</si>
  <si>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</si>
  <si>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</si>
  <si>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</si>
  <si>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</si>
  <si>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</si>
  <si>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</si>
  <si>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</si>
  <si>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</si>
  <si>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</si>
  <si>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</si>
  <si>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</si>
  <si>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</si>
  <si>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</si>
  <si>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</si>
  <si>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</si>
  <si>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</si>
  <si>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</si>
  <si>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</si>
  <si>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</si>
  <si>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</si>
  <si>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</si>
  <si>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</si>
  <si>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</si>
  <si>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</si>
  <si>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</si>
  <si>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</si>
  <si>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</si>
  <si>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</si>
  <si>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</si>
  <si>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</si>
  <si>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</si>
  <si>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</si>
  <si>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</si>
  <si>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</si>
  <si>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</si>
  <si>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</si>
  <si>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</si>
  <si>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</si>
  <si>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</si>
  <si>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</si>
  <si>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</si>
  <si>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</si>
  <si>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</si>
  <si>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</si>
  <si>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</si>
  <si>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</si>
  <si>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</si>
  <si>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</si>
  <si>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</si>
  <si>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</si>
  <si>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</si>
  <si>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</si>
  <si>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</si>
  <si>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</si>
  <si>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</si>
  <si>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</si>
  <si>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</si>
  <si>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</si>
  <si>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</si>
  <si>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</si>
  <si>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</si>
  <si>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</si>
  <si>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</si>
  <si>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</si>
  <si>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</si>
  <si>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</si>
  <si>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</si>
  <si>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</si>
  <si>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</si>
  <si>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</si>
  <si>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</si>
  <si>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</si>
  <si>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</si>
  <si>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</si>
  <si>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</si>
  <si>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</si>
  <si>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</si>
  <si>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</si>
  <si>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</si>
  <si>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</si>
  <si>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</si>
  <si>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</si>
  <si>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</si>
  <si>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</si>
  <si>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</si>
  <si>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</si>
  <si>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</si>
  <si>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</si>
  <si>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</si>
  <si>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</si>
  <si>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</si>
  <si>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</si>
  <si>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</si>
  <si>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</si>
  <si>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</si>
  <si>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</si>
  <si>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</si>
  <si>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</si>
  <si>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</si>
  <si>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</si>
  <si>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</si>
  <si>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</si>
  <si>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</si>
  <si>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</si>
  <si>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</si>
  <si>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</si>
  <si>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</si>
  <si>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</si>
  <si>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</si>
  <si>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</si>
  <si>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</si>
  <si>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</si>
  <si>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</si>
  <si>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</si>
  <si>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</si>
  <si>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</si>
  <si>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</si>
  <si>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</si>
  <si>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</si>
  <si>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</si>
  <si>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</si>
  <si>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</si>
  <si>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</si>
  <si>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</si>
  <si>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</si>
  <si>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</si>
  <si>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</si>
  <si>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</si>
  <si>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</si>
  <si>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</si>
  <si>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</si>
  <si>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</si>
  <si>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</si>
  <si>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</si>
  <si>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</si>
  <si>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</si>
  <si>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</si>
  <si>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</si>
  <si>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</si>
  <si>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</si>
  <si>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</si>
  <si>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</si>
  <si>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</si>
  <si>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</si>
  <si>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</si>
  <si>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</si>
  <si>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</si>
  <si>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</si>
  <si>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</si>
  <si>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</si>
  <si>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</si>
  <si>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</si>
  <si>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</si>
  <si>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</si>
  <si>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</si>
  <si>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</si>
  <si>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</si>
  <si>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</si>
  <si>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</si>
  <si>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1649</t>
  </si>
  <si>
    <t>2364</t>
  </si>
  <si>
    <t>-0749</t>
  </si>
  <si>
    <t>-3816</t>
  </si>
  <si>
    <t>-2890</t>
  </si>
  <si>
    <t>-0383</t>
  </si>
  <si>
    <t>3548</t>
  </si>
  <si>
    <t>-2228</t>
  </si>
  <si>
    <t>-0485</t>
  </si>
  <si>
    <t>1862</t>
  </si>
  <si>
    <t>-0316</t>
  </si>
  <si>
    <t>-1299</t>
  </si>
  <si>
    <t>-0566</t>
  </si>
  <si>
    <t>-3171</t>
  </si>
  <si>
    <t>-2311</t>
  </si>
  <si>
    <t>-0475</t>
  </si>
  <si>
    <t>3170</t>
  </si>
  <si>
    <t>0936</t>
  </si>
  <si>
    <t>-0677</t>
  </si>
  <si>
    <t>2967</t>
  </si>
  <si>
    <t>-3606</t>
  </si>
  <si>
    <t>-0306</t>
  </si>
  <si>
    <t>3969</t>
  </si>
  <si>
    <t>1715</t>
  </si>
  <si>
    <t>4603</t>
  </si>
  <si>
    <t>-1830</t>
  </si>
  <si>
    <t>-0106</t>
  </si>
  <si>
    <t>-4786</t>
  </si>
  <si>
    <t>-0728</t>
  </si>
  <si>
    <t>-1215</t>
  </si>
  <si>
    <t>3557</t>
  </si>
  <si>
    <t>3039</t>
  </si>
  <si>
    <t>4522</t>
  </si>
  <si>
    <t>3167</t>
  </si>
  <si>
    <t>3162</t>
  </si>
  <si>
    <t>1417</t>
  </si>
  <si>
    <t>0277</t>
  </si>
  <si>
    <t>3324</t>
  </si>
  <si>
    <t>1535</t>
  </si>
  <si>
    <t>0508</t>
  </si>
  <si>
    <t>3244</t>
  </si>
  <si>
    <t>1457</t>
  </si>
  <si>
    <t>3293</t>
  </si>
  <si>
    <t>0395</t>
  </si>
  <si>
    <t>3732</t>
  </si>
  <si>
    <t>1171</t>
  </si>
  <si>
    <t>3477</t>
  </si>
  <si>
    <t>3254</t>
  </si>
  <si>
    <t>3493</t>
  </si>
  <si>
    <t>-0320</t>
  </si>
  <si>
    <t>3308</t>
  </si>
  <si>
    <t>1236</t>
  </si>
  <si>
    <t>4812</t>
  </si>
  <si>
    <t>3429</t>
  </si>
  <si>
    <t>3950</t>
  </si>
  <si>
    <t>2576</t>
  </si>
  <si>
    <t>1895</t>
  </si>
  <si>
    <t>3009</t>
  </si>
  <si>
    <t>1232</t>
  </si>
  <si>
    <t>0226</t>
  </si>
  <si>
    <t>3744</t>
  </si>
  <si>
    <t>3349</t>
  </si>
  <si>
    <t>-0736</t>
  </si>
  <si>
    <t>2080</t>
  </si>
  <si>
    <t>-2536</t>
  </si>
  <si>
    <t>-3574</t>
  </si>
  <si>
    <t>0364</t>
  </si>
  <si>
    <t>2589</t>
  </si>
  <si>
    <t>-3504</t>
  </si>
  <si>
    <t>-0630</t>
  </si>
  <si>
    <t>-3064</t>
  </si>
  <si>
    <t>-0052</t>
  </si>
  <si>
    <t>2217</t>
  </si>
  <si>
    <t>0989</t>
  </si>
  <si>
    <t>-1112</t>
  </si>
  <si>
    <t>-0415</t>
  </si>
  <si>
    <t>0063</t>
  </si>
  <si>
    <t>3310</t>
  </si>
  <si>
    <t>1523</t>
  </si>
  <si>
    <t>-0478</t>
  </si>
  <si>
    <t>3607</t>
  </si>
  <si>
    <t>1716</t>
  </si>
  <si>
    <t>-2620</t>
  </si>
  <si>
    <t>4652</t>
  </si>
  <si>
    <t>1027</t>
  </si>
  <si>
    <t>0553</t>
  </si>
  <si>
    <t>0289</t>
  </si>
  <si>
    <t>0260</t>
  </si>
  <si>
    <t>-1129</t>
  </si>
  <si>
    <t>-1017</t>
  </si>
  <si>
    <t>-1304</t>
  </si>
  <si>
    <t>-1095</t>
  </si>
  <si>
    <t>-0879</t>
  </si>
  <si>
    <t>-1102</t>
  </si>
  <si>
    <t>-4157</t>
  </si>
  <si>
    <t>1936</t>
  </si>
  <si>
    <t>-3879</t>
  </si>
  <si>
    <t>-0206</t>
  </si>
  <si>
    <t>87 2</t>
  </si>
  <si>
    <t>1978</t>
  </si>
  <si>
    <t>-1842</t>
  </si>
  <si>
    <t>2469</t>
  </si>
  <si>
    <t>-3260</t>
  </si>
  <si>
    <t>2752</t>
  </si>
  <si>
    <t>87 -</t>
  </si>
  <si>
    <t>1774</t>
  </si>
  <si>
    <t>-0384</t>
  </si>
  <si>
    <t>0193</t>
  </si>
  <si>
    <t>-3135</t>
  </si>
  <si>
    <t>0563</t>
  </si>
  <si>
    <t>1751</t>
  </si>
  <si>
    <t>0285</t>
  </si>
  <si>
    <t>1673</t>
  </si>
  <si>
    <t>-2033</t>
  </si>
  <si>
    <t>-0022</t>
  </si>
  <si>
    <t>-3476</t>
  </si>
  <si>
    <t>-1868</t>
  </si>
  <si>
    <t>-3686</t>
  </si>
  <si>
    <t>-1860</t>
  </si>
  <si>
    <t>-3719</t>
  </si>
  <si>
    <t>2982</t>
  </si>
  <si>
    <t>2133</t>
  </si>
  <si>
    <t>-1914</t>
  </si>
  <si>
    <t>4268</t>
  </si>
  <si>
    <t>3017</t>
  </si>
  <si>
    <t>-2288</t>
  </si>
  <si>
    <t>-0367</t>
  </si>
  <si>
    <t>-0894</t>
  </si>
  <si>
    <t>2084</t>
  </si>
  <si>
    <t>14 -</t>
  </si>
  <si>
    <t>0270</t>
  </si>
  <si>
    <t>0712</t>
  </si>
  <si>
    <t>0004</t>
  </si>
  <si>
    <t>2153</t>
  </si>
  <si>
    <t>-1130</t>
  </si>
  <si>
    <t>1486</t>
  </si>
  <si>
    <t>0510</t>
  </si>
  <si>
    <t>-0582</t>
  </si>
  <si>
    <t>0686</t>
  </si>
  <si>
    <t>-0766</t>
  </si>
  <si>
    <t>0207</t>
  </si>
  <si>
    <t>1937</t>
  </si>
  <si>
    <t>1984</t>
  </si>
  <si>
    <t>0554</t>
  </si>
  <si>
    <t>3995</t>
  </si>
  <si>
    <t>1637</t>
  </si>
  <si>
    <t>0130</t>
  </si>
  <si>
    <t>2135</t>
  </si>
  <si>
    <t>-2578</t>
  </si>
  <si>
    <t>2356</t>
  </si>
  <si>
    <t>0526</t>
  </si>
  <si>
    <t>-2518</t>
  </si>
  <si>
    <t>-3006</t>
  </si>
  <si>
    <t>2701</t>
  </si>
  <si>
    <t>1478</t>
  </si>
  <si>
    <t>-3254</t>
  </si>
  <si>
    <t>3927</t>
  </si>
  <si>
    <t>-0382</t>
  </si>
  <si>
    <t>2085</t>
  </si>
  <si>
    <t>-2094</t>
  </si>
  <si>
    <t>2020</t>
  </si>
  <si>
    <t>-2102</t>
  </si>
  <si>
    <t>-0601</t>
  </si>
  <si>
    <t>-3216</t>
  </si>
  <si>
    <t>-3033</t>
  </si>
  <si>
    <t>-2042</t>
  </si>
  <si>
    <t>-2857</t>
  </si>
  <si>
    <t>2935</t>
  </si>
  <si>
    <t>-0839</t>
  </si>
  <si>
    <t>3545</t>
  </si>
  <si>
    <t>-3261</t>
  </si>
  <si>
    <t>-3211</t>
  </si>
  <si>
    <t>3421</t>
  </si>
  <si>
    <t>-3807</t>
  </si>
  <si>
    <t>-1088</t>
  </si>
  <si>
    <t>0475</t>
  </si>
  <si>
    <t>-1040</t>
  </si>
  <si>
    <t>0415</t>
  </si>
  <si>
    <t>0019</t>
  </si>
  <si>
    <t>0837</t>
  </si>
  <si>
    <t>-0013</t>
  </si>
  <si>
    <t>0080</t>
  </si>
  <si>
    <t>0411</t>
  </si>
  <si>
    <t>3241</t>
  </si>
  <si>
    <t>0374</t>
  </si>
  <si>
    <t>-0116</t>
  </si>
  <si>
    <t>-0248</t>
  </si>
  <si>
    <t>78 1</t>
  </si>
  <si>
    <t>-0092</t>
  </si>
  <si>
    <t>-0254</t>
  </si>
  <si>
    <t>0417</t>
  </si>
  <si>
    <t>2751</t>
  </si>
  <si>
    <t>1481</t>
  </si>
  <si>
    <t>2594</t>
  </si>
  <si>
    <t>0151</t>
  </si>
  <si>
    <t>-3194</t>
  </si>
  <si>
    <t>3272</t>
  </si>
  <si>
    <t>0442</t>
  </si>
  <si>
    <t>-0021</t>
  </si>
  <si>
    <t>2585</t>
  </si>
  <si>
    <t>-3897</t>
  </si>
  <si>
    <t>-1034</t>
  </si>
  <si>
    <t>2679</t>
  </si>
  <si>
    <t>-0238</t>
  </si>
  <si>
    <t>2601</t>
  </si>
  <si>
    <t>-3392</t>
  </si>
  <si>
    <t>2954</t>
  </si>
  <si>
    <t>-1151</t>
  </si>
  <si>
    <t>-1263</t>
  </si>
  <si>
    <t>-1311</t>
  </si>
  <si>
    <t>-2174</t>
  </si>
  <si>
    <t>-0571</t>
  </si>
  <si>
    <t>3679</t>
  </si>
  <si>
    <t>3720</t>
  </si>
  <si>
    <t>1588</t>
  </si>
  <si>
    <t>-3056</t>
  </si>
  <si>
    <t>-0019</t>
  </si>
  <si>
    <t>1686</t>
  </si>
  <si>
    <t>-3089</t>
  </si>
  <si>
    <t>1677</t>
  </si>
  <si>
    <t>-3039</t>
  </si>
  <si>
    <t>-3322</t>
  </si>
  <si>
    <t>2359</t>
  </si>
  <si>
    <t>-0776</t>
  </si>
  <si>
    <t>-3243</t>
  </si>
  <si>
    <t>2423</t>
  </si>
  <si>
    <t>-2266</t>
  </si>
  <si>
    <t>0728</t>
  </si>
  <si>
    <t>2270</t>
  </si>
  <si>
    <t>-2942</t>
  </si>
  <si>
    <t>-0523</t>
  </si>
  <si>
    <t>0681</t>
  </si>
  <si>
    <t>0909</t>
  </si>
  <si>
    <t>0494</t>
  </si>
  <si>
    <t>0731</t>
  </si>
  <si>
    <t>1145</t>
  </si>
  <si>
    <t>0058</t>
  </si>
  <si>
    <t>3729</t>
  </si>
  <si>
    <t>-3735</t>
  </si>
  <si>
    <t>-0607</t>
  </si>
  <si>
    <t>0357</t>
  </si>
  <si>
    <t>-1651</t>
  </si>
  <si>
    <t>-3811</t>
  </si>
  <si>
    <t>1407</t>
  </si>
  <si>
    <t>-0577</t>
  </si>
  <si>
    <t>-3834</t>
  </si>
  <si>
    <t>1327</t>
  </si>
  <si>
    <t>-2051</t>
  </si>
  <si>
    <t>-1139</t>
  </si>
  <si>
    <t>-2120</t>
  </si>
  <si>
    <t>-0445</t>
  </si>
  <si>
    <t>0832</t>
  </si>
  <si>
    <t>-1065</t>
  </si>
  <si>
    <t>-0574</t>
  </si>
  <si>
    <t>-0482</t>
  </si>
  <si>
    <t>2336</t>
  </si>
  <si>
    <t>2043</t>
  </si>
  <si>
    <t>1405</t>
  </si>
  <si>
    <t>2842</t>
  </si>
  <si>
    <t>-3683</t>
  </si>
  <si>
    <t>-1391</t>
  </si>
  <si>
    <t>-3604</t>
  </si>
  <si>
    <t>-0917</t>
  </si>
  <si>
    <t>-3600</t>
  </si>
  <si>
    <t>4637</t>
  </si>
  <si>
    <t>2563</t>
  </si>
  <si>
    <t>2971</t>
  </si>
  <si>
    <t>2530</t>
  </si>
  <si>
    <t>2479</t>
  </si>
  <si>
    <t>2535</t>
  </si>
  <si>
    <t>2603</t>
  </si>
  <si>
    <t>0643</t>
  </si>
  <si>
    <t>2768</t>
  </si>
  <si>
    <t>1950</t>
  </si>
  <si>
    <t>2169</t>
  </si>
  <si>
    <t>2730</t>
  </si>
  <si>
    <t>0530</t>
  </si>
  <si>
    <t>2239</t>
  </si>
  <si>
    <t>3602</t>
  </si>
  <si>
    <t>3186</t>
  </si>
  <si>
    <t>4283</t>
  </si>
  <si>
    <t>-2355</t>
  </si>
  <si>
    <t>0418</t>
  </si>
  <si>
    <t>2193</t>
  </si>
  <si>
    <t>0336</t>
  </si>
  <si>
    <t>3693</t>
  </si>
  <si>
    <t>-4314</t>
  </si>
  <si>
    <t>-3802</t>
  </si>
  <si>
    <t>-0362</t>
  </si>
  <si>
    <t>-3515</t>
  </si>
  <si>
    <t>-2731</t>
  </si>
  <si>
    <t>0366</t>
  </si>
  <si>
    <t>-1883</t>
  </si>
  <si>
    <t>0355</t>
  </si>
  <si>
    <t>-1963</t>
  </si>
  <si>
    <t>0423</t>
  </si>
  <si>
    <t>-2043</t>
  </si>
  <si>
    <t>0317</t>
  </si>
  <si>
    <t>-1857</t>
  </si>
  <si>
    <t>-2099</t>
  </si>
  <si>
    <t>0322</t>
  </si>
  <si>
    <t>-1927</t>
  </si>
  <si>
    <t>-0005</t>
  </si>
  <si>
    <t>-1661</t>
  </si>
  <si>
    <t>0055</t>
  </si>
  <si>
    <t>-0112</t>
  </si>
  <si>
    <t>0852</t>
  </si>
  <si>
    <t>-0252</t>
  </si>
  <si>
    <t>1188</t>
  </si>
  <si>
    <t>0906</t>
  </si>
  <si>
    <t>-2556</t>
  </si>
  <si>
    <t>-0467</t>
  </si>
  <si>
    <t>0928</t>
  </si>
  <si>
    <t>-2583</t>
  </si>
  <si>
    <t>-2763</t>
  </si>
  <si>
    <t>-4145</t>
  </si>
  <si>
    <t>0109</t>
  </si>
  <si>
    <t>-3381</t>
  </si>
  <si>
    <t>-4785</t>
  </si>
  <si>
    <t>-3509</t>
  </si>
  <si>
    <t>0966</t>
  </si>
  <si>
    <t>-2551</t>
  </si>
  <si>
    <t>1889</t>
  </si>
  <si>
    <t>1828</t>
  </si>
  <si>
    <t>0738</t>
  </si>
  <si>
    <t>0695</t>
  </si>
  <si>
    <t>-1309</t>
  </si>
  <si>
    <t>-3178</t>
  </si>
  <si>
    <t>-1700</t>
  </si>
  <si>
    <t>-3096</t>
  </si>
  <si>
    <t>-0077</t>
  </si>
  <si>
    <t>3326</t>
  </si>
  <si>
    <t>-3566</t>
  </si>
  <si>
    <t>-1864</t>
  </si>
  <si>
    <t>3622</t>
  </si>
  <si>
    <t>0237</t>
  </si>
  <si>
    <t>4468</t>
  </si>
  <si>
    <t>-0305</t>
  </si>
  <si>
    <t>-0649</t>
  </si>
  <si>
    <t>-2683</t>
  </si>
  <si>
    <t>0069</t>
  </si>
  <si>
    <t>0892</t>
  </si>
  <si>
    <t>2952</t>
  </si>
  <si>
    <t>4535</t>
  </si>
  <si>
    <t>2144</t>
  </si>
  <si>
    <t>-0561</t>
  </si>
  <si>
    <t>2584</t>
  </si>
  <si>
    <t>-0844</t>
  </si>
  <si>
    <t>-0344</t>
  </si>
  <si>
    <t>3121</t>
  </si>
  <si>
    <t>-0071</t>
  </si>
  <si>
    <t>2984</t>
  </si>
  <si>
    <t>2236</t>
  </si>
  <si>
    <t>-3832</t>
  </si>
  <si>
    <t>2105</t>
  </si>
  <si>
    <t>1295</t>
  </si>
  <si>
    <t>-1850</t>
  </si>
  <si>
    <t>-0686</t>
  </si>
  <si>
    <t>1358</t>
  </si>
  <si>
    <t>-1782</t>
  </si>
  <si>
    <t>0158</t>
  </si>
  <si>
    <t>1757</t>
  </si>
  <si>
    <t>-1924</t>
  </si>
  <si>
    <t>1795</t>
  </si>
  <si>
    <t>-1950</t>
  </si>
  <si>
    <t>3153</t>
  </si>
  <si>
    <t>-3276</t>
  </si>
  <si>
    <t>-0709</t>
  </si>
  <si>
    <t>3003</t>
  </si>
  <si>
    <t>-3082</t>
  </si>
  <si>
    <t>3404</t>
  </si>
  <si>
    <t>-2152</t>
  </si>
  <si>
    <t>-0943</t>
  </si>
  <si>
    <t>4354</t>
  </si>
  <si>
    <t>2400</t>
  </si>
  <si>
    <t>4096</t>
  </si>
  <si>
    <t>2149</t>
  </si>
  <si>
    <t>4030</t>
  </si>
  <si>
    <t>2181</t>
  </si>
  <si>
    <t>-0097</t>
  </si>
  <si>
    <t>4231</t>
  </si>
  <si>
    <t>2746</t>
  </si>
  <si>
    <t>4233</t>
  </si>
  <si>
    <t>2780</t>
  </si>
  <si>
    <t>-2538</t>
  </si>
  <si>
    <t>-3539</t>
  </si>
  <si>
    <t>0458</t>
  </si>
  <si>
    <t>1126</t>
  </si>
  <si>
    <t>3673</t>
  </si>
  <si>
    <t>-2491</t>
  </si>
  <si>
    <t>-3068</t>
  </si>
  <si>
    <t>-1577</t>
  </si>
  <si>
    <t>-2988</t>
  </si>
  <si>
    <t>-2843</t>
  </si>
  <si>
    <t>0098</t>
  </si>
  <si>
    <t>-2809</t>
  </si>
  <si>
    <t>-1866</t>
  </si>
  <si>
    <t>-2316</t>
  </si>
  <si>
    <t>-1729</t>
  </si>
  <si>
    <t>3171</t>
  </si>
  <si>
    <t>1868</t>
  </si>
  <si>
    <t>1974</t>
  </si>
  <si>
    <t>0115</t>
  </si>
  <si>
    <t>-2507</t>
  </si>
  <si>
    <t>-0120</t>
  </si>
  <si>
    <t>0975</t>
  </si>
  <si>
    <t>-1561</t>
  </si>
  <si>
    <t>3668</t>
  </si>
  <si>
    <t>0219</t>
  </si>
  <si>
    <t>1854</t>
  </si>
  <si>
    <t>1720</t>
  </si>
  <si>
    <t>0292</t>
  </si>
  <si>
    <t>3861</t>
  </si>
  <si>
    <t>1095</t>
  </si>
  <si>
    <t>0206</t>
  </si>
  <si>
    <t>-0531</t>
  </si>
  <si>
    <t>-1960</t>
  </si>
  <si>
    <t>1885</t>
  </si>
  <si>
    <t>-3326</t>
  </si>
  <si>
    <t>3329</t>
  </si>
  <si>
    <t>-0777</t>
  </si>
  <si>
    <t>3351</t>
  </si>
  <si>
    <t>-2531</t>
  </si>
  <si>
    <t>1935</t>
  </si>
  <si>
    <t>2232</t>
  </si>
  <si>
    <t>1401</t>
  </si>
  <si>
    <t>1191</t>
  </si>
  <si>
    <t>1518</t>
  </si>
  <si>
    <t>3707</t>
  </si>
  <si>
    <t>1502</t>
  </si>
  <si>
    <t>3763</t>
  </si>
  <si>
    <t>3376</t>
  </si>
  <si>
    <t>1979</t>
  </si>
  <si>
    <t>1777</t>
  </si>
  <si>
    <t>2706</t>
  </si>
  <si>
    <t>2293</t>
  </si>
  <si>
    <t>1797</t>
  </si>
  <si>
    <t>-0457</t>
  </si>
  <si>
    <t>1722</t>
  </si>
  <si>
    <t>-0671</t>
  </si>
  <si>
    <t>1352</t>
  </si>
  <si>
    <t>4586</t>
  </si>
  <si>
    <t>-3630</t>
  </si>
  <si>
    <t>4753</t>
  </si>
  <si>
    <t>-3782</t>
  </si>
  <si>
    <t>4507</t>
  </si>
  <si>
    <t>-3459</t>
  </si>
  <si>
    <t>-0750</t>
  </si>
  <si>
    <t>-0860</t>
  </si>
  <si>
    <t>0191</t>
  </si>
  <si>
    <t>-0971</t>
  </si>
  <si>
    <t>-2601</t>
  </si>
  <si>
    <t>-0683</t>
  </si>
  <si>
    <t>0969</t>
  </si>
  <si>
    <t>-2825</t>
  </si>
  <si>
    <t>-0423</t>
  </si>
  <si>
    <t>-3156</t>
  </si>
  <si>
    <t>-3986</t>
  </si>
  <si>
    <t>0895</t>
  </si>
  <si>
    <t>-0068</t>
  </si>
  <si>
    <t>-2751</t>
  </si>
  <si>
    <t>0414</t>
  </si>
  <si>
    <t>-3030</t>
  </si>
  <si>
    <t>-0039</t>
  </si>
  <si>
    <t>0556</t>
  </si>
  <si>
    <t>-2488</t>
  </si>
  <si>
    <t>-2953</t>
  </si>
  <si>
    <t>-2982</t>
  </si>
  <si>
    <t>2822</t>
  </si>
  <si>
    <t>2949</t>
  </si>
  <si>
    <t>-2380</t>
  </si>
  <si>
    <t>3266</t>
  </si>
  <si>
    <t>-2233</t>
  </si>
  <si>
    <t>-0356</t>
  </si>
  <si>
    <t>0829</t>
  </si>
  <si>
    <t>0110</t>
  </si>
  <si>
    <t>-3853</t>
  </si>
  <si>
    <t>2290</t>
  </si>
  <si>
    <t>-0010</t>
  </si>
  <si>
    <t>-1152</t>
  </si>
  <si>
    <t>-1205</t>
  </si>
  <si>
    <t>-0377</t>
  </si>
  <si>
    <t>4077</t>
  </si>
  <si>
    <t>0536</t>
  </si>
  <si>
    <t>0896</t>
  </si>
  <si>
    <t>0854</t>
  </si>
  <si>
    <t>-0837</t>
  </si>
  <si>
    <t>-0046</t>
  </si>
  <si>
    <t>1731</t>
  </si>
  <si>
    <t>-2779</t>
  </si>
  <si>
    <t>-0854</t>
  </si>
  <si>
    <t>1773</t>
  </si>
  <si>
    <t>1277</t>
  </si>
  <si>
    <t>-3327</t>
  </si>
  <si>
    <t>0810</t>
  </si>
  <si>
    <t>-2972</t>
  </si>
  <si>
    <t>0011</t>
  </si>
  <si>
    <t>2613</t>
  </si>
  <si>
    <t>2618</t>
  </si>
  <si>
    <t>0134</t>
  </si>
  <si>
    <t>-0115</t>
  </si>
  <si>
    <t>2433</t>
  </si>
  <si>
    <t>-0633</t>
  </si>
  <si>
    <t>-0368</t>
  </si>
  <si>
    <t>-1525</t>
  </si>
  <si>
    <t>-0128</t>
  </si>
  <si>
    <t>-1658</t>
  </si>
  <si>
    <t>-0032</t>
  </si>
  <si>
    <t>0470</t>
  </si>
  <si>
    <t>1371</t>
  </si>
  <si>
    <t>-1578</t>
  </si>
  <si>
    <t>2107</t>
  </si>
  <si>
    <t>-1837</t>
  </si>
  <si>
    <t>0024</t>
  </si>
  <si>
    <t>0447</t>
  </si>
  <si>
    <t>-3335</t>
  </si>
  <si>
    <t>3274</t>
  </si>
  <si>
    <t>-3412</t>
  </si>
  <si>
    <t>-0538</t>
  </si>
  <si>
    <t>-1445</t>
  </si>
  <si>
    <t>77 2</t>
  </si>
  <si>
    <t>2428</t>
  </si>
  <si>
    <t>-3989</t>
  </si>
  <si>
    <t>-3257</t>
  </si>
  <si>
    <t>-2308</t>
  </si>
  <si>
    <t>-2216</t>
  </si>
  <si>
    <t>-4175</t>
  </si>
  <si>
    <t>-0739</t>
  </si>
  <si>
    <t>-1063</t>
  </si>
  <si>
    <t>-1665</t>
  </si>
  <si>
    <t>-2028</t>
  </si>
  <si>
    <t>-2439</t>
  </si>
  <si>
    <t>0300</t>
  </si>
  <si>
    <t>-2804</t>
  </si>
  <si>
    <t>-2226</t>
  </si>
  <si>
    <t>0073</t>
  </si>
  <si>
    <t>-2820</t>
  </si>
  <si>
    <t>-4619</t>
  </si>
  <si>
    <t>-3685</t>
  </si>
  <si>
    <t>-0530</t>
  </si>
  <si>
    <t>-3682</t>
  </si>
  <si>
    <t>-3429</t>
  </si>
  <si>
    <t>-2924</t>
  </si>
  <si>
    <t>-4089</t>
  </si>
  <si>
    <t>-0843</t>
  </si>
  <si>
    <t>-3961</t>
  </si>
  <si>
    <t>-1306</t>
  </si>
  <si>
    <t>-2699</t>
  </si>
  <si>
    <t>-3625</t>
  </si>
  <si>
    <t>-2759</t>
  </si>
  <si>
    <t>-4105</t>
  </si>
  <si>
    <t>-0699</t>
  </si>
  <si>
    <t>-4203</t>
  </si>
  <si>
    <t>-0638</t>
  </si>
  <si>
    <t>-3859</t>
  </si>
  <si>
    <t>-2941</t>
  </si>
  <si>
    <t>-4099</t>
  </si>
  <si>
    <t>-3737</t>
  </si>
  <si>
    <t>-1185</t>
  </si>
  <si>
    <t>-0114</t>
  </si>
  <si>
    <t>-1165</t>
  </si>
  <si>
    <t>-0152</t>
  </si>
  <si>
    <t>-0602</t>
  </si>
  <si>
    <t>3220</t>
  </si>
  <si>
    <t>-2057</t>
  </si>
  <si>
    <t>-0595</t>
  </si>
  <si>
    <t>3202</t>
  </si>
  <si>
    <t>-2083</t>
  </si>
  <si>
    <t>-3931</t>
  </si>
  <si>
    <t>1068</t>
  </si>
  <si>
    <t>-3866</t>
  </si>
  <si>
    <t>1012</t>
  </si>
  <si>
    <t>-0787</t>
  </si>
  <si>
    <t>-0009</t>
  </si>
  <si>
    <t>0331</t>
  </si>
  <si>
    <t>3111</t>
  </si>
  <si>
    <t>-3399</t>
  </si>
  <si>
    <t>3612</t>
  </si>
  <si>
    <t>-0810</t>
  </si>
  <si>
    <t>-3442</t>
  </si>
  <si>
    <t>3546</t>
  </si>
  <si>
    <t>-3560</t>
  </si>
  <si>
    <t>2550</t>
  </si>
  <si>
    <t>-0355</t>
  </si>
  <si>
    <t>1620</t>
  </si>
  <si>
    <t>-0282</t>
  </si>
  <si>
    <t>1529</t>
  </si>
  <si>
    <t>-0327</t>
  </si>
  <si>
    <t>2150</t>
  </si>
  <si>
    <t>2008</t>
  </si>
  <si>
    <t>2013</t>
  </si>
  <si>
    <t>1865</t>
  </si>
  <si>
    <t>1657</t>
  </si>
  <si>
    <t>2440</t>
  </si>
  <si>
    <t>1776</t>
  </si>
  <si>
    <t>2256</t>
  </si>
  <si>
    <t>1801</t>
  </si>
  <si>
    <t>1567</t>
  </si>
  <si>
    <t>1843</t>
  </si>
  <si>
    <t>2103</t>
  </si>
  <si>
    <t>1891</t>
  </si>
  <si>
    <t>-3363</t>
  </si>
  <si>
    <t>-0952</t>
  </si>
  <si>
    <t>-0731</t>
  </si>
  <si>
    <t>-1861</t>
  </si>
  <si>
    <t>-0405</t>
  </si>
  <si>
    <t>-2247</t>
  </si>
  <si>
    <t>1768</t>
  </si>
  <si>
    <t>2546</t>
  </si>
  <si>
    <t>-0938</t>
  </si>
  <si>
    <t>-1906</t>
  </si>
  <si>
    <t>-0453</t>
  </si>
  <si>
    <t>-1993</t>
  </si>
  <si>
    <t>-0665</t>
  </si>
  <si>
    <t>-1510</t>
  </si>
  <si>
    <t>-0933</t>
  </si>
  <si>
    <t>-2318</t>
  </si>
  <si>
    <t>-1432</t>
  </si>
  <si>
    <t>1832</t>
  </si>
  <si>
    <t>3233</t>
  </si>
  <si>
    <t>0314</t>
  </si>
  <si>
    <t>-0754</t>
  </si>
  <si>
    <t>-2916</t>
  </si>
  <si>
    <t>-0945</t>
  </si>
  <si>
    <t>-1680</t>
  </si>
  <si>
    <t>-0670</t>
  </si>
  <si>
    <t>-1544</t>
  </si>
  <si>
    <t>-0516</t>
  </si>
  <si>
    <t>3215</t>
  </si>
  <si>
    <t>-0369</t>
  </si>
  <si>
    <t>0847</t>
  </si>
  <si>
    <t>0870</t>
  </si>
  <si>
    <t>-3364</t>
  </si>
  <si>
    <t>1004</t>
  </si>
  <si>
    <t>-0091</t>
  </si>
  <si>
    <t>-0962</t>
  </si>
  <si>
    <t>0210</t>
  </si>
  <si>
    <t>-0593</t>
  </si>
  <si>
    <t>2686</t>
  </si>
  <si>
    <t>3471</t>
  </si>
  <si>
    <t>2788</t>
  </si>
  <si>
    <t>0377</t>
  </si>
  <si>
    <t>-3478</t>
  </si>
  <si>
    <t>-3387</t>
  </si>
  <si>
    <t>-3394</t>
  </si>
  <si>
    <t>0904</t>
  </si>
  <si>
    <t>-2873</t>
  </si>
  <si>
    <t>3778</t>
  </si>
  <si>
    <t>-2127</t>
  </si>
  <si>
    <t>0230</t>
  </si>
  <si>
    <t>4021</t>
  </si>
  <si>
    <t>-2423</t>
  </si>
  <si>
    <t>4017</t>
  </si>
  <si>
    <t>-2315</t>
  </si>
  <si>
    <t>3619</t>
  </si>
  <si>
    <t>-2095</t>
  </si>
  <si>
    <t>3367</t>
  </si>
  <si>
    <t>-1975</t>
  </si>
  <si>
    <t>-2090</t>
  </si>
  <si>
    <t>0232</t>
  </si>
  <si>
    <t>3514</t>
  </si>
  <si>
    <t>-2030</t>
  </si>
  <si>
    <t>3385</t>
  </si>
  <si>
    <t>-2212</t>
  </si>
  <si>
    <t>3357</t>
  </si>
  <si>
    <t>-2050</t>
  </si>
  <si>
    <t>-3358</t>
  </si>
  <si>
    <t>2705</t>
  </si>
  <si>
    <t>-2767</t>
  </si>
  <si>
    <t>2898</t>
  </si>
  <si>
    <t>-0875</t>
  </si>
  <si>
    <t>3636</t>
  </si>
  <si>
    <t>-0941</t>
  </si>
  <si>
    <t>-2753</t>
  </si>
  <si>
    <t>3054</t>
  </si>
  <si>
    <t>-2757</t>
  </si>
  <si>
    <t>2328</t>
  </si>
  <si>
    <t>-3815</t>
  </si>
  <si>
    <t>-2830</t>
  </si>
  <si>
    <t>2416</t>
  </si>
  <si>
    <t>-3079</t>
  </si>
  <si>
    <t>3025</t>
  </si>
  <si>
    <t>-2996</t>
  </si>
  <si>
    <t>3226</t>
  </si>
  <si>
    <t>0540</t>
  </si>
  <si>
    <t>3740</t>
  </si>
  <si>
    <t>-3984</t>
  </si>
  <si>
    <t>3613</t>
  </si>
  <si>
    <t>-2771</t>
  </si>
  <si>
    <t>2914</t>
  </si>
  <si>
    <t>-2867</t>
  </si>
  <si>
    <t>2442</t>
  </si>
  <si>
    <t>-3471</t>
  </si>
  <si>
    <t>-3572</t>
  </si>
  <si>
    <t>2258</t>
  </si>
  <si>
    <t>-3395</t>
  </si>
  <si>
    <t>3298</t>
  </si>
  <si>
    <t>-4423</t>
  </si>
  <si>
    <t>2723</t>
  </si>
  <si>
    <t>0398</t>
  </si>
  <si>
    <t>1167</t>
  </si>
  <si>
    <t>-4240</t>
  </si>
  <si>
    <t>-0153</t>
  </si>
  <si>
    <t>1017</t>
  </si>
  <si>
    <t>-3512</t>
  </si>
  <si>
    <t>1943</t>
  </si>
  <si>
    <t>-2392</t>
  </si>
  <si>
    <t>1951</t>
  </si>
  <si>
    <t>-2442</t>
  </si>
  <si>
    <t>-3451</t>
  </si>
  <si>
    <t>0430</t>
  </si>
  <si>
    <t>-1760</t>
  </si>
  <si>
    <t>-2119</t>
  </si>
  <si>
    <t>0316</t>
  </si>
  <si>
    <t>-2128</t>
  </si>
  <si>
    <t>-1191</t>
  </si>
  <si>
    <t>-1659</t>
  </si>
  <si>
    <t>4234</t>
  </si>
  <si>
    <t>-0314</t>
  </si>
  <si>
    <t>4244</t>
  </si>
  <si>
    <t>0597</t>
  </si>
  <si>
    <t>0680</t>
  </si>
  <si>
    <t>-0978</t>
  </si>
  <si>
    <t>3724</t>
  </si>
  <si>
    <t>1612</t>
  </si>
  <si>
    <t>0114</t>
  </si>
  <si>
    <t>-1293</t>
  </si>
  <si>
    <t>-2194</t>
  </si>
  <si>
    <t>-0605</t>
  </si>
  <si>
    <t>-0330</t>
  </si>
  <si>
    <t>-2638</t>
  </si>
  <si>
    <t>0783</t>
  </si>
  <si>
    <t>-0211</t>
  </si>
  <si>
    <t>-0326</t>
  </si>
  <si>
    <t>0651</t>
  </si>
  <si>
    <t>0882</t>
  </si>
  <si>
    <t>-0923</t>
  </si>
  <si>
    <t>0376</t>
  </si>
  <si>
    <t>-0147</t>
  </si>
  <si>
    <t>0548</t>
  </si>
  <si>
    <t>0628</t>
  </si>
  <si>
    <t>-0459</t>
  </si>
  <si>
    <t>-0300</t>
  </si>
  <si>
    <t>-0761</t>
  </si>
  <si>
    <t>-1019</t>
  </si>
  <si>
    <t>0938</t>
  </si>
  <si>
    <t>-0597</t>
  </si>
  <si>
    <t>-0572</t>
  </si>
  <si>
    <t>-0053</t>
  </si>
  <si>
    <t>-2383</t>
  </si>
  <si>
    <t>0407</t>
  </si>
  <si>
    <t>-2644</t>
  </si>
  <si>
    <t>0765</t>
  </si>
  <si>
    <t>-3789</t>
  </si>
  <si>
    <t>-4312</t>
  </si>
  <si>
    <t>3793</t>
  </si>
  <si>
    <t>-3106</t>
  </si>
  <si>
    <t>-0015</t>
  </si>
  <si>
    <t>-3850</t>
  </si>
  <si>
    <t>-2889</t>
  </si>
  <si>
    <t>2344</t>
  </si>
  <si>
    <t>-0902</t>
  </si>
  <si>
    <t>1435</t>
  </si>
  <si>
    <t>-0911</t>
  </si>
  <si>
    <t>1616</t>
  </si>
  <si>
    <t>3074</t>
  </si>
  <si>
    <t>1555</t>
  </si>
  <si>
    <t>3103</t>
  </si>
  <si>
    <t>3910</t>
  </si>
  <si>
    <t>-0058</t>
  </si>
  <si>
    <t>-0131</t>
  </si>
  <si>
    <t>0085</t>
  </si>
  <si>
    <t>-3837</t>
  </si>
  <si>
    <t>-2877</t>
  </si>
  <si>
    <t>1507</t>
  </si>
  <si>
    <t>-2466</t>
  </si>
  <si>
    <t>4115</t>
  </si>
  <si>
    <t>1206</t>
  </si>
  <si>
    <t>1785</t>
  </si>
  <si>
    <t>-1533</t>
  </si>
  <si>
    <t>-0988</t>
  </si>
  <si>
    <t>-0982</t>
  </si>
  <si>
    <t>1875</t>
  </si>
  <si>
    <t>-1044</t>
  </si>
  <si>
    <t>1436</t>
  </si>
  <si>
    <t>-2989</t>
  </si>
  <si>
    <t>3309</t>
  </si>
  <si>
    <t>1907</t>
  </si>
  <si>
    <t>-3237</t>
  </si>
  <si>
    <t>-3235</t>
  </si>
  <si>
    <t>-2606</t>
  </si>
  <si>
    <t>0008</t>
  </si>
  <si>
    <t>-4308</t>
  </si>
  <si>
    <t>1493</t>
  </si>
  <si>
    <t>2995</t>
  </si>
  <si>
    <t>2025</t>
  </si>
  <si>
    <t>-0146</t>
  </si>
  <si>
    <t>-0174</t>
  </si>
  <si>
    <t>1120</t>
  </si>
  <si>
    <t>3685</t>
  </si>
  <si>
    <t>-2503</t>
  </si>
  <si>
    <t>4653</t>
  </si>
  <si>
    <t>0816</t>
  </si>
  <si>
    <t>4654</t>
  </si>
  <si>
    <t>-3743</t>
  </si>
  <si>
    <t>-3117</t>
  </si>
  <si>
    <t>1288</t>
  </si>
  <si>
    <t>-0464</t>
  </si>
  <si>
    <t>0699</t>
  </si>
  <si>
    <t>-3932</t>
  </si>
  <si>
    <t>0487</t>
  </si>
  <si>
    <t>-2345</t>
  </si>
  <si>
    <t>2509</t>
  </si>
  <si>
    <t>2277</t>
  </si>
  <si>
    <t>2941</t>
  </si>
  <si>
    <t>-3656</t>
  </si>
  <si>
    <t>2140</t>
  </si>
  <si>
    <t>0406</t>
  </si>
  <si>
    <t>2100</t>
  </si>
  <si>
    <t>-0560</t>
  </si>
  <si>
    <t>2397</t>
  </si>
  <si>
    <t>-2534</t>
  </si>
  <si>
    <t>-1787</t>
  </si>
  <si>
    <t>-2259</t>
  </si>
  <si>
    <t>3924</t>
  </si>
  <si>
    <t>1497</t>
  </si>
  <si>
    <t>2006</t>
  </si>
  <si>
    <t>3032</t>
  </si>
  <si>
    <t>3052</t>
  </si>
  <si>
    <t>2187</t>
  </si>
  <si>
    <t>1193</t>
  </si>
  <si>
    <t>1930</t>
  </si>
  <si>
    <t>1272</t>
  </si>
  <si>
    <t>1738</t>
  </si>
  <si>
    <t>-3532</t>
  </si>
  <si>
    <t>-2430</t>
  </si>
  <si>
    <t>-0332</t>
  </si>
  <si>
    <t>-2598</t>
  </si>
  <si>
    <t>-0090</t>
  </si>
  <si>
    <t>-3537</t>
  </si>
  <si>
    <t>-0149</t>
  </si>
  <si>
    <t>2598</t>
  </si>
  <si>
    <t>1793</t>
  </si>
  <si>
    <t>-2224</t>
  </si>
  <si>
    <t>-3928</t>
  </si>
  <si>
    <t>2544</t>
  </si>
  <si>
    <t>-0487</t>
  </si>
  <si>
    <t>0337</t>
  </si>
  <si>
    <t>2750</t>
  </si>
  <si>
    <t>0635</t>
  </si>
  <si>
    <t>-3635</t>
  </si>
  <si>
    <t>1883</t>
  </si>
  <si>
    <t>2130</t>
  </si>
  <si>
    <t>3722</t>
  </si>
  <si>
    <t>-3754</t>
  </si>
  <si>
    <t>1745</t>
  </si>
  <si>
    <t>1552</t>
  </si>
  <si>
    <t>-3554</t>
  </si>
  <si>
    <t>3175</t>
  </si>
  <si>
    <t>-0615</t>
  </si>
  <si>
    <t>3449</t>
  </si>
  <si>
    <t>-0753</t>
  </si>
  <si>
    <t>4003</t>
  </si>
  <si>
    <t>-1379</t>
  </si>
  <si>
    <t>-0743</t>
  </si>
  <si>
    <t>3569</t>
  </si>
  <si>
    <t>-0109</t>
  </si>
  <si>
    <t>2799</t>
  </si>
  <si>
    <t>-0918</t>
  </si>
  <si>
    <t>-1117</t>
  </si>
  <si>
    <t>-0024</t>
  </si>
  <si>
    <t>3994</t>
  </si>
  <si>
    <t>-1596</t>
  </si>
  <si>
    <t>3187</t>
  </si>
  <si>
    <t>-0714</t>
  </si>
  <si>
    <t>-1138</t>
  </si>
  <si>
    <t>0092</t>
  </si>
  <si>
    <t>-1315</t>
  </si>
  <si>
    <t>-0500</t>
  </si>
  <si>
    <t>3010</t>
  </si>
  <si>
    <t>83 1</t>
  </si>
  <si>
    <t>1826</t>
  </si>
  <si>
    <t>-0059</t>
  </si>
  <si>
    <t>1727</t>
  </si>
  <si>
    <t>0162</t>
  </si>
  <si>
    <t>1220</t>
  </si>
  <si>
    <t>-0397</t>
  </si>
  <si>
    <t>1711</t>
  </si>
  <si>
    <t>-1207</t>
  </si>
  <si>
    <t>0706</t>
  </si>
  <si>
    <t>-2432</t>
  </si>
  <si>
    <t>-0524</t>
  </si>
  <si>
    <t>1016</t>
  </si>
  <si>
    <t>-2293</t>
  </si>
  <si>
    <t>-0533</t>
  </si>
  <si>
    <t>-0158</t>
  </si>
  <si>
    <t>1067</t>
  </si>
  <si>
    <t>-3607</t>
  </si>
  <si>
    <t>1032</t>
  </si>
  <si>
    <t>-2006</t>
  </si>
  <si>
    <t>-0711</t>
  </si>
  <si>
    <t>-1940</t>
  </si>
  <si>
    <t>1340</t>
  </si>
  <si>
    <t>-1735</t>
  </si>
  <si>
    <t>1166</t>
  </si>
  <si>
    <t>-1910</t>
  </si>
  <si>
    <t>0290</t>
  </si>
  <si>
    <t>1746</t>
  </si>
  <si>
    <t>4208</t>
  </si>
  <si>
    <t>1380</t>
  </si>
  <si>
    <t>1714</t>
  </si>
  <si>
    <t>-2148</t>
  </si>
  <si>
    <t>-0444</t>
  </si>
  <si>
    <t>4445</t>
  </si>
  <si>
    <t>-0642</t>
  </si>
  <si>
    <t>4662</t>
  </si>
  <si>
    <t>3565</t>
  </si>
  <si>
    <t>-0401</t>
  </si>
  <si>
    <t>3527</t>
  </si>
  <si>
    <t>0051</t>
  </si>
  <si>
    <t>4656</t>
  </si>
  <si>
    <t>3789</t>
  </si>
  <si>
    <t>4563</t>
  </si>
  <si>
    <t>-0349</t>
  </si>
  <si>
    <t>0102</t>
  </si>
  <si>
    <t>-0299</t>
  </si>
  <si>
    <t>-0212</t>
  </si>
  <si>
    <t>0135</t>
  </si>
  <si>
    <t>3481</t>
  </si>
  <si>
    <t>-2880</t>
  </si>
  <si>
    <t>2847</t>
  </si>
  <si>
    <t>-0855</t>
  </si>
  <si>
    <t>1758</t>
  </si>
  <si>
    <t>2970</t>
  </si>
  <si>
    <t>-3378</t>
  </si>
  <si>
    <t>-2132</t>
  </si>
  <si>
    <t>3710</t>
  </si>
  <si>
    <t>0588</t>
  </si>
  <si>
    <t>3007</t>
  </si>
  <si>
    <t>-3474</t>
  </si>
  <si>
    <t>2978</t>
  </si>
  <si>
    <t>-3690</t>
  </si>
  <si>
    <t>0723</t>
  </si>
  <si>
    <t>1919</t>
  </si>
  <si>
    <t>0138</t>
  </si>
  <si>
    <t>3068</t>
  </si>
  <si>
    <t>3 15</t>
  </si>
  <si>
    <t>0194</t>
  </si>
  <si>
    <t>-0186</t>
  </si>
  <si>
    <t>-0163</t>
  </si>
  <si>
    <t>1337</t>
  </si>
  <si>
    <t>-1424</t>
  </si>
  <si>
    <t>3889</t>
  </si>
  <si>
    <t>-1668</t>
  </si>
  <si>
    <t>-0865</t>
  </si>
  <si>
    <t>3822</t>
  </si>
  <si>
    <t>3219</t>
  </si>
  <si>
    <t>4406</t>
  </si>
  <si>
    <t>1901</t>
  </si>
  <si>
    <t>-1611</t>
  </si>
  <si>
    <t>-1023</t>
  </si>
  <si>
    <t>0003</t>
  </si>
  <si>
    <t>-2372</t>
  </si>
  <si>
    <t>2770</t>
  </si>
  <si>
    <t>-2282</t>
  </si>
  <si>
    <t>1685</t>
  </si>
  <si>
    <t>-1811</t>
  </si>
  <si>
    <t>1623</t>
  </si>
  <si>
    <t>1207</t>
  </si>
  <si>
    <t>-3729</t>
  </si>
  <si>
    <t>2391</t>
  </si>
  <si>
    <t>-4100</t>
  </si>
  <si>
    <t>-1296</t>
  </si>
  <si>
    <t>-3983</t>
  </si>
  <si>
    <t>0427</t>
  </si>
  <si>
    <t>2512</t>
  </si>
  <si>
    <t>-2483</t>
  </si>
  <si>
    <t>-0503</t>
  </si>
  <si>
    <t>2253</t>
  </si>
  <si>
    <t>-2366</t>
  </si>
  <si>
    <t>-0556</t>
  </si>
  <si>
    <t>2548</t>
  </si>
  <si>
    <t>-2461</t>
  </si>
  <si>
    <t>2514</t>
  </si>
  <si>
    <t>-2381</t>
  </si>
  <si>
    <t>2213</t>
  </si>
  <si>
    <t>-0260</t>
  </si>
  <si>
    <t>2194</t>
  </si>
  <si>
    <t>-3252</t>
  </si>
  <si>
    <t>3114</t>
  </si>
  <si>
    <t>-2187</t>
  </si>
  <si>
    <t>-0573</t>
  </si>
  <si>
    <t>3101</t>
  </si>
  <si>
    <t>-2164</t>
  </si>
  <si>
    <t>0812</t>
  </si>
  <si>
    <t>2354</t>
  </si>
  <si>
    <t>0564</t>
  </si>
  <si>
    <t>0855</t>
  </si>
  <si>
    <t>1427</t>
  </si>
  <si>
    <t>1419</t>
  </si>
  <si>
    <t>-0045</t>
  </si>
  <si>
    <t>-1693</t>
  </si>
  <si>
    <t>-1664</t>
  </si>
  <si>
    <t>1042</t>
  </si>
  <si>
    <t>1544</t>
  </si>
  <si>
    <t>1059</t>
  </si>
  <si>
    <t>1668</t>
  </si>
  <si>
    <t>3838</t>
  </si>
  <si>
    <t>0566</t>
  </si>
  <si>
    <t>0491</t>
  </si>
  <si>
    <t>-0613</t>
  </si>
  <si>
    <t>-0207</t>
  </si>
  <si>
    <t>3960</t>
  </si>
  <si>
    <t>1653</t>
  </si>
  <si>
    <t>1527</t>
  </si>
  <si>
    <t>-0038</t>
  </si>
  <si>
    <t>-4931</t>
  </si>
  <si>
    <t>-0862</t>
  </si>
  <si>
    <t>-1105</t>
  </si>
  <si>
    <t>-0623</t>
  </si>
  <si>
    <t>2635</t>
  </si>
  <si>
    <t>3197</t>
  </si>
  <si>
    <t>-3018</t>
  </si>
  <si>
    <t>-0926</t>
  </si>
  <si>
    <t>-2629</t>
  </si>
  <si>
    <t>1931</t>
  </si>
  <si>
    <t>-2778</t>
  </si>
  <si>
    <t>1960</t>
  </si>
  <si>
    <t>-2612</t>
  </si>
  <si>
    <t>-1376</t>
  </si>
  <si>
    <t>-3361</t>
  </si>
  <si>
    <t>-0915</t>
  </si>
  <si>
    <t>0211</t>
  </si>
  <si>
    <t>-0913</t>
  </si>
  <si>
    <t>-1277</t>
  </si>
  <si>
    <t>3882</t>
  </si>
  <si>
    <t>-1120</t>
  </si>
  <si>
    <t>3848</t>
  </si>
  <si>
    <t>0532</t>
  </si>
  <si>
    <t>-1886</t>
  </si>
  <si>
    <t>-1920</t>
  </si>
  <si>
    <t>-2060</t>
  </si>
  <si>
    <t>-1727</t>
  </si>
  <si>
    <t>-1720</t>
  </si>
  <si>
    <t>-2691</t>
  </si>
  <si>
    <t>0776</t>
  </si>
  <si>
    <t>2377</t>
  </si>
  <si>
    <t>-2195</t>
  </si>
  <si>
    <t>2484</t>
  </si>
  <si>
    <t>-4045</t>
  </si>
  <si>
    <t>-0406</t>
  </si>
  <si>
    <t>-3882</t>
  </si>
  <si>
    <t>-0727</t>
  </si>
  <si>
    <t>0570</t>
  </si>
  <si>
    <t>1098</t>
  </si>
  <si>
    <t>-1802</t>
  </si>
  <si>
    <t>-2089</t>
  </si>
  <si>
    <t>-0603</t>
  </si>
  <si>
    <t>-3839</t>
  </si>
  <si>
    <t>3508</t>
  </si>
  <si>
    <t>-1418</t>
  </si>
  <si>
    <t>3605</t>
  </si>
  <si>
    <t>-1344</t>
  </si>
  <si>
    <t>2501</t>
  </si>
  <si>
    <t>-1685</t>
  </si>
  <si>
    <t>4141</t>
  </si>
  <si>
    <t>-2845</t>
  </si>
  <si>
    <t>2643</t>
  </si>
  <si>
    <t>-1964</t>
  </si>
  <si>
    <t>2541</t>
  </si>
  <si>
    <t>-2271</t>
  </si>
  <si>
    <t>-2166</t>
  </si>
  <si>
    <t>-1509</t>
  </si>
  <si>
    <t>-3639</t>
  </si>
  <si>
    <t>0220</t>
  </si>
  <si>
    <t>-3632</t>
  </si>
  <si>
    <t>-1294</t>
  </si>
  <si>
    <t>0679</t>
  </si>
  <si>
    <t>0083</t>
  </si>
  <si>
    <t>-1357</t>
  </si>
  <si>
    <t>0700</t>
  </si>
  <si>
    <t>0062</t>
  </si>
  <si>
    <t>-1608</t>
  </si>
  <si>
    <t>3209</t>
  </si>
  <si>
    <t>-1699</t>
  </si>
  <si>
    <t>3201</t>
  </si>
  <si>
    <t>-1386</t>
  </si>
  <si>
    <t>4717</t>
  </si>
  <si>
    <t>2924</t>
  </si>
  <si>
    <t>3585</t>
  </si>
  <si>
    <t>4177</t>
  </si>
  <si>
    <t>3704</t>
  </si>
  <si>
    <t>2999</t>
  </si>
  <si>
    <t>3803</t>
  </si>
  <si>
    <t>2823</t>
  </si>
  <si>
    <t>-2530</t>
  </si>
  <si>
    <t>-3573</t>
  </si>
  <si>
    <t>-0608</t>
  </si>
  <si>
    <t>0825</t>
  </si>
  <si>
    <t>0350</t>
  </si>
  <si>
    <t>-0825</t>
  </si>
  <si>
    <t>3370</t>
  </si>
  <si>
    <t>1185</t>
  </si>
  <si>
    <t>-0814</t>
  </si>
  <si>
    <t>-0815</t>
  </si>
  <si>
    <t>3434</t>
  </si>
  <si>
    <t>-0824</t>
  </si>
  <si>
    <t>3407</t>
  </si>
  <si>
    <t>-3601</t>
  </si>
  <si>
    <t>1334</t>
  </si>
  <si>
    <t>1894</t>
  </si>
  <si>
    <t>-1792</t>
  </si>
  <si>
    <t>3689</t>
  </si>
  <si>
    <t>-3749</t>
  </si>
  <si>
    <t>-2291</t>
  </si>
  <si>
    <t>-2086</t>
  </si>
  <si>
    <t>-2107</t>
  </si>
  <si>
    <t>-3355</t>
  </si>
  <si>
    <t>-2694</t>
  </si>
  <si>
    <t>0779</t>
  </si>
  <si>
    <t>4069</t>
  </si>
  <si>
    <t>2460</t>
  </si>
  <si>
    <t>0032</t>
  </si>
  <si>
    <t>3654</t>
  </si>
  <si>
    <t>2525</t>
  </si>
  <si>
    <t>2875</t>
  </si>
  <si>
    <t>0082</t>
  </si>
  <si>
    <t>2910</t>
  </si>
  <si>
    <t>-0066</t>
  </si>
  <si>
    <t>0497</t>
  </si>
  <si>
    <t>-0882</t>
  </si>
  <si>
    <t>-3141</t>
  </si>
  <si>
    <t>-1688</t>
  </si>
  <si>
    <t>-1681</t>
  </si>
  <si>
    <t>-1269</t>
  </si>
  <si>
    <t>-1461</t>
  </si>
  <si>
    <t>-1297</t>
  </si>
  <si>
    <t>3060</t>
  </si>
  <si>
    <t>-0042</t>
  </si>
  <si>
    <t>0690</t>
  </si>
  <si>
    <t>-3058</t>
  </si>
  <si>
    <t>0672</t>
  </si>
  <si>
    <t>3497</t>
  </si>
  <si>
    <t>-3460</t>
  </si>
  <si>
    <t>3462</t>
  </si>
  <si>
    <t>-3379</t>
  </si>
  <si>
    <t>-0102</t>
  </si>
  <si>
    <t>-3118</t>
  </si>
  <si>
    <t>-0339</t>
  </si>
  <si>
    <t>-3567</t>
  </si>
  <si>
    <t>-0348</t>
  </si>
  <si>
    <t>-3299</t>
  </si>
  <si>
    <t>-3999</t>
  </si>
  <si>
    <t>1614</t>
  </si>
  <si>
    <t>-0596</t>
  </si>
  <si>
    <t>2912</t>
  </si>
  <si>
    <t>-1463</t>
  </si>
  <si>
    <t>-1226</t>
  </si>
  <si>
    <t>-0944</t>
  </si>
  <si>
    <t>2901</t>
  </si>
  <si>
    <t>1850</t>
  </si>
  <si>
    <t>-1244</t>
  </si>
  <si>
    <t>-1639</t>
  </si>
  <si>
    <t>0456</t>
  </si>
  <si>
    <t>-0831</t>
  </si>
  <si>
    <t>3781</t>
  </si>
  <si>
    <t>0504</t>
  </si>
  <si>
    <t>-1036</t>
  </si>
  <si>
    <t>3853</t>
  </si>
  <si>
    <t>3661</t>
  </si>
  <si>
    <t>0269</t>
  </si>
  <si>
    <t>-1634</t>
  </si>
  <si>
    <t>0813</t>
  </si>
  <si>
    <t>-2177</t>
  </si>
  <si>
    <t>0609</t>
  </si>
  <si>
    <t>0594</t>
  </si>
  <si>
    <t>-2100</t>
  </si>
  <si>
    <t>0605</t>
  </si>
  <si>
    <t>0606</t>
  </si>
  <si>
    <t>-2261</t>
  </si>
  <si>
    <t>-0328</t>
  </si>
  <si>
    <t>0995</t>
  </si>
  <si>
    <t>0301</t>
  </si>
  <si>
    <t>0992</t>
  </si>
  <si>
    <t>-1604</t>
  </si>
  <si>
    <t>3261</t>
  </si>
  <si>
    <t>2158</t>
  </si>
  <si>
    <t>-0558</t>
  </si>
  <si>
    <t>2420</t>
  </si>
  <si>
    <t>-2782</t>
  </si>
  <si>
    <t>-2755</t>
  </si>
  <si>
    <t>2615</t>
  </si>
  <si>
    <t>-0590</t>
  </si>
  <si>
    <t>2959</t>
  </si>
  <si>
    <t>0203</t>
  </si>
  <si>
    <t>2927</t>
  </si>
  <si>
    <t>0264</t>
  </si>
  <si>
    <t>0108</t>
  </si>
  <si>
    <t>-0276</t>
  </si>
  <si>
    <t>-0199</t>
  </si>
  <si>
    <t>1855</t>
  </si>
  <si>
    <t>-3680</t>
  </si>
  <si>
    <t>1814</t>
  </si>
  <si>
    <t>0498</t>
  </si>
  <si>
    <t>1283</t>
  </si>
  <si>
    <t>1267</t>
  </si>
  <si>
    <t>-3806</t>
  </si>
  <si>
    <t>0846</t>
  </si>
  <si>
    <t>0787</t>
  </si>
  <si>
    <t>8 15</t>
  </si>
  <si>
    <t>-1768</t>
  </si>
  <si>
    <t>-1222</t>
  </si>
  <si>
    <t>3810</t>
  </si>
  <si>
    <t>0209</t>
  </si>
  <si>
    <t>2895</t>
  </si>
  <si>
    <t>-3410</t>
  </si>
  <si>
    <t>-2012</t>
  </si>
  <si>
    <t>-2067</t>
  </si>
  <si>
    <t>3832</t>
  </si>
  <si>
    <t>-2687</t>
  </si>
  <si>
    <t>-0783</t>
  </si>
  <si>
    <t>-2112</t>
  </si>
  <si>
    <t>-0509</t>
  </si>
  <si>
    <t>-2117</t>
  </si>
  <si>
    <t>-0440</t>
  </si>
  <si>
    <t>1606</t>
  </si>
  <si>
    <t>-0680</t>
  </si>
  <si>
    <t>-0651</t>
  </si>
  <si>
    <t>-3721</t>
  </si>
  <si>
    <t>1810</t>
  </si>
  <si>
    <t>-0907</t>
  </si>
  <si>
    <t>0185</t>
  </si>
  <si>
    <t>1789</t>
  </si>
  <si>
    <t>-2943</t>
  </si>
  <si>
    <t>-4556</t>
  </si>
  <si>
    <t>-1091</t>
  </si>
  <si>
    <t>4580</t>
  </si>
  <si>
    <t>2143</t>
  </si>
  <si>
    <t>-0287</t>
  </si>
  <si>
    <t>4616</t>
  </si>
  <si>
    <t>-3621</t>
  </si>
  <si>
    <t>0103</t>
  </si>
  <si>
    <t>1802</t>
  </si>
  <si>
    <t>-1228</t>
  </si>
  <si>
    <t>-1981</t>
  </si>
  <si>
    <t>0144</t>
  </si>
  <si>
    <t>0339</t>
  </si>
  <si>
    <t>0365</t>
  </si>
  <si>
    <t>-1126</t>
  </si>
  <si>
    <t>2700</t>
  </si>
  <si>
    <t>-1571</t>
  </si>
  <si>
    <t>2493</t>
  </si>
  <si>
    <t>-1478</t>
  </si>
  <si>
    <t>1864</t>
  </si>
  <si>
    <t>-3130</t>
  </si>
  <si>
    <t>3079</t>
  </si>
  <si>
    <t>3352</t>
  </si>
  <si>
    <t>3089</t>
  </si>
  <si>
    <t>0338</t>
  </si>
  <si>
    <t>0358</t>
  </si>
  <si>
    <t>-3575</t>
  </si>
  <si>
    <t>2363</t>
  </si>
  <si>
    <t>2346</t>
  </si>
  <si>
    <t>-1219</t>
  </si>
  <si>
    <t>2026</t>
  </si>
  <si>
    <t>-1069</t>
  </si>
  <si>
    <t>2326</t>
  </si>
  <si>
    <t>-1250</t>
  </si>
  <si>
    <t>1023</t>
  </si>
  <si>
    <t>0803</t>
  </si>
  <si>
    <t>2368</t>
  </si>
  <si>
    <t>-2201</t>
  </si>
  <si>
    <t>-0078</t>
  </si>
  <si>
    <t>3206</t>
  </si>
  <si>
    <t>-0353</t>
  </si>
  <si>
    <t>-4527</t>
  </si>
  <si>
    <t>-1417</t>
  </si>
  <si>
    <t>3294</t>
  </si>
  <si>
    <t>-0841</t>
  </si>
  <si>
    <t>-0095</t>
  </si>
  <si>
    <t>3409</t>
  </si>
  <si>
    <t>-1756</t>
  </si>
  <si>
    <t>-0857</t>
  </si>
  <si>
    <t>-0257</t>
  </si>
  <si>
    <t>-1352</t>
  </si>
  <si>
    <t>-0217</t>
  </si>
  <si>
    <t>1266</t>
  </si>
  <si>
    <t>-0773</t>
  </si>
  <si>
    <t>1341</t>
  </si>
  <si>
    <t>-1178</t>
  </si>
  <si>
    <t>-1444</t>
  </si>
  <si>
    <t>-1670</t>
  </si>
  <si>
    <t>1737</t>
  </si>
  <si>
    <t>3239</t>
  </si>
  <si>
    <t>-0568</t>
  </si>
  <si>
    <t>1077</t>
  </si>
  <si>
    <t>-3902</t>
  </si>
  <si>
    <t>-2883</t>
  </si>
  <si>
    <t>-1630</t>
  </si>
  <si>
    <t>-0696</t>
  </si>
  <si>
    <t>-1574</t>
  </si>
  <si>
    <t>1025</t>
  </si>
  <si>
    <t>1132</t>
  </si>
  <si>
    <t>-3279</t>
  </si>
  <si>
    <t>-0288</t>
  </si>
  <si>
    <t>-0361</t>
  </si>
  <si>
    <t>-2199</t>
  </si>
  <si>
    <t>-0808</t>
  </si>
  <si>
    <t>3174</t>
  </si>
  <si>
    <t>-0715</t>
  </si>
  <si>
    <t>-1898</t>
  </si>
  <si>
    <t>2242</t>
  </si>
  <si>
    <t>-1878</t>
  </si>
  <si>
    <t>-0345</t>
  </si>
  <si>
    <t>-0167</t>
  </si>
  <si>
    <t>0859</t>
  </si>
  <si>
    <t>-1099</t>
  </si>
  <si>
    <t>-0745</t>
  </si>
  <si>
    <t>-2952</t>
  </si>
  <si>
    <t>3143</t>
  </si>
  <si>
    <t>0551</t>
  </si>
  <si>
    <t>-2324</t>
  </si>
  <si>
    <t>0450</t>
  </si>
  <si>
    <t>3045</t>
  </si>
  <si>
    <t>2281</t>
  </si>
  <si>
    <t>3057</t>
  </si>
  <si>
    <t>2311</t>
  </si>
  <si>
    <t>0318</t>
  </si>
  <si>
    <t>3383</t>
  </si>
  <si>
    <t>2274</t>
  </si>
  <si>
    <t>0397</t>
  </si>
  <si>
    <t>-4343</t>
  </si>
  <si>
    <t>3465</t>
  </si>
  <si>
    <t>-0921</t>
  </si>
  <si>
    <t>-4320</t>
  </si>
  <si>
    <t>3495</t>
  </si>
  <si>
    <t>1661</t>
  </si>
  <si>
    <t>-0439</t>
  </si>
  <si>
    <t>-1062</t>
  </si>
  <si>
    <t>3314</t>
  </si>
  <si>
    <t>3499</t>
  </si>
  <si>
    <t>3322</t>
  </si>
  <si>
    <t>3247</t>
  </si>
  <si>
    <t>3442</t>
  </si>
  <si>
    <t>-0044</t>
  </si>
  <si>
    <t>1302</t>
  </si>
  <si>
    <t>1357</t>
  </si>
  <si>
    <t>-3376</t>
  </si>
  <si>
    <t>-0737</t>
  </si>
  <si>
    <t>-1655</t>
  </si>
  <si>
    <t>2586</t>
  </si>
  <si>
    <t>3800</t>
  </si>
  <si>
    <t>-3657</t>
  </si>
  <si>
    <t>3686</t>
  </si>
  <si>
    <t>3739</t>
  </si>
  <si>
    <t>1689</t>
  </si>
  <si>
    <t>4403</t>
  </si>
  <si>
    <t>-2205</t>
  </si>
  <si>
    <t>3273</t>
  </si>
  <si>
    <t>3297</t>
  </si>
  <si>
    <t>1287</t>
  </si>
  <si>
    <t>3149</t>
  </si>
  <si>
    <t>1691</t>
  </si>
  <si>
    <t>3195</t>
  </si>
  <si>
    <t>1925</t>
  </si>
  <si>
    <t>0799</t>
  </si>
  <si>
    <t>-3858</t>
  </si>
  <si>
    <t>-3137</t>
  </si>
  <si>
    <t>2019</t>
  </si>
  <si>
    <t>-0901</t>
  </si>
  <si>
    <t>-1380</t>
  </si>
  <si>
    <t>3586</t>
  </si>
  <si>
    <t>1127</t>
  </si>
  <si>
    <t>4368</t>
  </si>
  <si>
    <t>-1255</t>
  </si>
  <si>
    <t>-3462</t>
  </si>
  <si>
    <t>0044</t>
  </si>
  <si>
    <t>-3579</t>
  </si>
  <si>
    <t>-0539</t>
  </si>
  <si>
    <t>-3541</t>
  </si>
  <si>
    <t>-1497</t>
  </si>
  <si>
    <t>2559</t>
  </si>
  <si>
    <t>-3751</t>
  </si>
  <si>
    <t>-1764</t>
  </si>
  <si>
    <t>-3581</t>
  </si>
  <si>
    <t>-3647</t>
  </si>
  <si>
    <t>-3668</t>
  </si>
  <si>
    <t>0880</t>
  </si>
  <si>
    <t>3756</t>
  </si>
  <si>
    <t>2672</t>
  </si>
  <si>
    <t>3926</t>
  </si>
  <si>
    <t>-1335</t>
  </si>
  <si>
    <t>-1534</t>
  </si>
  <si>
    <t>-1572</t>
  </si>
  <si>
    <t>-2715</t>
  </si>
  <si>
    <t>-1528</t>
  </si>
  <si>
    <t>-2223</t>
  </si>
  <si>
    <t>-0317</t>
  </si>
  <si>
    <t>1906</t>
  </si>
  <si>
    <t>-4363</t>
  </si>
  <si>
    <t>-0502</t>
  </si>
  <si>
    <t>0465</t>
  </si>
  <si>
    <t>-4385</t>
  </si>
  <si>
    <t>-0537</t>
  </si>
  <si>
    <t>0474</t>
  </si>
  <si>
    <t>1627</t>
  </si>
  <si>
    <t>2478</t>
  </si>
  <si>
    <t>0454</t>
  </si>
  <si>
    <t>-3383</t>
  </si>
  <si>
    <t>1234</t>
  </si>
  <si>
    <t>-4110</t>
  </si>
  <si>
    <t>-4084</t>
  </si>
  <si>
    <t>2715</t>
  </si>
  <si>
    <t>2732</t>
  </si>
  <si>
    <t>-2807</t>
  </si>
  <si>
    <t>-1799</t>
  </si>
  <si>
    <t>2619</t>
  </si>
  <si>
    <t>0172</t>
  </si>
  <si>
    <t>-0631</t>
  </si>
  <si>
    <t>2573</t>
  </si>
  <si>
    <t>2675</t>
  </si>
  <si>
    <t>-2932</t>
  </si>
  <si>
    <t>-2959</t>
  </si>
  <si>
    <t>0159</t>
  </si>
  <si>
    <t>-2465</t>
  </si>
  <si>
    <t>-2841</t>
  </si>
  <si>
    <t>1772</t>
  </si>
  <si>
    <t>0558</t>
  </si>
  <si>
    <t>-1812</t>
  </si>
  <si>
    <t>2793</t>
  </si>
  <si>
    <t>-2359</t>
  </si>
  <si>
    <t>1872</t>
  </si>
  <si>
    <t>4147</t>
  </si>
  <si>
    <t>-3172</t>
  </si>
  <si>
    <t>-3215</t>
  </si>
  <si>
    <t>-0365</t>
  </si>
  <si>
    <t>-2964</t>
  </si>
  <si>
    <t>1898</t>
  </si>
  <si>
    <t>-0200</t>
  </si>
  <si>
    <t>-2922</t>
  </si>
  <si>
    <t>-2918</t>
  </si>
  <si>
    <t>1181</t>
  </si>
  <si>
    <t>1632</t>
  </si>
  <si>
    <t>-0057</t>
  </si>
  <si>
    <t>-2726</t>
  </si>
  <si>
    <t>2500</t>
  </si>
  <si>
    <t>-2673</t>
  </si>
  <si>
    <t>-0733</t>
  </si>
  <si>
    <t>2714</t>
  </si>
  <si>
    <t>-2854</t>
  </si>
  <si>
    <t>4480</t>
  </si>
  <si>
    <t>-0897</t>
  </si>
  <si>
    <t>-0827</t>
  </si>
  <si>
    <t>3966</t>
  </si>
  <si>
    <t>1611</t>
  </si>
  <si>
    <t>1679</t>
  </si>
  <si>
    <t>-0764</t>
  </si>
  <si>
    <t>3455</t>
  </si>
  <si>
    <t>3255</t>
  </si>
  <si>
    <t>0453</t>
  </si>
  <si>
    <t>-0800</t>
  </si>
  <si>
    <t>1556</t>
  </si>
  <si>
    <t>-0818</t>
  </si>
  <si>
    <t>-2002</t>
  </si>
  <si>
    <t>2382</t>
  </si>
  <si>
    <t>-3400</t>
  </si>
  <si>
    <t>4008</t>
  </si>
  <si>
    <t>-2945</t>
  </si>
  <si>
    <t>0764</t>
  </si>
  <si>
    <t>3265</t>
  </si>
  <si>
    <t>1690</t>
  </si>
  <si>
    <t>3006</t>
  </si>
  <si>
    <t>-4519</t>
  </si>
  <si>
    <t>-0619</t>
  </si>
  <si>
    <t>1284</t>
  </si>
  <si>
    <t>0912</t>
  </si>
  <si>
    <t>-3065</t>
  </si>
  <si>
    <t>0327</t>
  </si>
  <si>
    <t>3080</t>
  </si>
  <si>
    <t>1374</t>
  </si>
  <si>
    <t>4708</t>
  </si>
  <si>
    <t>1308</t>
  </si>
  <si>
    <t>1329</t>
  </si>
  <si>
    <t>-2564</t>
  </si>
  <si>
    <t>-2444</t>
  </si>
  <si>
    <t>1305</t>
  </si>
  <si>
    <t>-2397</t>
  </si>
  <si>
    <t>3601</t>
  </si>
  <si>
    <t>4498</t>
  </si>
  <si>
    <t>-3553</t>
  </si>
  <si>
    <t>-4763</t>
  </si>
  <si>
    <t>3478</t>
  </si>
  <si>
    <t>0890</t>
  </si>
  <si>
    <t>0410</t>
  </si>
  <si>
    <t>1392</t>
  </si>
  <si>
    <t>2272</t>
  </si>
  <si>
    <t>0710</t>
  </si>
  <si>
    <t>-0830</t>
  </si>
  <si>
    <t>2557</t>
  </si>
  <si>
    <t>-3611</t>
  </si>
  <si>
    <t>2567</t>
  </si>
  <si>
    <t>-3475</t>
  </si>
  <si>
    <t>4167</t>
  </si>
  <si>
    <t>1609</t>
  </si>
  <si>
    <t>1447</t>
  </si>
  <si>
    <t>-3484</t>
  </si>
  <si>
    <t>3951</t>
  </si>
  <si>
    <t>0977</t>
  </si>
  <si>
    <t>3683</t>
  </si>
  <si>
    <t>2044</t>
  </si>
  <si>
    <t>-0660</t>
  </si>
  <si>
    <t>2093</t>
  </si>
  <si>
    <t>4186</t>
  </si>
  <si>
    <t>0808</t>
  </si>
  <si>
    <t>0188</t>
  </si>
  <si>
    <t>-3128</t>
  </si>
  <si>
    <t>0611</t>
  </si>
  <si>
    <t>-0079</t>
  </si>
  <si>
    <t>-2545</t>
  </si>
  <si>
    <t>3137</t>
  </si>
  <si>
    <t>0877</t>
  </si>
  <si>
    <t>2864</t>
  </si>
  <si>
    <t>0518</t>
  </si>
  <si>
    <t>2866</t>
  </si>
  <si>
    <t>0581</t>
  </si>
  <si>
    <t>0478</t>
  </si>
  <si>
    <t>4579</t>
  </si>
  <si>
    <t>-0919</t>
  </si>
  <si>
    <t>-1128</t>
  </si>
  <si>
    <t>3083</t>
  </si>
  <si>
    <t>4223</t>
  </si>
  <si>
    <t>-1912</t>
  </si>
  <si>
    <t>4170</t>
  </si>
  <si>
    <t>-1922</t>
  </si>
  <si>
    <t>4226</t>
  </si>
  <si>
    <t>-1739</t>
  </si>
  <si>
    <t>-2732</t>
  </si>
  <si>
    <t>-0087</t>
  </si>
  <si>
    <t>0525</t>
  </si>
  <si>
    <t>3520</t>
  </si>
  <si>
    <t>-0358</t>
  </si>
  <si>
    <t>-0352</t>
  </si>
  <si>
    <t>3837</t>
  </si>
  <si>
    <t>-0520</t>
  </si>
  <si>
    <t>1394</t>
  </si>
  <si>
    <t>-4541</t>
  </si>
  <si>
    <t>-2502</t>
  </si>
  <si>
    <t>-0514</t>
  </si>
  <si>
    <t>-4469</t>
  </si>
  <si>
    <t>-2297</t>
  </si>
  <si>
    <t>-3846</t>
  </si>
  <si>
    <t>2300</t>
  </si>
  <si>
    <t>-1606</t>
  </si>
  <si>
    <t>-2292</t>
  </si>
  <si>
    <t>-3959</t>
  </si>
  <si>
    <t>0201</t>
  </si>
  <si>
    <t>1297</t>
  </si>
  <si>
    <t>-2347</t>
  </si>
  <si>
    <t>-0449</t>
  </si>
  <si>
    <t>1643</t>
  </si>
  <si>
    <t>1730</t>
  </si>
  <si>
    <t>3588</t>
  </si>
  <si>
    <t>0888</t>
  </si>
  <si>
    <t>-0263</t>
  </si>
  <si>
    <t>0885</t>
  </si>
  <si>
    <t>-0195</t>
  </si>
  <si>
    <t>0152</t>
  </si>
  <si>
    <t>-0852</t>
  </si>
  <si>
    <t>-1046</t>
  </si>
  <si>
    <t>-0265</t>
  </si>
  <si>
    <t>4518</t>
  </si>
  <si>
    <t>1135</t>
  </si>
  <si>
    <t>1093</t>
  </si>
  <si>
    <t>2475</t>
  </si>
  <si>
    <t>-2817</t>
  </si>
  <si>
    <t>-2434</t>
  </si>
  <si>
    <t>-1820</t>
  </si>
  <si>
    <t>0146</t>
  </si>
  <si>
    <t>-1353</t>
  </si>
  <si>
    <t>-3430</t>
  </si>
  <si>
    <t>-1333</t>
  </si>
  <si>
    <t>-0644</t>
  </si>
  <si>
    <t>1602</t>
  </si>
  <si>
    <t>2832</t>
  </si>
  <si>
    <t>0412</t>
  </si>
  <si>
    <t>1765</t>
  </si>
  <si>
    <t>2719</t>
  </si>
  <si>
    <t>0401</t>
  </si>
  <si>
    <t>1452</t>
  </si>
  <si>
    <t>-0170</t>
  </si>
  <si>
    <t>-0136</t>
  </si>
  <si>
    <t>3301</t>
  </si>
  <si>
    <t>-2301</t>
  </si>
  <si>
    <t>0116</t>
  </si>
  <si>
    <t>-1965</t>
  </si>
  <si>
    <t>1646</t>
  </si>
  <si>
    <t>0511</t>
  </si>
  <si>
    <t>-1556</t>
  </si>
  <si>
    <t>2729</t>
  </si>
  <si>
    <t>-0119</t>
  </si>
  <si>
    <t>-0557</t>
  </si>
  <si>
    <t>-3222</t>
  </si>
  <si>
    <t>-2937</t>
  </si>
  <si>
    <t>-0031</t>
  </si>
  <si>
    <t>1829</t>
  </si>
  <si>
    <t>-0956</t>
  </si>
  <si>
    <t>2349</t>
  </si>
  <si>
    <t>-1869</t>
  </si>
  <si>
    <t>10894</t>
  </si>
  <si>
    <t>2658</t>
  </si>
  <si>
    <t>3331</t>
  </si>
  <si>
    <t>0545</t>
  </si>
  <si>
    <t>0137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</si>
  <si>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</si>
  <si>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</si>
  <si>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</si>
  <si>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</si>
  <si>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</si>
  <si>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</si>
  <si>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</si>
  <si>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</si>
  <si>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</si>
  <si>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</si>
  <si>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</si>
  <si>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</si>
  <si>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</si>
  <si>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</si>
  <si>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</si>
  <si>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</si>
  <si>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</si>
  <si>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</si>
  <si>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</si>
  <si>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</si>
  <si>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</si>
  <si>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</si>
  <si>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</si>
  <si>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</si>
  <si>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</si>
  <si>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</si>
  <si>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</si>
  <si>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</si>
  <si>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</si>
  <si>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</si>
  <si>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</si>
  <si>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</si>
  <si>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</si>
  <si>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</si>
  <si>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</si>
  <si>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</si>
  <si>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</si>
  <si>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</si>
  <si>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</si>
  <si>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</si>
  <si>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</si>
  <si>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</si>
  <si>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</si>
  <si>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</si>
  <si>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</si>
  <si>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</si>
  <si>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-0130</t>
  </si>
  <si>
    <t>2867</t>
  </si>
  <si>
    <t>-0634</t>
  </si>
  <si>
    <t>-3380</t>
  </si>
  <si>
    <t>0665</t>
  </si>
  <si>
    <t>1641</t>
  </si>
  <si>
    <t>-1122</t>
  </si>
  <si>
    <t>-1902</t>
  </si>
  <si>
    <t>0101</t>
  </si>
  <si>
    <t>-2170</t>
  </si>
  <si>
    <t>-0486</t>
  </si>
  <si>
    <t>-2409</t>
  </si>
  <si>
    <t>-3485</t>
  </si>
  <si>
    <t>-0394</t>
  </si>
  <si>
    <t>2667</t>
  </si>
  <si>
    <t>-0591</t>
  </si>
  <si>
    <t>3257</t>
  </si>
  <si>
    <t>0593</t>
  </si>
  <si>
    <t>-1620</t>
  </si>
  <si>
    <t>3562</t>
  </si>
  <si>
    <t>-2209</t>
  </si>
  <si>
    <t>-0588</t>
  </si>
  <si>
    <t>-1332</t>
  </si>
  <si>
    <t>1496</t>
  </si>
  <si>
    <t>3698</t>
  </si>
  <si>
    <t>-0540</t>
  </si>
  <si>
    <t>2946</t>
  </si>
  <si>
    <t>-3338</t>
  </si>
  <si>
    <t>-3708</t>
  </si>
  <si>
    <t>3099</t>
  </si>
  <si>
    <t>-0782</t>
  </si>
  <si>
    <t>-3075</t>
  </si>
  <si>
    <t>-1580</t>
  </si>
  <si>
    <t>-0821</t>
  </si>
  <si>
    <t>-2822</t>
  </si>
  <si>
    <t>0902</t>
  </si>
  <si>
    <t>-0565</t>
  </si>
  <si>
    <t>-2865</t>
  </si>
  <si>
    <t>-0931</t>
  </si>
  <si>
    <t>4112</t>
  </si>
  <si>
    <t>-0611</t>
  </si>
  <si>
    <t>0153</t>
  </si>
  <si>
    <t>3618</t>
  </si>
  <si>
    <t>-0569</t>
  </si>
  <si>
    <t>-0455</t>
  </si>
  <si>
    <t>3986</t>
  </si>
  <si>
    <t>1583</t>
  </si>
  <si>
    <t>-0576</t>
  </si>
  <si>
    <t>1168</t>
  </si>
  <si>
    <t>0600</t>
  </si>
  <si>
    <t>-0408</t>
  </si>
  <si>
    <t>-2473</t>
  </si>
  <si>
    <t>-3403</t>
  </si>
  <si>
    <t>-0222</t>
  </si>
  <si>
    <t>1796</t>
  </si>
  <si>
    <t>-0629</t>
  </si>
  <si>
    <t>2963</t>
  </si>
  <si>
    <t>-2571</t>
  </si>
  <si>
    <t>-0507</t>
  </si>
  <si>
    <t>-1225</t>
  </si>
  <si>
    <t>-0480</t>
  </si>
  <si>
    <t>-4546</t>
  </si>
  <si>
    <t>-0489</t>
  </si>
  <si>
    <t>1539</t>
  </si>
  <si>
    <t>0692</t>
  </si>
  <si>
    <t>-3480</t>
  </si>
  <si>
    <t>-0417</t>
  </si>
  <si>
    <t>2078</t>
  </si>
  <si>
    <t>-1625</t>
  </si>
  <si>
    <t>-2882</t>
  </si>
  <si>
    <t>-4457</t>
  </si>
  <si>
    <t>-0994</t>
  </si>
  <si>
    <t>-0861</t>
  </si>
  <si>
    <t>-1903</t>
  </si>
  <si>
    <t>2095</t>
  </si>
  <si>
    <t>-0682</t>
  </si>
  <si>
    <t>2542</t>
  </si>
  <si>
    <t>-0544</t>
  </si>
  <si>
    <t>-0476</t>
  </si>
  <si>
    <t>-0657</t>
  </si>
  <si>
    <t>-1856</t>
  </si>
  <si>
    <t>-0735</t>
  </si>
  <si>
    <t>-0527</t>
  </si>
  <si>
    <t>0637</t>
  </si>
  <si>
    <t>-3262</t>
  </si>
  <si>
    <t>-3780</t>
  </si>
  <si>
    <t>-0494</t>
  </si>
  <si>
    <t>-3673</t>
  </si>
  <si>
    <t>-0498</t>
  </si>
  <si>
    <t>-1751</t>
  </si>
  <si>
    <t>3107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</si>
  <si>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</si>
  <si>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</si>
  <si>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</si>
  <si>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</si>
  <si>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</si>
  <si>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</si>
  <si>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</si>
  <si>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</si>
  <si>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</si>
  <si>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</si>
  <si>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</si>
  <si>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</si>
  <si>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</si>
  <si>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</si>
  <si>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</si>
  <si>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</si>
  <si>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</si>
  <si>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</si>
  <si>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</si>
  <si>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</si>
  <si>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</si>
  <si>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</si>
  <si>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</si>
  <si>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</si>
  <si>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</si>
  <si>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</si>
  <si>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</si>
  <si>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</si>
  <si>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</si>
  <si>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</si>
  <si>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</si>
  <si>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</si>
  <si>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</si>
  <si>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</si>
  <si>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</si>
  <si>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</si>
  <si>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</si>
  <si>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</si>
  <si>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</si>
  <si>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</si>
  <si>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</si>
  <si>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</si>
  <si>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</si>
  <si>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</si>
  <si>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</si>
  <si>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</si>
  <si>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</si>
  <si>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</si>
  <si>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</si>
  <si>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</si>
  <si>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</si>
  <si>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</si>
  <si>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</si>
  <si>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</si>
  <si>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</si>
  <si>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</si>
  <si>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</si>
  <si>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</si>
  <si>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</si>
  <si>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</si>
  <si>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</si>
  <si>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</si>
  <si>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</si>
  <si>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</si>
  <si>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</si>
  <si>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</si>
  <si>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</si>
  <si>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</si>
  <si>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</si>
  <si>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</si>
  <si>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</si>
  <si>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</si>
  <si>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</si>
  <si>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</si>
  <si>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</si>
  <si>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</si>
  <si>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</si>
  <si>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</si>
  <si>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</si>
  <si>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</si>
  <si>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</si>
  <si>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</si>
  <si>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</si>
  <si>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</si>
  <si>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</si>
  <si>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</si>
  <si>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</si>
  <si>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</si>
  <si>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</si>
  <si>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</si>
  <si>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</si>
  <si>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</si>
  <si>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</si>
  <si>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</si>
  <si>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</si>
  <si>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</si>
  <si>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</si>
  <si>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</si>
  <si>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</si>
  <si>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</si>
  <si>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</si>
  <si>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</si>
  <si>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</si>
  <si>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</si>
  <si>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</si>
  <si>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</si>
  <si>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</si>
  <si>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</si>
  <si>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</si>
  <si>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</si>
  <si>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</si>
  <si>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</si>
  <si>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</si>
  <si>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</si>
  <si>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</si>
  <si>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</si>
  <si>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</si>
  <si>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</si>
  <si>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</si>
  <si>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</si>
  <si>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</si>
  <si>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</si>
  <si>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</si>
  <si>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</si>
  <si>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</si>
  <si>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</si>
  <si>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</si>
  <si>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</si>
  <si>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</si>
  <si>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</si>
  <si>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</si>
  <si>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</si>
  <si>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</si>
  <si>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</si>
  <si>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</si>
  <si>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</si>
  <si>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</si>
  <si>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</si>
  <si>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</si>
  <si>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</si>
  <si>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</si>
  <si>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</si>
  <si>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</si>
  <si>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</si>
  <si>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</si>
  <si>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</si>
  <si>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</si>
  <si>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</si>
  <si>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</si>
  <si>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</si>
  <si>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</si>
  <si>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</si>
  <si>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</si>
  <si>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</si>
  <si>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</si>
  <si>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</si>
  <si>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</si>
  <si>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</si>
  <si>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</si>
  <si>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</si>
  <si>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</si>
  <si>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</si>
  <si>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</si>
  <si>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</si>
  <si>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</si>
  <si>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</si>
  <si>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</si>
  <si>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</si>
  <si>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</si>
  <si>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</si>
  <si>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</si>
  <si>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</si>
  <si>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</si>
  <si>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</si>
  <si>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</si>
  <si>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</si>
  <si>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</si>
  <si>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</si>
  <si>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</si>
  <si>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</si>
  <si>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</si>
  <si>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</si>
  <si>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</si>
  <si>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</si>
  <si>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</si>
  <si>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</si>
  <si>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</si>
  <si>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</si>
  <si>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</si>
  <si>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</si>
  <si>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</si>
  <si>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</si>
  <si>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</si>
  <si>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</si>
  <si>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</si>
  <si>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</si>
  <si>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</si>
  <si>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</si>
  <si>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</si>
  <si>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</si>
  <si>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</si>
  <si>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</si>
  <si>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</si>
  <si>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</si>
  <si>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</si>
  <si>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</si>
  <si>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</si>
  <si>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</si>
  <si>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</si>
  <si>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</si>
  <si>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</si>
  <si>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</si>
  <si>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</si>
  <si>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</si>
  <si>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</si>
  <si>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</si>
  <si>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</si>
  <si>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</si>
  <si>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</si>
  <si>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</si>
  <si>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</si>
  <si>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</si>
  <si>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</si>
  <si>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</si>
  <si>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</si>
  <si>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</si>
  <si>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</si>
  <si>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</si>
  <si>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</si>
  <si>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</si>
  <si>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</si>
  <si>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</si>
  <si>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</si>
  <si>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</si>
  <si>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</si>
  <si>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</si>
  <si>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</si>
  <si>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</si>
  <si>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</si>
  <si>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</si>
  <si>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</si>
  <si>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</si>
  <si>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</si>
  <si>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</si>
  <si>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</si>
  <si>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</si>
  <si>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</si>
  <si>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</si>
  <si>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</si>
  <si>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</si>
  <si>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</si>
  <si>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</si>
  <si>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</si>
  <si>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</si>
  <si>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</si>
  <si>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</si>
  <si>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</si>
  <si>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</si>
  <si>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</si>
  <si>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</si>
  <si>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</si>
  <si>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</si>
  <si>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</si>
  <si>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</si>
  <si>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</si>
  <si>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</si>
  <si>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</si>
  <si>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</si>
  <si>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</si>
  <si>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</si>
  <si>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</si>
  <si>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</si>
  <si>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Number</t>
  </si>
  <si>
    <t>Total</t>
  </si>
  <si>
    <t>Each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</si>
  <si>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</si>
  <si>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</si>
  <si>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</si>
  <si>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</si>
  <si>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</si>
  <si>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</si>
  <si>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</si>
  <si>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**</t>
  </si>
  <si>
    <t>Shops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</si>
  <si>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</si>
  <si>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</si>
  <si>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</si>
  <si>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</si>
  <si>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</si>
  <si>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</si>
  <si>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</si>
  <si>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</si>
  <si>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</si>
  <si>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</si>
  <si>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</si>
  <si>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</si>
  <si>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{ id: "01"</t>
  </si>
  <si>
    <t xml:space="preserve"> name: "North Hyrule Field"</t>
  </si>
  <si>
    <t xml:space="preserve">        { id: "02"</t>
  </si>
  <si>
    <t xml:space="preserve"> name: "South Hyrule Field"</t>
  </si>
  <si>
    <t xml:space="preserve">        { id: "03"</t>
  </si>
  <si>
    <t xml:space="preserve">        { id: "04"</t>
  </si>
  <si>
    <t xml:space="preserve"> name: "Hebra Mountains"</t>
  </si>
  <si>
    <t xml:space="preserve">        { id: "05"</t>
  </si>
  <si>
    <t xml:space="preserve"> name: "Tabantha Tundra"</t>
  </si>
  <si>
    <t xml:space="preserve">        { id: "06"</t>
  </si>
  <si>
    <t xml:space="preserve"> name: "Great Hyrule Forest"</t>
  </si>
  <si>
    <t xml:space="preserve">        { id: "07"</t>
  </si>
  <si>
    <t xml:space="preserve">        { id: "08"</t>
  </si>
  <si>
    <t xml:space="preserve">        { id: "09"</t>
  </si>
  <si>
    <t xml:space="preserve">        { id: "10"</t>
  </si>
  <si>
    <t xml:space="preserve"> name: "Lanayru Wetlands &amp; W. Necluda"</t>
  </si>
  <si>
    <t xml:space="preserve">        { id: "11"</t>
  </si>
  <si>
    <t xml:space="preserve"> name: "Mount Lanayru"</t>
  </si>
  <si>
    <t xml:space="preserve">        { id: "12"</t>
  </si>
  <si>
    <t xml:space="preserve"> name: "East Necluda"</t>
  </si>
  <si>
    <t xml:space="preserve">        { id: "13"</t>
  </si>
  <si>
    <t xml:space="preserve">        { id: "14"</t>
  </si>
  <si>
    <t xml:space="preserve"> name: "Gerudo Canyon &amp; Desert"</t>
  </si>
  <si>
    <t xml:space="preserve">        { id: "15"</t>
  </si>
  <si>
    <t xml:space="preserve"> name: "Gerudo Highlands"</t>
  </si>
  <si>
    <t>Ga-ahisas Shrine</t>
  </si>
  <si>
    <t>Marari-in Shrine</t>
  </si>
  <si>
    <t>Corresponding Shrine</t>
  </si>
  <si>
    <t xml:space="preserve"> name: "Hyrule Ridge"</t>
  </si>
  <si>
    <t xml:space="preserve"> name: "Eldin"</t>
  </si>
  <si>
    <t xml:space="preserve"> name: "Akkala"</t>
  </si>
  <si>
    <t xml:space="preserve"> name: "Faron"</t>
  </si>
  <si>
    <t xml:space="preserve"> name: "Lanayru"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</si>
  <si>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</si>
  <si>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</si>
  <si>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</si>
  <si>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</si>
  <si>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</si>
  <si>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</si>
  <si>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</si>
  <si>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</si>
  <si>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Details</t>
  </si>
  <si>
    <t>Type</t>
  </si>
  <si>
    <t>Proving Grounds</t>
  </si>
  <si>
    <t>Rauru's Blessing</t>
  </si>
  <si>
    <t>Combat Training</t>
  </si>
  <si>
    <t>Puzzle Trial</t>
  </si>
  <si>
    <t>Ancient Altar Ruins &lt;sub&gt;(1 of 12)&lt;/sub&gt;</t>
  </si>
  <si>
    <t>Ancient Altar Ruins &lt;sub&gt;(2 of 12)&lt;/sub&gt;</t>
  </si>
  <si>
    <t>Ancient Altar Ruins &lt;sub&gt;(3 of 12)&lt;/sub&gt;</t>
  </si>
  <si>
    <t>Ancient Altar Ruins &lt;sub&gt;(4 of 12)&lt;/sub&gt;</t>
  </si>
  <si>
    <t>Ancient Altar Ruins &lt;sub&gt;(5 of 12)&lt;/sub&gt;</t>
  </si>
  <si>
    <t>Ancient Altar Ruins &lt;sub&gt;(6 of 12)&lt;/sub&gt;</t>
  </si>
  <si>
    <t>Ancient Altar Ruins &lt;sub&gt;(7 of 12)&lt;/sub&gt;</t>
  </si>
  <si>
    <t>Ancient Altar Ruins &lt;sub&gt;(8 of 12)&lt;/sub&gt;</t>
  </si>
  <si>
    <t>Ancient Altar Ruins &lt;sub&gt;(9 of 12)&lt;/sub&gt;</t>
  </si>
  <si>
    <t>Ancient Altar Ruins &lt;sub&gt;(10 of 12)&lt;/sub&gt;</t>
  </si>
  <si>
    <t>Ancient Altar Ruins &lt;sub&gt;(11 of 12)&lt;/sub&gt;</t>
  </si>
  <si>
    <t>Ancient Altar Ruins &lt;sub&gt;(12 of 12)&lt;/sub&gt;</t>
  </si>
  <si>
    <t>Bone Pond East Cave &lt;sub&gt;(1 of 4)&lt;/sub&gt;</t>
  </si>
  <si>
    <t>Bone Pond East Cave &lt;sub&gt;(2 of 4)&lt;/sub&gt;</t>
  </si>
  <si>
    <t>Bone Pond East Cave &lt;sub&gt;(3 of 4)&lt;/sub&gt;</t>
  </si>
  <si>
    <t>Bone Pond East Cave &lt;sub&gt;(4 of 4)&lt;/sub&gt;</t>
  </si>
  <si>
    <t>Bottomless Cave &lt;sub&gt;(1 of 2)&lt;/sub&gt;</t>
  </si>
  <si>
    <t>Bottomless Cave &lt;sub&gt;(2 of 2)&lt;/sub&gt;</t>
  </si>
  <si>
    <t>Byroad to Lanayru Wetlands Cave &lt;sub&gt;(1 of 2)&lt;/sub&gt;</t>
  </si>
  <si>
    <t>Calora Lake Cave &lt;sub&gt;(1 of 2)&lt;/sub&gt;</t>
  </si>
  <si>
    <t>Calora Lake Cave &lt;sub&gt;(2 of 2)&lt;/sub&gt;</t>
  </si>
  <si>
    <t>Construction Site Cave &lt;sub&gt;(1 of 2)&lt;/sub&gt;</t>
  </si>
  <si>
    <t>Construction Site Cave &lt;sub&gt;(2 of 2)&lt;/sub&gt;</t>
  </si>
  <si>
    <t>Cora Lakefront Cave &lt;sub&gt;(1 of 2)&lt;/sub&gt;</t>
  </si>
  <si>
    <t>Cora Lakefront Cave &lt;sub&gt;(2 of 2)&lt;/sub&gt;</t>
  </si>
  <si>
    <t>Crenel Peak Cave &lt;sub&gt;(1 of 2)&lt;/sub&gt;</t>
  </si>
  <si>
    <t>Crenel Peak Cave &lt;sub&gt;(2 of 2)&lt;/sub&gt;</t>
  </si>
  <si>
    <t>East Biron Snowshelf Cave &lt;sub&gt;(1 of 2)&lt;/sub&gt;</t>
  </si>
  <si>
    <t>East Biron Snowshelf Cave &lt;sub&gt;(2 of 2)&lt;/sub&gt;</t>
  </si>
  <si>
    <t>Gerudo Canyon Mine &lt;sub&gt;(1 of 2)&lt;/sub&gt;</t>
  </si>
  <si>
    <t>Gerudo Canyon Mine &lt;sub&gt;(2 of 2)&lt;/sub&gt;</t>
  </si>
  <si>
    <t>Gerudo Sanctuary &lt;sub&gt;(1 of 2)&lt;/sub&gt;</t>
  </si>
  <si>
    <t>Gerudo Sanctuary &lt;sub&gt;(2 of 2)&lt;/sub&gt;</t>
  </si>
  <si>
    <t>Gisa Crater Cave &lt;sub&gt;(1 of 2)&lt;/sub&gt;</t>
  </si>
  <si>
    <t>Gisa Crater Cave &lt;sub&gt;(2 of 2)&lt;/sub&gt;</t>
  </si>
  <si>
    <t>Hebra South Summit Cave &lt;sub&gt;(1 of 2)&lt;/sub&gt;</t>
  </si>
  <si>
    <t>Hebra South Summit Cave &lt;sub&gt;(2 of 2)&lt;/sub&gt;</t>
  </si>
  <si>
    <t>Koukot Plateau Cave &lt;sub&gt;(1 of 2)&lt;/sub&gt;</t>
  </si>
  <si>
    <t>Koukot Plateau Cave &lt;sub&gt;(2 of 2)&lt;/sub&gt;</t>
  </si>
  <si>
    <t>Lake Ferona Cave &lt;sub&gt;(1 of 2)&lt;/sub&gt;</t>
  </si>
  <si>
    <t>Lake Ferona Cave &lt;sub&gt;(2 of 2)&lt;/sub&gt;</t>
  </si>
  <si>
    <t>Lanayru Road East Cave &lt;sub&gt;(1 of 2)&lt;/sub&gt;</t>
  </si>
  <si>
    <t>Lanayru Road East Cave &lt;sub&gt;(2 of 2)&lt;/sub&gt;</t>
  </si>
  <si>
    <t>Mining Cave &lt;sub&gt;(1 of 2)&lt;/sub&gt;</t>
  </si>
  <si>
    <t>Mining Cave &lt;sub&gt;(2 of 2)&lt;/sub&gt;</t>
  </si>
  <si>
    <t>Mount Dunsel Cave &lt;sub&gt;(1 of 2)&lt;/sub&gt;</t>
  </si>
  <si>
    <t>Mount Dunsel Cave &lt;sub&gt;(2 of 2)&lt;/sub&gt;</t>
  </si>
  <si>
    <t>Mount Floria Cave &lt;sub&gt;(1 of 2)&lt;/sub&gt;</t>
  </si>
  <si>
    <t>Mount Floria Cave &lt;sub&gt;(2 of 2)&lt;/sub&gt;</t>
  </si>
  <si>
    <t>Mount Nabooru Cave &lt;sub&gt;(1 of 2)&lt;/sub&gt;</t>
  </si>
  <si>
    <t>Mount Nabooru Cave &lt;sub&gt;(2 of 2)&lt;/sub&gt;</t>
  </si>
  <si>
    <t>North Akkala Beach Cave &lt;sub&gt;(1 of 2)&lt;/sub&gt;</t>
  </si>
  <si>
    <t>North Akkala Beach Cave &lt;sub&gt;(2 of 2)&lt;/sub&gt;</t>
  </si>
  <si>
    <t>North Hyrule Plain Cave &lt;sub&gt;(1 of 2)&lt;/sub&gt;</t>
  </si>
  <si>
    <t>North Hyrule Plain Cave &lt;sub&gt;(2 of 2)&lt;/sub&gt;</t>
  </si>
  <si>
    <t>Pikida Stonegrove Northwest Cave &lt;sub&gt;(1 of 2)&lt;/sub&gt;</t>
  </si>
  <si>
    <t>Pikida Stonegrove Northwest Cave &lt;sub&gt;(2 of 2)&lt;/sub&gt;</t>
  </si>
  <si>
    <t>Pit Cave &lt;sub&gt;(1 of 2)&lt;/sub&gt;</t>
  </si>
  <si>
    <t>Pit Cave &lt;sub&gt;(2 of 2)&lt;/sub&gt;</t>
  </si>
  <si>
    <t>Pondside Cave &lt;sub&gt;(1 of 2)&lt;/sub&gt;</t>
  </si>
  <si>
    <t>Pondside Cave &lt;sub&gt;(2 of 2)&lt;/sub&gt;</t>
  </si>
  <si>
    <t>Pristine Sanctum &lt;sub&gt;(1 of 2)&lt;/sub&gt;</t>
  </si>
  <si>
    <t>Pristine Sanctum &lt;sub&gt;(2 of 2)&lt;/sub&gt;</t>
  </si>
  <si>
    <t>Ralis Channel &lt;sub&gt;(1 of 2)&lt;/sub&gt;</t>
  </si>
  <si>
    <t>Ralis Channel &lt;sub&gt;(2 of 2)&lt;/sub&gt;</t>
  </si>
  <si>
    <t>Ranch Ruins Cave &lt;sub&gt;(1 of 2)&lt;/sub&gt;</t>
  </si>
  <si>
    <t>Ranch Ruins Cave &lt;sub&gt;(2 of 2)&lt;/sub&gt;</t>
  </si>
  <si>
    <t>Retsam Forest Cave &lt;sub&gt;(1 of 2)&lt;/sub&gt;</t>
  </si>
  <si>
    <t>Retsam Forest Cave &lt;sub&gt;(2 of 2)&lt;/sub&gt;</t>
  </si>
  <si>
    <t>Royal Hidden Passage &lt;sub&gt;(1 of 3)&lt;/sub&gt;</t>
  </si>
  <si>
    <t>Royal Hidden Passage &lt;sub&gt;(2 of 3)&lt;/sub&gt;</t>
  </si>
  <si>
    <t>Royal Hidden Passage &lt;sub&gt;(3 of 3)&lt;/sub&gt;</t>
  </si>
  <si>
    <t>Sahasra Slope Cave &lt;sub&gt;(1 of 2)&lt;/sub&gt;</t>
  </si>
  <si>
    <t>Sahasra Slope Cave &lt;sub&gt;(2 of 2)&lt;/sub&gt;</t>
  </si>
  <si>
    <t>Tabahl Woods Cave &lt;sub&gt;(1 of 3)&lt;/sub&gt;</t>
  </si>
  <si>
    <t>Tabahl Woods Cave &lt;sub&gt;(2 of 3)&lt;/sub&gt;</t>
  </si>
  <si>
    <t>Tabahl Woods Cave &lt;sub&gt;(3 of 3)&lt;/sub&gt;</t>
  </si>
  <si>
    <t>Ulria Grotto East Cave &lt;sub&gt;(1 of 2)&lt;/sub&gt;</t>
  </si>
  <si>
    <t>Ulria Grotto East Cave &lt;sub&gt;(2 of 2)&lt;/sub&gt;</t>
  </si>
  <si>
    <t>Upland Zorana Byroad Cave &lt;sub&gt;(1 of 2)&lt;/sub&gt;</t>
  </si>
  <si>
    <t>Upland Zorana Byroad Cave &lt;sub&gt;(2 of 2)&lt;/sub&gt;</t>
  </si>
  <si>
    <t>Upland Zorana Mountainside Cave &lt;sub&gt;(1 of 2)&lt;/sub&gt;</t>
  </si>
  <si>
    <t>Upland Zorana Mountainside Cave &lt;sub&gt;(2 of 2)&lt;/sub&gt;</t>
  </si>
  <si>
    <t>Walnot Mountain Cave &lt;sub&gt;(1 of 2)&lt;/sub&gt;</t>
  </si>
  <si>
    <t>Walnot Mountain Cave &lt;sub&gt;(2 of 2)&lt;/sub&gt;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</si>
  <si>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</si>
  <si>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</si>
  <si>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</si>
  <si>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</si>
  <si>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</si>
  <si>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</si>
  <si>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</si>
  <si>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</si>
  <si>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</si>
  <si>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</si>
  <si>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</si>
  <si>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</si>
  <si>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</si>
  <si>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</si>
  <si>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</si>
  <si>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</si>
  <si>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</si>
  <si>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</si>
  <si>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</si>
  <si>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</si>
  <si>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</si>
  <si>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</si>
  <si>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</si>
  <si>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</si>
  <si>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</si>
  <si>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</si>
  <si>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</si>
  <si>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</si>
  <si>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</si>
  <si>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</si>
  <si>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</si>
  <si>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</si>
  <si>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</si>
  <si>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</si>
  <si>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</si>
  <si>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</si>
  <si>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</si>
  <si>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</si>
  <si>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</si>
  <si>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</si>
  <si>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</si>
  <si>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</si>
  <si>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</si>
  <si>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</si>
  <si>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</si>
  <si>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</si>
  <si>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</si>
  <si>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</si>
  <si>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</si>
  <si>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</si>
  <si>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</si>
  <si>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</si>
  <si>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</si>
  <si>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</si>
  <si>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</si>
  <si>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</si>
  <si>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</si>
  <si>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</si>
  <si>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</si>
  <si>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</si>
  <si>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</si>
  <si>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</si>
  <si>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</si>
  <si>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</si>
  <si>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</si>
  <si>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</si>
  <si>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</si>
  <si>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</si>
  <si>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</si>
  <si>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</si>
  <si>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</si>
  <si>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</si>
  <si>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</si>
  <si>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</si>
  <si>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</si>
  <si>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</si>
  <si>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</si>
  <si>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</si>
  <si>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</si>
  <si>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</si>
  <si>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</si>
  <si>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</si>
  <si>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</si>
  <si>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</si>
  <si>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</si>
  <si>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</si>
  <si>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</si>
  <si>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</si>
  <si>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</si>
  <si>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</si>
  <si>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</si>
  <si>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</si>
  <si>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</si>
  <si>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</si>
  <si>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</si>
  <si>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</si>
  <si>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</si>
  <si>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</si>
  <si>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</si>
  <si>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</si>
  <si>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</si>
  <si>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</si>
  <si>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</si>
  <si>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</si>
  <si>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</si>
  <si>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</si>
  <si>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</si>
  <si>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</si>
  <si>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</si>
  <si>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</si>
  <si>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</si>
  <si>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</si>
  <si>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</si>
  <si>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</si>
  <si>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</si>
  <si>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</si>
  <si>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</si>
  <si>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</si>
  <si>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</si>
  <si>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</si>
  <si>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</si>
  <si>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</si>
  <si>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</si>
  <si>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</si>
  <si>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</si>
  <si>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</si>
  <si>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</si>
  <si>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</si>
  <si>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</si>
  <si>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</si>
  <si>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</si>
  <si>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</si>
  <si>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</si>
  <si>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</si>
  <si>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</si>
  <si>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</si>
  <si>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</si>
  <si>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</si>
  <si>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</si>
  <si>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</si>
  <si>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</si>
  <si>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</si>
  <si>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</si>
  <si>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</si>
  <si>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</si>
  <si>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</si>
  <si>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</si>
  <si>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</si>
  <si>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</si>
  <si>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</si>
  <si>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</si>
  <si>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"Akkala Citadel Ruins Summit Cave", landmark: "Cave", type: "", region: 8, level: "Surface", x: 3292, y: 1492, z: 394, details: "" },</t>
  </si>
  <si>
    <t>{ name: "Ancient Altar Ruins &lt;sub&gt;(1 of 12)&lt;/sub&gt;", landmark: "Cave", type: "", region: 14, level: "Surface", x: -2584, y: -3638, z: -47, details: "" },</t>
  </si>
  <si>
    <t>{ name: "Ancient Altar Ruins &lt;sub&gt;(2 of 12)&lt;/sub&gt;", landmark: "Cave", type: "", region: 14, level: "Surface", x: -2535, y: -3626, z: -48, details: "" },</t>
  </si>
  <si>
    <t>{ name: "Ancient Altar Ruins &lt;sub&gt;(3 of 12)&lt;/sub&gt;", landmark: "Cave", type: "", region: 14, level: "Surface", x: -2480, y: -3632, z: -46, details: "" },</t>
  </si>
  <si>
    <t>{ name: "Ancient Altar Ruins &lt;sub&gt;(4 of 12)&lt;/sub&gt;", landmark: "Cave", type: "", region: 14, level: "Surface", x: -2604, y: -3709, z: -49, details: "" },</t>
  </si>
  <si>
    <t>{ name: "Ancient Altar Ruins &lt;sub&gt;(5 of 12)&lt;/sub&gt;", landmark: "Cave", type: "", region: 14, level: "Surface", x: -2564, y: -3681, z: -48, details: "" },</t>
  </si>
  <si>
    <t>{ name: "Ancient Altar Ruins &lt;sub&gt;(6 of 12)&lt;/sub&gt;", landmark: "Cave", type: "", region: 14, level: "Surface", x: -2518, y: -3671, z: -47, details: "" },</t>
  </si>
  <si>
    <t>{ name: "Ancient Altar Ruins &lt;sub&gt;(7 of 12)&lt;/sub&gt;", landmark: "Cave", type: "", region: 14, level: "Surface", x: -2451, y: -3676, z: -46, details: "" },</t>
  </si>
  <si>
    <t>{ name: "Ancient Altar Ruins &lt;sub&gt;(8 of 12)&lt;/sub&gt;", landmark: "Cave", type: "", region: 14, level: "Surface", x: -2570, y: -3744, z: -51, details: "" },</t>
  </si>
  <si>
    <t>{ name: "Ancient Altar Ruins &lt;sub&gt;(9 of 12)&lt;/sub&gt;", landmark: "Cave", type: "", region: 14, level: "Surface", x: -2521, y: -3724, z: -47, details: "" },</t>
  </si>
  <si>
    <t>{ name: "Ancient Altar Ruins &lt;sub&gt;(10 of 12)&lt;/sub&gt;", landmark: "Cave", type: "", region: 14, level: "Surface", x: -2477, y: -3709, z: -47, details: "" },</t>
  </si>
  <si>
    <t>{ name: "Ancient Altar Ruins &lt;sub&gt;(11 of 12)&lt;/sub&gt;", landmark: "Cave", type: "", region: 14, level: "Surface", x: -2530, y: -3769, z: -46, details: "" },</t>
  </si>
  <si>
    <t>{ name: "Ancient Altar Ruins &lt;sub&gt;(12 of 12)&lt;/sub&gt;", landmark: "Cave", type: "", region: 14, level: "Surface", x: -2480, y: -3758, z: -46, details: "" },</t>
  </si>
  <si>
    <t>{ name: "Ancient Columns Cave", landmark: "Cave", type: "", region: 3, level: "Surface", x: -3465, y: 449, z: 254, details: "" },</t>
  </si>
  <si>
    <t>{ name: "Ancient Prison Ruins", landmark: "Cave", type: "", region: 14, level: "Surface", x: -3099, y: -3063, z: -51, details: "" },</t>
  </si>
  <si>
    <t>{ name: "Ancient Tree Stump Cave", landmark: "Cave", type: "", region: 1, level: "Surface", x: -1111, y: -432, z: 22, details: "" },</t>
  </si>
  <si>
    <t>{ name: "Ancient Zora Waterworks", landmark: "Cave", type: "", region: 9, level: "Surface", x: 3606, y: 122, z: -1, details: "" },</t>
  </si>
  <si>
    <t>{ name: "Atun Valley Cave", landmark: "Cave", type: "", region: 12, level: "Surface", x: 2454, y: -3193, z: 64, details: "" },</t>
  </si>
  <si>
    <t>{ name: "Bone Pond East Cave &lt;sub&gt;(1 of 4)&lt;/sub&gt;", landmark: "Cave", type: "", region: 9, level: "Surface", x: 2185, y: 142, z: 37, details: "" },</t>
  </si>
  <si>
    <t>{ name: "Bone Pond East Cave &lt;sub&gt;(2 of 4)&lt;/sub&gt;", landmark: "Cave", type: "", region: 9, level: "Surface", x: 2215, y: 100, z: 71, details: "" },</t>
  </si>
  <si>
    <t>{ name: "Bone Pond East Cave &lt;sub&gt;(3 of 4)&lt;/sub&gt;", landmark: "Cave", type: "", region: 9, level: "Surface", x: 2260, y: 108, z: 110, details: "" },</t>
  </si>
  <si>
    <t>{ name: "Bone Pond East Cave &lt;sub&gt;(4 of 4)&lt;/sub&gt;", landmark: "Cave", type: "", region: 9, level: "Surface", x: 2253, y: 14, z: 16, details: "" },</t>
  </si>
  <si>
    <t>{ name: "Bottomless Cave &lt;sub&gt;(1 of 2)&lt;/sub&gt;", landmark: "Cave", type: "", region: 13, level: "Sky", x: 739, y: -1358, z: 1542, details: "" },</t>
  </si>
  <si>
    <t>{ name: "Bottomless Cave &lt;sub&gt;(2 of 2)&lt;/sub&gt;", landmark: "Cave", type: "", region: 13, level: "Sky", x: 711, y: -1449, z: 1485, details: "" },</t>
  </si>
  <si>
    <t>{ name: "Brightcap Cave", landmark: "Cave", type: "", region: 3, level: "Surface", x: -3005, y: 1635, z: 199, details: "" },</t>
  </si>
  <si>
    <t>{ name: "Byroad to Lanayru Wetlands Cave &lt;sub&gt;(1 of 2)&lt;/sub&gt;", landmark: "Cave", type: "", region: 10, level: "Surface", x: 1617, y: -1260, z: 6, details: "" },</t>
  </si>
  <si>
    <t>{ name: "Byroad to Lanayru Wetlands Cave &lt;sub&gt;(1 of 2)&lt;/sub&gt;", landmark: "Cave", type: "", region: 10, level: "Surface", x: 1587, y: -812, z: 6, details: "" },</t>
  </si>
  <si>
    <t>{ name: "Calora Lake Cave &lt;sub&gt;(1 of 2)&lt;/sub&gt;", landmark: "Cave", type: "", region: 13, level: "Surface", x: 1958, y: -3032, z: 192, details: "" },</t>
  </si>
  <si>
    <t>{ name: "Calora Lake Cave &lt;sub&gt;(2 of 2)&lt;/sub&gt;", landmark: "Cave", type: "", region: 13, level: "Surface", x: 2009, y: -3164, z: 176, details: "" },</t>
  </si>
  <si>
    <t>{ name: "Cape Cales Cliffbase Cave", landmark: "Cave", type: "", region: 12, level: "Surface", x: 3650, y: -3210, z: -6, details: "" },</t>
  </si>
  <si>
    <t>{ name: "Cave Under Zora's Domain", landmark: "Cave", type: "", region: 9, level: "Surface", x: 3240, y: 373, z: 75, details: "" },</t>
  </si>
  <si>
    <t>{ name: "Central Gerudo Cave", landmark: "Cave", type: "", region: 14, level: "Surface", x: -3679, y: -3255, z: -18, details: "" },</t>
  </si>
  <si>
    <t>{ name: "Cephla Lake Cave", landmark: "Cave", type: "", region: 7, level: "Surface", x: 2593, y: 1330, z: 150, details: "" },</t>
  </si>
  <si>
    <t>{ name: "Coliseum Ruins Cave", landmark: "Cave", type: "", region: 2, level: "Surface", x: -1167, y: -1310, z: 22, details: "" },</t>
  </si>
  <si>
    <t>{ name: "Construction Site Cave &lt;sub&gt;(1 of 2)&lt;/sub&gt;", landmark: "Cave", type: "", region: 8, level: "Surface", x: 3678, y: 1538, z: 74, details: "" },</t>
  </si>
  <si>
    <t>{ name: "Construction Site Cave &lt;sub&gt;(2 of 2)&lt;/sub&gt;", landmark: "Cave", type: "", region: 8, level: "Surface", x: 3735, y: 1534, z: 80, details: "" },</t>
  </si>
  <si>
    <t>{ name: "Cora Lakefront Cave &lt;sub&gt;(1 of 2)&lt;/sub&gt;", landmark: "Cave", type: "", region: 13, level: "Surface", x: -171, y: -3067, z: -13, details: "" },</t>
  </si>
  <si>
    <t>{ name: "Cora Lakefront Cave &lt;sub&gt;(2 of 2)&lt;/sub&gt;", landmark: "Cave", type: "", region: 13, level: "Surface", x: -256, y: -2940, z: -18, details: "" },</t>
  </si>
  <si>
    <t>{ name: "Corta Lake Cave", landmark: "Cave", type: "", region: 13, level: "Surface", x: 1676, y: -3038, z: 164, details: "" },</t>
  </si>
  <si>
    <t>{ name: "Crenel Hills Cave", landmark: "Cave", type: "", region: 1, level: "Surface", x: 493, y: 730, z: 40, details: "" },</t>
  </si>
  <si>
    <t>{ name: "Crenel Peak Cave &lt;sub&gt;(1 of 2)&lt;/sub&gt;", landmark: "Cave", type: "", region: 1, level: "Surface", x: 1144, y: 247, z: 57, details: "" },</t>
  </si>
  <si>
    <t>{ name: "Crenel Peak Cave &lt;sub&gt;(2 of 2)&lt;/sub&gt;", landmark: "Cave", type: "", region: 1, level: "Surface", x: 1349, y: 296, z: 28, details: "" },</t>
  </si>
  <si>
    <t>{ name: "Cucco Hideaway", landmark: "Cave", type: "", region: 10, level: "Surface", x: 1877, y: -1160, z: 198, details: "" },</t>
  </si>
  <si>
    <t>{ name: "Death Mountain East Tunnel", landmark: "Cave", type: "", region: 7, level: "Surface", x: 2767, y: 2778, z: 521, details: "" },</t>
  </si>
  <si>
    <t>{ name: "Death Mountain Foothill Cave", landmark: "Cave", type: "", region: 7, level: "Surface", x: 1949, y: 2687, z: 425, details: "" },</t>
  </si>
  <si>
    <t>{ name: "Death Mountain West Tunnel", landmark: "Cave", type: "", region: 7, level: "Surface", x: 2238, y: 2682, z: 520, details: "" },</t>
  </si>
  <si>
    <t>{ name: "Deepback Bay Cave", landmark: "Cave", type: "", region: 11, level: "Surface", x: 4213, y: -2262, z: 0, details: "" },</t>
  </si>
  <si>
    <t>{ name: "Deplian Badlands Cave", landmark: "Cave", type: "", region: 6, level: "Surface", x: 307, y: 3579, z: 87, details: "" },</t>
  </si>
  <si>
    <t>{ name: "Dueling Peaks North Cave", landmark: "Cave", type: "", region: 10, level: "Surface", x: 1194, y: -1854, z: 157, details: "" },</t>
  </si>
  <si>
    <t>{ name: "Dueling Peaks South Cave", landmark: "Cave", type: "", region: 10, level: "Surface", x: 1183, y: -1947, z: 245, details: "" },</t>
  </si>
  <si>
    <t>{ name: "East Biron Snowshelf Cave &lt;sub&gt;(1 of 2)&lt;/sub&gt;", landmark: "Cave", type: "", region: 4, level: "Surface", x: -3989, y: 3062, z: 138, details: "" },</t>
  </si>
  <si>
    <t>{ name: "East Biron Snowshelf Cave &lt;sub&gt;(2 of 2)&lt;/sub&gt;", landmark: "Cave", type: "", region: 4, level: "Surface", x: -3555, y: 3088, z: 273, details: "" },</t>
  </si>
  <si>
    <t>{ name: "East Gerudo Ruins Cave", landmark: "Cave", type: "", region: 14, level: "Surface", x: -2696, y: -2808, z: -67, details: "" },</t>
  </si>
  <si>
    <t>{ name: "East Restaurant Cave", landmark: "Cave", type: "", region: 7, level: "Surface", x: 1853, y: 1719, z: 291, details: "" },</t>
  </si>
  <si>
    <t>{ name: "Eventide Island Cave", landmark: "Cave", type: "", region: 12, level: "Surface", x: 4752, y: -3781, z: -6, details: "" },</t>
  </si>
  <si>
    <t>{ name: "Finra Woods Excavation Site", landmark: "Cave", type: "", region: 13, level: "Surface", x: 568, y: -2981, z: 12, details: "" },</t>
  </si>
  <si>
    <t>{ name: "Floria River Upstream Excavation", landmark: "Cave", type: "", region: 13, level: "Surface", x: 809, y: -2971, z: 10, details: "" },</t>
  </si>
  <si>
    <t>{ name: "Foothill Monster Den", landmark: "Cave", type: "", region: 7, level: "Surface", x: 2275, y: 1520, z: 157, details: "" },</t>
  </si>
  <si>
    <t>{ name: "Fort Hateno Cave", landmark: "Cave", type: "", region: 10, level: "Surface", x: 2243, y: -1689, z: 23, details: "" },</t>
  </si>
  <si>
    <t>{ name: "Gerudo Canyon Mine &lt;sub&gt;(1 of 2)&lt;/sub&gt;", landmark: "Cave", type: "", region: 14, level: "Surface", x: -2676, y: -2402, z: 79, details: "" },</t>
  </si>
  <si>
    <t>{ name: "Gerudo Canyon Mine &lt;sub&gt;(2 of 2)&lt;/sub&gt;", landmark: "Cave", type: "", region: 14, level: "Surface", x: -2611, y: -2604, z: 112, details: "" },</t>
  </si>
  <si>
    <t>{ name: "Gerudo Great Skeleton Cave", landmark: "Cave", type: "", region: 14, level: "Surface", x: -4814, y: -3875, z: -1, details: "" },</t>
  </si>
  <si>
    <t>{ name: "Gerudo Sanctuary &lt;sub&gt;(1 of 2)&lt;/sub&gt;", landmark: "Cave", type: "", region: 14, level: "Surface", x: -3763, y: -2420, z: 24, details: "" },</t>
  </si>
  <si>
    <t>{ name: "Gerudo Sanctuary &lt;sub&gt;(2 of 2)&lt;/sub&gt;", landmark: "Cave", type: "", region: 14, level: "Surface", x: -3763, y: -2698, z: 35, details: "" },</t>
  </si>
  <si>
    <t>{ name: "Gisa Crater Cave &lt;sub&gt;(1 of 2)&lt;/sub&gt;", landmark: "Cave", type: "", region: 3, level: "Surface", x: -3865, y: 1011, z: 72, details: "" },</t>
  </si>
  <si>
    <t>{ name: "Gisa Crater Cave &lt;sub&gt;(2 of 2)&lt;/sub&gt;", landmark: "Cave", type: "", region: 3, level: "Surface", x: -3931, y: 1090, z: 72, details: "" },</t>
  </si>
  <si>
    <t>{ name: "Gorko Tunnel", landmark: "Cave", type: "", region: 7, level: "Surface", x: 2015, y: 2038, z: 420, details: "" },</t>
  </si>
  <si>
    <t>{ name: "Goronbi River Cave", landmark: "Cave", type: "", region: 7, level: "Surface", x: 1423, y: 2102, z: 284, details: "" },</t>
  </si>
  <si>
    <t>{ name: "Great Plateau Foothill Cave", landmark: "Cave", type: "", region: 2, level: "Surface", x: -832, y: -1488, z: 26, details: "" },</t>
  </si>
  <si>
    <t>{ name: "Hebra Great Skeleton Cave", landmark: "Cave", type: "", region: 4, level: "Surface", x: -3814, y: 3595, z: 255, details: "" },</t>
  </si>
  <si>
    <t>{ name: "Hebra Headspring Cave", landmark: "Cave", type: "", region: 4, level: "Surface", x: -2900, y: 2510, z: 387, details: "" },</t>
  </si>
  <si>
    <t>{ name: "Hebra Mountains Northwest Cave", landmark: "Cave", type: "", region: 4, level: "Surface", x: -2995, y: 3225, z: 539, details: "" },</t>
  </si>
  <si>
    <t>{ name: "Hebra South Summit Cave &lt;sub&gt;(1 of 2)&lt;/sub&gt;", landmark: "Cave", type: "", region: 4, level: "Surface", x: -3398, y: 2499, z: 313, details: "" },</t>
  </si>
  <si>
    <t>{ name: "Hebra South Summit Cave &lt;sub&gt;(2 of 2)&lt;/sub&gt;", landmark: "Cave", type: "", region: 4, level: "Surface", x: -3227, y: 2535, z: 441, details: "" },</t>
  </si>
  <si>
    <t>{ name: "Horon Lagoon Cave", landmark: "Cave", type: "", region: 9, level: "Surface", x: 4243, y: -255, z: -16, details: "" },</t>
  </si>
  <si>
    <t>{ name: "Icefall Foothills Cave", landmark: "Cave", type: "", region: 4, level: "Surface", x: -4429, y: 3760, z: 223, details: "" },</t>
  </si>
  <si>
    <t>{ name: "Isle of Rabac Gallery", landmark: "Cave", type: "", region: 7, level: "Surface", x: 1554, y: 3102, z: 392, details: "" },</t>
  </si>
  <si>
    <t>{ name: "Kakariko Village Cave", landmark: "Cave", type: "", region: 10, level: "Surface", x: 1947, y: -981, z: 157, details: "" },</t>
  </si>
  <si>
    <t>{ name: "Komo Shoreline Cave", landmark: "Cave", type: "", region: 13, level: "Surface", x: 486, y: -3831, z: 7, details: "" },</t>
  </si>
  <si>
    <t>{ name: "Kopeeki Drifts Cave", landmark: "Cave", type: "", region: 3, level: "Surface", x: -2395, y: 2276, z: 169, details: "" },</t>
  </si>
  <si>
    <t>{ name: "Koukot Plateau Cave &lt;sub&gt;(1 of 2)&lt;/sub&gt;", landmark: "Cave", type: "", region: 14, level: "Surface", x: -2258, y: -1759, z: 56, details: "" },</t>
  </si>
  <si>
    <t>{ name: "Koukot Plateau Cave &lt;sub&gt;(2 of 2)&lt;/sub&gt;", landmark: "Cave", type: "", region: 14, level: "Surface", x: -2173, y: -1841, z: 126, details: "" },</t>
  </si>
  <si>
    <t>{ name: "Lake Darman Monster Den", landmark: "Cave", type: "", region: 7, level: "Surface", x: 2373, y: 3051, z: 445, details: "" },</t>
  </si>
  <si>
    <t>{ name: "Lake Ferona Cave &lt;sub&gt;(1 of 2)&lt;/sub&gt;", landmark: "Cave", type: "", region: 7, level: "Surface", x: 1929, y: 1271, z: 121, details: "" },</t>
  </si>
  <si>
    <t>{ name: "Lake Ferona Cave &lt;sub&gt;(2 of 2)&lt;/sub&gt;", landmark: "Cave", type: "", region: 7, level: "Surface", x: 1931, y: 1304, z: 168, details: "" },</t>
  </si>
  <si>
    <t>{ name: "Lake Hylia Whirlpool Cave", landmark: "Cave", type: "", region: 13, level: "Surface", x: 125, y: -2501, z: -89, details: "" },</t>
  </si>
  <si>
    <t>{ name: "Lake Intenoch Cave", landmark: "Cave", type: "", region: 7, level: "Surface", x: 2485, y: 1792, z: 157, details: "" },</t>
  </si>
  <si>
    <t>{ name: "Lake Kilsie Cave", landmark: "Cave", type: "", region: 4, level: "Surface", x: -3930, y: 2861, z: -18, details: "" },</t>
  </si>
  <si>
    <t>{ name: "Lanayru Road East Cave &lt;sub&gt;(1 of 2)&lt;/sub&gt;", landmark: "Cave", type: "", region: 11, level: "Surface", x: 3073, y: -1137, z: 91, details: "" },</t>
  </si>
  <si>
    <t>{ name: "Lanayru Road East Cave &lt;sub&gt;(2 of 2)&lt;/sub&gt;", landmark: "Cave", type: "", region: 11, level: "Surface", x: 3476, y: -968, z: -8, details: "" },</t>
  </si>
  <si>
    <t>{ name: "Lanayru Road South Cave", landmark: "Cave", type: "", region: 10, level: "Surface", x: 2698, y: -1314, z: 111, details: "" },</t>
  </si>
  <si>
    <t>{ name: "Lindor's Brow Cave", landmark: "Cave", type: "", region: 3, level: "Surface", x: -1734, y: 1165, z: 228, details: "" },</t>
  </si>
  <si>
    <t>{ name: "Lizard's Burrow", landmark: "Cave", type: "", region: 7, level: "Surface", x: 2206, y: 3075, z: 405, details: "" },</t>
  </si>
  <si>
    <t>{ name: "Lower Spectacle Rock Cave", landmark: "Cave", type: "", region: 14, level: "Surface", x: -1744, y: -2394, z: -11, details: "" },</t>
  </si>
  <si>
    <t>{ name: "Luto's Channel", landmark: "Cave", type: "", region: 9, level: "Surface", x: 3094, y: -51, z: 79, details: "" },</t>
  </si>
  <si>
    <t>{ name: "Mapla Point Cave", landmark: "Cave", type: "", region: 11, level: "Surface", x: 4585, y: -2246, z: -1, details: "" },</t>
  </si>
  <si>
    <t>{ name: "Meadela's Mantle Cave", landmark: "Cave", type: "", region: 15, level: "Surface", x: -3982, y: -1245, z: 426, details: "" },</t>
  </si>
  <si>
    <t>{ name: "Mining Cave &lt;sub&gt;(1 of 2)&lt;/sub&gt;", landmark: "Cave", type: "", region: 13, level: "Sky", x: 380, y: -1631, z: 1411, details: "" },</t>
  </si>
  <si>
    <t>{ name: "Mining Cave &lt;sub&gt;(2 of 2)&lt;/sub&gt;", landmark: "Cave", type: "", region: 13, level: "Sky", x: 489, y: -1625, z: 1367, details: "" },</t>
  </si>
  <si>
    <t>{ name: "Mount Drena Foothill Cave", landmark: "Cave", type: "", region: 5, level: "Surface", x: -1372, y: 2861, z: 197, details: "" },</t>
  </si>
  <si>
    <t>{ name: "Mount Dunsel Cave &lt;sub&gt;(1 of 2)&lt;/sub&gt;", landmark: "Cave", type: "", region: 12, level: "Surface", x: 3224, y: -3017, z: 59, details: "" },</t>
  </si>
  <si>
    <t>{ name: "Mount Dunsel Cave &lt;sub&gt;(2 of 2)&lt;/sub&gt;", landmark: "Cave", type: "", region: 12, level: "Surface", x: 3291, y: -3296, z: 64, details: "" },</t>
  </si>
  <si>
    <t>{ name: "Mount Floria Cave &lt;sub&gt;(1 of 2)&lt;/sub&gt;", landmark: "Cave", type: "", region: 13, level: "Surface", x: 1959, y: -2611, z: 71, details: "" },</t>
  </si>
  <si>
    <t>{ name: "Mount Floria Cave &lt;sub&gt;(2 of 2)&lt;/sub&gt;", landmark: "Cave", type: "", region: 13, level: "Surface", x: 1789, y: -2985, z: 80, details: "" },</t>
  </si>
  <si>
    <t>{ name: "Mount Nabooru Cave &lt;sub&gt;(1 of 2)&lt;/sub&gt;", landmark: "Cave", type: "", region: 14, level: "Surface", x: -1967, y: -2059, z: 30, details: "" },</t>
  </si>
  <si>
    <t>{ name: "Mount Nabooru Cave &lt;sub&gt;(2 of 2)&lt;/sub&gt;", landmark: "Cave", type: "", region: 14, level: "Surface", x: -1795, y: -1961, z: 31, details: "" },</t>
  </si>
  <si>
    <t>{ name: "Mount Nabooru South Cave", landmark: "Cave", type: "", region: 14, level: "Surface", x: -1726, y: -2183, z: 5, details: "" },</t>
  </si>
  <si>
    <t>{ name: "Mystathi's Shelf Cave", landmark: "Cave", type: "", region: 15, level: "Surface", x: -3881, y: -726, z: 569, details: "" },</t>
  </si>
  <si>
    <t>{ name: "North Akkala Beach Cave &lt;sub&gt;(1 of 2)&lt;/sub&gt;", landmark: "Cave", type: "", region: 8, level: "Surface", x: 4650, y: 3584, z: -51, details: "" },</t>
  </si>
  <si>
    <t>{ name: "North Akkala Beach Cave &lt;sub&gt;(2 of 2)&lt;/sub&gt;", landmark: "Cave", type: "", region: 8, level: "Surface", x: 4645, y: 3206, z: 6, details: "" },</t>
  </si>
  <si>
    <t>{ name: "North Biron Snowshelf Cave", landmark: "Cave", type: "", region: 4, level: "Surface", x: -3960, y: 3245, z: 236, details: "" },</t>
  </si>
  <si>
    <t>{ name: "North Hyrule Plain Cave &lt;sub&gt;(1 of 2)&lt;/sub&gt;", landmark: "Cave", type: "", region: 3, level: "Surface", x: -1234, y: 770, z: 77, details: "" },</t>
  </si>
  <si>
    <t>{ name: "North Hyrule Plain Cave &lt;sub&gt;(2 of 2)&lt;/sub&gt;", landmark: "Cave", type: "", region: 3, level: "Surface", x: -1188, y: 644, z: 72, details: "" },</t>
  </si>
  <si>
    <t>{ name: "Oakle's Navel Cave", landmark: "Cave", type: "", region: 11, level: "Surface", x: 2504, y: -2106, z: 6, details: "" },</t>
  </si>
  <si>
    <t>{ name: "Source of the Oasis Cave", landmark: "Cave", type: "", region: 14, level: "Surface", x: -3354, y: -2693, z: -4, details: "" },</t>
  </si>
  <si>
    <t>{ name: "Oren Bridge Cave", landmark: "Cave", type: "", region: 9, level: "Surface", x: 2909, y: -65, z: 81, details: "" },</t>
  </si>
  <si>
    <t>{ name: "Pagos Woods Excavation Site", landmark: "Cave", type: "", region: 13, level: "Surface", x: 671, y: -3109, z: 23, details: "" },</t>
  </si>
  <si>
    <t>{ name: "Passeri Greenbelt Cave", landmark: "Cave", type: "", region: 1, level: "Surface", x: -512, y: 127, z: 20, details: "" },</t>
  </si>
  <si>
    <t>{ name: "Pico Pond Cave", landmark: "Cave", type: "", region: 7, level: "Surface", x: 1247, y: 1231, z: 25, details: "" },</t>
  </si>
  <si>
    <t>{ name: "Pikida Stonegrove Northwest Cave &lt;sub&gt;(1 of 2)&lt;/sub&gt;", landmark: "Cave", type: "", region: 5, level: "Surface", x: -2642, y: 3268, z: 249, details: "" },</t>
  </si>
  <si>
    <t>{ name: "Pikida Stonegrove Northwest Cave &lt;sub&gt;(2 of 2)&lt;/sub&gt;", landmark: "Cave", type: "", region: 5, level: "Surface", x: -2414, y: 3136, z: 372, details: "" },</t>
  </si>
  <si>
    <t>{ name: "Pit Cave &lt;sub&gt;(1 of 2)&lt;/sub&gt;", landmark: "Cave", type: "", region: 13, level: "Sky", x: 587, y: -1624, z: 1442, details: "" },</t>
  </si>
  <si>
    <t>{ name: "Pit Cave &lt;sub&gt;(2 of 2)&lt;/sub&gt;", landmark: "Cave", type: "", region: 13, level: "Sky", x: 632, y: -1638, z: 1483, details: "" },</t>
  </si>
  <si>
    <t>{ name: "Ploymus Mountain Cave", landmark: "Cave", type: "", region: 9, level: "Surface", x: 3660, y: 538, z: 268, details: "" },</t>
  </si>
  <si>
    <t>{ name: "Pondside Cave &lt;sub&gt;(1 of 2)&lt;/sub&gt;", landmark: "Cave", type: "", region: 2, level: "Sky", x: 260, y: -1557, z: 1361, details: "" },</t>
  </si>
  <si>
    <t>{ name: "Pondside Cave &lt;sub&gt;(2 of 2)&lt;/sub&gt;", landmark: "Cave", type: "", region: 2, level: "Sky", x: 170, y: -1633, z: 1377, details: "" },</t>
  </si>
  <si>
    <t>{ name: "Popla Foothills Excavation Site", landmark: "Cave", type: "", region: 13, level: "Surface", x: 608, y: -2210, z: 50, details: "" },</t>
  </si>
  <si>
    <t>{ name: "Pristine Sanctum &lt;sub&gt;(1 of 2)&lt;/sub&gt;", landmark: "Cave", type: "", region: 9, level: "Surface", x: 3708, y: 608, z: 343, details: "" },</t>
  </si>
  <si>
    <t>{ name: "Pristine Sanctum &lt;sub&gt;(2 of 2)&lt;/sub&gt;", landmark: "Cave", type: "", region: 9, level: "Surface", x: 3622, y: 583, z: 169, details: "" },</t>
  </si>
  <si>
    <t>{ name: "Puffer Beach Overhead Cave", landmark: "Cave", type: "", region: 13, level: "Surface", x: 283, y: -3851, z: 33, details: "" },</t>
  </si>
  <si>
    <t>{ name: "Quicksand Lake Cave", landmark: "Cave", type: "", region: 14, level: "Surface", x: -3238, y: -2939, z: -65, details: "" },</t>
  </si>
  <si>
    <t>{ name: "Ralis Channel &lt;sub&gt;(1 of 2)&lt;/sub&gt;", landmark: "Cave", type: "", region: 9, level: "Surface", x: 2958, y: 253, z: 202, details: "" },</t>
  </si>
  <si>
    <t>{ name: "Ralis Channel &lt;sub&gt;(2 of 2)&lt;/sub&gt;", landmark: "Cave", type: "", region: 9, level: "Surface", x: 2912, y: 170, z: 157, details: "" },</t>
  </si>
  <si>
    <t>{ name: "Ranch Ruins Cave &lt;sub&gt;(1 of 2)&lt;/sub&gt;", landmark: "Cave", type: "", region: 1, level: "Surface", x: 6, y: -157, z: 30, details: "" },</t>
  </si>
  <si>
    <t>{ name: "Ranch Ruins Cave &lt;sub&gt;(2 of 2)&lt;/sub&gt;", landmark: "Cave", type: "", region: 1, level: "Surface", x: 37, y: -198, z: 18, details: "" },</t>
  </si>
  <si>
    <t>{ name: "Rassla Lake Cave", landmark: "Cave", type: "", region: 13, level: "Surface", x: 1813, y: -3738, z: 118, details: "" },</t>
  </si>
  <si>
    <t>{ name: "Rauru Hillside Cave", landmark: "Cave", type: "", region: 6, level: "Surface", x: 676, y: 1389, z: 45, details: "" },</t>
  </si>
  <si>
    <t>{ name: "Rebonae Bridge Cave", landmark: "Cave", type: "", region: 1, level: "Surface", x: 845, y: 31, z: 15, details: "" },</t>
  </si>
  <si>
    <t>{ name: "Reservoir Lakefront Cavern", landmark: "Cave", type: "", region: 9, level: "Surface", x: 3809, y: 419, z: 208, details: "" },</t>
  </si>
  <si>
    <t>{ name: "Retsam Forest Cave &lt;sub&gt;(1 of 2)&lt;/sub&gt;", landmark: "Cave", type: "", region: 11, level: "Surface", x: 3748, y: -2026, z: 190, details: "" },</t>
  </si>
  <si>
    <t>{ name: "Retsam Forest Cave &lt;sub&gt;(2 of 2)&lt;/sub&gt;", landmark: "Cave", type: "", region: 11, level: "Surface", x: 3757, y: -2066, z: 214, details: "" },</t>
  </si>
  <si>
    <t>{ name: "River of the Dead Waterfall Cave", landmark: "Cave", type: "", region: 2, level: "Surface", x: -1092, y: -2162, z: 143, details: "" },</t>
  </si>
  <si>
    <t>{ name: "Robred Dropoff Cave", landmark: "Cave", type: "", region: 10, level: "Surface", x: 2492, y: -1477, z: 12, details: "" },</t>
  </si>
  <si>
    <t>{ name: "Rodai Lakefront Tunnel", landmark: "Cave", type: "", region: 13, level: "Surface", x: 1896, y: -3111, z: 132, details: "" },</t>
  </si>
  <si>
    <t>{ name: "Rospro Pass Cave", landmark: "Cave", type: "", region: 4, level: "Surface", x: -3559, y: 2488, z: 227, details: "" },</t>
  </si>
  <si>
    <t>{ name: "Royal Hidden Passage &lt;sub&gt;(1 of 3)&lt;/sub&gt;", landmark: "Cave", type: "", region: 1, level: "Surface", x: -325, y: 802, z: 54, details: "" },</t>
  </si>
  <si>
    <t>{ name: "Royal Hidden Passage &lt;sub&gt;(2 of 3)&lt;/sub&gt;", landmark: "Cave", type: "", region: 1, level: "Surface", x: -253, y: 767, z: 27, details: "" },</t>
  </si>
  <si>
    <t>{ name: "Royal Hidden Passage &lt;sub&gt;(3 of 3)&lt;/sub&gt;", landmark: "Cave", type: "", region: 1, level: "Surface", x: -254, y: 129, z: 8, details: "" },</t>
  </si>
  <si>
    <t>{ name: "Sage Temple Cave", landmark: "Cave", type: "", region: 1, level: "Surface", x: -1404, y: -256, z: -3, details: "" },</t>
  </si>
  <si>
    <t>{ name: "Sahasra Slope Cave &lt;sub&gt;(1 of 2)&lt;/sub&gt;", landmark: "Cave", type: "", region: 10, level: "Surface", x: 1328, y: -1156, z: 134, details: "" },</t>
  </si>
  <si>
    <t>{ name: "Sahasra Slope Cave &lt;sub&gt;(2 of 2)&lt;/sub&gt;", landmark: "Cave", type: "", region: 10, level: "Surface", x: 1373, y: -1197, z: 129, details: "" },</t>
  </si>
  <si>
    <t>{ name: "Sarjon Woods Cave", landmark: "Cave", type: "", region: 13, level: "Surface", x: 1203, y: -3170, z: 25, details: "" },</t>
  </si>
  <si>
    <t>{ name: "Satori Mountain Cave", landmark: "Cave", type: "", region: 2, level: "Surface", x: -2151, y: -360, z: 276, details: "" },</t>
  </si>
  <si>
    <t>{ name: "Satori Mountain Foothill Cave", landmark: "Cave", type: "", region: 2, level: "Surface", x: -2198, y: -807, z: 117, details: "" },</t>
  </si>
  <si>
    <t>{ name: "Shrine of Resurrection", landmark: "Cave", type: "", region: 2, level: "Surface", x: -1061, y: -1829, z: 142, details: "" },</t>
  </si>
  <si>
    <t>{ name: "Skull Lake Cave", landmark: "Cave", type: "", region: 8, level: "Surface", x: 3321, y: 3424, z: 171, details: "" },</t>
  </si>
  <si>
    <t>{ name: "South Gerudo Cave", landmark: "Cave", type: "", region: 14, level: "Surface", x: -2939, y: -3857, z: -37, details: "" },</t>
  </si>
  <si>
    <t>{ name: "Southern Mine", landmark: "Cave", type: "", region: 7, level: "Surface", x: 1800, y: 1983, z: 320, details: "" },</t>
  </si>
  <si>
    <t>{ name: "Spectacle Rock Cave", landmark: "Cave", type: "", region: 14, level: "Surface", x: -2215, y: -2395, z: 247, details: "" },</t>
  </si>
  <si>
    <t>{ name: "Stalry Plateau Cave", landmark: "Cave", type: "", region: 14, level: "Surface", x: -1527, y: -2222, z: -20, details: "" },</t>
  </si>
  <si>
    <t>{ name: "Statue of the Eighth Heroine Cave", landmark: "Cave", type: "", region: 15, level: "Surface", x: -4384, y: -536, z: 473, details: "" },</t>
  </si>
  <si>
    <t>{ name: "Sturnida Springs Cave", landmark: "Cave", type: "", region: 4, level: "Surface", x: -4041, y: 2671, z: 23, details: "" },</t>
  </si>
  <si>
    <t>{ name: "Taafei Hill Cave", landmark: "Cave", type: "", region: 14, level: "Surface", x: -2457, y: -1798, z: 176, details: "" },</t>
  </si>
  <si>
    <t>{ name: "Tabahl Woods Cave &lt;sub&gt;(1 of 3)&lt;/sub&gt;", landmark: "Cave", type: "", region: 9, level: "Surface", x: 2674, y: 287, z: 89, details: "" },</t>
  </si>
  <si>
    <t>{ name: "Tabahl Woods Cave &lt;sub&gt;(2 of 3)&lt;/sub&gt;", landmark: "Cave", type: "", region: 9, level: "Surface", x: 2605, y: 227, z: 75, details: "" },</t>
  </si>
  <si>
    <t>{ name: "Tabahl Woods Cave &lt;sub&gt;(3 of 3)&lt;/sub&gt;", landmark: "Cave", type: "", region: 9, level: "Surface", x: 2679, y: 217, z: 92, details: "" },</t>
  </si>
  <si>
    <t>{ name: "Tabantha Hills Cave", landmark: "Cave", type: "", region: 3, level: "Surface", x: -2840, y: 1771, z: 222, details: "" },</t>
  </si>
  <si>
    <t>{ name: "Talonto Peak Cave", landmark: "Cave", type: "", region: 4, level: "Surface", x: -3214, y: 2462, z: 345, details: "" },</t>
  </si>
  <si>
    <t>{ name: "Tamio River Downstream Cave", landmark: "Cave", type: "", region: 2, level: "Surface", x: -2921, y: -804, z: 7, details: "" },</t>
  </si>
  <si>
    <t>{ name: "Tanagar Canyon East Cave", landmark: "Cave", type: "", region: 3, level: "Surface", x: -2049, y: 1631, z: -56, details: "" },</t>
  </si>
  <si>
    <t>{ name: "Tanagar Canyon West Cave", landmark: "Cave", type: "", region: 3, level: "Surface", x: -3308, y: 789, z: -101, details: "" },</t>
  </si>
  <si>
    <t>{ name: "Tarm Point Cave", landmark: "Cave", type: "", region: 11, level: "Surface", x: 4473, y: -826, z: 31, details: "" },</t>
  </si>
  <si>
    <t>{ name: "Tarrey Town Tunnel", landmark: "Cave", type: "", region: 8, level: "Surface", x: 3925, y: 1576, z: 107, details: "" },</t>
  </si>
  <si>
    <t>{ name: "Thundra Plateau Cave", landmark: "Cave", type: "", region: 3, level: "Surface", x: -2268, y: 899, z: 86, details: "" },</t>
  </si>
  <si>
    <t>{ name: "Tobio's Hollow Cave", landmark: "Cave", type: "", region: 10, level: "Surface", x: 1169, y: -2443, z: 177, details: "" },</t>
  </si>
  <si>
    <t>{ name: "Ubota Point Cave", landmark: "Cave", type: "", region: 13, level: "Surface", x: 1446, y: -3483, z: 77, details: "" },</t>
  </si>
  <si>
    <t>{ name: "Ulria Grotto East Cave &lt;sub&gt;(1 of 2)&lt;/sub&gt;", landmark: "Cave", type: "", region: 9, level: "Surface", x: 4272, y: 774, z: 144, details: "" },</t>
  </si>
  <si>
    <t>{ name: "Ulria Grotto East Cave &lt;sub&gt;(2 of 2)&lt;/sub&gt;", landmark: "Cave", type: "", region: 9, level: "Surface", x: 4505, y: 705, z: 96, details: "" },</t>
  </si>
  <si>
    <t>{ name: "Ulria Grotto South Cave", landmark: "Cave", type: "", region: 9, level: "Surface", x: 4122, y: 662, z: 187, details: "" },</t>
  </si>
  <si>
    <t>{ name: "Upland Zorana Byroad Cave &lt;sub&gt;(1 of 2)&lt;/sub&gt;", landmark: "Cave", type: "", region: 9, level: "Surface", x: 2863, y: 346, z: 227, details: "" },</t>
  </si>
  <si>
    <t>{ name: "Upland Zorana Byroad Cave &lt;sub&gt;(2 of 2)&lt;/sub&gt;", landmark: "Cave", type: "", region: 9, level: "Surface", x: 2700, y: 479, z: 201, details: "" },</t>
  </si>
  <si>
    <t>{ name: "Upland Zorana Foothill Cave", landmark: "Cave", type: "", region: 9, level: "Surface", x: 3147, y: 667, z: 177, details: "" },</t>
  </si>
  <si>
    <t>{ name: "Upland Zorana Mountainside Cave &lt;sub&gt;(1 of 2)&lt;/sub&gt;", landmark: "Cave", type: "", region: 9, level: "Surface", x: 2570, y: 517, z: 164, details: "" },</t>
  </si>
  <si>
    <t>{ name: "Upland Zorana Mountainside Cave &lt;sub&gt;(2 of 2)&lt;/sub&gt;", landmark: "Cave", type: "", region: 9, level: "Surface", x: 2633, y: 526, z: 188, details: "" },</t>
  </si>
  <si>
    <t>{ name: "Upland Zorana Summit Cave", landmark: "Cave", type: "", region: 9, level: "Surface", x: 2850, y: 477, z: 324, details: "" },</t>
  </si>
  <si>
    <t>{ name: "Valley of Silent Statues", landmark: "Cave", type: "", region: 14, level: "Surface", x: -3827, y: -2650, z: 35, details: "" },</t>
  </si>
  <si>
    <t>{ name: "Walnot Mountain Cave &lt;sub&gt;(1 of 2)&lt;/sub&gt;", landmark: "Cave", type: "", region: 11, level: "Surface", x: 4225, y: -1738, z: 180, details: "" },</t>
  </si>
  <si>
    <t>{ name: "Walnot Mountain Cave &lt;sub&gt;(2 of 2)&lt;/sub&gt;", landmark: "Cave", type: "", region: 11, level: "Surface", x: 3933, y: -2069, z: 127, details: "" },</t>
  </si>
  <si>
    <t>{ name: "West Gerudo Underground Ruins", landmark: "Cave", type: "", region: 14, level: "Surface", x: -4673, y: -1986, z: 9, details: "" },</t>
  </si>
  <si>
    <t>{ name: "West Lake Totori Cave", landmark: "Cave", type: "", region: 4, level: "Surface", x: -3958, y: 2029, z: 200, details: "" },</t>
  </si>
  <si>
    <t>{ name: "West Restaurant Cave", landmark: "Cave", type: "", region: 7, level: "Surface", x: 1642, y: 1729, z: 279, details: "" },</t>
  </si>
  <si>
    <t>{ name: "Whistling Hill Cave", landmark: "Cave", type: "", region: 2, level: "Surface", x: -72, y: -1045, z: 17, details: "" },</t>
  </si>
  <si>
    <t>{ name: "Yiga Blademaster Station", landmark: "Cave", type: "", region: 14, level: "Surface", x: -2433, y: -1819, z: 145, details: "" },</t>
  </si>
  <si>
    <t>{ name: "Yiga Clan Maritta Branch", landmark: "Cave", type: "", region: 6, level: "Surface", x: -643, y: 2040, z: 154, details: "" },</t>
  </si>
  <si>
    <t>{ name: "YunoboCo HQ East Cave", landmark: "Cave", type: "", region: 7, level: "Surface", x: 1764, y: 2837, z: 399, details: "" },</t>
  </si>
  <si>
    <t>{ name: "YunoboCo HQ South Cave", landmark: "Cave", type: "", region: 7, level: "Surface", x: 1713, y: 2718, z: 400,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</si>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</sst>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0" borderId="0" xfId="0" applyAlignment="1">
      <alignment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dimension ref="A1:G17"/>
  <sheetViews>
    <sheetView workbookViewId="0">
      <selection activeCell="B12" sqref="B12"/>
    </sheetView>
  </sheetViews>
  <sheetFormatPr baseColWidth="10" defaultRowHeight="16" x14ac:dyDescent="0.2"/>
  <cols>
    <col min="1" max="1" width="24" bestFit="1" customWidth="1"/>
    <col min="2" max="3" width="10.83203125" style="2"/>
    <col min="4" max="5" width="10.83203125" style="15"/>
  </cols>
  <sheetData>
    <row r="1" spans="1:7" x14ac:dyDescent="0.2">
      <c r="A1" s="6" t="s">
        <v>1092</v>
      </c>
      <c r="B1" s="4" t="s">
        <v>4619</v>
      </c>
      <c r="C1" s="4" t="s">
        <v>4613</v>
      </c>
      <c r="D1" s="14" t="s">
        <v>4615</v>
      </c>
      <c r="E1" s="14" t="s">
        <v>4614</v>
      </c>
    </row>
    <row r="2" spans="1:7" x14ac:dyDescent="0.2">
      <c r="A2" t="s">
        <v>4612</v>
      </c>
      <c r="C2" s="2">
        <v>900</v>
      </c>
      <c r="D2" s="15">
        <v>4.0000000000000002E-4</v>
      </c>
      <c r="E2" s="15">
        <f>C2*D2</f>
        <v>0.36000000000000004</v>
      </c>
    </row>
    <row r="3" spans="1:7" x14ac:dyDescent="0.2">
      <c r="A3" t="s">
        <v>4616</v>
      </c>
      <c r="B3" s="2">
        <f>COUNTA('Named Locations'!A2:A1999)</f>
        <v>990</v>
      </c>
      <c r="C3" s="2">
        <v>700</v>
      </c>
      <c r="D3" s="15">
        <v>4.0000000000000002E-4</v>
      </c>
      <c r="E3" s="15">
        <f>C3*D3</f>
        <v>0.28000000000000003</v>
      </c>
      <c r="G3" t="s">
        <v>4623</v>
      </c>
    </row>
    <row r="4" spans="1:7" x14ac:dyDescent="0.2">
      <c r="A4" t="s">
        <v>1090</v>
      </c>
      <c r="B4" s="2">
        <f>COUNTA(Caves!A2:A1048)</f>
        <v>197</v>
      </c>
      <c r="C4" s="2">
        <v>194</v>
      </c>
      <c r="D4" s="15">
        <v>4.0000000000000002E-4</v>
      </c>
      <c r="E4" s="15">
        <f>C4*D4</f>
        <v>7.7600000000000002E-2</v>
      </c>
    </row>
    <row r="5" spans="1:7" x14ac:dyDescent="0.2">
      <c r="A5" t="s">
        <v>4617</v>
      </c>
      <c r="B5" s="16">
        <v>152</v>
      </c>
      <c r="C5" s="16">
        <v>152</v>
      </c>
      <c r="D5" s="15">
        <v>4.0000000000000002E-4</v>
      </c>
      <c r="E5" s="15">
        <f t="shared" ref="E5:E16" si="0">C5*D5</f>
        <v>6.08E-2</v>
      </c>
    </row>
    <row r="6" spans="1:7" x14ac:dyDescent="0.2">
      <c r="A6" t="s">
        <v>4618</v>
      </c>
      <c r="B6" s="16">
        <v>120</v>
      </c>
      <c r="C6" s="16">
        <v>120</v>
      </c>
      <c r="D6" s="15">
        <v>4.0000000000000002E-4</v>
      </c>
      <c r="E6" s="15">
        <f t="shared" si="0"/>
        <v>4.8000000000000001E-2</v>
      </c>
    </row>
    <row r="7" spans="1:7" x14ac:dyDescent="0.2">
      <c r="A7" t="s">
        <v>4620</v>
      </c>
      <c r="C7" s="2">
        <v>58</v>
      </c>
      <c r="D7" s="15">
        <v>4.0000000000000002E-4</v>
      </c>
      <c r="E7" s="15">
        <f t="shared" si="0"/>
        <v>2.3200000000000002E-2</v>
      </c>
    </row>
    <row r="8" spans="1:7" x14ac:dyDescent="0.2">
      <c r="A8" t="s">
        <v>4621</v>
      </c>
      <c r="B8" s="2">
        <v>28</v>
      </c>
      <c r="C8" s="2">
        <v>35</v>
      </c>
      <c r="D8" s="15">
        <v>4.0000000000000002E-4</v>
      </c>
      <c r="E8" s="15">
        <f t="shared" si="0"/>
        <v>1.4E-2</v>
      </c>
    </row>
    <row r="9" spans="1:7" x14ac:dyDescent="0.2">
      <c r="A9" t="s">
        <v>4622</v>
      </c>
      <c r="C9" s="2">
        <v>35</v>
      </c>
      <c r="D9" s="15">
        <v>4.0000000000000002E-4</v>
      </c>
      <c r="E9" s="15">
        <f t="shared" si="0"/>
        <v>1.4E-2</v>
      </c>
      <c r="G9" t="s">
        <v>4623</v>
      </c>
    </row>
    <row r="10" spans="1:7" x14ac:dyDescent="0.2">
      <c r="A10" t="s">
        <v>4624</v>
      </c>
      <c r="C10" s="2">
        <v>43</v>
      </c>
      <c r="D10" s="15">
        <v>4.0000000000000002E-4</v>
      </c>
      <c r="E10" s="15">
        <f t="shared" si="0"/>
        <v>1.72E-2</v>
      </c>
      <c r="G10" t="s">
        <v>4623</v>
      </c>
    </row>
    <row r="11" spans="1:7" x14ac:dyDescent="0.2">
      <c r="A11" t="s">
        <v>4625</v>
      </c>
      <c r="B11" s="16">
        <v>30</v>
      </c>
      <c r="C11" s="16">
        <v>30</v>
      </c>
      <c r="D11" s="15">
        <v>4.0000000000000002E-4</v>
      </c>
      <c r="E11" s="15">
        <f t="shared" si="0"/>
        <v>1.2E-2</v>
      </c>
    </row>
    <row r="12" spans="1:7" x14ac:dyDescent="0.2">
      <c r="A12" t="s">
        <v>4626</v>
      </c>
      <c r="C12" s="2">
        <v>15</v>
      </c>
      <c r="D12" s="15">
        <v>4.0000000000000002E-4</v>
      </c>
      <c r="E12" s="15">
        <f t="shared" si="0"/>
        <v>6.0000000000000001E-3</v>
      </c>
    </row>
    <row r="13" spans="1:7" x14ac:dyDescent="0.2">
      <c r="A13" t="s">
        <v>4627</v>
      </c>
      <c r="C13" s="2">
        <v>14</v>
      </c>
      <c r="D13" s="15">
        <v>4.0000000000000002E-4</v>
      </c>
      <c r="E13" s="15">
        <f t="shared" si="0"/>
        <v>5.5999999999999999E-3</v>
      </c>
    </row>
    <row r="14" spans="1:7" x14ac:dyDescent="0.2">
      <c r="A14" t="s">
        <v>4628</v>
      </c>
      <c r="C14" s="2">
        <v>12</v>
      </c>
      <c r="D14" s="15">
        <v>4.0000000000000002E-4</v>
      </c>
      <c r="E14" s="15">
        <f t="shared" si="0"/>
        <v>4.8000000000000004E-3</v>
      </c>
    </row>
    <row r="15" spans="1:7" x14ac:dyDescent="0.2">
      <c r="A15" t="s">
        <v>4629</v>
      </c>
      <c r="C15" s="2">
        <v>12</v>
      </c>
      <c r="D15" s="15">
        <v>4.0000000000000002E-4</v>
      </c>
      <c r="E15" s="15">
        <f t="shared" si="0"/>
        <v>4.8000000000000004E-3</v>
      </c>
    </row>
    <row r="16" spans="1:7" x14ac:dyDescent="0.2">
      <c r="A16" t="s">
        <v>4630</v>
      </c>
      <c r="C16" s="2">
        <v>5</v>
      </c>
      <c r="D16" s="15">
        <v>4.0000000000000002E-4</v>
      </c>
      <c r="E16" s="15">
        <f t="shared" si="0"/>
        <v>2E-3</v>
      </c>
    </row>
    <row r="17" spans="5:5" x14ac:dyDescent="0.2">
      <c r="E17" s="15">
        <f>SUM(E2:E16)</f>
        <v>0.93000000000000027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dimension ref="A1:I121"/>
  <sheetViews>
    <sheetView workbookViewId="0">
      <selection activeCell="F9" sqref="F9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4673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4664</v>
      </c>
    </row>
    <row r="2" spans="1:9" x14ac:dyDescent="0.2">
      <c r="A2" s="1" t="s">
        <v>4377</v>
      </c>
      <c r="B2" t="s">
        <v>4633</v>
      </c>
      <c r="C2">
        <v>1</v>
      </c>
      <c r="D2" t="s">
        <v>1482</v>
      </c>
      <c r="E2">
        <v>219</v>
      </c>
      <c r="F2">
        <v>1082</v>
      </c>
      <c r="G2">
        <v>-474</v>
      </c>
      <c r="H2" t="s">
        <v>4549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4378</v>
      </c>
      <c r="B3" t="s">
        <v>4633</v>
      </c>
      <c r="C3">
        <v>1</v>
      </c>
      <c r="D3" t="s">
        <v>1482</v>
      </c>
      <c r="E3">
        <v>-180</v>
      </c>
      <c r="F3">
        <v>1170</v>
      </c>
      <c r="G3">
        <v>-515</v>
      </c>
      <c r="H3" t="s">
        <v>4546</v>
      </c>
      <c r="I3" t="s">
        <v>5116</v>
      </c>
    </row>
    <row r="4" spans="1:9" x14ac:dyDescent="0.2">
      <c r="A4" s="1" t="s">
        <v>4372</v>
      </c>
      <c r="B4" t="s">
        <v>4633</v>
      </c>
      <c r="C4">
        <v>1</v>
      </c>
      <c r="D4" t="s">
        <v>1482</v>
      </c>
      <c r="E4">
        <v>-885</v>
      </c>
      <c r="F4">
        <v>418</v>
      </c>
      <c r="G4">
        <v>-497</v>
      </c>
      <c r="H4" t="s">
        <v>4524</v>
      </c>
      <c r="I4" t="s">
        <v>5117</v>
      </c>
    </row>
    <row r="5" spans="1:9" x14ac:dyDescent="0.2">
      <c r="A5" s="1" t="s">
        <v>4371</v>
      </c>
      <c r="B5" t="s">
        <v>4633</v>
      </c>
      <c r="C5">
        <v>1</v>
      </c>
      <c r="D5" t="s">
        <v>1482</v>
      </c>
      <c r="E5">
        <v>-785</v>
      </c>
      <c r="F5">
        <v>-433</v>
      </c>
      <c r="G5">
        <v>-469</v>
      </c>
      <c r="H5" t="s">
        <v>4510</v>
      </c>
      <c r="I5" t="s">
        <v>5118</v>
      </c>
    </row>
    <row r="6" spans="1:9" x14ac:dyDescent="0.2">
      <c r="A6" s="1" t="s">
        <v>4370</v>
      </c>
      <c r="B6" t="s">
        <v>4633</v>
      </c>
      <c r="C6">
        <v>1</v>
      </c>
      <c r="D6" t="s">
        <v>1482</v>
      </c>
      <c r="E6">
        <v>-240</v>
      </c>
      <c r="F6">
        <v>-374</v>
      </c>
      <c r="G6">
        <v>-478</v>
      </c>
      <c r="H6" t="s">
        <v>4523</v>
      </c>
      <c r="I6" t="s">
        <v>5119</v>
      </c>
    </row>
    <row r="7" spans="1:9" x14ac:dyDescent="0.2">
      <c r="A7" s="1" t="s">
        <v>4374</v>
      </c>
      <c r="B7" t="s">
        <v>4633</v>
      </c>
      <c r="C7">
        <v>1</v>
      </c>
      <c r="D7" t="s">
        <v>1482</v>
      </c>
      <c r="E7">
        <v>333</v>
      </c>
      <c r="F7">
        <v>468</v>
      </c>
      <c r="G7">
        <v>-479</v>
      </c>
      <c r="H7" t="s">
        <v>4542</v>
      </c>
      <c r="I7" t="s">
        <v>5120</v>
      </c>
    </row>
    <row r="8" spans="1:9" x14ac:dyDescent="0.2">
      <c r="A8" s="1" t="s">
        <v>4373</v>
      </c>
      <c r="B8" t="s">
        <v>4633</v>
      </c>
      <c r="C8">
        <v>1</v>
      </c>
      <c r="D8" t="s">
        <v>1482</v>
      </c>
      <c r="E8">
        <v>-205</v>
      </c>
      <c r="F8">
        <v>451</v>
      </c>
      <c r="G8">
        <v>-472</v>
      </c>
      <c r="H8" t="s">
        <v>4535</v>
      </c>
      <c r="I8" t="s">
        <v>5121</v>
      </c>
    </row>
    <row r="9" spans="1:9" x14ac:dyDescent="0.2">
      <c r="A9" s="1" t="s">
        <v>4363</v>
      </c>
      <c r="B9" t="s">
        <v>4634</v>
      </c>
      <c r="C9">
        <v>2</v>
      </c>
      <c r="D9" t="s">
        <v>1482</v>
      </c>
      <c r="E9">
        <v>-1443</v>
      </c>
      <c r="F9">
        <v>-1616</v>
      </c>
      <c r="G9">
        <v>-538</v>
      </c>
      <c r="H9" t="s">
        <v>4482</v>
      </c>
      <c r="I9" t="s">
        <v>5122</v>
      </c>
    </row>
    <row r="10" spans="1:9" x14ac:dyDescent="0.2">
      <c r="A10" s="1" t="s">
        <v>4364</v>
      </c>
      <c r="B10" t="s">
        <v>4634</v>
      </c>
      <c r="C10">
        <v>2</v>
      </c>
      <c r="D10" t="s">
        <v>1482</v>
      </c>
      <c r="E10">
        <v>-1082</v>
      </c>
      <c r="F10">
        <v>-2187</v>
      </c>
      <c r="G10">
        <v>-562</v>
      </c>
      <c r="H10" t="s">
        <v>4481</v>
      </c>
      <c r="I10" t="s">
        <v>5123</v>
      </c>
    </row>
    <row r="11" spans="1:9" x14ac:dyDescent="0.2">
      <c r="A11" s="1" t="s">
        <v>4362</v>
      </c>
      <c r="B11" t="s">
        <v>4634</v>
      </c>
      <c r="C11">
        <v>2</v>
      </c>
      <c r="D11" t="s">
        <v>1482</v>
      </c>
      <c r="E11">
        <v>-1422</v>
      </c>
      <c r="F11">
        <v>-1350</v>
      </c>
      <c r="G11">
        <v>-517</v>
      </c>
      <c r="H11" t="s">
        <v>4486</v>
      </c>
      <c r="I11" t="s">
        <v>5124</v>
      </c>
    </row>
    <row r="12" spans="1:9" x14ac:dyDescent="0.2">
      <c r="A12" s="1" t="s">
        <v>4361</v>
      </c>
      <c r="B12" t="s">
        <v>4634</v>
      </c>
      <c r="C12">
        <v>2</v>
      </c>
      <c r="D12" t="s">
        <v>1482</v>
      </c>
      <c r="E12">
        <v>-2140</v>
      </c>
      <c r="F12">
        <v>-873</v>
      </c>
      <c r="G12">
        <v>-542</v>
      </c>
      <c r="H12" t="s">
        <v>4483</v>
      </c>
      <c r="I12" t="s">
        <v>5125</v>
      </c>
    </row>
    <row r="13" spans="1:9" x14ac:dyDescent="0.2">
      <c r="A13" s="1" t="s">
        <v>4360</v>
      </c>
      <c r="B13" t="s">
        <v>4634</v>
      </c>
      <c r="C13">
        <v>2</v>
      </c>
      <c r="D13" t="s">
        <v>1482</v>
      </c>
      <c r="E13">
        <v>-1921</v>
      </c>
      <c r="F13">
        <v>-356</v>
      </c>
      <c r="G13">
        <v>-635</v>
      </c>
      <c r="H13" t="s">
        <v>4491</v>
      </c>
      <c r="I13" t="s">
        <v>5126</v>
      </c>
    </row>
    <row r="14" spans="1:9" x14ac:dyDescent="0.2">
      <c r="A14" s="1" t="s">
        <v>4367</v>
      </c>
      <c r="B14" t="s">
        <v>4634</v>
      </c>
      <c r="C14">
        <v>2</v>
      </c>
      <c r="D14" t="s">
        <v>1482</v>
      </c>
      <c r="E14">
        <v>-73</v>
      </c>
      <c r="F14">
        <v>-1115</v>
      </c>
      <c r="G14">
        <v>-471</v>
      </c>
      <c r="H14" t="s">
        <v>4511</v>
      </c>
      <c r="I14" t="s">
        <v>5127</v>
      </c>
    </row>
    <row r="15" spans="1:9" x14ac:dyDescent="0.2">
      <c r="A15" s="1" t="s">
        <v>4368</v>
      </c>
      <c r="B15" t="s">
        <v>4634</v>
      </c>
      <c r="C15">
        <v>2</v>
      </c>
      <c r="D15" t="s">
        <v>1482</v>
      </c>
      <c r="E15">
        <v>-705</v>
      </c>
      <c r="F15">
        <v>-866</v>
      </c>
      <c r="G15">
        <v>-481</v>
      </c>
      <c r="H15" t="s">
        <v>4504</v>
      </c>
      <c r="I15" t="s">
        <v>5128</v>
      </c>
    </row>
    <row r="16" spans="1:9" x14ac:dyDescent="0.2">
      <c r="A16" s="1" t="s">
        <v>4365</v>
      </c>
      <c r="B16" t="s">
        <v>4634</v>
      </c>
      <c r="C16">
        <v>2</v>
      </c>
      <c r="D16" t="s">
        <v>1482</v>
      </c>
      <c r="E16">
        <v>-710</v>
      </c>
      <c r="F16">
        <v>-1550</v>
      </c>
      <c r="G16">
        <v>-517</v>
      </c>
      <c r="H16" t="s">
        <v>4493</v>
      </c>
      <c r="I16" t="s">
        <v>5129</v>
      </c>
    </row>
    <row r="17" spans="1:9" x14ac:dyDescent="0.2">
      <c r="A17" s="1" t="s">
        <v>4366</v>
      </c>
      <c r="B17" t="s">
        <v>4634</v>
      </c>
      <c r="C17">
        <v>2</v>
      </c>
      <c r="D17" t="s">
        <v>1482</v>
      </c>
      <c r="E17">
        <v>-176</v>
      </c>
      <c r="F17">
        <v>-1557</v>
      </c>
      <c r="G17">
        <v>-473</v>
      </c>
      <c r="H17" t="s">
        <v>4499</v>
      </c>
      <c r="I17" t="s">
        <v>5130</v>
      </c>
    </row>
    <row r="18" spans="1:9" x14ac:dyDescent="0.2">
      <c r="A18" s="1" t="s">
        <v>4369</v>
      </c>
      <c r="B18" t="s">
        <v>4634</v>
      </c>
      <c r="C18">
        <v>2</v>
      </c>
      <c r="D18" t="s">
        <v>1482</v>
      </c>
      <c r="E18">
        <v>344</v>
      </c>
      <c r="F18">
        <v>-1007</v>
      </c>
      <c r="G18">
        <v>-468</v>
      </c>
      <c r="H18" t="s">
        <v>4519</v>
      </c>
      <c r="I18" t="s">
        <v>5131</v>
      </c>
    </row>
    <row r="19" spans="1:9" x14ac:dyDescent="0.2">
      <c r="A19" s="1" t="s">
        <v>4423</v>
      </c>
      <c r="B19" t="s">
        <v>801</v>
      </c>
      <c r="C19">
        <v>3</v>
      </c>
      <c r="D19" t="s">
        <v>1482</v>
      </c>
      <c r="E19">
        <v>-3950</v>
      </c>
      <c r="F19">
        <v>1138</v>
      </c>
      <c r="G19">
        <v>-551</v>
      </c>
      <c r="H19" t="s">
        <v>4485</v>
      </c>
      <c r="I19" t="s">
        <v>5132</v>
      </c>
    </row>
    <row r="20" spans="1:9" x14ac:dyDescent="0.2">
      <c r="A20" s="1" t="s">
        <v>4356</v>
      </c>
      <c r="B20" t="s">
        <v>801</v>
      </c>
      <c r="C20">
        <v>3</v>
      </c>
      <c r="D20" t="s">
        <v>1482</v>
      </c>
      <c r="E20">
        <v>-1413</v>
      </c>
      <c r="F20">
        <v>757</v>
      </c>
      <c r="G20">
        <v>-538</v>
      </c>
      <c r="H20" t="s">
        <v>4520</v>
      </c>
      <c r="I20" t="s">
        <v>5133</v>
      </c>
    </row>
    <row r="21" spans="1:9" x14ac:dyDescent="0.2">
      <c r="A21" s="1" t="s">
        <v>4424</v>
      </c>
      <c r="B21" t="s">
        <v>801</v>
      </c>
      <c r="C21">
        <v>3</v>
      </c>
      <c r="D21" t="s">
        <v>1482</v>
      </c>
      <c r="E21">
        <v>-3079</v>
      </c>
      <c r="F21">
        <v>1618</v>
      </c>
      <c r="G21">
        <v>-687</v>
      </c>
      <c r="H21" t="s">
        <v>4506</v>
      </c>
      <c r="I21" t="s">
        <v>5134</v>
      </c>
    </row>
    <row r="22" spans="1:9" x14ac:dyDescent="0.2">
      <c r="A22" s="1" t="s">
        <v>4422</v>
      </c>
      <c r="B22" t="s">
        <v>801</v>
      </c>
      <c r="C22">
        <v>3</v>
      </c>
      <c r="D22" t="s">
        <v>1482</v>
      </c>
      <c r="E22">
        <v>-3538</v>
      </c>
      <c r="F22">
        <v>853</v>
      </c>
      <c r="G22">
        <v>-576</v>
      </c>
      <c r="H22" t="s">
        <v>4489</v>
      </c>
      <c r="I22" t="s">
        <v>5135</v>
      </c>
    </row>
    <row r="23" spans="1:9" x14ac:dyDescent="0.2">
      <c r="A23" s="1" t="s">
        <v>4357</v>
      </c>
      <c r="B23" t="s">
        <v>801</v>
      </c>
      <c r="C23">
        <v>3</v>
      </c>
      <c r="D23" t="s">
        <v>1482</v>
      </c>
      <c r="E23">
        <v>-1828</v>
      </c>
      <c r="F23">
        <v>1196</v>
      </c>
      <c r="G23">
        <v>-723</v>
      </c>
      <c r="H23" t="s">
        <v>4522</v>
      </c>
      <c r="I23" t="s">
        <v>5136</v>
      </c>
    </row>
    <row r="24" spans="1:9" x14ac:dyDescent="0.2">
      <c r="A24" s="1" t="s">
        <v>4359</v>
      </c>
      <c r="B24" t="s">
        <v>801</v>
      </c>
      <c r="C24">
        <v>3</v>
      </c>
      <c r="D24" t="s">
        <v>1482</v>
      </c>
      <c r="E24">
        <v>-2848</v>
      </c>
      <c r="F24">
        <v>629</v>
      </c>
      <c r="G24">
        <v>-621</v>
      </c>
      <c r="H24" t="s">
        <v>4494</v>
      </c>
      <c r="I24" t="s">
        <v>5137</v>
      </c>
    </row>
    <row r="25" spans="1:9" x14ac:dyDescent="0.2">
      <c r="A25" s="1" t="s">
        <v>4358</v>
      </c>
      <c r="B25" t="s">
        <v>801</v>
      </c>
      <c r="C25">
        <v>3</v>
      </c>
      <c r="D25" t="s">
        <v>1482</v>
      </c>
      <c r="E25">
        <v>-2534</v>
      </c>
      <c r="F25">
        <v>1167</v>
      </c>
      <c r="G25">
        <v>-623</v>
      </c>
      <c r="H25" t="s">
        <v>4508</v>
      </c>
      <c r="I25" t="s">
        <v>5138</v>
      </c>
    </row>
    <row r="26" spans="1:9" x14ac:dyDescent="0.2">
      <c r="A26" s="1" t="s">
        <v>4354</v>
      </c>
      <c r="B26" t="s">
        <v>801</v>
      </c>
      <c r="C26">
        <v>3</v>
      </c>
      <c r="D26" t="s">
        <v>1482</v>
      </c>
      <c r="E26">
        <v>-1106</v>
      </c>
      <c r="F26">
        <v>2086</v>
      </c>
      <c r="G26">
        <v>-554</v>
      </c>
      <c r="H26" t="s">
        <v>4545</v>
      </c>
      <c r="I26" t="s">
        <v>5139</v>
      </c>
    </row>
    <row r="27" spans="1:9" x14ac:dyDescent="0.2">
      <c r="A27" s="1" t="s">
        <v>4429</v>
      </c>
      <c r="B27" t="s">
        <v>904</v>
      </c>
      <c r="C27">
        <v>4</v>
      </c>
      <c r="D27" t="s">
        <v>1482</v>
      </c>
      <c r="E27">
        <v>-4391</v>
      </c>
      <c r="F27">
        <v>3714</v>
      </c>
      <c r="G27">
        <v>-702</v>
      </c>
      <c r="H27" t="s">
        <v>4517</v>
      </c>
      <c r="I27" t="s">
        <v>5140</v>
      </c>
    </row>
    <row r="28" spans="1:9" x14ac:dyDescent="0.2">
      <c r="A28" s="1" t="s">
        <v>4611</v>
      </c>
      <c r="B28" t="s">
        <v>904</v>
      </c>
      <c r="C28">
        <v>4</v>
      </c>
      <c r="D28" t="s">
        <v>1482</v>
      </c>
      <c r="E28">
        <v>-2996</v>
      </c>
      <c r="F28">
        <v>3102</v>
      </c>
      <c r="G28">
        <v>-1027</v>
      </c>
      <c r="H28" t="s">
        <v>4533</v>
      </c>
      <c r="I28" t="s">
        <v>5141</v>
      </c>
    </row>
    <row r="29" spans="1:9" x14ac:dyDescent="0.2">
      <c r="A29" s="1" t="s">
        <v>4430</v>
      </c>
      <c r="B29" t="s">
        <v>904</v>
      </c>
      <c r="C29">
        <v>4</v>
      </c>
      <c r="D29" t="s">
        <v>1482</v>
      </c>
      <c r="E29">
        <v>-3506</v>
      </c>
      <c r="F29">
        <v>3570</v>
      </c>
      <c r="G29">
        <v>-826</v>
      </c>
      <c r="H29" t="s">
        <v>4531</v>
      </c>
      <c r="I29" t="s">
        <v>5142</v>
      </c>
    </row>
    <row r="30" spans="1:9" x14ac:dyDescent="0.2">
      <c r="A30" s="1" t="s">
        <v>4431</v>
      </c>
      <c r="B30" t="s">
        <v>904</v>
      </c>
      <c r="C30">
        <v>4</v>
      </c>
      <c r="D30" t="s">
        <v>1482</v>
      </c>
      <c r="E30">
        <v>-2559</v>
      </c>
      <c r="F30">
        <v>3353</v>
      </c>
      <c r="G30">
        <v>-690</v>
      </c>
      <c r="H30" t="s">
        <v>4541</v>
      </c>
      <c r="I30" t="s">
        <v>5143</v>
      </c>
    </row>
    <row r="31" spans="1:9" x14ac:dyDescent="0.2">
      <c r="A31" s="1" t="s">
        <v>4428</v>
      </c>
      <c r="B31" t="s">
        <v>904</v>
      </c>
      <c r="C31">
        <v>4</v>
      </c>
      <c r="D31" t="s">
        <v>1482</v>
      </c>
      <c r="E31">
        <v>-4539</v>
      </c>
      <c r="F31">
        <v>2881</v>
      </c>
      <c r="G31">
        <v>-707</v>
      </c>
      <c r="H31" t="s">
        <v>4502</v>
      </c>
      <c r="I31" t="s">
        <v>5144</v>
      </c>
    </row>
    <row r="32" spans="1:9" x14ac:dyDescent="0.2">
      <c r="A32" s="1" t="s">
        <v>4425</v>
      </c>
      <c r="B32" t="s">
        <v>904</v>
      </c>
      <c r="C32">
        <v>4</v>
      </c>
      <c r="D32" t="s">
        <v>1482</v>
      </c>
      <c r="E32">
        <v>-3650</v>
      </c>
      <c r="F32">
        <v>1805</v>
      </c>
      <c r="G32">
        <v>-417</v>
      </c>
      <c r="H32" t="s">
        <v>4498</v>
      </c>
      <c r="I32" t="s">
        <v>5145</v>
      </c>
    </row>
    <row r="33" spans="1:9" x14ac:dyDescent="0.2">
      <c r="A33" s="1" t="s">
        <v>4426</v>
      </c>
      <c r="B33" t="s">
        <v>904</v>
      </c>
      <c r="C33">
        <v>4</v>
      </c>
      <c r="D33" t="s">
        <v>1482</v>
      </c>
      <c r="E33">
        <v>-4059</v>
      </c>
      <c r="F33">
        <v>1991</v>
      </c>
      <c r="G33">
        <v>-674</v>
      </c>
      <c r="H33" t="s">
        <v>4495</v>
      </c>
      <c r="I33" t="s">
        <v>5146</v>
      </c>
    </row>
    <row r="34" spans="1:9" x14ac:dyDescent="0.2">
      <c r="A34" s="1" t="s">
        <v>4427</v>
      </c>
      <c r="B34" t="s">
        <v>904</v>
      </c>
      <c r="C34">
        <v>4</v>
      </c>
      <c r="D34" t="s">
        <v>1482</v>
      </c>
      <c r="E34">
        <v>-3355</v>
      </c>
      <c r="F34">
        <v>2387</v>
      </c>
      <c r="G34">
        <v>-802</v>
      </c>
      <c r="H34" t="s">
        <v>4514</v>
      </c>
      <c r="I34" t="s">
        <v>5147</v>
      </c>
    </row>
    <row r="35" spans="1:9" x14ac:dyDescent="0.2">
      <c r="A35" s="1" t="s">
        <v>4432</v>
      </c>
      <c r="B35" t="s">
        <v>2506</v>
      </c>
      <c r="C35">
        <v>5</v>
      </c>
      <c r="D35" t="s">
        <v>1482</v>
      </c>
      <c r="E35">
        <v>-2319</v>
      </c>
      <c r="F35">
        <v>2201</v>
      </c>
      <c r="G35">
        <v>-781</v>
      </c>
      <c r="H35" t="s">
        <v>4527</v>
      </c>
      <c r="I35" t="s">
        <v>5148</v>
      </c>
    </row>
    <row r="36" spans="1:9" x14ac:dyDescent="0.2">
      <c r="A36" s="1" t="s">
        <v>4436</v>
      </c>
      <c r="B36" t="s">
        <v>2506</v>
      </c>
      <c r="C36">
        <v>5</v>
      </c>
      <c r="D36" t="s">
        <v>1482</v>
      </c>
      <c r="E36">
        <v>-823</v>
      </c>
      <c r="F36">
        <v>3535</v>
      </c>
      <c r="G36">
        <v>-636</v>
      </c>
      <c r="H36" t="s">
        <v>4570</v>
      </c>
      <c r="I36" t="s">
        <v>5149</v>
      </c>
    </row>
    <row r="37" spans="1:9" x14ac:dyDescent="0.2">
      <c r="A37" s="1" t="s">
        <v>4433</v>
      </c>
      <c r="B37" t="s">
        <v>2506</v>
      </c>
      <c r="C37">
        <v>5</v>
      </c>
      <c r="D37" t="s">
        <v>1482</v>
      </c>
      <c r="E37">
        <v>-1638</v>
      </c>
      <c r="F37">
        <v>2643</v>
      </c>
      <c r="G37">
        <v>-685</v>
      </c>
      <c r="H37" t="s">
        <v>4547</v>
      </c>
      <c r="I37" t="s">
        <v>5150</v>
      </c>
    </row>
    <row r="38" spans="1:9" x14ac:dyDescent="0.2">
      <c r="A38" s="1" t="s">
        <v>4435</v>
      </c>
      <c r="B38" t="s">
        <v>2506</v>
      </c>
      <c r="C38">
        <v>5</v>
      </c>
      <c r="D38" t="s">
        <v>1482</v>
      </c>
      <c r="E38">
        <v>-1404</v>
      </c>
      <c r="F38">
        <v>3677</v>
      </c>
      <c r="G38">
        <v>-712</v>
      </c>
      <c r="H38" t="s">
        <v>4563</v>
      </c>
      <c r="I38" t="s">
        <v>5151</v>
      </c>
    </row>
    <row r="39" spans="1:9" x14ac:dyDescent="0.2">
      <c r="A39" s="1" t="s">
        <v>4434</v>
      </c>
      <c r="B39" t="s">
        <v>2506</v>
      </c>
      <c r="C39">
        <v>5</v>
      </c>
      <c r="D39" t="s">
        <v>1482</v>
      </c>
      <c r="E39">
        <v>-1165</v>
      </c>
      <c r="F39">
        <v>2602</v>
      </c>
      <c r="G39">
        <v>-350</v>
      </c>
      <c r="H39" t="s">
        <v>4550</v>
      </c>
      <c r="I39" t="s">
        <v>5152</v>
      </c>
    </row>
    <row r="40" spans="1:9" x14ac:dyDescent="0.2">
      <c r="A40" s="1" t="s">
        <v>4382</v>
      </c>
      <c r="B40" t="s">
        <v>805</v>
      </c>
      <c r="C40">
        <v>6</v>
      </c>
      <c r="D40" t="s">
        <v>1482</v>
      </c>
      <c r="E40">
        <v>619</v>
      </c>
      <c r="F40">
        <v>2211</v>
      </c>
      <c r="G40">
        <v>-611</v>
      </c>
      <c r="H40" t="s">
        <v>4571</v>
      </c>
      <c r="I40" t="s">
        <v>5153</v>
      </c>
    </row>
    <row r="41" spans="1:9" x14ac:dyDescent="0.2">
      <c r="A41" s="1" t="s">
        <v>4395</v>
      </c>
      <c r="B41" t="s">
        <v>805</v>
      </c>
      <c r="C41">
        <v>6</v>
      </c>
      <c r="D41" t="s">
        <v>1482</v>
      </c>
      <c r="E41">
        <v>393</v>
      </c>
      <c r="F41">
        <v>3485</v>
      </c>
      <c r="G41">
        <v>-594</v>
      </c>
      <c r="H41" t="s">
        <v>4585</v>
      </c>
      <c r="I41" t="s">
        <v>5154</v>
      </c>
    </row>
    <row r="42" spans="1:9" x14ac:dyDescent="0.2">
      <c r="A42" s="1" t="s">
        <v>4394</v>
      </c>
      <c r="B42" t="s">
        <v>805</v>
      </c>
      <c r="C42">
        <v>6</v>
      </c>
      <c r="D42" t="s">
        <v>1482</v>
      </c>
      <c r="E42">
        <v>1270</v>
      </c>
      <c r="F42">
        <v>3733</v>
      </c>
      <c r="G42">
        <v>-553</v>
      </c>
      <c r="H42" t="s">
        <v>4594</v>
      </c>
      <c r="I42" t="s">
        <v>5155</v>
      </c>
    </row>
    <row r="43" spans="1:9" x14ac:dyDescent="0.2">
      <c r="A43" s="1" t="s">
        <v>4355</v>
      </c>
      <c r="B43" t="s">
        <v>805</v>
      </c>
      <c r="C43">
        <v>6</v>
      </c>
      <c r="D43" t="s">
        <v>1482</v>
      </c>
      <c r="E43">
        <v>-594</v>
      </c>
      <c r="F43">
        <v>1551</v>
      </c>
      <c r="G43">
        <v>-599</v>
      </c>
      <c r="H43" t="s">
        <v>4544</v>
      </c>
      <c r="I43" t="s">
        <v>5156</v>
      </c>
    </row>
    <row r="44" spans="1:9" x14ac:dyDescent="0.2">
      <c r="A44" s="1" t="s">
        <v>4353</v>
      </c>
      <c r="B44" t="s">
        <v>805</v>
      </c>
      <c r="C44">
        <v>6</v>
      </c>
      <c r="D44" t="s">
        <v>1482</v>
      </c>
      <c r="E44">
        <v>-395</v>
      </c>
      <c r="F44">
        <v>2736</v>
      </c>
      <c r="G44">
        <v>-725</v>
      </c>
      <c r="H44" t="s">
        <v>4565</v>
      </c>
      <c r="I44" t="s">
        <v>5157</v>
      </c>
    </row>
    <row r="45" spans="1:9" x14ac:dyDescent="0.2">
      <c r="A45" s="1" t="s">
        <v>4381</v>
      </c>
      <c r="B45" t="s">
        <v>805</v>
      </c>
      <c r="C45">
        <v>6</v>
      </c>
      <c r="D45" t="s">
        <v>1482</v>
      </c>
      <c r="E45">
        <v>166</v>
      </c>
      <c r="F45">
        <v>2319</v>
      </c>
      <c r="G45">
        <v>-625</v>
      </c>
      <c r="H45" t="s">
        <v>4567</v>
      </c>
      <c r="I45" t="s">
        <v>5158</v>
      </c>
    </row>
    <row r="46" spans="1:9" x14ac:dyDescent="0.2">
      <c r="A46" s="1" t="s">
        <v>4379</v>
      </c>
      <c r="B46" t="s">
        <v>805</v>
      </c>
      <c r="C46">
        <v>6</v>
      </c>
      <c r="D46" t="s">
        <v>1482</v>
      </c>
      <c r="E46">
        <v>408</v>
      </c>
      <c r="F46">
        <v>2133</v>
      </c>
      <c r="G46">
        <v>-592</v>
      </c>
      <c r="H46" t="s">
        <v>4568</v>
      </c>
      <c r="I46" t="s">
        <v>5159</v>
      </c>
    </row>
    <row r="47" spans="1:9" x14ac:dyDescent="0.2">
      <c r="A47" s="1" t="s">
        <v>4380</v>
      </c>
      <c r="B47" t="s">
        <v>805</v>
      </c>
      <c r="C47">
        <v>6</v>
      </c>
      <c r="D47" t="s">
        <v>1482</v>
      </c>
      <c r="E47">
        <v>353</v>
      </c>
      <c r="F47">
        <v>1890</v>
      </c>
      <c r="G47">
        <v>-625</v>
      </c>
      <c r="H47" t="s">
        <v>4562</v>
      </c>
      <c r="I47" t="s">
        <v>5160</v>
      </c>
    </row>
    <row r="48" spans="1:9" x14ac:dyDescent="0.2">
      <c r="A48" s="1" t="s">
        <v>4352</v>
      </c>
      <c r="B48" t="s">
        <v>805</v>
      </c>
      <c r="C48">
        <v>6</v>
      </c>
      <c r="D48" t="s">
        <v>1482</v>
      </c>
      <c r="E48">
        <v>700</v>
      </c>
      <c r="F48">
        <v>2793</v>
      </c>
      <c r="G48">
        <v>-671</v>
      </c>
      <c r="H48" t="s">
        <v>4578</v>
      </c>
      <c r="I48" t="s">
        <v>5161</v>
      </c>
    </row>
    <row r="49" spans="1:9" x14ac:dyDescent="0.2">
      <c r="A49" s="1" t="s">
        <v>4385</v>
      </c>
      <c r="B49" t="s">
        <v>2073</v>
      </c>
      <c r="C49">
        <v>7</v>
      </c>
      <c r="D49" t="s">
        <v>1482</v>
      </c>
      <c r="E49">
        <v>2567</v>
      </c>
      <c r="F49">
        <v>1245</v>
      </c>
      <c r="G49">
        <v>-600</v>
      </c>
      <c r="H49" t="s">
        <v>4584</v>
      </c>
      <c r="I49" t="s">
        <v>5162</v>
      </c>
    </row>
    <row r="50" spans="1:9" x14ac:dyDescent="0.2">
      <c r="A50" s="1" t="s">
        <v>4386</v>
      </c>
      <c r="B50" t="s">
        <v>2073</v>
      </c>
      <c r="C50">
        <v>7</v>
      </c>
      <c r="D50" t="s">
        <v>1482</v>
      </c>
      <c r="E50">
        <v>1761</v>
      </c>
      <c r="F50">
        <v>2508</v>
      </c>
      <c r="G50">
        <v>-719</v>
      </c>
      <c r="H50" t="s">
        <v>4587</v>
      </c>
      <c r="I50" t="s">
        <v>5163</v>
      </c>
    </row>
    <row r="51" spans="1:9" x14ac:dyDescent="0.2">
      <c r="A51" s="1" t="s">
        <v>4390</v>
      </c>
      <c r="B51" t="s">
        <v>2073</v>
      </c>
      <c r="C51">
        <v>7</v>
      </c>
      <c r="D51" t="s">
        <v>1482</v>
      </c>
      <c r="E51">
        <v>2401</v>
      </c>
      <c r="F51">
        <v>3273</v>
      </c>
      <c r="G51">
        <v>-844</v>
      </c>
      <c r="H51" t="s">
        <v>4600</v>
      </c>
      <c r="I51" t="s">
        <v>5164</v>
      </c>
    </row>
    <row r="52" spans="1:9" x14ac:dyDescent="0.2">
      <c r="A52" s="1" t="s">
        <v>4389</v>
      </c>
      <c r="B52" t="s">
        <v>2073</v>
      </c>
      <c r="C52">
        <v>7</v>
      </c>
      <c r="D52" t="s">
        <v>1482</v>
      </c>
      <c r="E52">
        <v>1833</v>
      </c>
      <c r="F52">
        <v>3179</v>
      </c>
      <c r="G52">
        <v>-838</v>
      </c>
      <c r="H52" t="s">
        <v>4595</v>
      </c>
      <c r="I52" t="s">
        <v>5165</v>
      </c>
    </row>
    <row r="53" spans="1:9" x14ac:dyDescent="0.2">
      <c r="A53" s="1" t="s">
        <v>4384</v>
      </c>
      <c r="B53" t="s">
        <v>2073</v>
      </c>
      <c r="C53">
        <v>7</v>
      </c>
      <c r="D53" t="s">
        <v>1482</v>
      </c>
      <c r="E53">
        <v>1798</v>
      </c>
      <c r="F53">
        <v>1639</v>
      </c>
      <c r="G53">
        <v>-749</v>
      </c>
      <c r="H53" t="s">
        <v>4575</v>
      </c>
      <c r="I53" t="s">
        <v>5166</v>
      </c>
    </row>
    <row r="54" spans="1:9" x14ac:dyDescent="0.2">
      <c r="A54" s="1" t="s">
        <v>4392</v>
      </c>
      <c r="B54" t="s">
        <v>2073</v>
      </c>
      <c r="C54">
        <v>7</v>
      </c>
      <c r="D54" t="s">
        <v>1482</v>
      </c>
      <c r="E54">
        <v>2959</v>
      </c>
      <c r="F54">
        <v>2758</v>
      </c>
      <c r="G54">
        <v>-963</v>
      </c>
      <c r="H54" t="s">
        <v>4601</v>
      </c>
      <c r="I54" t="s">
        <v>5167</v>
      </c>
    </row>
    <row r="55" spans="1:9" x14ac:dyDescent="0.2">
      <c r="A55" s="1" t="s">
        <v>4387</v>
      </c>
      <c r="B55" t="s">
        <v>2073</v>
      </c>
      <c r="C55">
        <v>7</v>
      </c>
      <c r="D55" t="s">
        <v>1482</v>
      </c>
      <c r="E55">
        <v>1842</v>
      </c>
      <c r="F55">
        <v>2841</v>
      </c>
      <c r="G55">
        <v>-838</v>
      </c>
      <c r="H55" t="s">
        <v>4590</v>
      </c>
      <c r="I55" t="s">
        <v>5168</v>
      </c>
    </row>
    <row r="56" spans="1:9" x14ac:dyDescent="0.2">
      <c r="A56" s="1" t="s">
        <v>4388</v>
      </c>
      <c r="B56" t="s">
        <v>2073</v>
      </c>
      <c r="C56">
        <v>7</v>
      </c>
      <c r="D56" t="s">
        <v>1482</v>
      </c>
      <c r="E56">
        <v>2367</v>
      </c>
      <c r="F56">
        <v>2598</v>
      </c>
      <c r="G56">
        <v>-948</v>
      </c>
      <c r="H56" t="s">
        <v>4593</v>
      </c>
      <c r="I56" t="s">
        <v>5169</v>
      </c>
    </row>
    <row r="57" spans="1:9" x14ac:dyDescent="0.2">
      <c r="A57" s="1" t="s">
        <v>4393</v>
      </c>
      <c r="B57" t="s">
        <v>2073</v>
      </c>
      <c r="C57">
        <v>7</v>
      </c>
      <c r="D57" t="s">
        <v>1482</v>
      </c>
      <c r="E57">
        <v>2678</v>
      </c>
      <c r="F57">
        <v>1905</v>
      </c>
      <c r="G57">
        <v>-688</v>
      </c>
      <c r="H57" t="s">
        <v>4589</v>
      </c>
      <c r="I57" t="s">
        <v>5170</v>
      </c>
    </row>
    <row r="58" spans="1:9" x14ac:dyDescent="0.2">
      <c r="A58" s="1" t="s">
        <v>4391</v>
      </c>
      <c r="B58" t="s">
        <v>2073</v>
      </c>
      <c r="C58">
        <v>7</v>
      </c>
      <c r="D58" t="s">
        <v>1482</v>
      </c>
      <c r="E58">
        <v>2863</v>
      </c>
      <c r="F58">
        <v>3637</v>
      </c>
      <c r="G58">
        <v>-685</v>
      </c>
      <c r="H58" t="s">
        <v>4603</v>
      </c>
      <c r="I58" t="s">
        <v>5171</v>
      </c>
    </row>
    <row r="59" spans="1:9" x14ac:dyDescent="0.2">
      <c r="A59" s="1" t="s">
        <v>4383</v>
      </c>
      <c r="B59" t="s">
        <v>2073</v>
      </c>
      <c r="C59">
        <v>7</v>
      </c>
      <c r="D59" t="s">
        <v>1482</v>
      </c>
      <c r="E59">
        <v>1059</v>
      </c>
      <c r="F59">
        <v>1276</v>
      </c>
      <c r="G59">
        <v>-495</v>
      </c>
      <c r="H59" t="s">
        <v>4564</v>
      </c>
      <c r="I59" t="s">
        <v>5172</v>
      </c>
    </row>
    <row r="60" spans="1:9" x14ac:dyDescent="0.2">
      <c r="A60" s="1" t="s">
        <v>4348</v>
      </c>
      <c r="B60" t="s">
        <v>1922</v>
      </c>
      <c r="C60">
        <v>8</v>
      </c>
      <c r="D60" t="s">
        <v>1482</v>
      </c>
      <c r="E60">
        <v>3809</v>
      </c>
      <c r="F60">
        <v>1219</v>
      </c>
      <c r="G60">
        <v>-536</v>
      </c>
      <c r="H60" t="s">
        <v>4596</v>
      </c>
      <c r="I60" t="s">
        <v>5173</v>
      </c>
    </row>
    <row r="61" spans="1:9" x14ac:dyDescent="0.2">
      <c r="A61" s="1" t="s">
        <v>4345</v>
      </c>
      <c r="B61" t="s">
        <v>1922</v>
      </c>
      <c r="C61">
        <v>8</v>
      </c>
      <c r="D61" t="s">
        <v>1482</v>
      </c>
      <c r="E61">
        <v>3839</v>
      </c>
      <c r="F61">
        <v>2301</v>
      </c>
      <c r="G61">
        <v>-488</v>
      </c>
      <c r="H61" t="s">
        <v>4602</v>
      </c>
      <c r="I61" t="s">
        <v>5174</v>
      </c>
    </row>
    <row r="62" spans="1:9" x14ac:dyDescent="0.2">
      <c r="A62" s="1" t="s">
        <v>4346</v>
      </c>
      <c r="B62" t="s">
        <v>1922</v>
      </c>
      <c r="C62">
        <v>8</v>
      </c>
      <c r="D62" t="s">
        <v>1482</v>
      </c>
      <c r="E62">
        <v>3061</v>
      </c>
      <c r="F62">
        <v>1823</v>
      </c>
      <c r="G62">
        <v>-662</v>
      </c>
      <c r="H62" t="s">
        <v>4592</v>
      </c>
      <c r="I62" t="s">
        <v>5175</v>
      </c>
    </row>
    <row r="63" spans="1:9" x14ac:dyDescent="0.2">
      <c r="A63" s="1" t="s">
        <v>4343</v>
      </c>
      <c r="B63" t="s">
        <v>1922</v>
      </c>
      <c r="C63">
        <v>8</v>
      </c>
      <c r="D63" t="s">
        <v>1482</v>
      </c>
      <c r="E63">
        <v>4664</v>
      </c>
      <c r="F63">
        <v>3262</v>
      </c>
      <c r="G63">
        <v>-454</v>
      </c>
      <c r="H63" t="s">
        <v>4609</v>
      </c>
      <c r="I63" t="s">
        <v>5176</v>
      </c>
    </row>
    <row r="64" spans="1:9" x14ac:dyDescent="0.2">
      <c r="A64" s="1" t="s">
        <v>4350</v>
      </c>
      <c r="B64" t="s">
        <v>1922</v>
      </c>
      <c r="C64">
        <v>8</v>
      </c>
      <c r="D64" t="s">
        <v>1482</v>
      </c>
      <c r="E64">
        <v>4513</v>
      </c>
      <c r="F64">
        <v>2116</v>
      </c>
      <c r="G64">
        <v>-453</v>
      </c>
      <c r="H64" t="s">
        <v>4604</v>
      </c>
      <c r="I64" t="s">
        <v>5177</v>
      </c>
    </row>
    <row r="65" spans="1:9" x14ac:dyDescent="0.2">
      <c r="A65" s="1" t="s">
        <v>4342</v>
      </c>
      <c r="B65" t="s">
        <v>1922</v>
      </c>
      <c r="C65">
        <v>8</v>
      </c>
      <c r="D65" t="s">
        <v>1482</v>
      </c>
      <c r="E65">
        <v>4653</v>
      </c>
      <c r="F65">
        <v>3702</v>
      </c>
      <c r="G65">
        <v>-400</v>
      </c>
      <c r="H65" t="s">
        <v>4610</v>
      </c>
      <c r="I65" t="s">
        <v>5178</v>
      </c>
    </row>
    <row r="66" spans="1:9" x14ac:dyDescent="0.2">
      <c r="A66" s="1" t="s">
        <v>4347</v>
      </c>
      <c r="B66" t="s">
        <v>1922</v>
      </c>
      <c r="C66">
        <v>8</v>
      </c>
      <c r="D66" t="s">
        <v>1482</v>
      </c>
      <c r="E66">
        <v>3305</v>
      </c>
      <c r="F66">
        <v>1443</v>
      </c>
      <c r="G66">
        <v>-790</v>
      </c>
      <c r="H66" t="s">
        <v>4591</v>
      </c>
      <c r="I66" t="s">
        <v>5179</v>
      </c>
    </row>
    <row r="67" spans="1:9" x14ac:dyDescent="0.2">
      <c r="A67" s="1" t="s">
        <v>4341</v>
      </c>
      <c r="B67" t="s">
        <v>1922</v>
      </c>
      <c r="C67">
        <v>8</v>
      </c>
      <c r="D67" t="s">
        <v>1482</v>
      </c>
      <c r="E67">
        <v>3431</v>
      </c>
      <c r="F67">
        <v>3355</v>
      </c>
      <c r="G67">
        <v>-431</v>
      </c>
      <c r="H67" t="s">
        <v>4606</v>
      </c>
      <c r="I67" t="s">
        <v>5180</v>
      </c>
    </row>
    <row r="68" spans="1:9" x14ac:dyDescent="0.2">
      <c r="A68" s="1" t="s">
        <v>4344</v>
      </c>
      <c r="B68" t="s">
        <v>1922</v>
      </c>
      <c r="C68">
        <v>8</v>
      </c>
      <c r="D68" t="s">
        <v>1482</v>
      </c>
      <c r="E68">
        <v>4346</v>
      </c>
      <c r="F68">
        <v>2875</v>
      </c>
      <c r="G68">
        <v>-608</v>
      </c>
      <c r="H68" t="s">
        <v>4608</v>
      </c>
      <c r="I68" t="s">
        <v>5181</v>
      </c>
    </row>
    <row r="69" spans="1:9" x14ac:dyDescent="0.2">
      <c r="A69" s="1" t="s">
        <v>4442</v>
      </c>
      <c r="B69" t="s">
        <v>922</v>
      </c>
      <c r="C69">
        <v>9</v>
      </c>
      <c r="D69" t="s">
        <v>1482</v>
      </c>
      <c r="E69">
        <v>3784</v>
      </c>
      <c r="F69">
        <v>579</v>
      </c>
      <c r="G69">
        <v>-926</v>
      </c>
      <c r="H69" t="s">
        <v>4588</v>
      </c>
      <c r="I69" t="s">
        <v>5182</v>
      </c>
    </row>
    <row r="70" spans="1:9" x14ac:dyDescent="0.2">
      <c r="A70" s="1" t="s">
        <v>4441</v>
      </c>
      <c r="B70" t="s">
        <v>922</v>
      </c>
      <c r="C70">
        <v>9</v>
      </c>
      <c r="D70" t="s">
        <v>1482</v>
      </c>
      <c r="E70">
        <v>3298</v>
      </c>
      <c r="F70">
        <v>424</v>
      </c>
      <c r="G70">
        <v>-749</v>
      </c>
      <c r="H70" t="s">
        <v>4582</v>
      </c>
      <c r="I70" t="s">
        <v>5183</v>
      </c>
    </row>
    <row r="71" spans="1:9" x14ac:dyDescent="0.2">
      <c r="A71" s="1" t="s">
        <v>4349</v>
      </c>
      <c r="B71" t="s">
        <v>922</v>
      </c>
      <c r="C71">
        <v>9</v>
      </c>
      <c r="D71" t="s">
        <v>1482</v>
      </c>
      <c r="E71">
        <v>4166</v>
      </c>
      <c r="F71">
        <v>1323</v>
      </c>
      <c r="G71">
        <v>-673</v>
      </c>
      <c r="H71" t="s">
        <v>4599</v>
      </c>
      <c r="I71" t="s">
        <v>5184</v>
      </c>
    </row>
    <row r="72" spans="1:9" x14ac:dyDescent="0.2">
      <c r="A72" s="1" t="s">
        <v>4443</v>
      </c>
      <c r="B72" t="s">
        <v>922</v>
      </c>
      <c r="C72">
        <v>9</v>
      </c>
      <c r="D72" t="s">
        <v>1482</v>
      </c>
      <c r="E72">
        <v>3887</v>
      </c>
      <c r="F72">
        <v>-217</v>
      </c>
      <c r="G72">
        <v>-608</v>
      </c>
      <c r="H72" t="s">
        <v>4581</v>
      </c>
      <c r="I72" t="s">
        <v>5185</v>
      </c>
    </row>
    <row r="73" spans="1:9" x14ac:dyDescent="0.2">
      <c r="A73" s="1" t="s">
        <v>4444</v>
      </c>
      <c r="B73" t="s">
        <v>922</v>
      </c>
      <c r="C73">
        <v>9</v>
      </c>
      <c r="D73" t="s">
        <v>1482</v>
      </c>
      <c r="E73">
        <v>4412</v>
      </c>
      <c r="F73">
        <v>-610</v>
      </c>
      <c r="G73">
        <v>-513</v>
      </c>
      <c r="H73" t="s">
        <v>4583</v>
      </c>
      <c r="I73" t="s">
        <v>5186</v>
      </c>
    </row>
    <row r="74" spans="1:9" x14ac:dyDescent="0.2">
      <c r="A74" s="1" t="s">
        <v>4439</v>
      </c>
      <c r="B74" t="s">
        <v>922</v>
      </c>
      <c r="C74">
        <v>9</v>
      </c>
      <c r="D74" t="s">
        <v>1482</v>
      </c>
      <c r="E74">
        <v>2277</v>
      </c>
      <c r="F74">
        <v>150</v>
      </c>
      <c r="G74">
        <v>-501</v>
      </c>
      <c r="H74" t="s">
        <v>4566</v>
      </c>
      <c r="I74" t="s">
        <v>5187</v>
      </c>
    </row>
    <row r="75" spans="1:9" x14ac:dyDescent="0.2">
      <c r="A75" s="1" t="s">
        <v>4351</v>
      </c>
      <c r="B75" t="s">
        <v>922</v>
      </c>
      <c r="C75">
        <v>9</v>
      </c>
      <c r="D75" t="s">
        <v>1482</v>
      </c>
      <c r="E75">
        <v>4498</v>
      </c>
      <c r="F75">
        <v>825</v>
      </c>
      <c r="G75">
        <v>-535</v>
      </c>
      <c r="H75" t="s">
        <v>4598</v>
      </c>
      <c r="I75" t="s">
        <v>5188</v>
      </c>
    </row>
    <row r="76" spans="1:9" x14ac:dyDescent="0.2">
      <c r="A76" s="1" t="s">
        <v>4440</v>
      </c>
      <c r="B76" t="s">
        <v>922</v>
      </c>
      <c r="C76">
        <v>9</v>
      </c>
      <c r="D76" t="s">
        <v>1482</v>
      </c>
      <c r="E76">
        <v>2918</v>
      </c>
      <c r="F76">
        <v>505</v>
      </c>
      <c r="G76">
        <v>-795</v>
      </c>
      <c r="H76" t="s">
        <v>4574</v>
      </c>
      <c r="I76" t="s">
        <v>5189</v>
      </c>
    </row>
    <row r="77" spans="1:9" x14ac:dyDescent="0.2">
      <c r="A77" s="1" t="s">
        <v>4451</v>
      </c>
      <c r="B77" t="s">
        <v>926</v>
      </c>
      <c r="C77">
        <v>10</v>
      </c>
      <c r="D77" t="s">
        <v>1482</v>
      </c>
      <c r="E77">
        <v>1770</v>
      </c>
      <c r="F77">
        <v>-1050</v>
      </c>
      <c r="G77">
        <v>-61</v>
      </c>
      <c r="H77" t="s">
        <v>4540</v>
      </c>
      <c r="I77" t="s">
        <v>5190</v>
      </c>
    </row>
    <row r="78" spans="1:9" x14ac:dyDescent="0.2">
      <c r="A78" s="1" t="s">
        <v>4437</v>
      </c>
      <c r="B78" t="s">
        <v>926</v>
      </c>
      <c r="C78">
        <v>10</v>
      </c>
      <c r="D78" t="s">
        <v>1482</v>
      </c>
      <c r="E78">
        <v>915</v>
      </c>
      <c r="F78">
        <v>-250</v>
      </c>
      <c r="G78">
        <v>-481</v>
      </c>
      <c r="H78" t="s">
        <v>4539</v>
      </c>
      <c r="I78" t="s">
        <v>5191</v>
      </c>
    </row>
    <row r="79" spans="1:9" x14ac:dyDescent="0.2">
      <c r="A79" s="1" t="s">
        <v>4450</v>
      </c>
      <c r="B79" t="s">
        <v>926</v>
      </c>
      <c r="C79">
        <v>10</v>
      </c>
      <c r="D79" t="s">
        <v>1482</v>
      </c>
      <c r="E79">
        <v>1183</v>
      </c>
      <c r="F79">
        <v>-780</v>
      </c>
      <c r="G79">
        <v>-500</v>
      </c>
      <c r="H79" t="s">
        <v>4536</v>
      </c>
      <c r="I79" t="s">
        <v>5192</v>
      </c>
    </row>
    <row r="80" spans="1:9" x14ac:dyDescent="0.2">
      <c r="A80" s="1" t="s">
        <v>4446</v>
      </c>
      <c r="B80" t="s">
        <v>926</v>
      </c>
      <c r="C80">
        <v>10</v>
      </c>
      <c r="D80" t="s">
        <v>1482</v>
      </c>
      <c r="E80">
        <v>2755</v>
      </c>
      <c r="F80">
        <v>-1089</v>
      </c>
      <c r="G80">
        <v>-54</v>
      </c>
      <c r="H80" t="s">
        <v>4554</v>
      </c>
      <c r="I80" t="s">
        <v>5193</v>
      </c>
    </row>
    <row r="81" spans="1:9" x14ac:dyDescent="0.2">
      <c r="A81" s="1" t="s">
        <v>4375</v>
      </c>
      <c r="B81" t="s">
        <v>926</v>
      </c>
      <c r="C81">
        <v>10</v>
      </c>
      <c r="D81" t="s">
        <v>1482</v>
      </c>
      <c r="E81">
        <v>1202</v>
      </c>
      <c r="F81">
        <v>329</v>
      </c>
      <c r="G81">
        <v>-574</v>
      </c>
      <c r="H81" t="s">
        <v>4551</v>
      </c>
      <c r="I81" t="s">
        <v>5194</v>
      </c>
    </row>
    <row r="82" spans="1:9" x14ac:dyDescent="0.2">
      <c r="A82" s="1" t="s">
        <v>4452</v>
      </c>
      <c r="B82" t="s">
        <v>926</v>
      </c>
      <c r="C82">
        <v>10</v>
      </c>
      <c r="D82" t="s">
        <v>1482</v>
      </c>
      <c r="E82">
        <v>1564</v>
      </c>
      <c r="F82">
        <v>-1945</v>
      </c>
      <c r="G82">
        <v>-464</v>
      </c>
      <c r="H82" t="s">
        <v>4526</v>
      </c>
      <c r="I82" t="s">
        <v>5195</v>
      </c>
    </row>
    <row r="83" spans="1:9" x14ac:dyDescent="0.2">
      <c r="A83" s="1" t="s">
        <v>4445</v>
      </c>
      <c r="B83" t="s">
        <v>926</v>
      </c>
      <c r="C83">
        <v>10</v>
      </c>
      <c r="D83" t="s">
        <v>1482</v>
      </c>
      <c r="E83">
        <v>2362</v>
      </c>
      <c r="F83">
        <v>-511</v>
      </c>
      <c r="G83">
        <v>-589</v>
      </c>
      <c r="H83" t="s">
        <v>4557</v>
      </c>
      <c r="I83" t="s">
        <v>5196</v>
      </c>
    </row>
    <row r="84" spans="1:9" x14ac:dyDescent="0.2">
      <c r="A84" s="1" t="s">
        <v>4438</v>
      </c>
      <c r="B84" t="s">
        <v>926</v>
      </c>
      <c r="C84">
        <v>10</v>
      </c>
      <c r="D84" t="s">
        <v>1482</v>
      </c>
      <c r="E84">
        <v>1743</v>
      </c>
      <c r="F84">
        <v>18</v>
      </c>
      <c r="G84">
        <v>-459</v>
      </c>
      <c r="H84" t="s">
        <v>4556</v>
      </c>
      <c r="I84" t="s">
        <v>5197</v>
      </c>
    </row>
    <row r="85" spans="1:9" x14ac:dyDescent="0.2">
      <c r="A85" s="1" t="s">
        <v>4376</v>
      </c>
      <c r="B85" t="s">
        <v>926</v>
      </c>
      <c r="C85">
        <v>10</v>
      </c>
      <c r="D85" t="s">
        <v>1482</v>
      </c>
      <c r="E85">
        <v>756</v>
      </c>
      <c r="F85">
        <v>823</v>
      </c>
      <c r="G85">
        <v>-531</v>
      </c>
      <c r="H85" t="s">
        <v>4552</v>
      </c>
      <c r="I85" t="s">
        <v>5198</v>
      </c>
    </row>
    <row r="86" spans="1:9" x14ac:dyDescent="0.2">
      <c r="A86" s="1" t="s">
        <v>4459</v>
      </c>
      <c r="B86" t="s">
        <v>934</v>
      </c>
      <c r="C86">
        <v>11</v>
      </c>
      <c r="D86" t="s">
        <v>1482</v>
      </c>
      <c r="E86">
        <v>4231</v>
      </c>
      <c r="F86">
        <v>-2178</v>
      </c>
      <c r="G86">
        <v>-521</v>
      </c>
      <c r="H86" t="s">
        <v>4559</v>
      </c>
      <c r="I86" t="s">
        <v>5199</v>
      </c>
    </row>
    <row r="87" spans="1:9" x14ac:dyDescent="0.2">
      <c r="A87" s="1" t="s">
        <v>4457</v>
      </c>
      <c r="B87" t="s">
        <v>934</v>
      </c>
      <c r="C87">
        <v>11</v>
      </c>
      <c r="D87" t="s">
        <v>1482</v>
      </c>
      <c r="E87">
        <v>3469</v>
      </c>
      <c r="F87">
        <v>-2180</v>
      </c>
      <c r="G87">
        <v>-594</v>
      </c>
      <c r="H87" t="s">
        <v>4548</v>
      </c>
      <c r="I87" t="s">
        <v>5200</v>
      </c>
    </row>
    <row r="88" spans="1:9" x14ac:dyDescent="0.2">
      <c r="A88" s="1" t="s">
        <v>4458</v>
      </c>
      <c r="B88" t="s">
        <v>934</v>
      </c>
      <c r="C88">
        <v>11</v>
      </c>
      <c r="D88" t="s">
        <v>1482</v>
      </c>
      <c r="E88">
        <v>3730</v>
      </c>
      <c r="F88">
        <v>-2057</v>
      </c>
      <c r="G88">
        <v>-665</v>
      </c>
      <c r="H88" t="s">
        <v>4555</v>
      </c>
      <c r="I88" t="s">
        <v>5201</v>
      </c>
    </row>
    <row r="89" spans="1:9" x14ac:dyDescent="0.2">
      <c r="A89" s="1" t="s">
        <v>4449</v>
      </c>
      <c r="B89" t="s">
        <v>934</v>
      </c>
      <c r="C89">
        <v>11</v>
      </c>
      <c r="D89" t="s">
        <v>1482</v>
      </c>
      <c r="E89">
        <v>4266</v>
      </c>
      <c r="F89">
        <v>-1674</v>
      </c>
      <c r="G89">
        <v>-628</v>
      </c>
      <c r="H89" t="s">
        <v>4569</v>
      </c>
      <c r="I89" t="s">
        <v>5202</v>
      </c>
    </row>
    <row r="90" spans="1:9" x14ac:dyDescent="0.2">
      <c r="A90" s="1" t="s">
        <v>4447</v>
      </c>
      <c r="B90" t="s">
        <v>934</v>
      </c>
      <c r="C90">
        <v>11</v>
      </c>
      <c r="D90" t="s">
        <v>1482</v>
      </c>
      <c r="E90">
        <v>3346</v>
      </c>
      <c r="F90">
        <v>-1188</v>
      </c>
      <c r="G90">
        <v>-610</v>
      </c>
      <c r="H90" t="s">
        <v>4561</v>
      </c>
      <c r="I90" t="s">
        <v>5203</v>
      </c>
    </row>
    <row r="91" spans="1:9" x14ac:dyDescent="0.2">
      <c r="A91" s="1" t="s">
        <v>4448</v>
      </c>
      <c r="B91" t="s">
        <v>934</v>
      </c>
      <c r="C91">
        <v>11</v>
      </c>
      <c r="D91" t="s">
        <v>1482</v>
      </c>
      <c r="E91">
        <v>3527</v>
      </c>
      <c r="F91">
        <v>-1481</v>
      </c>
      <c r="G91">
        <v>-612</v>
      </c>
      <c r="H91" t="s">
        <v>4558</v>
      </c>
      <c r="I91" t="s">
        <v>5204</v>
      </c>
    </row>
    <row r="92" spans="1:9" x14ac:dyDescent="0.2">
      <c r="A92" s="1" t="s">
        <v>4454</v>
      </c>
      <c r="B92" t="s">
        <v>945</v>
      </c>
      <c r="C92">
        <v>12</v>
      </c>
      <c r="D92" t="s">
        <v>1482</v>
      </c>
      <c r="E92">
        <v>3094</v>
      </c>
      <c r="F92">
        <v>-3209</v>
      </c>
      <c r="G92">
        <v>-594</v>
      </c>
      <c r="H92" t="s">
        <v>4528</v>
      </c>
      <c r="I92" t="s">
        <v>5205</v>
      </c>
    </row>
    <row r="93" spans="1:9" x14ac:dyDescent="0.2">
      <c r="A93" s="1" t="s">
        <v>4455</v>
      </c>
      <c r="B93" t="s">
        <v>945</v>
      </c>
      <c r="C93">
        <v>12</v>
      </c>
      <c r="D93" t="s">
        <v>1482</v>
      </c>
      <c r="E93">
        <v>2826</v>
      </c>
      <c r="F93">
        <v>-3271</v>
      </c>
      <c r="G93">
        <v>-527</v>
      </c>
      <c r="H93" t="s">
        <v>4525</v>
      </c>
      <c r="I93" t="s">
        <v>5206</v>
      </c>
    </row>
    <row r="94" spans="1:9" x14ac:dyDescent="0.2">
      <c r="A94" s="1" t="s">
        <v>4456</v>
      </c>
      <c r="B94" t="s">
        <v>945</v>
      </c>
      <c r="C94">
        <v>12</v>
      </c>
      <c r="D94" t="s">
        <v>1482</v>
      </c>
      <c r="E94">
        <v>4632</v>
      </c>
      <c r="F94">
        <v>-3712</v>
      </c>
      <c r="G94">
        <v>-506</v>
      </c>
      <c r="H94" t="s">
        <v>4663</v>
      </c>
      <c r="I94" t="s">
        <v>5207</v>
      </c>
    </row>
    <row r="95" spans="1:9" x14ac:dyDescent="0.2">
      <c r="A95" s="1" t="s">
        <v>4453</v>
      </c>
      <c r="B95" t="s">
        <v>945</v>
      </c>
      <c r="C95">
        <v>12</v>
      </c>
      <c r="D95" t="s">
        <v>1482</v>
      </c>
      <c r="E95">
        <v>2304</v>
      </c>
      <c r="F95">
        <v>-2377</v>
      </c>
      <c r="G95">
        <v>-617</v>
      </c>
      <c r="H95" t="s">
        <v>4529</v>
      </c>
      <c r="I95" t="s">
        <v>5208</v>
      </c>
    </row>
    <row r="96" spans="1:9" x14ac:dyDescent="0.2">
      <c r="A96" s="1" t="s">
        <v>4400</v>
      </c>
      <c r="B96" t="s">
        <v>864</v>
      </c>
      <c r="C96">
        <v>13</v>
      </c>
      <c r="D96" t="s">
        <v>1482</v>
      </c>
      <c r="E96">
        <v>104</v>
      </c>
      <c r="F96">
        <v>-2517</v>
      </c>
      <c r="G96">
        <v>-414</v>
      </c>
      <c r="H96" t="s">
        <v>4490</v>
      </c>
      <c r="I96" t="s">
        <v>5209</v>
      </c>
    </row>
    <row r="97" spans="1:9" x14ac:dyDescent="0.2">
      <c r="A97" s="1" t="s">
        <v>4397</v>
      </c>
      <c r="B97" t="s">
        <v>864</v>
      </c>
      <c r="C97">
        <v>13</v>
      </c>
      <c r="D97" t="s">
        <v>1482</v>
      </c>
      <c r="E97">
        <v>348</v>
      </c>
      <c r="F97">
        <v>-2050</v>
      </c>
      <c r="G97">
        <v>-471</v>
      </c>
      <c r="H97" t="s">
        <v>4500</v>
      </c>
      <c r="I97" t="s">
        <v>5210</v>
      </c>
    </row>
    <row r="98" spans="1:9" x14ac:dyDescent="0.2">
      <c r="A98" s="1" t="s">
        <v>4402</v>
      </c>
      <c r="B98" t="s">
        <v>864</v>
      </c>
      <c r="C98">
        <v>13</v>
      </c>
      <c r="D98" t="s">
        <v>1482</v>
      </c>
      <c r="E98">
        <v>669</v>
      </c>
      <c r="F98">
        <v>-3358</v>
      </c>
      <c r="G98">
        <v>-484</v>
      </c>
      <c r="H98" t="s">
        <v>4488</v>
      </c>
      <c r="I98" t="s">
        <v>5211</v>
      </c>
    </row>
    <row r="99" spans="1:9" x14ac:dyDescent="0.2">
      <c r="A99" s="1" t="s">
        <v>4398</v>
      </c>
      <c r="B99" t="s">
        <v>864</v>
      </c>
      <c r="C99">
        <v>13</v>
      </c>
      <c r="D99" t="s">
        <v>1482</v>
      </c>
      <c r="E99">
        <v>867</v>
      </c>
      <c r="F99">
        <v>-2280</v>
      </c>
      <c r="G99">
        <v>-556</v>
      </c>
      <c r="H99" t="s">
        <v>4507</v>
      </c>
      <c r="I99" t="s">
        <v>5212</v>
      </c>
    </row>
    <row r="100" spans="1:9" x14ac:dyDescent="0.2">
      <c r="A100" s="1" t="s">
        <v>4403</v>
      </c>
      <c r="B100" t="s">
        <v>864</v>
      </c>
      <c r="C100">
        <v>13</v>
      </c>
      <c r="D100" t="s">
        <v>1482</v>
      </c>
      <c r="E100">
        <v>-562</v>
      </c>
      <c r="F100">
        <v>-3524</v>
      </c>
      <c r="G100">
        <v>-574</v>
      </c>
      <c r="H100" t="s">
        <v>4475</v>
      </c>
      <c r="I100" t="s">
        <v>5213</v>
      </c>
    </row>
    <row r="101" spans="1:9" x14ac:dyDescent="0.2">
      <c r="A101" s="1" t="s">
        <v>4399</v>
      </c>
      <c r="B101" t="s">
        <v>864</v>
      </c>
      <c r="C101">
        <v>13</v>
      </c>
      <c r="D101" t="s">
        <v>1482</v>
      </c>
      <c r="E101">
        <v>1217</v>
      </c>
      <c r="F101">
        <v>-2542</v>
      </c>
      <c r="G101">
        <v>-612</v>
      </c>
      <c r="H101" t="s">
        <v>4509</v>
      </c>
      <c r="I101" t="s">
        <v>5214</v>
      </c>
    </row>
    <row r="102" spans="1:9" x14ac:dyDescent="0.2">
      <c r="A102" s="1" t="s">
        <v>4401</v>
      </c>
      <c r="B102" t="s">
        <v>864</v>
      </c>
      <c r="C102">
        <v>13</v>
      </c>
      <c r="D102" t="s">
        <v>1482</v>
      </c>
      <c r="E102">
        <v>1516</v>
      </c>
      <c r="F102">
        <v>-3576</v>
      </c>
      <c r="G102">
        <v>-529</v>
      </c>
      <c r="H102" t="s">
        <v>4496</v>
      </c>
      <c r="I102" t="s">
        <v>5215</v>
      </c>
    </row>
    <row r="103" spans="1:9" x14ac:dyDescent="0.2">
      <c r="A103" s="1" t="s">
        <v>4396</v>
      </c>
      <c r="B103" t="s">
        <v>864</v>
      </c>
      <c r="C103">
        <v>13</v>
      </c>
      <c r="D103" t="s">
        <v>1482</v>
      </c>
      <c r="E103">
        <v>931</v>
      </c>
      <c r="F103">
        <v>-1902</v>
      </c>
      <c r="G103">
        <v>-461</v>
      </c>
      <c r="H103" t="s">
        <v>4513</v>
      </c>
      <c r="I103" t="s">
        <v>5216</v>
      </c>
    </row>
    <row r="104" spans="1:9" x14ac:dyDescent="0.2">
      <c r="A104" s="1" t="s">
        <v>4412</v>
      </c>
      <c r="B104" t="s">
        <v>879</v>
      </c>
      <c r="C104">
        <v>14</v>
      </c>
      <c r="D104" t="s">
        <v>1482</v>
      </c>
      <c r="E104">
        <v>-2445</v>
      </c>
      <c r="F104">
        <v>-3345</v>
      </c>
      <c r="G104">
        <v>-465</v>
      </c>
      <c r="H104" t="s">
        <v>4468</v>
      </c>
      <c r="I104" t="s">
        <v>5217</v>
      </c>
    </row>
    <row r="105" spans="1:9" x14ac:dyDescent="0.2">
      <c r="A105" s="1" t="s">
        <v>4416</v>
      </c>
      <c r="B105" t="s">
        <v>879</v>
      </c>
      <c r="C105">
        <v>14</v>
      </c>
      <c r="D105" t="s">
        <v>1482</v>
      </c>
      <c r="E105">
        <v>-3726</v>
      </c>
      <c r="F105">
        <v>-3625</v>
      </c>
      <c r="G105">
        <v>-494</v>
      </c>
      <c r="H105" t="s">
        <v>4462</v>
      </c>
      <c r="I105" t="s">
        <v>5218</v>
      </c>
    </row>
    <row r="106" spans="1:9" x14ac:dyDescent="0.2">
      <c r="A106" s="1" t="s">
        <v>4418</v>
      </c>
      <c r="B106" t="s">
        <v>879</v>
      </c>
      <c r="C106">
        <v>14</v>
      </c>
      <c r="D106" t="s">
        <v>1482</v>
      </c>
      <c r="E106">
        <v>-4679</v>
      </c>
      <c r="F106">
        <v>-3086</v>
      </c>
      <c r="G106">
        <v>-503</v>
      </c>
      <c r="H106" t="s">
        <v>4461</v>
      </c>
      <c r="I106" t="s">
        <v>5219</v>
      </c>
    </row>
    <row r="107" spans="1:9" x14ac:dyDescent="0.2">
      <c r="A107" s="1" t="s">
        <v>4415</v>
      </c>
      <c r="B107" t="s">
        <v>879</v>
      </c>
      <c r="C107">
        <v>14</v>
      </c>
      <c r="D107" t="s">
        <v>1482</v>
      </c>
      <c r="E107">
        <v>-3883</v>
      </c>
      <c r="F107">
        <v>-2964</v>
      </c>
      <c r="G107">
        <v>-434</v>
      </c>
      <c r="H107" t="s">
        <v>4463</v>
      </c>
      <c r="I107" t="s">
        <v>5220</v>
      </c>
    </row>
    <row r="108" spans="1:9" x14ac:dyDescent="0.2">
      <c r="A108" s="1" t="s">
        <v>4408</v>
      </c>
      <c r="B108" t="s">
        <v>879</v>
      </c>
      <c r="C108">
        <v>14</v>
      </c>
      <c r="D108" t="s">
        <v>1482</v>
      </c>
      <c r="E108">
        <v>-2031</v>
      </c>
      <c r="F108">
        <v>-1847</v>
      </c>
      <c r="G108">
        <v>-504</v>
      </c>
      <c r="H108" t="s">
        <v>4477</v>
      </c>
      <c r="I108" t="s">
        <v>5221</v>
      </c>
    </row>
    <row r="109" spans="1:9" x14ac:dyDescent="0.2">
      <c r="A109" s="1" t="s">
        <v>4417</v>
      </c>
      <c r="B109" t="s">
        <v>879</v>
      </c>
      <c r="C109">
        <v>14</v>
      </c>
      <c r="D109" t="s">
        <v>1482</v>
      </c>
      <c r="E109">
        <v>-4159</v>
      </c>
      <c r="F109">
        <v>-3824</v>
      </c>
      <c r="G109">
        <v>-478</v>
      </c>
      <c r="H109" t="s">
        <v>4460</v>
      </c>
      <c r="I109" t="s">
        <v>5222</v>
      </c>
    </row>
    <row r="110" spans="1:9" x14ac:dyDescent="0.2">
      <c r="A110" s="1" t="s">
        <v>4409</v>
      </c>
      <c r="B110" t="s">
        <v>879</v>
      </c>
      <c r="C110">
        <v>14</v>
      </c>
      <c r="D110" t="s">
        <v>1482</v>
      </c>
      <c r="E110">
        <v>-1529</v>
      </c>
      <c r="F110">
        <v>-2928</v>
      </c>
      <c r="G110">
        <v>-731</v>
      </c>
      <c r="H110" t="s">
        <v>4473</v>
      </c>
      <c r="I110" t="s">
        <v>5223</v>
      </c>
    </row>
    <row r="111" spans="1:9" x14ac:dyDescent="0.2">
      <c r="A111" s="1" t="s">
        <v>4410</v>
      </c>
      <c r="B111" t="s">
        <v>879</v>
      </c>
      <c r="C111">
        <v>14</v>
      </c>
      <c r="D111" t="s">
        <v>1482</v>
      </c>
      <c r="E111">
        <v>-2658</v>
      </c>
      <c r="F111">
        <v>-2236</v>
      </c>
      <c r="G111">
        <v>-488</v>
      </c>
      <c r="H111" t="s">
        <v>4471</v>
      </c>
      <c r="I111" t="s">
        <v>5224</v>
      </c>
    </row>
    <row r="112" spans="1:9" x14ac:dyDescent="0.2">
      <c r="A112" s="1" t="s">
        <v>4413</v>
      </c>
      <c r="B112" t="s">
        <v>879</v>
      </c>
      <c r="C112">
        <v>14</v>
      </c>
      <c r="D112" t="s">
        <v>1482</v>
      </c>
      <c r="E112">
        <v>-3211</v>
      </c>
      <c r="F112">
        <v>-3007</v>
      </c>
      <c r="G112">
        <v>-470</v>
      </c>
      <c r="H112" t="s">
        <v>4465</v>
      </c>
      <c r="I112" t="s">
        <v>5225</v>
      </c>
    </row>
    <row r="113" spans="1:9" x14ac:dyDescent="0.2">
      <c r="A113" s="1" t="s">
        <v>4419</v>
      </c>
      <c r="B113" t="s">
        <v>879</v>
      </c>
      <c r="C113">
        <v>14</v>
      </c>
      <c r="D113" t="s">
        <v>1482</v>
      </c>
      <c r="E113">
        <v>-4168</v>
      </c>
      <c r="F113">
        <v>-2144</v>
      </c>
      <c r="G113">
        <v>-487</v>
      </c>
      <c r="H113" t="s">
        <v>4464</v>
      </c>
      <c r="I113" t="s">
        <v>5226</v>
      </c>
    </row>
    <row r="114" spans="1:9" x14ac:dyDescent="0.2">
      <c r="A114" s="1" t="s">
        <v>4411</v>
      </c>
      <c r="B114" t="s">
        <v>879</v>
      </c>
      <c r="C114">
        <v>14</v>
      </c>
      <c r="D114" t="s">
        <v>1482</v>
      </c>
      <c r="E114">
        <v>-1795</v>
      </c>
      <c r="F114">
        <v>-3485</v>
      </c>
      <c r="G114">
        <v>-477</v>
      </c>
      <c r="H114" t="s">
        <v>4501</v>
      </c>
      <c r="I114" t="s">
        <v>5227</v>
      </c>
    </row>
    <row r="115" spans="1:9" x14ac:dyDescent="0.2">
      <c r="A115" s="1" t="s">
        <v>4414</v>
      </c>
      <c r="B115" t="s">
        <v>879</v>
      </c>
      <c r="C115">
        <v>14</v>
      </c>
      <c r="D115" t="s">
        <v>1482</v>
      </c>
      <c r="E115">
        <v>-3292</v>
      </c>
      <c r="F115">
        <v>-2509</v>
      </c>
      <c r="G115">
        <v>-475</v>
      </c>
      <c r="H115" t="s">
        <v>4467</v>
      </c>
      <c r="I115" t="s">
        <v>5228</v>
      </c>
    </row>
    <row r="116" spans="1:9" x14ac:dyDescent="0.2">
      <c r="A116" s="1" t="s">
        <v>4421</v>
      </c>
      <c r="B116" t="s">
        <v>876</v>
      </c>
      <c r="C116">
        <v>15</v>
      </c>
      <c r="D116" t="s">
        <v>1482</v>
      </c>
      <c r="E116">
        <v>-3496</v>
      </c>
      <c r="F116">
        <v>-197</v>
      </c>
      <c r="G116">
        <v>-516</v>
      </c>
      <c r="H116" t="s">
        <v>4480</v>
      </c>
      <c r="I116" t="s">
        <v>5229</v>
      </c>
    </row>
    <row r="117" spans="1:9" x14ac:dyDescent="0.2">
      <c r="A117" s="1" t="s">
        <v>4407</v>
      </c>
      <c r="B117" t="s">
        <v>876</v>
      </c>
      <c r="C117">
        <v>15</v>
      </c>
      <c r="D117" t="s">
        <v>1482</v>
      </c>
      <c r="E117">
        <v>-2523</v>
      </c>
      <c r="F117">
        <v>-1770</v>
      </c>
      <c r="G117">
        <v>-713</v>
      </c>
      <c r="H117" t="s">
        <v>4474</v>
      </c>
      <c r="I117" t="s">
        <v>5230</v>
      </c>
    </row>
    <row r="118" spans="1:9" x14ac:dyDescent="0.2">
      <c r="A118" s="1" t="s">
        <v>4404</v>
      </c>
      <c r="B118" t="s">
        <v>876</v>
      </c>
      <c r="C118">
        <v>15</v>
      </c>
      <c r="D118" t="s">
        <v>1482</v>
      </c>
      <c r="E118">
        <v>-4468</v>
      </c>
      <c r="F118">
        <v>-670</v>
      </c>
      <c r="G118">
        <v>-949</v>
      </c>
      <c r="H118" t="s">
        <v>4469</v>
      </c>
      <c r="I118" t="s">
        <v>5231</v>
      </c>
    </row>
    <row r="119" spans="1:9" x14ac:dyDescent="0.2">
      <c r="A119" s="1" t="s">
        <v>4420</v>
      </c>
      <c r="B119" t="s">
        <v>876</v>
      </c>
      <c r="C119">
        <v>15</v>
      </c>
      <c r="D119" t="s">
        <v>1482</v>
      </c>
      <c r="E119">
        <v>-4152</v>
      </c>
      <c r="F119">
        <v>98</v>
      </c>
      <c r="G119">
        <v>-489</v>
      </c>
      <c r="H119" t="s">
        <v>4476</v>
      </c>
      <c r="I119" t="s">
        <v>5232</v>
      </c>
    </row>
    <row r="120" spans="1:9" x14ac:dyDescent="0.2">
      <c r="A120" s="1" t="s">
        <v>4405</v>
      </c>
      <c r="B120" t="s">
        <v>876</v>
      </c>
      <c r="C120">
        <v>15</v>
      </c>
      <c r="D120" t="s">
        <v>1482</v>
      </c>
      <c r="E120">
        <v>-4637</v>
      </c>
      <c r="F120">
        <v>-1514</v>
      </c>
      <c r="G120">
        <v>-890</v>
      </c>
      <c r="H120" t="s">
        <v>4466</v>
      </c>
      <c r="I120" t="s">
        <v>5233</v>
      </c>
    </row>
    <row r="121" spans="1:9" x14ac:dyDescent="0.2">
      <c r="A121" s="1" t="s">
        <v>4406</v>
      </c>
      <c r="B121" t="s">
        <v>876</v>
      </c>
      <c r="C121">
        <v>15</v>
      </c>
      <c r="D121" t="s">
        <v>1482</v>
      </c>
      <c r="E121">
        <v>-3407</v>
      </c>
      <c r="F121">
        <v>-1362</v>
      </c>
      <c r="G121">
        <v>-77</v>
      </c>
      <c r="H121" t="s">
        <v>4472</v>
      </c>
      <c r="I121" t="s">
        <v>5234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dimension ref="A1:K153"/>
  <sheetViews>
    <sheetView tabSelected="1" workbookViewId="0">
      <selection activeCell="G19" sqref="G19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4673</v>
      </c>
      <c r="D1" s="6" t="s">
        <v>777</v>
      </c>
      <c r="E1" s="13" t="s">
        <v>778</v>
      </c>
      <c r="F1" s="13" t="s">
        <v>779</v>
      </c>
      <c r="G1" s="6" t="s">
        <v>780</v>
      </c>
      <c r="H1" s="11"/>
      <c r="I1" s="11"/>
      <c r="J1" s="11"/>
      <c r="K1" s="11"/>
    </row>
    <row r="2" spans="1:11" x14ac:dyDescent="0.2">
      <c r="A2" s="1" t="s">
        <v>2282</v>
      </c>
      <c r="B2" t="s">
        <v>4633</v>
      </c>
      <c r="C2">
        <v>1</v>
      </c>
      <c r="D2" t="s">
        <v>787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2"/>
      <c r="K2" s="12"/>
    </row>
    <row r="3" spans="1:11" x14ac:dyDescent="0.2">
      <c r="A3" s="1" t="s">
        <v>808</v>
      </c>
      <c r="B3" t="s">
        <v>4634</v>
      </c>
      <c r="C3">
        <v>2</v>
      </c>
      <c r="D3" t="s">
        <v>787</v>
      </c>
      <c r="E3" s="7">
        <v>-761</v>
      </c>
      <c r="F3" s="7">
        <v>-1019</v>
      </c>
      <c r="G3" s="7">
        <v>64</v>
      </c>
      <c r="H3" s="7" t="s">
        <v>5235</v>
      </c>
      <c r="I3" s="12"/>
      <c r="K3" s="12"/>
    </row>
    <row r="4" spans="1:11" x14ac:dyDescent="0.2">
      <c r="A4" s="1" t="s">
        <v>2272</v>
      </c>
      <c r="B4" t="s">
        <v>801</v>
      </c>
      <c r="C4">
        <v>3</v>
      </c>
      <c r="D4" t="s">
        <v>787</v>
      </c>
      <c r="E4" s="7">
        <v>-1909</v>
      </c>
      <c r="F4" s="7">
        <v>1245</v>
      </c>
      <c r="G4" s="7">
        <v>297</v>
      </c>
      <c r="H4" s="7" t="s">
        <v>5236</v>
      </c>
      <c r="I4" s="12"/>
      <c r="K4" s="12"/>
    </row>
    <row r="5" spans="1:11" x14ac:dyDescent="0.2">
      <c r="A5" s="1" t="s">
        <v>2435</v>
      </c>
      <c r="B5" t="s">
        <v>904</v>
      </c>
      <c r="C5">
        <v>4</v>
      </c>
      <c r="D5" t="s">
        <v>787</v>
      </c>
      <c r="E5" s="7">
        <v>-3860</v>
      </c>
      <c r="F5" s="7">
        <v>2345</v>
      </c>
      <c r="G5" s="7">
        <v>233</v>
      </c>
      <c r="H5" s="7" t="s">
        <v>5237</v>
      </c>
      <c r="I5" s="12"/>
      <c r="K5" s="12"/>
    </row>
    <row r="6" spans="1:11" x14ac:dyDescent="0.2">
      <c r="A6" s="1" t="s">
        <v>1717</v>
      </c>
      <c r="B6" t="s">
        <v>2506</v>
      </c>
      <c r="C6">
        <v>5</v>
      </c>
      <c r="D6" t="s">
        <v>787</v>
      </c>
      <c r="E6" s="7">
        <v>-2312</v>
      </c>
      <c r="F6" s="7">
        <v>3064</v>
      </c>
      <c r="G6" s="7">
        <v>536</v>
      </c>
      <c r="H6" s="7" t="s">
        <v>5238</v>
      </c>
      <c r="I6" s="12"/>
      <c r="K6" s="12"/>
    </row>
    <row r="7" spans="1:11" x14ac:dyDescent="0.2">
      <c r="A7" s="1" t="s">
        <v>4635</v>
      </c>
      <c r="B7" t="s">
        <v>805</v>
      </c>
      <c r="C7">
        <v>6</v>
      </c>
      <c r="D7" t="s">
        <v>787</v>
      </c>
      <c r="E7" s="7">
        <v>343</v>
      </c>
      <c r="F7" s="7">
        <v>3133</v>
      </c>
      <c r="G7" s="7">
        <v>180</v>
      </c>
      <c r="H7" s="7" t="s">
        <v>5239</v>
      </c>
      <c r="I7" s="12"/>
      <c r="J7" s="12"/>
      <c r="K7" s="12"/>
    </row>
    <row r="8" spans="1:11" x14ac:dyDescent="0.2">
      <c r="A8" s="1" t="s">
        <v>846</v>
      </c>
      <c r="B8" t="s">
        <v>2073</v>
      </c>
      <c r="C8">
        <v>7</v>
      </c>
      <c r="D8" t="s">
        <v>787</v>
      </c>
      <c r="E8" s="7">
        <v>1641</v>
      </c>
      <c r="F8" s="7">
        <v>1190</v>
      </c>
      <c r="G8" s="7">
        <v>225</v>
      </c>
      <c r="H8" s="7" t="s">
        <v>5240</v>
      </c>
      <c r="I8" s="12"/>
      <c r="J8" s="12"/>
      <c r="K8" s="12"/>
    </row>
    <row r="9" spans="1:11" x14ac:dyDescent="0.2">
      <c r="A9" s="1" t="s">
        <v>2546</v>
      </c>
      <c r="B9" t="s">
        <v>1922</v>
      </c>
      <c r="C9">
        <v>8</v>
      </c>
      <c r="D9" t="s">
        <v>787</v>
      </c>
      <c r="E9" s="7">
        <v>3497</v>
      </c>
      <c r="F9" s="7">
        <v>2025</v>
      </c>
      <c r="G9" s="7">
        <v>188</v>
      </c>
      <c r="H9" s="7" t="s">
        <v>5241</v>
      </c>
      <c r="I9" s="12"/>
      <c r="J9" s="12"/>
      <c r="K9" s="12"/>
    </row>
    <row r="10" spans="1:11" x14ac:dyDescent="0.2">
      <c r="A10" s="1" t="s">
        <v>1737</v>
      </c>
      <c r="B10" t="s">
        <v>4671</v>
      </c>
      <c r="C10">
        <v>9</v>
      </c>
      <c r="D10" t="s">
        <v>787</v>
      </c>
      <c r="E10" s="7">
        <v>2865</v>
      </c>
      <c r="F10" s="7">
        <v>580</v>
      </c>
      <c r="G10" s="7">
        <v>379</v>
      </c>
      <c r="H10" s="7" t="s">
        <v>5242</v>
      </c>
      <c r="I10" s="12"/>
      <c r="J10" s="12"/>
      <c r="K10" s="12"/>
    </row>
    <row r="11" spans="1:11" x14ac:dyDescent="0.2">
      <c r="A11" s="1" t="s">
        <v>1722</v>
      </c>
      <c r="B11" t="s">
        <v>4670</v>
      </c>
      <c r="C11">
        <v>10</v>
      </c>
      <c r="D11" t="s">
        <v>787</v>
      </c>
      <c r="E11" s="7">
        <v>1341</v>
      </c>
      <c r="F11" s="7">
        <v>-1176</v>
      </c>
      <c r="G11" s="7">
        <v>166</v>
      </c>
      <c r="H11" s="7" t="s">
        <v>5243</v>
      </c>
      <c r="I11" s="12"/>
      <c r="J11" s="12"/>
      <c r="K11" s="12"/>
    </row>
    <row r="12" spans="1:11" x14ac:dyDescent="0.2">
      <c r="A12" s="1" t="s">
        <v>934</v>
      </c>
      <c r="B12" t="s">
        <v>934</v>
      </c>
      <c r="C12">
        <v>11</v>
      </c>
      <c r="D12" t="s">
        <v>787</v>
      </c>
      <c r="E12" s="7">
        <v>3847</v>
      </c>
      <c r="F12" s="7">
        <v>-1313</v>
      </c>
      <c r="G12" s="7">
        <v>539</v>
      </c>
      <c r="H12" s="7" t="s">
        <v>5244</v>
      </c>
      <c r="I12" s="12"/>
      <c r="J12" s="12"/>
      <c r="K12" s="12"/>
    </row>
    <row r="13" spans="1:11" x14ac:dyDescent="0.2">
      <c r="A13" s="1" t="s">
        <v>2401</v>
      </c>
      <c r="B13" t="s">
        <v>945</v>
      </c>
      <c r="C13">
        <v>12</v>
      </c>
      <c r="D13" t="s">
        <v>787</v>
      </c>
      <c r="E13" s="7">
        <v>2419</v>
      </c>
      <c r="F13" s="7">
        <v>-2755</v>
      </c>
      <c r="G13" s="7">
        <v>222</v>
      </c>
      <c r="H13" s="7" t="s">
        <v>5245</v>
      </c>
      <c r="I13" s="12"/>
      <c r="J13" s="12"/>
      <c r="K13" s="12"/>
    </row>
    <row r="14" spans="1:11" x14ac:dyDescent="0.2">
      <c r="A14" s="1" t="s">
        <v>2390</v>
      </c>
      <c r="B14" t="s">
        <v>864</v>
      </c>
      <c r="C14">
        <v>13</v>
      </c>
      <c r="D14" t="s">
        <v>787</v>
      </c>
      <c r="E14" s="7">
        <v>604</v>
      </c>
      <c r="F14" s="7">
        <v>-2127</v>
      </c>
      <c r="G14" s="7">
        <v>98</v>
      </c>
      <c r="H14" s="7" t="s">
        <v>5246</v>
      </c>
      <c r="I14" s="12"/>
      <c r="J14" s="12"/>
      <c r="K14" s="12"/>
    </row>
    <row r="15" spans="1:11" x14ac:dyDescent="0.2">
      <c r="A15" s="1" t="s">
        <v>1681</v>
      </c>
      <c r="B15" t="s">
        <v>879</v>
      </c>
      <c r="C15">
        <v>14</v>
      </c>
      <c r="D15" t="s">
        <v>787</v>
      </c>
      <c r="E15" s="7">
        <v>-2438</v>
      </c>
      <c r="F15" s="7">
        <v>-2182</v>
      </c>
      <c r="G15" s="7">
        <v>307</v>
      </c>
      <c r="H15" s="7" t="s">
        <v>5247</v>
      </c>
      <c r="I15" s="12"/>
      <c r="J15" s="12"/>
      <c r="K15" s="12"/>
    </row>
    <row r="16" spans="1:11" x14ac:dyDescent="0.2">
      <c r="A16" s="1" t="s">
        <v>876</v>
      </c>
      <c r="B16" t="s">
        <v>876</v>
      </c>
      <c r="C16">
        <v>15</v>
      </c>
      <c r="D16" t="s">
        <v>787</v>
      </c>
      <c r="E16" s="7">
        <v>-3959</v>
      </c>
      <c r="F16" s="7">
        <v>-1313</v>
      </c>
      <c r="G16" s="7">
        <v>422</v>
      </c>
      <c r="H16" s="7" t="s">
        <v>5248</v>
      </c>
      <c r="I16" s="12"/>
      <c r="J16" s="12"/>
      <c r="K16" s="12"/>
    </row>
    <row r="17" spans="1:11" x14ac:dyDescent="0.2">
      <c r="A17" s="1"/>
      <c r="H17" s="9"/>
      <c r="I17" s="12"/>
      <c r="J17" s="12"/>
      <c r="K17" s="12"/>
    </row>
    <row r="18" spans="1:11" x14ac:dyDescent="0.2">
      <c r="A18" s="1"/>
      <c r="G18" s="7"/>
      <c r="H18" s="9"/>
      <c r="I18" s="12"/>
      <c r="J18" s="12"/>
      <c r="K18" s="12"/>
    </row>
    <row r="19" spans="1:11" x14ac:dyDescent="0.2">
      <c r="A19" s="1"/>
      <c r="G19" s="7"/>
      <c r="H19" s="9"/>
      <c r="I19" s="12"/>
      <c r="J19" s="12"/>
      <c r="K19" s="12"/>
    </row>
    <row r="20" spans="1:11" x14ac:dyDescent="0.2">
      <c r="A20" s="1"/>
      <c r="G20" s="7"/>
      <c r="H20" s="9"/>
      <c r="I20" s="12"/>
      <c r="J20" s="12"/>
      <c r="K20" s="12"/>
    </row>
    <row r="21" spans="1:11" x14ac:dyDescent="0.2">
      <c r="A21" s="1"/>
      <c r="G21" s="7"/>
      <c r="H21" s="9"/>
      <c r="I21" s="12"/>
      <c r="J21" s="12"/>
      <c r="K21" s="12"/>
    </row>
    <row r="22" spans="1:11" x14ac:dyDescent="0.2">
      <c r="A22" s="1"/>
      <c r="G22" s="7"/>
      <c r="H22" s="9"/>
      <c r="I22" s="12"/>
      <c r="J22" s="12"/>
      <c r="K22" s="12"/>
    </row>
    <row r="23" spans="1:11" x14ac:dyDescent="0.2">
      <c r="A23" s="1"/>
      <c r="G23" s="7"/>
      <c r="H23" s="9"/>
      <c r="I23" s="12"/>
      <c r="J23" s="12"/>
      <c r="K23" s="12"/>
    </row>
    <row r="24" spans="1:11" x14ac:dyDescent="0.2">
      <c r="A24" s="1"/>
      <c r="G24" s="7"/>
      <c r="H24" s="9"/>
      <c r="I24" s="12"/>
      <c r="J24" s="12"/>
      <c r="K24" s="12"/>
    </row>
    <row r="25" spans="1:11" x14ac:dyDescent="0.2">
      <c r="A25" s="1"/>
      <c r="G25" s="7"/>
      <c r="H25" s="9"/>
      <c r="I25" s="12"/>
      <c r="J25" s="12"/>
      <c r="K25" s="12"/>
    </row>
    <row r="26" spans="1:11" x14ac:dyDescent="0.2">
      <c r="A26" s="1"/>
      <c r="G26" s="7"/>
      <c r="H26" s="9"/>
      <c r="I26" s="12"/>
      <c r="J26" s="12"/>
      <c r="K26" s="12"/>
    </row>
    <row r="27" spans="1:11" x14ac:dyDescent="0.2">
      <c r="A27" s="1"/>
      <c r="G27" s="7"/>
      <c r="H27" s="9"/>
      <c r="I27" s="12"/>
      <c r="J27" s="12"/>
      <c r="K27" s="12"/>
    </row>
    <row r="28" spans="1:11" x14ac:dyDescent="0.2">
      <c r="A28" s="1"/>
      <c r="G28" s="7"/>
      <c r="H28" s="9"/>
      <c r="I28" s="12"/>
      <c r="J28" s="12"/>
      <c r="K28" s="12"/>
    </row>
    <row r="29" spans="1:11" x14ac:dyDescent="0.2">
      <c r="A29" s="1"/>
      <c r="G29" s="7"/>
      <c r="H29" s="9"/>
      <c r="I29" s="12"/>
      <c r="J29" s="12"/>
      <c r="K29" s="12"/>
    </row>
    <row r="30" spans="1:11" x14ac:dyDescent="0.2">
      <c r="A30" s="1"/>
      <c r="G30" s="7"/>
      <c r="H30" s="9"/>
      <c r="I30" s="12"/>
      <c r="J30" s="12"/>
      <c r="K30" s="12"/>
    </row>
    <row r="31" spans="1:11" x14ac:dyDescent="0.2">
      <c r="A31" s="1"/>
      <c r="G31" s="7"/>
      <c r="H31" s="9"/>
      <c r="I31" s="12"/>
      <c r="J31" s="12"/>
      <c r="K31" s="12"/>
    </row>
    <row r="32" spans="1:11" x14ac:dyDescent="0.2">
      <c r="A32" s="1"/>
      <c r="G32" s="7"/>
      <c r="H32" s="9"/>
      <c r="I32" s="12"/>
      <c r="J32" s="12"/>
      <c r="K32" s="12"/>
    </row>
    <row r="33" spans="1:11" x14ac:dyDescent="0.2">
      <c r="A33" s="1"/>
      <c r="H33" s="9"/>
      <c r="I33" s="12"/>
      <c r="J33" s="12"/>
      <c r="K33" s="12"/>
    </row>
    <row r="34" spans="1:11" x14ac:dyDescent="0.2">
      <c r="A34" s="1"/>
      <c r="H34" s="9"/>
      <c r="I34" s="12"/>
      <c r="J34" s="12"/>
      <c r="K34" s="12"/>
    </row>
    <row r="35" spans="1:11" x14ac:dyDescent="0.2">
      <c r="A35" s="1"/>
      <c r="H35" s="9"/>
      <c r="I35" s="12"/>
      <c r="J35" s="12"/>
      <c r="K35" s="12"/>
    </row>
    <row r="36" spans="1:11" x14ac:dyDescent="0.2">
      <c r="A36" s="1"/>
      <c r="H36" s="9"/>
      <c r="I36" s="12"/>
      <c r="J36" s="12"/>
      <c r="K36" s="12"/>
    </row>
    <row r="37" spans="1:11" x14ac:dyDescent="0.2">
      <c r="A37" s="1"/>
      <c r="H37" s="9"/>
      <c r="I37" s="12"/>
      <c r="J37" s="12"/>
      <c r="K37" s="12"/>
    </row>
    <row r="38" spans="1:11" x14ac:dyDescent="0.2">
      <c r="A38" s="1"/>
      <c r="H38" s="9"/>
      <c r="I38" s="12"/>
      <c r="J38" s="12"/>
      <c r="K38" s="12"/>
    </row>
    <row r="39" spans="1:11" x14ac:dyDescent="0.2">
      <c r="A39" s="1"/>
      <c r="H39" s="9"/>
      <c r="I39" s="12"/>
      <c r="J39" s="12"/>
      <c r="K39" s="12"/>
    </row>
    <row r="40" spans="1:11" x14ac:dyDescent="0.2">
      <c r="A40" s="1"/>
      <c r="H40" s="9"/>
      <c r="I40" s="12"/>
      <c r="J40" s="12"/>
      <c r="K40" s="12"/>
    </row>
    <row r="41" spans="1:11" x14ac:dyDescent="0.2">
      <c r="A41" s="1"/>
      <c r="H41" s="9"/>
      <c r="I41" s="12"/>
      <c r="J41" s="12"/>
      <c r="K41" s="12"/>
    </row>
    <row r="42" spans="1:11" x14ac:dyDescent="0.2">
      <c r="A42" s="1"/>
      <c r="H42" s="9"/>
      <c r="I42" s="12"/>
      <c r="J42" s="12"/>
      <c r="K42" s="12"/>
    </row>
    <row r="43" spans="1:11" x14ac:dyDescent="0.2">
      <c r="A43" s="1"/>
      <c r="H43" s="9"/>
      <c r="I43" s="12"/>
      <c r="J43" s="12"/>
      <c r="K43" s="12"/>
    </row>
    <row r="44" spans="1:11" x14ac:dyDescent="0.2">
      <c r="A44" s="1"/>
      <c r="H44" s="9"/>
      <c r="I44" s="12"/>
      <c r="J44" s="12"/>
      <c r="K44" s="12"/>
    </row>
    <row r="45" spans="1:11" x14ac:dyDescent="0.2">
      <c r="A45" s="1"/>
      <c r="H45" s="9"/>
      <c r="I45" s="12"/>
      <c r="J45" s="12"/>
      <c r="K45" s="12"/>
    </row>
    <row r="46" spans="1:11" x14ac:dyDescent="0.2">
      <c r="A46" s="1"/>
      <c r="H46" s="9"/>
      <c r="I46" s="12"/>
      <c r="J46" s="12"/>
      <c r="K46" s="12"/>
    </row>
    <row r="47" spans="1:11" x14ac:dyDescent="0.2">
      <c r="A47" s="1"/>
      <c r="H47" s="9"/>
      <c r="I47" s="12"/>
      <c r="J47" s="12"/>
      <c r="K47" s="12"/>
    </row>
    <row r="48" spans="1:11" x14ac:dyDescent="0.2">
      <c r="A48" s="1"/>
      <c r="H48" s="9"/>
      <c r="I48" s="12"/>
      <c r="J48" s="12"/>
      <c r="K48" s="12"/>
    </row>
    <row r="49" spans="1:11" x14ac:dyDescent="0.2">
      <c r="A49" s="1"/>
      <c r="H49" s="9"/>
      <c r="I49" s="12"/>
      <c r="J49" s="12"/>
      <c r="K49" s="12"/>
    </row>
    <row r="50" spans="1:11" x14ac:dyDescent="0.2">
      <c r="A50" s="1"/>
      <c r="H50" s="9"/>
      <c r="I50" s="12"/>
      <c r="J50" s="12"/>
      <c r="K50" s="12"/>
    </row>
    <row r="51" spans="1:11" x14ac:dyDescent="0.2">
      <c r="A51" s="1"/>
      <c r="H51" s="9"/>
      <c r="I51" s="12"/>
      <c r="J51" s="12"/>
      <c r="K51" s="12"/>
    </row>
    <row r="52" spans="1:11" x14ac:dyDescent="0.2">
      <c r="A52" s="1"/>
      <c r="H52" s="9"/>
      <c r="I52" s="12"/>
      <c r="J52" s="12"/>
      <c r="K52" s="12"/>
    </row>
    <row r="53" spans="1:11" x14ac:dyDescent="0.2">
      <c r="A53" s="1"/>
      <c r="H53" s="9"/>
      <c r="I53" s="12"/>
      <c r="J53" s="12"/>
      <c r="K53" s="12"/>
    </row>
    <row r="54" spans="1:11" x14ac:dyDescent="0.2">
      <c r="A54" s="1"/>
      <c r="H54" s="9"/>
      <c r="I54" s="12"/>
      <c r="J54" s="12"/>
      <c r="K54" s="12"/>
    </row>
    <row r="55" spans="1:11" x14ac:dyDescent="0.2">
      <c r="A55" s="1"/>
      <c r="H55" s="9"/>
      <c r="I55" s="12"/>
      <c r="J55" s="12"/>
      <c r="K55" s="12"/>
    </row>
    <row r="56" spans="1:11" x14ac:dyDescent="0.2">
      <c r="A56" s="1"/>
      <c r="H56" s="9"/>
      <c r="I56" s="12"/>
      <c r="J56" s="12"/>
      <c r="K56" s="12"/>
    </row>
    <row r="57" spans="1:11" x14ac:dyDescent="0.2">
      <c r="A57" s="1"/>
      <c r="H57" s="9"/>
      <c r="I57" s="12"/>
      <c r="J57" s="12"/>
      <c r="K57" s="12"/>
    </row>
    <row r="58" spans="1:11" x14ac:dyDescent="0.2">
      <c r="A58" s="1"/>
      <c r="H58" s="9"/>
      <c r="I58" s="12"/>
      <c r="J58" s="12"/>
      <c r="K58" s="12"/>
    </row>
    <row r="59" spans="1:11" x14ac:dyDescent="0.2">
      <c r="A59" s="1"/>
      <c r="H59" s="9"/>
      <c r="I59" s="12"/>
      <c r="J59" s="12"/>
      <c r="K59" s="12"/>
    </row>
    <row r="60" spans="1:11" x14ac:dyDescent="0.2">
      <c r="A60" s="1"/>
      <c r="H60" s="9"/>
      <c r="I60" s="12"/>
      <c r="J60" s="12"/>
      <c r="K60" s="12"/>
    </row>
    <row r="61" spans="1:11" x14ac:dyDescent="0.2">
      <c r="A61" s="1"/>
      <c r="H61" s="9"/>
      <c r="I61" s="12"/>
      <c r="J61" s="12"/>
      <c r="K61" s="12"/>
    </row>
    <row r="62" spans="1:11" x14ac:dyDescent="0.2">
      <c r="A62" s="1"/>
      <c r="H62" s="9"/>
      <c r="I62" s="12"/>
      <c r="J62" s="12"/>
      <c r="K62" s="12"/>
    </row>
    <row r="63" spans="1:11" x14ac:dyDescent="0.2">
      <c r="A63" s="1"/>
      <c r="H63" s="9"/>
      <c r="I63" s="12"/>
      <c r="J63" s="12"/>
      <c r="K63" s="12"/>
    </row>
    <row r="64" spans="1:11" x14ac:dyDescent="0.2">
      <c r="A64" s="1"/>
      <c r="H64" s="9"/>
      <c r="I64" s="12"/>
      <c r="J64" s="12"/>
      <c r="K64" s="12"/>
    </row>
    <row r="65" spans="1:11" x14ac:dyDescent="0.2">
      <c r="A65" s="1"/>
      <c r="H65" s="9"/>
      <c r="I65" s="12"/>
      <c r="J65" s="12"/>
      <c r="K65" s="12"/>
    </row>
    <row r="66" spans="1:11" x14ac:dyDescent="0.2">
      <c r="A66" s="1"/>
      <c r="H66" s="9"/>
      <c r="I66" s="12"/>
      <c r="J66" s="12"/>
      <c r="K66" s="12"/>
    </row>
    <row r="67" spans="1:11" x14ac:dyDescent="0.2">
      <c r="A67" s="1"/>
      <c r="H67" s="9"/>
      <c r="I67" s="12"/>
      <c r="J67" s="12"/>
      <c r="K67" s="12"/>
    </row>
    <row r="68" spans="1:11" x14ac:dyDescent="0.2">
      <c r="A68" s="1"/>
      <c r="H68" s="9"/>
      <c r="I68" s="12"/>
      <c r="J68" s="12"/>
      <c r="K68" s="12"/>
    </row>
    <row r="69" spans="1:11" x14ac:dyDescent="0.2">
      <c r="A69" s="1"/>
      <c r="H69" s="9"/>
      <c r="I69" s="12"/>
      <c r="J69" s="12"/>
      <c r="K69" s="12"/>
    </row>
    <row r="70" spans="1:11" x14ac:dyDescent="0.2">
      <c r="A70" s="1"/>
      <c r="H70" s="9"/>
      <c r="I70" s="12"/>
      <c r="J70" s="12"/>
      <c r="K70" s="12"/>
    </row>
    <row r="71" spans="1:11" x14ac:dyDescent="0.2">
      <c r="A71" s="1"/>
      <c r="H71" s="9"/>
      <c r="I71" s="12"/>
      <c r="J71" s="12"/>
      <c r="K71" s="12"/>
    </row>
    <row r="72" spans="1:11" x14ac:dyDescent="0.2">
      <c r="A72" s="1"/>
      <c r="H72" s="9"/>
      <c r="I72" s="12"/>
      <c r="J72" s="12"/>
      <c r="K72" s="12"/>
    </row>
    <row r="73" spans="1:11" x14ac:dyDescent="0.2">
      <c r="A73" s="1"/>
      <c r="H73" s="9"/>
      <c r="I73" s="12"/>
      <c r="J73" s="12"/>
      <c r="K73" s="12"/>
    </row>
    <row r="74" spans="1:11" x14ac:dyDescent="0.2">
      <c r="A74" s="1"/>
      <c r="H74" s="9"/>
      <c r="I74" s="12"/>
      <c r="J74" s="12"/>
      <c r="K74" s="12"/>
    </row>
    <row r="75" spans="1:11" x14ac:dyDescent="0.2">
      <c r="A75" s="1"/>
      <c r="H75" s="9"/>
      <c r="I75" s="12"/>
      <c r="J75" s="12"/>
      <c r="K75" s="12"/>
    </row>
    <row r="76" spans="1:11" x14ac:dyDescent="0.2">
      <c r="A76" s="1"/>
      <c r="H76" s="9"/>
      <c r="I76" s="12"/>
      <c r="J76" s="12"/>
      <c r="K76" s="12"/>
    </row>
    <row r="77" spans="1:11" x14ac:dyDescent="0.2">
      <c r="A77" s="1"/>
      <c r="H77" s="9"/>
      <c r="I77" s="12"/>
      <c r="J77" s="12"/>
      <c r="K77" s="12"/>
    </row>
    <row r="78" spans="1:11" x14ac:dyDescent="0.2">
      <c r="A78" s="1"/>
      <c r="H78" s="9"/>
      <c r="I78" s="12"/>
      <c r="J78" s="12"/>
      <c r="K78" s="12"/>
    </row>
    <row r="79" spans="1:11" x14ac:dyDescent="0.2">
      <c r="A79" s="1"/>
      <c r="H79" s="9"/>
      <c r="I79" s="12"/>
      <c r="J79" s="12"/>
      <c r="K79" s="12"/>
    </row>
    <row r="80" spans="1:11" x14ac:dyDescent="0.2">
      <c r="A80" s="1"/>
      <c r="H80" s="9"/>
      <c r="I80" s="12"/>
      <c r="J80" s="12"/>
      <c r="K80" s="12"/>
    </row>
    <row r="81" spans="1:11" x14ac:dyDescent="0.2">
      <c r="A81" s="1"/>
      <c r="H81" s="9"/>
      <c r="I81" s="12"/>
      <c r="J81" s="12"/>
      <c r="K81" s="12"/>
    </row>
    <row r="82" spans="1:11" x14ac:dyDescent="0.2">
      <c r="A82" s="1"/>
      <c r="H82" s="9"/>
      <c r="I82" s="12"/>
      <c r="J82" s="12"/>
      <c r="K82" s="12"/>
    </row>
    <row r="83" spans="1:11" x14ac:dyDescent="0.2">
      <c r="A83" s="1"/>
      <c r="H83" s="9"/>
      <c r="I83" s="12"/>
      <c r="J83" s="12"/>
      <c r="K83" s="12"/>
    </row>
    <row r="84" spans="1:11" x14ac:dyDescent="0.2">
      <c r="A84" s="1"/>
      <c r="H84" s="9"/>
      <c r="I84" s="12"/>
      <c r="J84" s="12"/>
      <c r="K84" s="12"/>
    </row>
    <row r="85" spans="1:11" x14ac:dyDescent="0.2">
      <c r="A85" s="1"/>
      <c r="H85" s="9"/>
      <c r="I85" s="12"/>
      <c r="J85" s="12"/>
      <c r="K85" s="12"/>
    </row>
    <row r="86" spans="1:11" x14ac:dyDescent="0.2">
      <c r="A86" s="1"/>
      <c r="H86" s="9"/>
      <c r="I86" s="12"/>
      <c r="J86" s="12"/>
      <c r="K86" s="12"/>
    </row>
    <row r="87" spans="1:11" x14ac:dyDescent="0.2">
      <c r="A87" s="1"/>
      <c r="H87" s="9"/>
      <c r="I87" s="12"/>
      <c r="J87" s="12"/>
      <c r="K87" s="12"/>
    </row>
    <row r="88" spans="1:11" x14ac:dyDescent="0.2">
      <c r="A88" s="1"/>
      <c r="H88" s="9"/>
      <c r="I88" s="12"/>
      <c r="J88" s="12"/>
      <c r="K88" s="12"/>
    </row>
    <row r="89" spans="1:11" x14ac:dyDescent="0.2">
      <c r="A89" s="1"/>
      <c r="E89"/>
      <c r="H89" s="9"/>
      <c r="I89" s="12"/>
      <c r="J89" s="12"/>
      <c r="K89" s="12"/>
    </row>
    <row r="90" spans="1:11" x14ac:dyDescent="0.2">
      <c r="A90" s="1"/>
      <c r="H90" s="9"/>
      <c r="I90" s="12"/>
      <c r="J90" s="12"/>
      <c r="K90" s="12"/>
    </row>
    <row r="91" spans="1:11" x14ac:dyDescent="0.2">
      <c r="A91" s="1"/>
      <c r="H91" s="9"/>
      <c r="I91" s="12"/>
      <c r="J91" s="12"/>
      <c r="K91" s="12"/>
    </row>
    <row r="92" spans="1:11" x14ac:dyDescent="0.2">
      <c r="A92" s="1"/>
      <c r="H92" s="9"/>
      <c r="I92" s="12"/>
      <c r="J92" s="12"/>
      <c r="K92" s="12"/>
    </row>
    <row r="93" spans="1:11" x14ac:dyDescent="0.2">
      <c r="A93" s="1"/>
      <c r="H93" s="9"/>
      <c r="I93" s="12"/>
      <c r="J93" s="12"/>
      <c r="K93" s="12"/>
    </row>
    <row r="94" spans="1:11" x14ac:dyDescent="0.2">
      <c r="A94" s="1"/>
      <c r="F94"/>
      <c r="H94" s="9"/>
      <c r="I94" s="12"/>
      <c r="J94" s="12"/>
      <c r="K94" s="12"/>
    </row>
    <row r="95" spans="1:11" x14ac:dyDescent="0.2">
      <c r="A95" s="1"/>
      <c r="H95" s="9"/>
      <c r="I95" s="12"/>
      <c r="J95" s="12"/>
      <c r="K95" s="12"/>
    </row>
    <row r="96" spans="1:11" x14ac:dyDescent="0.2">
      <c r="A96" s="1"/>
      <c r="H96" s="9"/>
      <c r="I96" s="12"/>
      <c r="J96" s="12"/>
      <c r="K96" s="12"/>
    </row>
    <row r="97" spans="1:11" x14ac:dyDescent="0.2">
      <c r="A97" s="1"/>
      <c r="H97" s="9"/>
      <c r="I97" s="12"/>
      <c r="J97" s="12"/>
      <c r="K97" s="12"/>
    </row>
    <row r="98" spans="1:11" x14ac:dyDescent="0.2">
      <c r="A98" s="1"/>
      <c r="H98" s="9"/>
      <c r="I98" s="12"/>
      <c r="J98" s="12"/>
      <c r="K98" s="12"/>
    </row>
    <row r="99" spans="1:11" x14ac:dyDescent="0.2">
      <c r="A99" s="1"/>
      <c r="H99" s="9"/>
      <c r="I99" s="12"/>
      <c r="J99" s="12"/>
      <c r="K99" s="12"/>
    </row>
    <row r="100" spans="1:11" x14ac:dyDescent="0.2">
      <c r="A100" s="1"/>
      <c r="H100" s="9"/>
      <c r="I100" s="12"/>
      <c r="J100" s="12"/>
      <c r="K100" s="12"/>
    </row>
    <row r="101" spans="1:11" x14ac:dyDescent="0.2">
      <c r="A101" s="1"/>
      <c r="H101" s="9"/>
      <c r="I101" s="12"/>
      <c r="J101" s="12"/>
      <c r="K101" s="12"/>
    </row>
    <row r="102" spans="1:11" x14ac:dyDescent="0.2">
      <c r="A102" s="1"/>
      <c r="H102" s="9"/>
      <c r="I102" s="12"/>
      <c r="J102" s="12"/>
      <c r="K102" s="12"/>
    </row>
    <row r="103" spans="1:11" x14ac:dyDescent="0.2">
      <c r="A103" s="1"/>
      <c r="H103" s="9"/>
      <c r="I103" s="12"/>
      <c r="J103" s="12"/>
      <c r="K103" s="12"/>
    </row>
    <row r="104" spans="1:11" x14ac:dyDescent="0.2">
      <c r="A104" s="1"/>
      <c r="H104" s="9"/>
      <c r="I104" s="12"/>
      <c r="J104" s="12"/>
      <c r="K104" s="12"/>
    </row>
    <row r="105" spans="1:11" x14ac:dyDescent="0.2">
      <c r="A105" s="1"/>
      <c r="H105" s="9"/>
      <c r="I105" s="12"/>
      <c r="J105" s="12"/>
      <c r="K105" s="12"/>
    </row>
    <row r="106" spans="1:11" x14ac:dyDescent="0.2">
      <c r="A106" s="1"/>
      <c r="H106" s="9"/>
      <c r="I106" s="12"/>
      <c r="J106" s="12"/>
      <c r="K106" s="12"/>
    </row>
    <row r="107" spans="1:11" x14ac:dyDescent="0.2">
      <c r="A107" s="1"/>
      <c r="H107" s="9"/>
      <c r="I107" s="12"/>
      <c r="J107" s="12"/>
      <c r="K107" s="12"/>
    </row>
    <row r="108" spans="1:11" x14ac:dyDescent="0.2">
      <c r="A108" s="1"/>
      <c r="H108" s="9"/>
      <c r="I108" s="12"/>
      <c r="J108" s="12"/>
      <c r="K108" s="12"/>
    </row>
    <row r="109" spans="1:11" x14ac:dyDescent="0.2">
      <c r="A109" s="1"/>
      <c r="H109" s="9"/>
      <c r="I109" s="12"/>
      <c r="J109" s="12"/>
      <c r="K109" s="12"/>
    </row>
    <row r="110" spans="1:11" x14ac:dyDescent="0.2">
      <c r="A110" s="1"/>
      <c r="H110" s="9"/>
      <c r="I110" s="12"/>
      <c r="J110" s="12"/>
      <c r="K110" s="12"/>
    </row>
    <row r="111" spans="1:11" x14ac:dyDescent="0.2">
      <c r="A111" s="1"/>
      <c r="H111" s="9"/>
      <c r="I111" s="12"/>
      <c r="J111" s="12"/>
      <c r="K111" s="12"/>
    </row>
    <row r="112" spans="1:11" x14ac:dyDescent="0.2">
      <c r="A112" s="1"/>
      <c r="H112" s="9"/>
      <c r="I112" s="12"/>
      <c r="J112" s="12"/>
      <c r="K112" s="12"/>
    </row>
    <row r="113" spans="1:11" x14ac:dyDescent="0.2">
      <c r="A113" s="1"/>
      <c r="H113" s="9"/>
      <c r="I113" s="12"/>
      <c r="J113" s="12"/>
      <c r="K113" s="12"/>
    </row>
    <row r="114" spans="1:11" x14ac:dyDescent="0.2">
      <c r="A114" s="1"/>
      <c r="H114" s="9"/>
      <c r="I114" s="12"/>
      <c r="J114" s="12"/>
      <c r="K114" s="12"/>
    </row>
    <row r="115" spans="1:11" x14ac:dyDescent="0.2">
      <c r="A115" s="1"/>
      <c r="H115" s="9"/>
      <c r="I115" s="12"/>
      <c r="J115" s="12"/>
      <c r="K115" s="12"/>
    </row>
    <row r="116" spans="1:11" x14ac:dyDescent="0.2">
      <c r="A116" s="1"/>
      <c r="H116" s="9"/>
      <c r="I116" s="12"/>
      <c r="J116" s="12"/>
      <c r="K116" s="12"/>
    </row>
    <row r="117" spans="1:11" x14ac:dyDescent="0.2">
      <c r="A117" s="1"/>
      <c r="H117" s="9"/>
      <c r="I117" s="12"/>
      <c r="J117" s="12"/>
      <c r="K117" s="12"/>
    </row>
    <row r="118" spans="1:11" x14ac:dyDescent="0.2">
      <c r="A118" s="1"/>
      <c r="H118" s="9"/>
      <c r="I118" s="12"/>
      <c r="J118" s="12"/>
      <c r="K118" s="12"/>
    </row>
    <row r="119" spans="1:11" x14ac:dyDescent="0.2">
      <c r="A119" s="1"/>
      <c r="H119" s="9"/>
      <c r="I119" s="12"/>
      <c r="J119" s="12"/>
      <c r="K119" s="12"/>
    </row>
    <row r="120" spans="1:11" x14ac:dyDescent="0.2">
      <c r="A120" s="1"/>
      <c r="H120" s="9"/>
      <c r="I120" s="12"/>
      <c r="J120" s="12"/>
      <c r="K120" s="12"/>
    </row>
    <row r="121" spans="1:11" x14ac:dyDescent="0.2">
      <c r="A121" s="1"/>
      <c r="H121" s="9"/>
      <c r="I121" s="12"/>
      <c r="J121" s="12"/>
      <c r="K121" s="12"/>
    </row>
    <row r="122" spans="1:11" x14ac:dyDescent="0.2">
      <c r="A122" s="1"/>
      <c r="H122" s="9"/>
      <c r="I122" s="12"/>
      <c r="J122" s="12"/>
      <c r="K122" s="12"/>
    </row>
    <row r="123" spans="1:11" x14ac:dyDescent="0.2">
      <c r="A123" s="1"/>
      <c r="H123" s="9"/>
      <c r="I123" s="12"/>
      <c r="J123" s="12"/>
      <c r="K123" s="12"/>
    </row>
    <row r="124" spans="1:11" x14ac:dyDescent="0.2">
      <c r="A124" s="1"/>
      <c r="H124" s="9"/>
      <c r="I124" s="12"/>
      <c r="J124" s="12"/>
      <c r="K124" s="12"/>
    </row>
    <row r="125" spans="1:11" x14ac:dyDescent="0.2">
      <c r="A125" s="1"/>
      <c r="H125" s="9"/>
      <c r="I125" s="12"/>
      <c r="J125" s="12"/>
      <c r="K125" s="12"/>
    </row>
    <row r="126" spans="1:11" x14ac:dyDescent="0.2">
      <c r="A126" s="1"/>
      <c r="H126" s="9"/>
      <c r="I126" s="12"/>
      <c r="J126" s="12"/>
      <c r="K126" s="12"/>
    </row>
    <row r="127" spans="1:11" x14ac:dyDescent="0.2">
      <c r="A127" s="1"/>
      <c r="H127" s="9"/>
      <c r="I127" s="12"/>
      <c r="J127" s="12"/>
      <c r="K127" s="12"/>
    </row>
    <row r="128" spans="1:11" x14ac:dyDescent="0.2">
      <c r="A128" s="1"/>
      <c r="H128" s="9"/>
      <c r="I128" s="12"/>
      <c r="J128" s="12"/>
      <c r="K128" s="12"/>
    </row>
    <row r="129" spans="1:11" x14ac:dyDescent="0.2">
      <c r="A129" s="1"/>
      <c r="H129" s="9"/>
      <c r="I129" s="12"/>
      <c r="J129" s="12"/>
      <c r="K129" s="12"/>
    </row>
    <row r="130" spans="1:11" x14ac:dyDescent="0.2">
      <c r="A130" s="1"/>
      <c r="H130" s="9"/>
      <c r="I130" s="12"/>
      <c r="J130" s="12"/>
      <c r="K130" s="12"/>
    </row>
    <row r="131" spans="1:11" x14ac:dyDescent="0.2">
      <c r="A131" s="1"/>
      <c r="H131" s="9"/>
      <c r="I131" s="12"/>
      <c r="J131" s="12"/>
      <c r="K131" s="12"/>
    </row>
    <row r="132" spans="1:11" x14ac:dyDescent="0.2">
      <c r="A132" s="1"/>
      <c r="H132" s="9"/>
      <c r="I132" s="12"/>
      <c r="J132" s="12"/>
      <c r="K132" s="12"/>
    </row>
    <row r="133" spans="1:11" x14ac:dyDescent="0.2">
      <c r="A133" s="1"/>
      <c r="H133" s="9"/>
      <c r="I133" s="12"/>
      <c r="J133" s="12"/>
      <c r="K133" s="12"/>
    </row>
    <row r="134" spans="1:11" x14ac:dyDescent="0.2">
      <c r="A134" s="1"/>
      <c r="H134" s="9"/>
      <c r="I134" s="12"/>
      <c r="J134" s="12"/>
      <c r="K134" s="12"/>
    </row>
    <row r="135" spans="1:11" x14ac:dyDescent="0.2">
      <c r="A135" s="1"/>
      <c r="H135" s="9"/>
      <c r="I135" s="12"/>
      <c r="J135" s="12"/>
      <c r="K135" s="12"/>
    </row>
    <row r="136" spans="1:11" x14ac:dyDescent="0.2">
      <c r="A136" s="1"/>
      <c r="H136" s="9"/>
      <c r="I136" s="12"/>
      <c r="J136" s="12"/>
      <c r="K136" s="12"/>
    </row>
    <row r="137" spans="1:11" x14ac:dyDescent="0.2">
      <c r="A137" s="1"/>
      <c r="H137" s="9"/>
      <c r="I137" s="12"/>
      <c r="J137" s="12"/>
      <c r="K137" s="12"/>
    </row>
    <row r="138" spans="1:11" x14ac:dyDescent="0.2">
      <c r="A138" s="1"/>
      <c r="H138" s="9"/>
      <c r="I138" s="12"/>
      <c r="J138" s="12"/>
      <c r="K138" s="12"/>
    </row>
    <row r="139" spans="1:11" x14ac:dyDescent="0.2">
      <c r="A139" s="1"/>
      <c r="H139" s="9"/>
      <c r="I139" s="12"/>
      <c r="J139" s="12"/>
      <c r="K139" s="12"/>
    </row>
    <row r="140" spans="1:11" x14ac:dyDescent="0.2">
      <c r="A140" s="1"/>
      <c r="H140" s="9"/>
      <c r="I140" s="12"/>
      <c r="J140" s="12"/>
      <c r="K140" s="12"/>
    </row>
    <row r="141" spans="1:11" x14ac:dyDescent="0.2">
      <c r="A141" s="1"/>
      <c r="H141" s="9"/>
      <c r="I141" s="12"/>
      <c r="J141" s="12"/>
      <c r="K141" s="12"/>
    </row>
    <row r="142" spans="1:11" x14ac:dyDescent="0.2">
      <c r="A142" s="1"/>
      <c r="H142" s="9"/>
      <c r="I142" s="12"/>
      <c r="J142" s="12"/>
      <c r="K142" s="12"/>
    </row>
    <row r="143" spans="1:11" x14ac:dyDescent="0.2">
      <c r="A143" s="1"/>
      <c r="H143" s="9"/>
      <c r="I143" s="12"/>
      <c r="J143" s="12"/>
      <c r="K143" s="12"/>
    </row>
    <row r="144" spans="1:11" x14ac:dyDescent="0.2">
      <c r="A144" s="1"/>
      <c r="H144" s="9"/>
      <c r="I144" s="12"/>
      <c r="J144" s="12"/>
      <c r="K144" s="12"/>
    </row>
    <row r="145" spans="1:11" x14ac:dyDescent="0.2">
      <c r="A145" s="1"/>
      <c r="H145" s="9"/>
      <c r="I145" s="12"/>
      <c r="J145" s="12"/>
      <c r="K145" s="12"/>
    </row>
    <row r="146" spans="1:11" x14ac:dyDescent="0.2">
      <c r="A146" s="1"/>
      <c r="H146" s="9"/>
      <c r="I146" s="12"/>
      <c r="J146" s="12"/>
      <c r="K146" s="12"/>
    </row>
    <row r="147" spans="1:11" x14ac:dyDescent="0.2">
      <c r="A147" s="1"/>
      <c r="H147" s="9"/>
      <c r="I147" s="12"/>
      <c r="J147" s="12"/>
      <c r="K147" s="12"/>
    </row>
    <row r="148" spans="1:11" x14ac:dyDescent="0.2">
      <c r="A148" s="1"/>
      <c r="H148" s="9"/>
      <c r="I148" s="12"/>
      <c r="J148" s="12"/>
      <c r="K148" s="12"/>
    </row>
    <row r="149" spans="1:11" x14ac:dyDescent="0.2">
      <c r="A149" s="1"/>
      <c r="H149" s="9"/>
      <c r="I149" s="12"/>
      <c r="J149" s="12"/>
      <c r="K149" s="12"/>
    </row>
    <row r="150" spans="1:11" x14ac:dyDescent="0.2">
      <c r="A150" s="1"/>
      <c r="H150" s="9"/>
      <c r="I150" s="12"/>
      <c r="J150" s="12"/>
      <c r="K150" s="12"/>
    </row>
    <row r="151" spans="1:11" x14ac:dyDescent="0.2">
      <c r="A151" s="1"/>
      <c r="H151" s="9"/>
      <c r="I151" s="12"/>
      <c r="J151" s="12"/>
      <c r="K151" s="12"/>
    </row>
    <row r="152" spans="1:11" x14ac:dyDescent="0.2">
      <c r="A152" s="1"/>
      <c r="H152" s="9"/>
      <c r="I152" s="12"/>
      <c r="J152" s="12"/>
      <c r="K152" s="12"/>
    </row>
    <row r="153" spans="1:11" x14ac:dyDescent="0.2">
      <c r="A153" s="1"/>
      <c r="H153" s="9"/>
      <c r="I153" s="12"/>
      <c r="J153" s="12"/>
      <c r="K153" s="12"/>
    </row>
  </sheetData>
  <autoFilter ref="A1:G153" xr:uid="{3781161B-E3B8-6A41-B5B5-EF88E67723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dimension ref="A1:K154"/>
  <sheetViews>
    <sheetView topLeftCell="D1" workbookViewId="0">
      <selection activeCell="I3" sqref="I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8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4679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9" t="s">
        <v>4674</v>
      </c>
      <c r="J1" s="11"/>
      <c r="K1" s="11"/>
    </row>
    <row r="2" spans="1:11" x14ac:dyDescent="0.2">
      <c r="A2" s="1" t="s">
        <v>4524</v>
      </c>
      <c r="B2" s="1" t="s">
        <v>4683</v>
      </c>
      <c r="C2" s="2" t="s">
        <v>4633</v>
      </c>
      <c r="D2" s="2">
        <v>1</v>
      </c>
      <c r="E2" t="s">
        <v>787</v>
      </c>
      <c r="F2" s="2">
        <v>-885</v>
      </c>
      <c r="G2" s="2">
        <v>418</v>
      </c>
      <c r="H2" s="2">
        <v>49</v>
      </c>
      <c r="I2" s="18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21"/>
    </row>
    <row r="3" spans="1:11" x14ac:dyDescent="0.2">
      <c r="A3" s="1" t="s">
        <v>4523</v>
      </c>
      <c r="B3" s="1" t="s">
        <v>4683</v>
      </c>
      <c r="C3" s="2" t="s">
        <v>4633</v>
      </c>
      <c r="D3" s="2">
        <v>1</v>
      </c>
      <c r="E3" t="s">
        <v>787</v>
      </c>
      <c r="F3" s="2">
        <v>-240</v>
      </c>
      <c r="G3" s="2">
        <v>-374</v>
      </c>
      <c r="H3" s="2">
        <v>27</v>
      </c>
      <c r="I3" s="18" t="s">
        <v>4769</v>
      </c>
    </row>
    <row r="4" spans="1:11" x14ac:dyDescent="0.2">
      <c r="A4" s="1" t="s">
        <v>4535</v>
      </c>
      <c r="B4" s="1" t="s">
        <v>4682</v>
      </c>
      <c r="C4" s="2" t="s">
        <v>4633</v>
      </c>
      <c r="D4" s="2">
        <v>1</v>
      </c>
      <c r="E4" t="s">
        <v>787</v>
      </c>
      <c r="F4" s="2">
        <v>-205</v>
      </c>
      <c r="G4" s="2">
        <v>451</v>
      </c>
      <c r="H4" s="2">
        <v>21</v>
      </c>
      <c r="I4" s="18" t="s">
        <v>4770</v>
      </c>
    </row>
    <row r="5" spans="1:11" x14ac:dyDescent="0.2">
      <c r="A5" s="1" t="s">
        <v>4549</v>
      </c>
      <c r="B5" s="1" t="s">
        <v>4683</v>
      </c>
      <c r="C5" s="2" t="s">
        <v>4633</v>
      </c>
      <c r="D5" s="2">
        <v>1</v>
      </c>
      <c r="E5" t="s">
        <v>787</v>
      </c>
      <c r="F5" s="2">
        <v>219</v>
      </c>
      <c r="G5" s="2">
        <v>1082</v>
      </c>
      <c r="H5" s="2">
        <v>26</v>
      </c>
      <c r="I5" s="18" t="s">
        <v>4771</v>
      </c>
    </row>
    <row r="6" spans="1:11" x14ac:dyDescent="0.2">
      <c r="A6" s="1" t="s">
        <v>4546</v>
      </c>
      <c r="B6" s="1" t="s">
        <v>4683</v>
      </c>
      <c r="C6" s="2" t="s">
        <v>4633</v>
      </c>
      <c r="D6" s="2">
        <v>1</v>
      </c>
      <c r="E6" t="s">
        <v>787</v>
      </c>
      <c r="F6" s="2">
        <v>-180</v>
      </c>
      <c r="G6" s="2">
        <v>1170</v>
      </c>
      <c r="H6" s="2">
        <v>280</v>
      </c>
      <c r="I6" s="18" t="s">
        <v>4772</v>
      </c>
    </row>
    <row r="7" spans="1:11" x14ac:dyDescent="0.2">
      <c r="A7" s="1" t="s">
        <v>4510</v>
      </c>
      <c r="B7" s="1" t="s">
        <v>4683</v>
      </c>
      <c r="C7" s="2" t="s">
        <v>4633</v>
      </c>
      <c r="D7" s="2">
        <v>1</v>
      </c>
      <c r="E7" t="s">
        <v>787</v>
      </c>
      <c r="F7" s="2">
        <v>-785</v>
      </c>
      <c r="G7" s="2">
        <v>-433</v>
      </c>
      <c r="H7" s="2">
        <v>18</v>
      </c>
      <c r="I7" s="18" t="s">
        <v>4773</v>
      </c>
    </row>
    <row r="8" spans="1:11" x14ac:dyDescent="0.2">
      <c r="A8" s="1" t="s">
        <v>4542</v>
      </c>
      <c r="B8" s="1" t="s">
        <v>4682</v>
      </c>
      <c r="C8" s="2" t="s">
        <v>4633</v>
      </c>
      <c r="D8" s="2">
        <v>1</v>
      </c>
      <c r="E8" t="s">
        <v>787</v>
      </c>
      <c r="F8" s="2">
        <v>333</v>
      </c>
      <c r="G8" s="2">
        <v>468</v>
      </c>
      <c r="H8" s="2">
        <v>29</v>
      </c>
      <c r="I8" s="18" t="s">
        <v>4774</v>
      </c>
    </row>
    <row r="9" spans="1:11" x14ac:dyDescent="0.2">
      <c r="A9" s="1" t="s">
        <v>4505</v>
      </c>
      <c r="B9" s="1" t="s">
        <v>4683</v>
      </c>
      <c r="C9" s="2" t="s">
        <v>4634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8" t="s">
        <v>4775</v>
      </c>
    </row>
    <row r="10" spans="1:11" x14ac:dyDescent="0.2">
      <c r="A10" s="1" t="s">
        <v>4487</v>
      </c>
      <c r="B10" s="1" t="s">
        <v>4681</v>
      </c>
      <c r="C10" s="2" t="s">
        <v>4634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8" t="s">
        <v>4776</v>
      </c>
    </row>
    <row r="11" spans="1:11" x14ac:dyDescent="0.2">
      <c r="A11" s="1" t="s">
        <v>4521</v>
      </c>
      <c r="B11" s="1" t="s">
        <v>4683</v>
      </c>
      <c r="C11" s="2" t="s">
        <v>4634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8" t="s">
        <v>4777</v>
      </c>
    </row>
    <row r="12" spans="1:11" x14ac:dyDescent="0.2">
      <c r="A12" s="1" t="s">
        <v>4499</v>
      </c>
      <c r="B12" s="1" t="s">
        <v>4680</v>
      </c>
      <c r="C12" s="2" t="s">
        <v>4634</v>
      </c>
      <c r="D12" s="2">
        <v>2</v>
      </c>
      <c r="E12" t="s">
        <v>787</v>
      </c>
      <c r="F12" s="2">
        <v>-176</v>
      </c>
      <c r="G12" s="2">
        <v>-1557</v>
      </c>
      <c r="H12" s="2">
        <v>23</v>
      </c>
      <c r="I12" s="18" t="s">
        <v>4778</v>
      </c>
    </row>
    <row r="13" spans="1:11" x14ac:dyDescent="0.2">
      <c r="A13" s="1" t="s">
        <v>4493</v>
      </c>
      <c r="B13" s="1" t="s">
        <v>4683</v>
      </c>
      <c r="C13" s="2" t="s">
        <v>4634</v>
      </c>
      <c r="D13" s="2">
        <v>2</v>
      </c>
      <c r="E13" t="s">
        <v>787</v>
      </c>
      <c r="F13" s="2">
        <v>-710</v>
      </c>
      <c r="G13" s="2">
        <v>-1550</v>
      </c>
      <c r="H13" s="2">
        <v>6</v>
      </c>
      <c r="I13" s="18" t="s">
        <v>4779</v>
      </c>
    </row>
    <row r="14" spans="1:11" x14ac:dyDescent="0.2">
      <c r="A14" s="1" t="s">
        <v>4504</v>
      </c>
      <c r="B14" s="1" t="s">
        <v>4683</v>
      </c>
      <c r="C14" s="2" t="s">
        <v>4634</v>
      </c>
      <c r="D14" s="2">
        <v>2</v>
      </c>
      <c r="E14" t="s">
        <v>787</v>
      </c>
      <c r="F14" s="2">
        <v>-705</v>
      </c>
      <c r="G14" s="2">
        <v>-866</v>
      </c>
      <c r="H14" s="2">
        <v>31</v>
      </c>
      <c r="I14" s="18" t="s">
        <v>4780</v>
      </c>
    </row>
    <row r="15" spans="1:11" x14ac:dyDescent="0.2">
      <c r="A15" s="1" t="s">
        <v>4482</v>
      </c>
      <c r="B15" s="1" t="s">
        <v>4683</v>
      </c>
      <c r="C15" s="2" t="s">
        <v>4634</v>
      </c>
      <c r="D15" s="2">
        <v>2</v>
      </c>
      <c r="E15" t="s">
        <v>787</v>
      </c>
      <c r="F15" s="2">
        <v>-1443</v>
      </c>
      <c r="G15" s="2">
        <v>-1616</v>
      </c>
      <c r="H15" s="2">
        <v>89</v>
      </c>
      <c r="I15" s="18" t="s">
        <v>4781</v>
      </c>
    </row>
    <row r="16" spans="1:11" x14ac:dyDescent="0.2">
      <c r="A16" s="1" t="s">
        <v>4491</v>
      </c>
      <c r="B16" s="1" t="s">
        <v>4683</v>
      </c>
      <c r="C16" s="2" t="s">
        <v>4634</v>
      </c>
      <c r="D16" s="2">
        <v>2</v>
      </c>
      <c r="E16" t="s">
        <v>787</v>
      </c>
      <c r="F16" s="2">
        <v>-1921</v>
      </c>
      <c r="G16" s="2">
        <v>-356</v>
      </c>
      <c r="H16" s="2">
        <v>228</v>
      </c>
      <c r="I16" s="18" t="s">
        <v>4782</v>
      </c>
    </row>
    <row r="17" spans="1:11" x14ac:dyDescent="0.2">
      <c r="A17" s="1" t="s">
        <v>4481</v>
      </c>
      <c r="B17" s="1" t="s">
        <v>4683</v>
      </c>
      <c r="C17" s="2" t="s">
        <v>4634</v>
      </c>
      <c r="D17" s="2">
        <v>2</v>
      </c>
      <c r="E17" t="s">
        <v>787</v>
      </c>
      <c r="F17" s="2">
        <v>-1082</v>
      </c>
      <c r="G17" s="2">
        <v>-2187</v>
      </c>
      <c r="H17" s="2">
        <v>128</v>
      </c>
      <c r="I17" s="18" t="s">
        <v>4783</v>
      </c>
      <c r="J17" s="12"/>
      <c r="K17" s="12"/>
    </row>
    <row r="18" spans="1:11" x14ac:dyDescent="0.2">
      <c r="A18" s="1" t="s">
        <v>4519</v>
      </c>
      <c r="B18" s="1" t="s">
        <v>4683</v>
      </c>
      <c r="C18" s="2" t="s">
        <v>4634</v>
      </c>
      <c r="D18" s="2">
        <v>2</v>
      </c>
      <c r="E18" t="s">
        <v>787</v>
      </c>
      <c r="F18" s="2">
        <v>344</v>
      </c>
      <c r="G18" s="2">
        <v>-1007</v>
      </c>
      <c r="H18" s="2">
        <v>16</v>
      </c>
      <c r="I18" s="18" t="s">
        <v>4784</v>
      </c>
      <c r="J18" s="12"/>
      <c r="K18" s="12"/>
    </row>
    <row r="19" spans="1:11" x14ac:dyDescent="0.2">
      <c r="A19" s="1" t="s">
        <v>4511</v>
      </c>
      <c r="B19" s="1" t="s">
        <v>4682</v>
      </c>
      <c r="C19" s="2" t="s">
        <v>4634</v>
      </c>
      <c r="D19" s="2">
        <v>2</v>
      </c>
      <c r="E19" t="s">
        <v>787</v>
      </c>
      <c r="F19" s="2">
        <v>-73</v>
      </c>
      <c r="G19" s="2">
        <v>-1115</v>
      </c>
      <c r="H19" s="2">
        <v>21</v>
      </c>
      <c r="I19" s="18" t="s">
        <v>4785</v>
      </c>
      <c r="J19" s="12"/>
      <c r="K19" s="12"/>
    </row>
    <row r="20" spans="1:11" x14ac:dyDescent="0.2">
      <c r="A20" s="1" t="s">
        <v>4486</v>
      </c>
      <c r="B20" s="1" t="s">
        <v>4683</v>
      </c>
      <c r="C20" s="2" t="s">
        <v>4634</v>
      </c>
      <c r="D20" s="2">
        <v>2</v>
      </c>
      <c r="E20" t="s">
        <v>787</v>
      </c>
      <c r="F20" s="2">
        <v>-1422</v>
      </c>
      <c r="G20" s="2">
        <v>-1350</v>
      </c>
      <c r="H20" s="2">
        <v>68</v>
      </c>
      <c r="I20" s="18" t="s">
        <v>4786</v>
      </c>
      <c r="J20" s="12"/>
      <c r="K20" s="12"/>
    </row>
    <row r="21" spans="1:11" x14ac:dyDescent="0.2">
      <c r="A21" s="1" t="s">
        <v>4483</v>
      </c>
      <c r="B21" s="1" t="s">
        <v>4681</v>
      </c>
      <c r="C21" s="2" t="s">
        <v>4634</v>
      </c>
      <c r="D21" s="2">
        <v>2</v>
      </c>
      <c r="E21" t="s">
        <v>787</v>
      </c>
      <c r="F21" s="2">
        <v>-2140</v>
      </c>
      <c r="G21" s="2">
        <v>-873</v>
      </c>
      <c r="H21" s="2">
        <v>93</v>
      </c>
      <c r="I21" s="18" t="s">
        <v>4787</v>
      </c>
      <c r="J21" s="12"/>
      <c r="K21" s="12"/>
    </row>
    <row r="22" spans="1:11" x14ac:dyDescent="0.2">
      <c r="A22" s="1" t="s">
        <v>4662</v>
      </c>
      <c r="B22" s="1" t="s">
        <v>4681</v>
      </c>
      <c r="C22" s="2" t="s">
        <v>801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8" t="s">
        <v>4788</v>
      </c>
      <c r="J22" s="12"/>
      <c r="K22" s="12"/>
    </row>
    <row r="23" spans="1:11" x14ac:dyDescent="0.2">
      <c r="A23" s="1" t="s">
        <v>4484</v>
      </c>
      <c r="B23" s="1" t="s">
        <v>4681</v>
      </c>
      <c r="C23" s="2" t="s">
        <v>801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8" t="s">
        <v>4789</v>
      </c>
      <c r="J23" s="12"/>
      <c r="K23" s="12"/>
    </row>
    <row r="24" spans="1:11" x14ac:dyDescent="0.2">
      <c r="A24" s="1" t="s">
        <v>4503</v>
      </c>
      <c r="B24" s="1" t="s">
        <v>4682</v>
      </c>
      <c r="C24" s="2" t="s">
        <v>801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8" t="s">
        <v>4790</v>
      </c>
      <c r="J24" s="12"/>
      <c r="K24" s="12"/>
    </row>
    <row r="25" spans="1:11" x14ac:dyDescent="0.2">
      <c r="A25" s="1" t="s">
        <v>4485</v>
      </c>
      <c r="B25" s="1" t="s">
        <v>4681</v>
      </c>
      <c r="C25" s="2" t="s">
        <v>801</v>
      </c>
      <c r="D25" s="2">
        <v>3</v>
      </c>
      <c r="E25" t="s">
        <v>787</v>
      </c>
      <c r="F25" s="2">
        <v>-3950</v>
      </c>
      <c r="G25" s="2">
        <v>1138</v>
      </c>
      <c r="H25" s="2">
        <v>111</v>
      </c>
      <c r="I25" s="18" t="s">
        <v>4791</v>
      </c>
      <c r="J25" s="12"/>
      <c r="K25" s="12"/>
    </row>
    <row r="26" spans="1:11" x14ac:dyDescent="0.2">
      <c r="A26" s="1" t="s">
        <v>4489</v>
      </c>
      <c r="B26" s="1" t="s">
        <v>4683</v>
      </c>
      <c r="C26" s="2" t="s">
        <v>801</v>
      </c>
      <c r="D26" s="2">
        <v>3</v>
      </c>
      <c r="E26" t="s">
        <v>787</v>
      </c>
      <c r="F26" s="2">
        <v>-3538</v>
      </c>
      <c r="G26" s="2">
        <v>853</v>
      </c>
      <c r="H26" s="2">
        <v>-133</v>
      </c>
      <c r="I26" s="18" t="s">
        <v>4792</v>
      </c>
      <c r="J26" s="12"/>
      <c r="K26" s="12"/>
    </row>
    <row r="27" spans="1:11" x14ac:dyDescent="0.2">
      <c r="A27" s="1" t="s">
        <v>4545</v>
      </c>
      <c r="B27" s="1" t="s">
        <v>4683</v>
      </c>
      <c r="C27" s="2" t="s">
        <v>801</v>
      </c>
      <c r="D27" s="2">
        <v>3</v>
      </c>
      <c r="E27" t="s">
        <v>787</v>
      </c>
      <c r="F27" s="2">
        <v>-1106</v>
      </c>
      <c r="G27" s="2">
        <v>2086</v>
      </c>
      <c r="H27" s="2">
        <v>104</v>
      </c>
      <c r="I27" s="18" t="s">
        <v>4793</v>
      </c>
      <c r="J27" s="12"/>
      <c r="K27" s="12"/>
    </row>
    <row r="28" spans="1:11" x14ac:dyDescent="0.2">
      <c r="A28" s="1" t="s">
        <v>4494</v>
      </c>
      <c r="B28" s="1" t="s">
        <v>4682</v>
      </c>
      <c r="C28" s="2" t="s">
        <v>801</v>
      </c>
      <c r="D28" s="2">
        <v>3</v>
      </c>
      <c r="E28" t="s">
        <v>787</v>
      </c>
      <c r="F28" s="2">
        <v>-2848</v>
      </c>
      <c r="G28" s="2">
        <v>629</v>
      </c>
      <c r="H28" s="2">
        <v>233</v>
      </c>
      <c r="I28" s="18" t="s">
        <v>4794</v>
      </c>
      <c r="J28" s="12"/>
      <c r="K28" s="12"/>
    </row>
    <row r="29" spans="1:11" x14ac:dyDescent="0.2">
      <c r="A29" s="1" t="s">
        <v>4506</v>
      </c>
      <c r="B29" s="1" t="s">
        <v>4683</v>
      </c>
      <c r="C29" s="2" t="s">
        <v>801</v>
      </c>
      <c r="D29" s="2">
        <v>3</v>
      </c>
      <c r="E29" t="s">
        <v>787</v>
      </c>
      <c r="F29" s="2">
        <v>-3079</v>
      </c>
      <c r="G29" s="2">
        <v>1618</v>
      </c>
      <c r="H29" s="2">
        <v>-241</v>
      </c>
      <c r="I29" s="18" t="s">
        <v>4795</v>
      </c>
      <c r="J29" s="12"/>
      <c r="K29" s="12"/>
    </row>
    <row r="30" spans="1:11" x14ac:dyDescent="0.2">
      <c r="A30" s="1" t="s">
        <v>4508</v>
      </c>
      <c r="B30" s="1" t="s">
        <v>4683</v>
      </c>
      <c r="C30" s="2" t="s">
        <v>801</v>
      </c>
      <c r="D30" s="2">
        <v>3</v>
      </c>
      <c r="E30" t="s">
        <v>787</v>
      </c>
      <c r="F30" s="2">
        <v>-2534</v>
      </c>
      <c r="G30" s="2">
        <v>1167</v>
      </c>
      <c r="H30" s="2">
        <v>177</v>
      </c>
      <c r="I30" s="18" t="s">
        <v>4796</v>
      </c>
      <c r="J30" s="12"/>
      <c r="K30" s="12"/>
    </row>
    <row r="31" spans="1:11" x14ac:dyDescent="0.2">
      <c r="A31" s="1" t="s">
        <v>4520</v>
      </c>
      <c r="B31" s="1" t="s">
        <v>4683</v>
      </c>
      <c r="C31" s="2" t="s">
        <v>801</v>
      </c>
      <c r="D31" s="2">
        <v>3</v>
      </c>
      <c r="E31" t="s">
        <v>787</v>
      </c>
      <c r="F31" s="2">
        <v>-1413</v>
      </c>
      <c r="G31" s="2">
        <v>757</v>
      </c>
      <c r="H31" s="2">
        <v>89</v>
      </c>
      <c r="I31" s="18" t="s">
        <v>4797</v>
      </c>
      <c r="J31" s="12"/>
      <c r="K31" s="12"/>
    </row>
    <row r="32" spans="1:11" x14ac:dyDescent="0.2">
      <c r="A32" s="1" t="s">
        <v>4522</v>
      </c>
      <c r="B32" s="1" t="s">
        <v>4681</v>
      </c>
      <c r="C32" s="2" t="s">
        <v>801</v>
      </c>
      <c r="D32" s="2">
        <v>3</v>
      </c>
      <c r="E32" t="s">
        <v>787</v>
      </c>
      <c r="F32" s="2">
        <v>-1828</v>
      </c>
      <c r="G32" s="2">
        <v>1196</v>
      </c>
      <c r="H32" s="2">
        <v>147</v>
      </c>
      <c r="I32" s="18" t="s">
        <v>4798</v>
      </c>
      <c r="J32" s="12"/>
      <c r="K32" s="12"/>
    </row>
    <row r="33" spans="1:11" x14ac:dyDescent="0.2">
      <c r="A33" s="1" t="s">
        <v>4512</v>
      </c>
      <c r="B33" s="1" t="s">
        <v>4683</v>
      </c>
      <c r="C33" s="2" t="s">
        <v>904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8" t="s">
        <v>4799</v>
      </c>
      <c r="J33" s="12"/>
      <c r="K33" s="12"/>
    </row>
    <row r="34" spans="1:11" x14ac:dyDescent="0.2">
      <c r="A34" s="1" t="s">
        <v>4534</v>
      </c>
      <c r="B34" s="1" t="s">
        <v>4681</v>
      </c>
      <c r="C34" s="2" t="s">
        <v>904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8" t="s">
        <v>4800</v>
      </c>
      <c r="J34" s="12"/>
      <c r="K34" s="12"/>
    </row>
    <row r="35" spans="1:11" x14ac:dyDescent="0.2">
      <c r="A35" s="1" t="s">
        <v>4532</v>
      </c>
      <c r="B35" s="1" t="s">
        <v>4683</v>
      </c>
      <c r="C35" s="2" t="s">
        <v>904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8" t="s">
        <v>4801</v>
      </c>
      <c r="J35" s="12"/>
      <c r="K35" s="12"/>
    </row>
    <row r="36" spans="1:11" x14ac:dyDescent="0.2">
      <c r="A36" s="1" t="s">
        <v>4531</v>
      </c>
      <c r="B36" s="1" t="s">
        <v>4680</v>
      </c>
      <c r="C36" s="2" t="s">
        <v>904</v>
      </c>
      <c r="D36" s="2">
        <v>4</v>
      </c>
      <c r="E36" t="s">
        <v>787</v>
      </c>
      <c r="F36" s="2">
        <v>-3506</v>
      </c>
      <c r="G36" s="2">
        <v>3570</v>
      </c>
      <c r="H36" s="2">
        <v>387</v>
      </c>
      <c r="I36" s="18" t="s">
        <v>4802</v>
      </c>
      <c r="J36" s="12"/>
      <c r="K36" s="12"/>
    </row>
    <row r="37" spans="1:11" x14ac:dyDescent="0.2">
      <c r="A37" s="1" t="s">
        <v>4498</v>
      </c>
      <c r="B37" s="1" t="s">
        <v>4683</v>
      </c>
      <c r="C37" s="2" t="s">
        <v>904</v>
      </c>
      <c r="D37" s="2">
        <v>4</v>
      </c>
      <c r="E37" t="s">
        <v>787</v>
      </c>
      <c r="F37" s="2">
        <v>-3650</v>
      </c>
      <c r="G37" s="2">
        <v>1805</v>
      </c>
      <c r="H37" s="2">
        <v>168</v>
      </c>
      <c r="I37" s="18" t="s">
        <v>4803</v>
      </c>
      <c r="J37" s="12"/>
      <c r="K37" s="12"/>
    </row>
    <row r="38" spans="1:11" x14ac:dyDescent="0.2">
      <c r="A38" s="1" t="s">
        <v>4517</v>
      </c>
      <c r="B38" s="1" t="s">
        <v>4680</v>
      </c>
      <c r="C38" s="2" t="s">
        <v>904</v>
      </c>
      <c r="D38" s="2">
        <v>4</v>
      </c>
      <c r="E38" t="s">
        <v>787</v>
      </c>
      <c r="F38" s="2">
        <v>-4391</v>
      </c>
      <c r="G38" s="2">
        <v>3714</v>
      </c>
      <c r="H38" s="2">
        <v>212</v>
      </c>
      <c r="I38" s="18" t="s">
        <v>4804</v>
      </c>
      <c r="J38" s="12"/>
      <c r="K38" s="12"/>
    </row>
    <row r="39" spans="1:11" x14ac:dyDescent="0.2">
      <c r="A39" s="1" t="s">
        <v>4533</v>
      </c>
      <c r="B39" s="1" t="s">
        <v>4681</v>
      </c>
      <c r="C39" s="2" t="s">
        <v>904</v>
      </c>
      <c r="D39" s="2">
        <v>4</v>
      </c>
      <c r="E39" t="s">
        <v>787</v>
      </c>
      <c r="F39" s="2">
        <v>-2996</v>
      </c>
      <c r="G39" s="2">
        <v>3102</v>
      </c>
      <c r="H39" s="2">
        <v>529</v>
      </c>
      <c r="I39" s="18" t="s">
        <v>4805</v>
      </c>
      <c r="J39" s="12"/>
      <c r="K39" s="12"/>
    </row>
    <row r="40" spans="1:11" x14ac:dyDescent="0.2">
      <c r="A40" s="1" t="s">
        <v>4514</v>
      </c>
      <c r="B40" s="1" t="s">
        <v>4683</v>
      </c>
      <c r="C40" s="2" t="s">
        <v>904</v>
      </c>
      <c r="D40" s="2">
        <v>4</v>
      </c>
      <c r="E40" t="s">
        <v>787</v>
      </c>
      <c r="F40" s="2">
        <v>-3355</v>
      </c>
      <c r="G40" s="2">
        <v>2387</v>
      </c>
      <c r="H40" s="2">
        <v>361</v>
      </c>
      <c r="I40" s="18" t="s">
        <v>4806</v>
      </c>
      <c r="J40" s="12"/>
      <c r="K40" s="12"/>
    </row>
    <row r="41" spans="1:11" x14ac:dyDescent="0.2">
      <c r="A41" s="1" t="s">
        <v>4541</v>
      </c>
      <c r="B41" s="1" t="s">
        <v>4681</v>
      </c>
      <c r="C41" s="2" t="s">
        <v>904</v>
      </c>
      <c r="D41" s="2">
        <v>4</v>
      </c>
      <c r="E41" t="s">
        <v>787</v>
      </c>
      <c r="F41" s="2">
        <v>-2559</v>
      </c>
      <c r="G41" s="2">
        <v>3353</v>
      </c>
      <c r="H41" s="2">
        <v>245</v>
      </c>
      <c r="I41" s="18" t="s">
        <v>4807</v>
      </c>
      <c r="J41" s="12"/>
      <c r="K41" s="12"/>
    </row>
    <row r="42" spans="1:11" x14ac:dyDescent="0.2">
      <c r="A42" s="1" t="s">
        <v>4502</v>
      </c>
      <c r="B42" s="1" t="s">
        <v>4683</v>
      </c>
      <c r="C42" s="2" t="s">
        <v>904</v>
      </c>
      <c r="D42" s="2">
        <v>4</v>
      </c>
      <c r="E42" t="s">
        <v>787</v>
      </c>
      <c r="F42" s="2">
        <v>-4539</v>
      </c>
      <c r="G42" s="2">
        <v>2881</v>
      </c>
      <c r="H42" s="2">
        <v>262</v>
      </c>
      <c r="I42" s="18" t="s">
        <v>4808</v>
      </c>
      <c r="J42" s="12"/>
      <c r="K42" s="12"/>
    </row>
    <row r="43" spans="1:11" x14ac:dyDescent="0.2">
      <c r="A43" s="1" t="s">
        <v>4495</v>
      </c>
      <c r="B43" s="1" t="s">
        <v>4683</v>
      </c>
      <c r="C43" s="2" t="s">
        <v>904</v>
      </c>
      <c r="D43" s="2">
        <v>4</v>
      </c>
      <c r="E43" t="s">
        <v>787</v>
      </c>
      <c r="F43" s="2">
        <v>-4059</v>
      </c>
      <c r="G43" s="2">
        <v>1991</v>
      </c>
      <c r="H43" s="2">
        <v>183</v>
      </c>
      <c r="I43" s="18" t="s">
        <v>4809</v>
      </c>
      <c r="J43" s="12"/>
      <c r="K43" s="12"/>
    </row>
    <row r="44" spans="1:11" x14ac:dyDescent="0.2">
      <c r="A44" s="1" t="s">
        <v>4553</v>
      </c>
      <c r="B44" s="1" t="s">
        <v>4681</v>
      </c>
      <c r="C44" s="2" t="s">
        <v>2506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8" t="s">
        <v>4810</v>
      </c>
      <c r="J44" s="12"/>
      <c r="K44" s="12"/>
    </row>
    <row r="45" spans="1:11" x14ac:dyDescent="0.2">
      <c r="A45" s="1" t="s">
        <v>4577</v>
      </c>
      <c r="B45" s="1" t="s">
        <v>4683</v>
      </c>
      <c r="C45" s="2" t="s">
        <v>2506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8" t="s">
        <v>4811</v>
      </c>
      <c r="J45" s="12"/>
      <c r="K45" s="12"/>
    </row>
    <row r="46" spans="1:11" x14ac:dyDescent="0.2">
      <c r="A46" s="1" t="s">
        <v>4570</v>
      </c>
      <c r="B46" s="1" t="s">
        <v>4681</v>
      </c>
      <c r="C46" s="2" t="s">
        <v>2506</v>
      </c>
      <c r="D46" s="2">
        <v>5</v>
      </c>
      <c r="E46" t="s">
        <v>787</v>
      </c>
      <c r="F46" s="2">
        <v>-823</v>
      </c>
      <c r="G46" s="2">
        <v>3535</v>
      </c>
      <c r="H46" s="2">
        <v>235</v>
      </c>
      <c r="I46" s="18" t="s">
        <v>4812</v>
      </c>
      <c r="J46" s="12"/>
      <c r="K46" s="12"/>
    </row>
    <row r="47" spans="1:11" x14ac:dyDescent="0.2">
      <c r="A47" s="1" t="s">
        <v>4550</v>
      </c>
      <c r="B47" s="1" t="s">
        <v>4683</v>
      </c>
      <c r="C47" s="2" t="s">
        <v>2506</v>
      </c>
      <c r="D47" s="2">
        <v>5</v>
      </c>
      <c r="E47" t="s">
        <v>787</v>
      </c>
      <c r="F47" s="2">
        <v>-1165</v>
      </c>
      <c r="G47" s="2">
        <v>2602</v>
      </c>
      <c r="H47" s="2">
        <v>86</v>
      </c>
      <c r="I47" s="18" t="s">
        <v>4813</v>
      </c>
      <c r="J47" s="12"/>
      <c r="K47" s="12"/>
    </row>
    <row r="48" spans="1:11" x14ac:dyDescent="0.2">
      <c r="A48" s="1" t="s">
        <v>4527</v>
      </c>
      <c r="B48" s="1" t="s">
        <v>4680</v>
      </c>
      <c r="C48" s="2" t="s">
        <v>2506</v>
      </c>
      <c r="D48" s="2">
        <v>5</v>
      </c>
      <c r="E48" t="s">
        <v>787</v>
      </c>
      <c r="F48" s="2">
        <v>-2319</v>
      </c>
      <c r="G48" s="2">
        <v>2201</v>
      </c>
      <c r="H48" s="2">
        <v>173</v>
      </c>
      <c r="I48" s="18" t="s">
        <v>4814</v>
      </c>
      <c r="J48" s="12"/>
      <c r="K48" s="12"/>
    </row>
    <row r="49" spans="1:11" x14ac:dyDescent="0.2">
      <c r="A49" s="1" t="s">
        <v>4547</v>
      </c>
      <c r="B49" s="1" t="s">
        <v>4683</v>
      </c>
      <c r="C49" s="2" t="s">
        <v>2506</v>
      </c>
      <c r="D49" s="2">
        <v>5</v>
      </c>
      <c r="E49" t="s">
        <v>787</v>
      </c>
      <c r="F49" s="2">
        <v>-1638</v>
      </c>
      <c r="G49" s="2">
        <v>2643</v>
      </c>
      <c r="H49" s="2">
        <v>238</v>
      </c>
      <c r="I49" s="18" t="s">
        <v>4815</v>
      </c>
      <c r="J49" s="12"/>
      <c r="K49" s="12"/>
    </row>
    <row r="50" spans="1:11" x14ac:dyDescent="0.2">
      <c r="A50" s="1" t="s">
        <v>4563</v>
      </c>
      <c r="B50" s="1" t="s">
        <v>4683</v>
      </c>
      <c r="C50" s="2" t="s">
        <v>2506</v>
      </c>
      <c r="D50" s="2">
        <v>5</v>
      </c>
      <c r="E50" t="s">
        <v>787</v>
      </c>
      <c r="F50" s="2">
        <v>-1404</v>
      </c>
      <c r="G50" s="2">
        <v>3677</v>
      </c>
      <c r="H50" s="2">
        <v>288</v>
      </c>
      <c r="I50" s="18" t="s">
        <v>4816</v>
      </c>
      <c r="J50" s="12"/>
      <c r="K50" s="12"/>
    </row>
    <row r="51" spans="1:11" x14ac:dyDescent="0.2">
      <c r="A51" s="1" t="s">
        <v>4573</v>
      </c>
      <c r="B51" s="1" t="s">
        <v>4681</v>
      </c>
      <c r="C51" s="2" t="s">
        <v>805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8" t="s">
        <v>4817</v>
      </c>
      <c r="J51" s="12"/>
      <c r="K51" s="12"/>
    </row>
    <row r="52" spans="1:11" x14ac:dyDescent="0.2">
      <c r="A52" s="1" t="s">
        <v>4560</v>
      </c>
      <c r="B52" s="1" t="s">
        <v>4680</v>
      </c>
      <c r="C52" s="2" t="s">
        <v>805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8" t="s">
        <v>4818</v>
      </c>
      <c r="J52" s="12"/>
      <c r="K52" s="12"/>
    </row>
    <row r="53" spans="1:11" x14ac:dyDescent="0.2">
      <c r="A53" s="1" t="s">
        <v>4565</v>
      </c>
      <c r="B53" s="1" t="s">
        <v>4683</v>
      </c>
      <c r="C53" s="2" t="s">
        <v>805</v>
      </c>
      <c r="D53" s="2">
        <v>6</v>
      </c>
      <c r="E53" t="s">
        <v>787</v>
      </c>
      <c r="F53" s="2">
        <v>-395</v>
      </c>
      <c r="G53" s="2">
        <v>2736</v>
      </c>
      <c r="H53" s="2">
        <v>287</v>
      </c>
      <c r="I53" s="18" t="s">
        <v>4819</v>
      </c>
      <c r="J53" s="12"/>
      <c r="K53" s="12"/>
    </row>
    <row r="54" spans="1:11" x14ac:dyDescent="0.2">
      <c r="A54" s="1" t="s">
        <v>4594</v>
      </c>
      <c r="B54" s="1" t="s">
        <v>4683</v>
      </c>
      <c r="C54" s="2" t="s">
        <v>805</v>
      </c>
      <c r="D54" s="2">
        <v>6</v>
      </c>
      <c r="E54" t="s">
        <v>787</v>
      </c>
      <c r="F54" s="2">
        <v>1270</v>
      </c>
      <c r="G54" s="2">
        <v>3733</v>
      </c>
      <c r="H54" s="2">
        <v>106</v>
      </c>
      <c r="I54" s="18" t="s">
        <v>4820</v>
      </c>
      <c r="J54" s="12"/>
      <c r="K54" s="12"/>
    </row>
    <row r="55" spans="1:11" x14ac:dyDescent="0.2">
      <c r="A55" s="1" t="s">
        <v>4585</v>
      </c>
      <c r="B55" s="1" t="s">
        <v>4681</v>
      </c>
      <c r="C55" s="2" t="s">
        <v>805</v>
      </c>
      <c r="D55" s="2">
        <v>6</v>
      </c>
      <c r="E55" t="s">
        <v>787</v>
      </c>
      <c r="F55" s="2">
        <v>393</v>
      </c>
      <c r="G55" s="2">
        <v>3485</v>
      </c>
      <c r="H55" s="2">
        <v>68</v>
      </c>
      <c r="I55" s="18" t="s">
        <v>4821</v>
      </c>
      <c r="J55" s="12"/>
      <c r="K55" s="12"/>
    </row>
    <row r="56" spans="1:11" x14ac:dyDescent="0.2">
      <c r="A56" s="1" t="s">
        <v>4568</v>
      </c>
      <c r="B56" s="1" t="s">
        <v>4683</v>
      </c>
      <c r="C56" s="2" t="s">
        <v>805</v>
      </c>
      <c r="D56" s="2">
        <v>6</v>
      </c>
      <c r="E56" t="s">
        <v>787</v>
      </c>
      <c r="F56" s="2">
        <v>408</v>
      </c>
      <c r="G56" s="2">
        <v>2133</v>
      </c>
      <c r="H56" s="2">
        <v>143</v>
      </c>
      <c r="I56" s="18" t="s">
        <v>4822</v>
      </c>
      <c r="J56" s="12"/>
      <c r="K56" s="12"/>
    </row>
    <row r="57" spans="1:11" x14ac:dyDescent="0.2">
      <c r="A57" s="1" t="s">
        <v>4562</v>
      </c>
      <c r="B57" s="1" t="s">
        <v>4681</v>
      </c>
      <c r="C57" s="2" t="s">
        <v>805</v>
      </c>
      <c r="D57" s="2">
        <v>6</v>
      </c>
      <c r="E57" t="s">
        <v>787</v>
      </c>
      <c r="F57" s="2">
        <v>353</v>
      </c>
      <c r="G57" s="2">
        <v>1890</v>
      </c>
      <c r="H57" s="2">
        <v>178</v>
      </c>
      <c r="I57" s="18" t="s">
        <v>4823</v>
      </c>
      <c r="J57" s="12"/>
      <c r="K57" s="12"/>
    </row>
    <row r="58" spans="1:11" x14ac:dyDescent="0.2">
      <c r="A58" s="1" t="s">
        <v>4571</v>
      </c>
      <c r="B58" s="1" t="s">
        <v>4681</v>
      </c>
      <c r="C58" s="2" t="s">
        <v>805</v>
      </c>
      <c r="D58" s="2">
        <v>6</v>
      </c>
      <c r="E58" t="s">
        <v>787</v>
      </c>
      <c r="F58" s="2">
        <v>619</v>
      </c>
      <c r="G58" s="2">
        <v>2211</v>
      </c>
      <c r="H58" s="2">
        <v>164</v>
      </c>
      <c r="I58" s="18" t="s">
        <v>4824</v>
      </c>
      <c r="J58" s="12"/>
      <c r="K58" s="12"/>
    </row>
    <row r="59" spans="1:11" x14ac:dyDescent="0.2">
      <c r="A59" s="1" t="s">
        <v>4567</v>
      </c>
      <c r="B59" s="1" t="s">
        <v>4681</v>
      </c>
      <c r="C59" s="2" t="s">
        <v>805</v>
      </c>
      <c r="D59" s="2">
        <v>6</v>
      </c>
      <c r="E59" t="s">
        <v>787</v>
      </c>
      <c r="F59" s="2">
        <v>166</v>
      </c>
      <c r="G59" s="2">
        <v>2319</v>
      </c>
      <c r="H59" s="2">
        <v>178</v>
      </c>
      <c r="I59" s="18" t="s">
        <v>4825</v>
      </c>
      <c r="J59" s="12"/>
      <c r="K59" s="12"/>
    </row>
    <row r="60" spans="1:11" x14ac:dyDescent="0.2">
      <c r="A60" s="1" t="s">
        <v>4578</v>
      </c>
      <c r="B60" s="1" t="s">
        <v>4683</v>
      </c>
      <c r="C60" s="2" t="s">
        <v>805</v>
      </c>
      <c r="D60" s="2">
        <v>6</v>
      </c>
      <c r="E60" t="s">
        <v>787</v>
      </c>
      <c r="F60" s="2">
        <v>700</v>
      </c>
      <c r="G60" s="2">
        <v>2793</v>
      </c>
      <c r="H60" s="2">
        <v>225</v>
      </c>
      <c r="I60" s="18" t="s">
        <v>4826</v>
      </c>
      <c r="J60" s="12"/>
      <c r="K60" s="12"/>
    </row>
    <row r="61" spans="1:11" x14ac:dyDescent="0.2">
      <c r="A61" s="1" t="s">
        <v>4544</v>
      </c>
      <c r="B61" s="1" t="s">
        <v>4681</v>
      </c>
      <c r="C61" s="2" t="s">
        <v>805</v>
      </c>
      <c r="D61" s="2">
        <v>6</v>
      </c>
      <c r="E61" t="s">
        <v>787</v>
      </c>
      <c r="F61" s="2">
        <v>-594</v>
      </c>
      <c r="G61" s="2">
        <v>1551</v>
      </c>
      <c r="H61" s="2">
        <v>-14</v>
      </c>
      <c r="I61" s="18" t="s">
        <v>4827</v>
      </c>
      <c r="J61" s="12"/>
      <c r="K61" s="12"/>
    </row>
    <row r="62" spans="1:11" x14ac:dyDescent="0.2">
      <c r="A62" s="1" t="s">
        <v>4572</v>
      </c>
      <c r="B62" s="1" t="s">
        <v>4683</v>
      </c>
      <c r="C62" s="2" t="s">
        <v>2073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8" t="s">
        <v>4828</v>
      </c>
      <c r="J62" s="12"/>
      <c r="K62" s="12"/>
    </row>
    <row r="63" spans="1:11" x14ac:dyDescent="0.2">
      <c r="A63" s="1" t="s">
        <v>4564</v>
      </c>
      <c r="B63" s="1" t="s">
        <v>4683</v>
      </c>
      <c r="C63" s="2" t="s">
        <v>2073</v>
      </c>
      <c r="D63" s="2">
        <v>7</v>
      </c>
      <c r="E63" t="s">
        <v>787</v>
      </c>
      <c r="F63" s="2">
        <v>1059</v>
      </c>
      <c r="G63" s="2">
        <v>1276</v>
      </c>
      <c r="H63" s="2">
        <v>45</v>
      </c>
      <c r="I63" s="18" t="s">
        <v>4829</v>
      </c>
      <c r="J63" s="12"/>
      <c r="K63" s="12"/>
    </row>
    <row r="64" spans="1:11" x14ac:dyDescent="0.2">
      <c r="A64" s="1" t="s">
        <v>4590</v>
      </c>
      <c r="B64" s="1" t="s">
        <v>4680</v>
      </c>
      <c r="C64" s="2" t="s">
        <v>2073</v>
      </c>
      <c r="D64" s="2">
        <v>7</v>
      </c>
      <c r="E64" t="s">
        <v>787</v>
      </c>
      <c r="F64" s="2">
        <v>1842</v>
      </c>
      <c r="G64" s="2">
        <v>2841</v>
      </c>
      <c r="H64" s="2">
        <v>363</v>
      </c>
      <c r="I64" s="18" t="s">
        <v>4830</v>
      </c>
      <c r="J64" s="12"/>
      <c r="K64" s="12"/>
    </row>
    <row r="65" spans="1:11" x14ac:dyDescent="0.2">
      <c r="A65" s="1" t="s">
        <v>4595</v>
      </c>
      <c r="B65" s="1" t="s">
        <v>4681</v>
      </c>
      <c r="C65" s="2" t="s">
        <v>2073</v>
      </c>
      <c r="D65" s="2">
        <v>7</v>
      </c>
      <c r="E65" t="s">
        <v>787</v>
      </c>
      <c r="F65" s="2">
        <v>1833</v>
      </c>
      <c r="G65" s="2">
        <v>3179</v>
      </c>
      <c r="H65" s="2">
        <v>257</v>
      </c>
      <c r="I65" s="18" t="s">
        <v>4831</v>
      </c>
      <c r="J65" s="12"/>
      <c r="K65" s="12"/>
    </row>
    <row r="66" spans="1:11" x14ac:dyDescent="0.2">
      <c r="A66" s="1" t="s">
        <v>4603</v>
      </c>
      <c r="B66" s="1" t="s">
        <v>4680</v>
      </c>
      <c r="C66" s="2" t="s">
        <v>2073</v>
      </c>
      <c r="D66" s="2">
        <v>7</v>
      </c>
      <c r="E66" t="s">
        <v>787</v>
      </c>
      <c r="F66" s="2">
        <v>2863</v>
      </c>
      <c r="G66" s="2">
        <v>3637</v>
      </c>
      <c r="H66" s="2">
        <v>239</v>
      </c>
      <c r="I66" s="18" t="s">
        <v>4832</v>
      </c>
      <c r="J66" s="12"/>
      <c r="K66" s="12"/>
    </row>
    <row r="67" spans="1:11" x14ac:dyDescent="0.2">
      <c r="A67" s="1" t="s">
        <v>4584</v>
      </c>
      <c r="B67" s="1" t="s">
        <v>4683</v>
      </c>
      <c r="C67" s="2" t="s">
        <v>2073</v>
      </c>
      <c r="D67" s="2">
        <v>7</v>
      </c>
      <c r="E67" t="s">
        <v>787</v>
      </c>
      <c r="F67" s="2">
        <v>2567</v>
      </c>
      <c r="G67" s="2">
        <v>1245</v>
      </c>
      <c r="H67" s="2">
        <v>173</v>
      </c>
      <c r="I67" s="18" t="s">
        <v>4833</v>
      </c>
      <c r="J67" s="12"/>
      <c r="K67" s="12"/>
    </row>
    <row r="68" spans="1:11" x14ac:dyDescent="0.2">
      <c r="A68" s="1" t="s">
        <v>4587</v>
      </c>
      <c r="B68" s="1" t="s">
        <v>4683</v>
      </c>
      <c r="C68" s="2" t="s">
        <v>2073</v>
      </c>
      <c r="D68" s="2">
        <v>7</v>
      </c>
      <c r="E68" t="s">
        <v>787</v>
      </c>
      <c r="F68" s="2">
        <v>1761</v>
      </c>
      <c r="G68" s="2">
        <v>2508</v>
      </c>
      <c r="H68" s="2">
        <v>437</v>
      </c>
      <c r="I68" s="18" t="s">
        <v>4834</v>
      </c>
      <c r="J68" s="12"/>
      <c r="K68" s="12"/>
    </row>
    <row r="69" spans="1:11" x14ac:dyDescent="0.2">
      <c r="A69" s="1" t="s">
        <v>4601</v>
      </c>
      <c r="B69" s="1" t="s">
        <v>4681</v>
      </c>
      <c r="C69" s="2" t="s">
        <v>2073</v>
      </c>
      <c r="D69" s="2">
        <v>7</v>
      </c>
      <c r="E69" t="s">
        <v>787</v>
      </c>
      <c r="F69" s="2">
        <v>2959</v>
      </c>
      <c r="G69" s="2">
        <v>2758</v>
      </c>
      <c r="H69" s="2">
        <v>524</v>
      </c>
      <c r="I69" s="18" t="s">
        <v>4835</v>
      </c>
      <c r="J69" s="12"/>
      <c r="K69" s="12"/>
    </row>
    <row r="70" spans="1:11" x14ac:dyDescent="0.2">
      <c r="A70" s="1" t="s">
        <v>4589</v>
      </c>
      <c r="B70" s="1" t="s">
        <v>4681</v>
      </c>
      <c r="C70" s="2" t="s">
        <v>2073</v>
      </c>
      <c r="D70" s="2">
        <v>7</v>
      </c>
      <c r="E70" t="s">
        <v>787</v>
      </c>
      <c r="F70" s="2">
        <v>2678</v>
      </c>
      <c r="G70" s="2">
        <v>1905</v>
      </c>
      <c r="H70" s="2">
        <v>131</v>
      </c>
      <c r="I70" s="18" t="s">
        <v>4836</v>
      </c>
      <c r="J70" s="12"/>
      <c r="K70" s="12"/>
    </row>
    <row r="71" spans="1:11" x14ac:dyDescent="0.2">
      <c r="A71" s="1" t="s">
        <v>4600</v>
      </c>
      <c r="B71" s="1" t="s">
        <v>4683</v>
      </c>
      <c r="C71" s="2" t="s">
        <v>2073</v>
      </c>
      <c r="D71" s="2">
        <v>7</v>
      </c>
      <c r="E71" t="s">
        <v>787</v>
      </c>
      <c r="F71" s="2">
        <v>2401</v>
      </c>
      <c r="G71" s="2">
        <v>3273</v>
      </c>
      <c r="H71" s="2">
        <v>402</v>
      </c>
      <c r="I71" s="18" t="s">
        <v>4837</v>
      </c>
      <c r="J71" s="12"/>
      <c r="K71" s="12"/>
    </row>
    <row r="72" spans="1:11" x14ac:dyDescent="0.2">
      <c r="A72" s="1" t="s">
        <v>4593</v>
      </c>
      <c r="B72" s="1" t="s">
        <v>4683</v>
      </c>
      <c r="C72" s="2" t="s">
        <v>2073</v>
      </c>
      <c r="D72" s="2">
        <v>7</v>
      </c>
      <c r="E72" t="s">
        <v>787</v>
      </c>
      <c r="F72" s="2">
        <v>2367</v>
      </c>
      <c r="G72" s="2">
        <v>2598</v>
      </c>
      <c r="H72" s="2">
        <v>790</v>
      </c>
      <c r="I72" s="18" t="s">
        <v>4838</v>
      </c>
      <c r="J72" s="12"/>
      <c r="K72" s="12"/>
    </row>
    <row r="73" spans="1:11" x14ac:dyDescent="0.2">
      <c r="A73" s="1" t="s">
        <v>4575</v>
      </c>
      <c r="B73" s="1" t="s">
        <v>4683</v>
      </c>
      <c r="C73" s="2" t="s">
        <v>2073</v>
      </c>
      <c r="D73" s="2">
        <v>7</v>
      </c>
      <c r="E73" t="s">
        <v>787</v>
      </c>
      <c r="F73" s="2">
        <v>1798</v>
      </c>
      <c r="G73" s="2">
        <v>1639</v>
      </c>
      <c r="H73" s="2">
        <v>311</v>
      </c>
      <c r="I73" s="18" t="s">
        <v>4839</v>
      </c>
      <c r="J73" s="12"/>
      <c r="K73" s="12"/>
    </row>
    <row r="74" spans="1:11" x14ac:dyDescent="0.2">
      <c r="A74" s="1" t="s">
        <v>4605</v>
      </c>
      <c r="B74" s="1" t="s">
        <v>4681</v>
      </c>
      <c r="C74" s="2" t="s">
        <v>1922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8" t="s">
        <v>4840</v>
      </c>
      <c r="J74" s="12"/>
      <c r="K74" s="12"/>
    </row>
    <row r="75" spans="1:11" x14ac:dyDescent="0.2">
      <c r="A75" s="1" t="s">
        <v>4607</v>
      </c>
      <c r="B75" s="1" t="s">
        <v>4683</v>
      </c>
      <c r="C75" s="2" t="s">
        <v>1922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8" t="s">
        <v>4841</v>
      </c>
      <c r="J75" s="12"/>
      <c r="K75" s="12"/>
    </row>
    <row r="76" spans="1:11" x14ac:dyDescent="0.2">
      <c r="A76" s="1" t="s">
        <v>4597</v>
      </c>
      <c r="B76" s="1" t="s">
        <v>4681</v>
      </c>
      <c r="C76" s="2" t="s">
        <v>1922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8" t="s">
        <v>4842</v>
      </c>
      <c r="J76" s="12"/>
      <c r="K76" s="12"/>
    </row>
    <row r="77" spans="1:11" x14ac:dyDescent="0.2">
      <c r="A77" s="1" t="s">
        <v>4591</v>
      </c>
      <c r="B77" s="1" t="s">
        <v>4683</v>
      </c>
      <c r="C77" s="2" t="s">
        <v>1922</v>
      </c>
      <c r="D77" s="2">
        <v>8</v>
      </c>
      <c r="E77" t="s">
        <v>787</v>
      </c>
      <c r="F77" s="2">
        <v>3305</v>
      </c>
      <c r="G77" s="2">
        <v>1443</v>
      </c>
      <c r="H77" s="2">
        <v>426</v>
      </c>
      <c r="I77" s="18" t="s">
        <v>4843</v>
      </c>
      <c r="J77" s="12"/>
      <c r="K77" s="12"/>
    </row>
    <row r="78" spans="1:11" x14ac:dyDescent="0.2">
      <c r="A78" s="1" t="s">
        <v>4604</v>
      </c>
      <c r="B78" s="1" t="s">
        <v>4683</v>
      </c>
      <c r="C78" s="2" t="s">
        <v>1922</v>
      </c>
      <c r="D78" s="2">
        <v>8</v>
      </c>
      <c r="E78" t="s">
        <v>787</v>
      </c>
      <c r="F78" s="2">
        <v>4513</v>
      </c>
      <c r="G78" s="2">
        <v>2116</v>
      </c>
      <c r="H78" s="2">
        <v>1</v>
      </c>
      <c r="I78" s="18" t="s">
        <v>4844</v>
      </c>
      <c r="J78" s="12"/>
      <c r="K78" s="12"/>
    </row>
    <row r="79" spans="1:11" x14ac:dyDescent="0.2">
      <c r="A79" s="1" t="s">
        <v>4610</v>
      </c>
      <c r="B79" s="1" t="s">
        <v>4681</v>
      </c>
      <c r="C79" s="2" t="s">
        <v>1922</v>
      </c>
      <c r="D79" s="2">
        <v>8</v>
      </c>
      <c r="E79" t="s">
        <v>787</v>
      </c>
      <c r="F79" s="2">
        <v>4653</v>
      </c>
      <c r="G79" s="2">
        <v>3702</v>
      </c>
      <c r="H79" s="2">
        <v>131</v>
      </c>
      <c r="I79" s="18" t="s">
        <v>4845</v>
      </c>
      <c r="J79" s="12"/>
      <c r="K79" s="12"/>
    </row>
    <row r="80" spans="1:11" x14ac:dyDescent="0.2">
      <c r="A80" s="1" t="s">
        <v>4596</v>
      </c>
      <c r="B80" s="1" t="s">
        <v>4681</v>
      </c>
      <c r="C80" s="2" t="s">
        <v>1922</v>
      </c>
      <c r="D80" s="2">
        <v>8</v>
      </c>
      <c r="E80" t="s">
        <v>787</v>
      </c>
      <c r="F80" s="2">
        <v>3809</v>
      </c>
      <c r="G80" s="2">
        <v>1219</v>
      </c>
      <c r="H80" s="2">
        <v>90</v>
      </c>
      <c r="I80" s="18" t="s">
        <v>4846</v>
      </c>
      <c r="J80" s="12"/>
      <c r="K80" s="12"/>
    </row>
    <row r="81" spans="1:11" x14ac:dyDescent="0.2">
      <c r="A81" s="1" t="s">
        <v>4608</v>
      </c>
      <c r="B81" s="1" t="s">
        <v>4683</v>
      </c>
      <c r="C81" s="2" t="s">
        <v>1922</v>
      </c>
      <c r="D81" s="2">
        <v>8</v>
      </c>
      <c r="E81" t="s">
        <v>787</v>
      </c>
      <c r="F81" s="2">
        <v>4346</v>
      </c>
      <c r="G81" s="2">
        <v>2875</v>
      </c>
      <c r="H81" s="2">
        <v>164</v>
      </c>
      <c r="I81" s="18" t="s">
        <v>4847</v>
      </c>
      <c r="J81" s="12"/>
      <c r="K81" s="12"/>
    </row>
    <row r="82" spans="1:11" x14ac:dyDescent="0.2">
      <c r="A82" s="1" t="s">
        <v>4606</v>
      </c>
      <c r="B82" s="1" t="s">
        <v>4683</v>
      </c>
      <c r="C82" s="2" t="s">
        <v>1922</v>
      </c>
      <c r="D82" s="2">
        <v>8</v>
      </c>
      <c r="E82" t="s">
        <v>787</v>
      </c>
      <c r="F82" s="2">
        <v>3431</v>
      </c>
      <c r="G82" s="2">
        <v>3355</v>
      </c>
      <c r="H82" s="2">
        <v>70</v>
      </c>
      <c r="I82" s="18" t="s">
        <v>4848</v>
      </c>
      <c r="J82" s="12"/>
      <c r="K82" s="12"/>
    </row>
    <row r="83" spans="1:11" x14ac:dyDescent="0.2">
      <c r="A83" s="1" t="s">
        <v>4592</v>
      </c>
      <c r="B83" s="1" t="s">
        <v>4680</v>
      </c>
      <c r="C83" s="2" t="s">
        <v>1922</v>
      </c>
      <c r="D83" s="2">
        <v>8</v>
      </c>
      <c r="E83" t="s">
        <v>787</v>
      </c>
      <c r="F83" s="2">
        <v>3061</v>
      </c>
      <c r="G83" s="2">
        <v>1823</v>
      </c>
      <c r="H83" s="2">
        <v>216</v>
      </c>
      <c r="I83" s="18" t="s">
        <v>4849</v>
      </c>
      <c r="J83" s="12"/>
      <c r="K83" s="12"/>
    </row>
    <row r="84" spans="1:11" x14ac:dyDescent="0.2">
      <c r="A84" s="1" t="s">
        <v>4609</v>
      </c>
      <c r="B84" s="1" t="s">
        <v>4683</v>
      </c>
      <c r="C84" s="2" t="s">
        <v>1922</v>
      </c>
      <c r="D84" s="2">
        <v>8</v>
      </c>
      <c r="E84" t="s">
        <v>787</v>
      </c>
      <c r="F84" s="2">
        <v>4664</v>
      </c>
      <c r="G84" s="2">
        <v>3262</v>
      </c>
      <c r="H84" s="2">
        <v>2</v>
      </c>
      <c r="I84" s="18" t="s">
        <v>4850</v>
      </c>
      <c r="J84" s="12"/>
      <c r="K84" s="12"/>
    </row>
    <row r="85" spans="1:11" x14ac:dyDescent="0.2">
      <c r="A85" s="1" t="s">
        <v>4602</v>
      </c>
      <c r="B85" s="1" t="s">
        <v>4682</v>
      </c>
      <c r="C85" s="2" t="s">
        <v>1922</v>
      </c>
      <c r="D85" s="2">
        <v>8</v>
      </c>
      <c r="E85" t="s">
        <v>787</v>
      </c>
      <c r="F85" s="2">
        <v>3839</v>
      </c>
      <c r="G85" s="2">
        <v>2301</v>
      </c>
      <c r="H85" s="2">
        <v>48</v>
      </c>
      <c r="I85" s="18" t="s">
        <v>4851</v>
      </c>
      <c r="J85" s="12"/>
      <c r="K85" s="12"/>
    </row>
    <row r="86" spans="1:11" x14ac:dyDescent="0.2">
      <c r="A86" s="1" t="s">
        <v>4586</v>
      </c>
      <c r="B86" s="1" t="s">
        <v>4683</v>
      </c>
      <c r="C86" s="2" t="s">
        <v>922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8" t="s">
        <v>4852</v>
      </c>
      <c r="J86" s="12"/>
      <c r="K86" s="12"/>
    </row>
    <row r="87" spans="1:11" x14ac:dyDescent="0.2">
      <c r="A87" s="1" t="s">
        <v>4576</v>
      </c>
      <c r="B87" s="1" t="s">
        <v>4683</v>
      </c>
      <c r="C87" s="2" t="s">
        <v>922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8" t="s">
        <v>4853</v>
      </c>
      <c r="J87" s="12"/>
      <c r="K87" s="12"/>
    </row>
    <row r="88" spans="1:11" x14ac:dyDescent="0.2">
      <c r="A88" s="1" t="s">
        <v>4581</v>
      </c>
      <c r="B88" s="1" t="s">
        <v>4683</v>
      </c>
      <c r="C88" s="2" t="s">
        <v>922</v>
      </c>
      <c r="D88" s="2">
        <v>9</v>
      </c>
      <c r="E88" t="s">
        <v>787</v>
      </c>
      <c r="F88" s="2">
        <v>3887</v>
      </c>
      <c r="G88" s="2">
        <v>-217</v>
      </c>
      <c r="H88" s="2">
        <v>163</v>
      </c>
      <c r="I88" s="18" t="s">
        <v>4854</v>
      </c>
      <c r="J88" s="12"/>
      <c r="K88" s="12"/>
    </row>
    <row r="89" spans="1:11" x14ac:dyDescent="0.2">
      <c r="A89" s="1" t="s">
        <v>4598</v>
      </c>
      <c r="B89" s="1" t="s">
        <v>4683</v>
      </c>
      <c r="C89" s="2" t="s">
        <v>922</v>
      </c>
      <c r="D89" s="2">
        <v>9</v>
      </c>
      <c r="E89" t="s">
        <v>787</v>
      </c>
      <c r="F89" s="2">
        <v>4498</v>
      </c>
      <c r="G89" s="2">
        <v>825</v>
      </c>
      <c r="H89" s="2">
        <v>95</v>
      </c>
      <c r="I89" s="18" t="s">
        <v>4855</v>
      </c>
      <c r="J89" s="12"/>
      <c r="K89" s="12"/>
    </row>
    <row r="90" spans="1:11" x14ac:dyDescent="0.2">
      <c r="A90" s="1" t="s">
        <v>4588</v>
      </c>
      <c r="B90" s="1" t="s">
        <v>4683</v>
      </c>
      <c r="C90" s="2" t="s">
        <v>922</v>
      </c>
      <c r="D90" s="2">
        <v>9</v>
      </c>
      <c r="E90" t="s">
        <v>787</v>
      </c>
      <c r="F90" s="2">
        <v>3784</v>
      </c>
      <c r="G90" s="2">
        <v>579</v>
      </c>
      <c r="H90" s="2">
        <v>486</v>
      </c>
      <c r="I90" s="18" t="s">
        <v>4856</v>
      </c>
      <c r="J90" s="12"/>
      <c r="K90" s="12"/>
    </row>
    <row r="91" spans="1:11" x14ac:dyDescent="0.2">
      <c r="A91" s="1" t="s">
        <v>4574</v>
      </c>
      <c r="B91" s="1" t="s">
        <v>4681</v>
      </c>
      <c r="C91" s="2" t="s">
        <v>922</v>
      </c>
      <c r="D91" s="2">
        <v>9</v>
      </c>
      <c r="E91" t="s">
        <v>787</v>
      </c>
      <c r="F91" s="2">
        <v>2918</v>
      </c>
      <c r="G91" s="2">
        <v>505</v>
      </c>
      <c r="H91" s="2">
        <v>155</v>
      </c>
      <c r="I91" s="18" t="s">
        <v>4857</v>
      </c>
      <c r="J91" s="12"/>
      <c r="K91" s="12"/>
    </row>
    <row r="92" spans="1:11" x14ac:dyDescent="0.2">
      <c r="A92" s="1" t="s">
        <v>4566</v>
      </c>
      <c r="B92" s="1" t="s">
        <v>4681</v>
      </c>
      <c r="C92" s="2" t="s">
        <v>922</v>
      </c>
      <c r="D92" s="2">
        <v>9</v>
      </c>
      <c r="E92" t="s">
        <v>787</v>
      </c>
      <c r="F92" s="2">
        <v>2277</v>
      </c>
      <c r="G92" s="2">
        <v>150</v>
      </c>
      <c r="H92" s="2">
        <v>79</v>
      </c>
      <c r="I92" s="18" t="s">
        <v>4858</v>
      </c>
      <c r="J92" s="12"/>
      <c r="K92" s="12"/>
    </row>
    <row r="93" spans="1:11" x14ac:dyDescent="0.2">
      <c r="A93" s="1" t="s">
        <v>4582</v>
      </c>
      <c r="B93" s="1" t="s">
        <v>4683</v>
      </c>
      <c r="C93" s="2" t="s">
        <v>922</v>
      </c>
      <c r="D93" s="2">
        <v>9</v>
      </c>
      <c r="E93" t="s">
        <v>787</v>
      </c>
      <c r="F93" s="2">
        <v>3298</v>
      </c>
      <c r="G93" s="2">
        <v>424</v>
      </c>
      <c r="H93" s="2">
        <v>112</v>
      </c>
      <c r="I93" s="18" t="s">
        <v>4859</v>
      </c>
      <c r="J93" s="12"/>
      <c r="K93" s="12"/>
    </row>
    <row r="94" spans="1:11" x14ac:dyDescent="0.2">
      <c r="A94" s="1" t="s">
        <v>4599</v>
      </c>
      <c r="B94" s="1" t="s">
        <v>4680</v>
      </c>
      <c r="C94" s="2" t="s">
        <v>922</v>
      </c>
      <c r="D94" s="2">
        <v>9</v>
      </c>
      <c r="E94" t="s">
        <v>787</v>
      </c>
      <c r="F94" s="2">
        <v>4166</v>
      </c>
      <c r="G94" s="2">
        <v>1323</v>
      </c>
      <c r="H94" s="2">
        <v>229</v>
      </c>
      <c r="I94" s="18" t="s">
        <v>4860</v>
      </c>
      <c r="J94" s="12"/>
      <c r="K94" s="12"/>
    </row>
    <row r="95" spans="1:11" x14ac:dyDescent="0.2">
      <c r="A95" s="1" t="s">
        <v>4583</v>
      </c>
      <c r="B95" s="1" t="s">
        <v>4681</v>
      </c>
      <c r="C95" s="2" t="s">
        <v>922</v>
      </c>
      <c r="D95" s="2">
        <v>9</v>
      </c>
      <c r="E95" t="s">
        <v>787</v>
      </c>
      <c r="F95" s="2">
        <v>4412</v>
      </c>
      <c r="G95" s="2">
        <v>-610</v>
      </c>
      <c r="H95" s="2">
        <v>34</v>
      </c>
      <c r="I95" s="18" t="s">
        <v>4861</v>
      </c>
      <c r="J95" s="12"/>
      <c r="K95" s="12"/>
    </row>
    <row r="96" spans="1:11" x14ac:dyDescent="0.2">
      <c r="A96" s="1" t="s">
        <v>4537</v>
      </c>
      <c r="B96" s="1" t="s">
        <v>4681</v>
      </c>
      <c r="C96" s="2" t="s">
        <v>926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8" t="s">
        <v>4862</v>
      </c>
      <c r="J96" s="12"/>
      <c r="K96" s="12"/>
    </row>
    <row r="97" spans="1:11" x14ac:dyDescent="0.2">
      <c r="A97" s="1" t="s">
        <v>4516</v>
      </c>
      <c r="B97" s="1" t="s">
        <v>4681</v>
      </c>
      <c r="C97" s="2" t="s">
        <v>926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8" t="s">
        <v>4863</v>
      </c>
      <c r="J97" s="12"/>
      <c r="K97" s="12"/>
    </row>
    <row r="98" spans="1:11" x14ac:dyDescent="0.2">
      <c r="A98" s="1" t="s">
        <v>4538</v>
      </c>
      <c r="B98" s="1" t="s">
        <v>4680</v>
      </c>
      <c r="C98" s="2" t="s">
        <v>926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8" t="s">
        <v>4864</v>
      </c>
      <c r="J98" s="12"/>
      <c r="K98" s="12"/>
    </row>
    <row r="99" spans="1:11" x14ac:dyDescent="0.2">
      <c r="A99" s="1" t="s">
        <v>4526</v>
      </c>
      <c r="B99" s="1" t="s">
        <v>4682</v>
      </c>
      <c r="C99" s="2" t="s">
        <v>926</v>
      </c>
      <c r="D99" s="2">
        <v>10</v>
      </c>
      <c r="E99" t="s">
        <v>787</v>
      </c>
      <c r="F99" s="2">
        <v>1564</v>
      </c>
      <c r="G99" s="2">
        <v>-1945</v>
      </c>
      <c r="H99" s="2">
        <v>157</v>
      </c>
      <c r="I99" s="18" t="s">
        <v>4865</v>
      </c>
      <c r="J99" s="12"/>
      <c r="K99" s="12"/>
    </row>
    <row r="100" spans="1:11" x14ac:dyDescent="0.2">
      <c r="A100" s="1" t="s">
        <v>4551</v>
      </c>
      <c r="B100" s="1" t="s">
        <v>4680</v>
      </c>
      <c r="C100" s="2" t="s">
        <v>926</v>
      </c>
      <c r="D100" s="2">
        <v>10</v>
      </c>
      <c r="E100" t="s">
        <v>787</v>
      </c>
      <c r="F100" s="2">
        <v>1202</v>
      </c>
      <c r="G100" s="2">
        <v>329</v>
      </c>
      <c r="H100" s="2">
        <v>29</v>
      </c>
      <c r="I100" s="18" t="s">
        <v>4866</v>
      </c>
      <c r="J100" s="12"/>
      <c r="K100" s="12"/>
    </row>
    <row r="101" spans="1:11" x14ac:dyDescent="0.2">
      <c r="A101" s="1" t="s">
        <v>4556</v>
      </c>
      <c r="B101" s="1" t="s">
        <v>4683</v>
      </c>
      <c r="C101" s="2" t="s">
        <v>926</v>
      </c>
      <c r="D101" s="2">
        <v>10</v>
      </c>
      <c r="E101" t="s">
        <v>787</v>
      </c>
      <c r="F101" s="2">
        <v>1743</v>
      </c>
      <c r="G101" s="2">
        <v>18</v>
      </c>
      <c r="H101" s="2">
        <v>25</v>
      </c>
      <c r="I101" s="18" t="s">
        <v>4867</v>
      </c>
      <c r="J101" s="12"/>
      <c r="K101" s="12"/>
    </row>
    <row r="102" spans="1:11" x14ac:dyDescent="0.2">
      <c r="A102" s="1" t="s">
        <v>4557</v>
      </c>
      <c r="B102" s="1" t="s">
        <v>4681</v>
      </c>
      <c r="C102" s="2" t="s">
        <v>926</v>
      </c>
      <c r="D102" s="2">
        <v>10</v>
      </c>
      <c r="E102" t="s">
        <v>787</v>
      </c>
      <c r="F102" s="2">
        <v>2362</v>
      </c>
      <c r="G102" s="2">
        <v>-511</v>
      </c>
      <c r="H102" s="2">
        <v>155</v>
      </c>
      <c r="I102" s="18" t="s">
        <v>4868</v>
      </c>
      <c r="J102" s="12"/>
      <c r="K102" s="12"/>
    </row>
    <row r="103" spans="1:11" x14ac:dyDescent="0.2">
      <c r="A103" s="1" t="s">
        <v>4540</v>
      </c>
      <c r="B103" s="1" t="s">
        <v>4683</v>
      </c>
      <c r="C103" s="2" t="s">
        <v>926</v>
      </c>
      <c r="D103" s="2">
        <v>10</v>
      </c>
      <c r="E103" t="s">
        <v>787</v>
      </c>
      <c r="F103" s="2">
        <v>1770</v>
      </c>
      <c r="G103" s="2">
        <v>-1050</v>
      </c>
      <c r="H103" s="2">
        <v>166</v>
      </c>
      <c r="I103" s="18" t="s">
        <v>4869</v>
      </c>
      <c r="J103" s="12"/>
      <c r="K103" s="12"/>
    </row>
    <row r="104" spans="1:11" x14ac:dyDescent="0.2">
      <c r="A104" s="1" t="s">
        <v>4536</v>
      </c>
      <c r="B104" s="1" t="s">
        <v>4683</v>
      </c>
      <c r="C104" s="2" t="s">
        <v>926</v>
      </c>
      <c r="D104" s="2">
        <v>10</v>
      </c>
      <c r="E104" t="s">
        <v>787</v>
      </c>
      <c r="F104" s="2">
        <v>1183</v>
      </c>
      <c r="G104" s="2">
        <v>-780</v>
      </c>
      <c r="H104" s="2">
        <v>133</v>
      </c>
      <c r="I104" s="18" t="s">
        <v>4870</v>
      </c>
      <c r="J104" s="12"/>
      <c r="K104" s="12"/>
    </row>
    <row r="105" spans="1:11" x14ac:dyDescent="0.2">
      <c r="A105" s="1" t="s">
        <v>4554</v>
      </c>
      <c r="B105" s="1" t="s">
        <v>4681</v>
      </c>
      <c r="C105" s="2" t="s">
        <v>926</v>
      </c>
      <c r="D105" s="2">
        <v>10</v>
      </c>
      <c r="E105" t="s">
        <v>787</v>
      </c>
      <c r="F105" s="2">
        <v>2755</v>
      </c>
      <c r="G105" s="2">
        <v>-1089</v>
      </c>
      <c r="H105" s="2">
        <v>100</v>
      </c>
      <c r="I105" s="18" t="s">
        <v>4871</v>
      </c>
      <c r="J105" s="12"/>
      <c r="K105" s="12"/>
    </row>
    <row r="106" spans="1:11" x14ac:dyDescent="0.2">
      <c r="A106" s="1" t="s">
        <v>4552</v>
      </c>
      <c r="B106" s="1" t="s">
        <v>4683</v>
      </c>
      <c r="C106" s="2" t="s">
        <v>926</v>
      </c>
      <c r="D106" s="2">
        <v>10</v>
      </c>
      <c r="E106" t="s">
        <v>787</v>
      </c>
      <c r="F106" s="2">
        <v>756</v>
      </c>
      <c r="G106" s="2">
        <v>823</v>
      </c>
      <c r="H106" s="2">
        <v>81</v>
      </c>
      <c r="I106" s="18" t="s">
        <v>4872</v>
      </c>
      <c r="J106" s="12"/>
      <c r="K106" s="12"/>
    </row>
    <row r="107" spans="1:11" x14ac:dyDescent="0.2">
      <c r="A107" s="1" t="s">
        <v>4539</v>
      </c>
      <c r="B107" s="1" t="s">
        <v>4683</v>
      </c>
      <c r="C107" s="2" t="s">
        <v>926</v>
      </c>
      <c r="D107" s="2">
        <v>10</v>
      </c>
      <c r="E107" t="s">
        <v>787</v>
      </c>
      <c r="F107" s="2">
        <v>915</v>
      </c>
      <c r="G107" s="2">
        <v>-250</v>
      </c>
      <c r="H107" s="2">
        <v>34</v>
      </c>
      <c r="I107" s="18" t="s">
        <v>4873</v>
      </c>
      <c r="J107" s="12"/>
      <c r="K107" s="12"/>
    </row>
    <row r="108" spans="1:11" x14ac:dyDescent="0.2">
      <c r="A108" s="1" t="s">
        <v>4579</v>
      </c>
      <c r="B108" s="1" t="s">
        <v>4683</v>
      </c>
      <c r="C108" s="2" t="s">
        <v>934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8" t="s">
        <v>4874</v>
      </c>
      <c r="J108" s="12"/>
      <c r="K108" s="12"/>
    </row>
    <row r="109" spans="1:11" x14ac:dyDescent="0.2">
      <c r="A109" s="1" t="s">
        <v>4580</v>
      </c>
      <c r="B109" s="1" t="s">
        <v>4681</v>
      </c>
      <c r="C109" s="2" t="s">
        <v>934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8" t="s">
        <v>4875</v>
      </c>
      <c r="J109" s="12"/>
      <c r="K109" s="12"/>
    </row>
    <row r="110" spans="1:11" x14ac:dyDescent="0.2">
      <c r="A110" s="1" t="s">
        <v>4559</v>
      </c>
      <c r="B110" s="1" t="s">
        <v>4683</v>
      </c>
      <c r="C110" s="2" t="s">
        <v>934</v>
      </c>
      <c r="D110" s="2">
        <v>11</v>
      </c>
      <c r="E110" t="s">
        <v>787</v>
      </c>
      <c r="F110" s="2">
        <v>4231</v>
      </c>
      <c r="G110" s="2">
        <v>-2178</v>
      </c>
      <c r="H110" s="2">
        <v>-7</v>
      </c>
      <c r="I110" s="18" t="s">
        <v>4876</v>
      </c>
      <c r="J110" s="12"/>
      <c r="K110" s="12"/>
    </row>
    <row r="111" spans="1:11" x14ac:dyDescent="0.2">
      <c r="A111" s="1" t="s">
        <v>4569</v>
      </c>
      <c r="B111" s="1" t="s">
        <v>4683</v>
      </c>
      <c r="C111" s="2" t="s">
        <v>934</v>
      </c>
      <c r="D111" s="2">
        <v>11</v>
      </c>
      <c r="E111" t="s">
        <v>787</v>
      </c>
      <c r="F111" s="2">
        <v>4266</v>
      </c>
      <c r="G111" s="2">
        <v>-1674</v>
      </c>
      <c r="H111" s="2">
        <v>181</v>
      </c>
      <c r="I111" s="18" t="s">
        <v>4877</v>
      </c>
      <c r="J111" s="12"/>
      <c r="K111" s="12"/>
    </row>
    <row r="112" spans="1:11" x14ac:dyDescent="0.2">
      <c r="A112" s="1" t="s">
        <v>4561</v>
      </c>
      <c r="B112" s="1" t="s">
        <v>4681</v>
      </c>
      <c r="C112" s="2" t="s">
        <v>934</v>
      </c>
      <c r="D112" s="2">
        <v>11</v>
      </c>
      <c r="E112" t="s">
        <v>787</v>
      </c>
      <c r="F112" s="2">
        <v>3346</v>
      </c>
      <c r="G112" s="2">
        <v>-1188</v>
      </c>
      <c r="H112" s="2">
        <v>57</v>
      </c>
      <c r="I112" s="18" t="s">
        <v>4878</v>
      </c>
      <c r="J112" s="12"/>
      <c r="K112" s="12"/>
    </row>
    <row r="113" spans="1:11" x14ac:dyDescent="0.2">
      <c r="A113" s="1" t="s">
        <v>4555</v>
      </c>
      <c r="B113" s="1" t="s">
        <v>4681</v>
      </c>
      <c r="C113" s="2" t="s">
        <v>934</v>
      </c>
      <c r="D113" s="2">
        <v>11</v>
      </c>
      <c r="E113" t="s">
        <v>787</v>
      </c>
      <c r="F113" s="2">
        <v>3730</v>
      </c>
      <c r="G113" s="2">
        <v>-2057</v>
      </c>
      <c r="H113" s="2">
        <v>189</v>
      </c>
      <c r="I113" s="18" t="s">
        <v>4879</v>
      </c>
      <c r="J113" s="12"/>
      <c r="K113" s="12"/>
    </row>
    <row r="114" spans="1:11" x14ac:dyDescent="0.2">
      <c r="A114" s="1" t="s">
        <v>4558</v>
      </c>
      <c r="B114" s="1" t="s">
        <v>4680</v>
      </c>
      <c r="C114" s="2" t="s">
        <v>934</v>
      </c>
      <c r="D114" s="2">
        <v>11</v>
      </c>
      <c r="E114" t="s">
        <v>787</v>
      </c>
      <c r="F114" s="2">
        <v>3527</v>
      </c>
      <c r="G114" s="2">
        <v>-1481</v>
      </c>
      <c r="H114" s="2">
        <v>167</v>
      </c>
      <c r="I114" s="18" t="s">
        <v>4880</v>
      </c>
      <c r="J114" s="12"/>
      <c r="K114" s="12"/>
    </row>
    <row r="115" spans="1:11" x14ac:dyDescent="0.2">
      <c r="A115" s="1" t="s">
        <v>4548</v>
      </c>
      <c r="B115" s="1" t="s">
        <v>4683</v>
      </c>
      <c r="C115" s="2" t="s">
        <v>934</v>
      </c>
      <c r="D115" s="2">
        <v>11</v>
      </c>
      <c r="E115" t="s">
        <v>787</v>
      </c>
      <c r="F115" s="2">
        <v>3469</v>
      </c>
      <c r="G115" s="2">
        <v>-2180</v>
      </c>
      <c r="H115" s="2">
        <v>148</v>
      </c>
      <c r="I115" s="18" t="s">
        <v>4881</v>
      </c>
      <c r="J115" s="12"/>
      <c r="K115" s="12"/>
    </row>
    <row r="116" spans="1:11" x14ac:dyDescent="0.2">
      <c r="A116" s="1" t="s">
        <v>4530</v>
      </c>
      <c r="B116" s="1" t="s">
        <v>4681</v>
      </c>
      <c r="C116" s="2" t="s">
        <v>945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8" t="s">
        <v>4882</v>
      </c>
      <c r="J116" s="12"/>
      <c r="K116" s="12"/>
    </row>
    <row r="117" spans="1:11" x14ac:dyDescent="0.2">
      <c r="A117" s="1" t="s">
        <v>4528</v>
      </c>
      <c r="B117" s="1" t="s">
        <v>4681</v>
      </c>
      <c r="C117" s="2" t="s">
        <v>945</v>
      </c>
      <c r="D117" s="2">
        <v>12</v>
      </c>
      <c r="E117" t="s">
        <v>787</v>
      </c>
      <c r="F117" s="2">
        <v>3094</v>
      </c>
      <c r="G117" s="2">
        <v>-3209</v>
      </c>
      <c r="H117" s="2">
        <v>81</v>
      </c>
      <c r="I117" s="18" t="s">
        <v>4883</v>
      </c>
      <c r="J117" s="12"/>
      <c r="K117" s="12"/>
    </row>
    <row r="118" spans="1:11" x14ac:dyDescent="0.2">
      <c r="A118" s="1" t="s">
        <v>4543</v>
      </c>
      <c r="B118" s="1" t="s">
        <v>4681</v>
      </c>
      <c r="C118" s="2" t="s">
        <v>945</v>
      </c>
      <c r="D118" s="2">
        <v>12</v>
      </c>
      <c r="E118" t="s">
        <v>787</v>
      </c>
      <c r="F118" s="2">
        <v>4632</v>
      </c>
      <c r="G118" s="2">
        <v>-3712</v>
      </c>
      <c r="H118" s="2">
        <v>18</v>
      </c>
      <c r="I118" s="18" t="s">
        <v>4884</v>
      </c>
      <c r="J118" s="12"/>
      <c r="K118" s="12"/>
    </row>
    <row r="119" spans="1:11" x14ac:dyDescent="0.2">
      <c r="A119" s="1" t="s">
        <v>4525</v>
      </c>
      <c r="B119" s="1" t="s">
        <v>4680</v>
      </c>
      <c r="C119" s="2" t="s">
        <v>945</v>
      </c>
      <c r="D119" s="2">
        <v>12</v>
      </c>
      <c r="E119" t="s">
        <v>787</v>
      </c>
      <c r="F119" s="2">
        <v>2826</v>
      </c>
      <c r="G119" s="2">
        <v>-3271</v>
      </c>
      <c r="H119" s="2">
        <v>78</v>
      </c>
      <c r="I119" s="18" t="s">
        <v>4885</v>
      </c>
      <c r="J119" s="12"/>
      <c r="K119" s="12"/>
    </row>
    <row r="120" spans="1:11" x14ac:dyDescent="0.2">
      <c r="A120" s="1" t="s">
        <v>4529</v>
      </c>
      <c r="B120" s="1" t="s">
        <v>4681</v>
      </c>
      <c r="C120" s="2" t="s">
        <v>945</v>
      </c>
      <c r="D120" s="2">
        <v>12</v>
      </c>
      <c r="E120" t="s">
        <v>787</v>
      </c>
      <c r="F120" s="2">
        <v>2304</v>
      </c>
      <c r="G120" s="2">
        <v>-2377</v>
      </c>
      <c r="H120" s="2">
        <v>-28</v>
      </c>
      <c r="I120" s="18" t="s">
        <v>4886</v>
      </c>
      <c r="J120" s="12"/>
      <c r="K120" s="12"/>
    </row>
    <row r="121" spans="1:11" x14ac:dyDescent="0.2">
      <c r="A121" s="1" t="s">
        <v>4518</v>
      </c>
      <c r="B121" s="1" t="s">
        <v>4683</v>
      </c>
      <c r="C121" s="2" t="s">
        <v>864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8" t="s">
        <v>4887</v>
      </c>
      <c r="J121" s="12"/>
      <c r="K121" s="12"/>
    </row>
    <row r="122" spans="1:11" x14ac:dyDescent="0.2">
      <c r="A122" s="1" t="s">
        <v>4497</v>
      </c>
      <c r="B122" s="1" t="s">
        <v>4681</v>
      </c>
      <c r="C122" s="2" t="s">
        <v>864</v>
      </c>
      <c r="D122" s="2">
        <v>13</v>
      </c>
      <c r="E122" t="s">
        <v>783</v>
      </c>
      <c r="F122" s="2">
        <v>1516</v>
      </c>
      <c r="G122" s="2">
        <v>-3576</v>
      </c>
      <c r="H122" s="2">
        <v>428</v>
      </c>
      <c r="I122" s="18" t="s">
        <v>4888</v>
      </c>
      <c r="J122" s="12"/>
      <c r="K122" s="12"/>
    </row>
    <row r="123" spans="1:11" x14ac:dyDescent="0.2">
      <c r="A123" s="1" t="s">
        <v>4492</v>
      </c>
      <c r="B123" s="1" t="s">
        <v>4683</v>
      </c>
      <c r="C123" s="2" t="s">
        <v>864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8" t="s">
        <v>4889</v>
      </c>
      <c r="J123" s="12"/>
      <c r="K123" s="12"/>
    </row>
    <row r="124" spans="1:11" x14ac:dyDescent="0.2">
      <c r="A124" s="1" t="s">
        <v>4515</v>
      </c>
      <c r="B124" s="1" t="s">
        <v>4683</v>
      </c>
      <c r="C124" s="2" t="s">
        <v>864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8" t="s">
        <v>4890</v>
      </c>
      <c r="J124" s="12"/>
      <c r="K124" s="12"/>
    </row>
    <row r="125" spans="1:11" x14ac:dyDescent="0.2">
      <c r="A125" s="1" t="s">
        <v>4490</v>
      </c>
      <c r="B125" s="1" t="s">
        <v>4681</v>
      </c>
      <c r="C125" s="2" t="s">
        <v>864</v>
      </c>
      <c r="D125" s="2">
        <v>13</v>
      </c>
      <c r="E125" t="s">
        <v>787</v>
      </c>
      <c r="F125" s="2">
        <v>104</v>
      </c>
      <c r="G125" s="2">
        <v>-2517</v>
      </c>
      <c r="H125" s="2">
        <v>88</v>
      </c>
      <c r="I125" s="18" t="s">
        <v>4891</v>
      </c>
      <c r="J125" s="12"/>
      <c r="K125" s="12"/>
    </row>
    <row r="126" spans="1:11" x14ac:dyDescent="0.2">
      <c r="A126" s="1" t="s">
        <v>4475</v>
      </c>
      <c r="B126" s="1" t="s">
        <v>4681</v>
      </c>
      <c r="C126" s="2" t="s">
        <v>864</v>
      </c>
      <c r="D126" s="2">
        <v>13</v>
      </c>
      <c r="E126" t="s">
        <v>787</v>
      </c>
      <c r="F126" s="2">
        <v>-562</v>
      </c>
      <c r="G126" s="2">
        <v>-3524</v>
      </c>
      <c r="H126" s="2">
        <v>129</v>
      </c>
      <c r="I126" s="18" t="s">
        <v>4892</v>
      </c>
      <c r="J126" s="12"/>
      <c r="K126" s="12"/>
    </row>
    <row r="127" spans="1:11" x14ac:dyDescent="0.2">
      <c r="A127" s="1" t="s">
        <v>4507</v>
      </c>
      <c r="B127" s="1" t="s">
        <v>4683</v>
      </c>
      <c r="C127" s="2" t="s">
        <v>864</v>
      </c>
      <c r="D127" s="2">
        <v>13</v>
      </c>
      <c r="E127" t="s">
        <v>787</v>
      </c>
      <c r="F127" s="2">
        <v>867</v>
      </c>
      <c r="G127" s="2">
        <v>-2280</v>
      </c>
      <c r="H127" s="2">
        <v>141</v>
      </c>
      <c r="I127" s="18" t="s">
        <v>4893</v>
      </c>
      <c r="J127" s="12"/>
      <c r="K127" s="12"/>
    </row>
    <row r="128" spans="1:11" x14ac:dyDescent="0.2">
      <c r="A128" s="1" t="s">
        <v>4513</v>
      </c>
      <c r="B128" s="1" t="s">
        <v>4681</v>
      </c>
      <c r="C128" s="2" t="s">
        <v>864</v>
      </c>
      <c r="D128" s="2">
        <v>13</v>
      </c>
      <c r="E128" t="s">
        <v>787</v>
      </c>
      <c r="F128" s="2">
        <v>931</v>
      </c>
      <c r="G128" s="2">
        <v>-1902</v>
      </c>
      <c r="H128" s="2">
        <v>29</v>
      </c>
      <c r="I128" s="18" t="s">
        <v>4894</v>
      </c>
      <c r="J128" s="12"/>
      <c r="K128" s="12"/>
    </row>
    <row r="129" spans="1:11" x14ac:dyDescent="0.2">
      <c r="A129" s="1" t="s">
        <v>4496</v>
      </c>
      <c r="B129" s="1" t="s">
        <v>4683</v>
      </c>
      <c r="C129" s="2" t="s">
        <v>864</v>
      </c>
      <c r="D129" s="2">
        <v>13</v>
      </c>
      <c r="E129" t="s">
        <v>787</v>
      </c>
      <c r="F129" s="2">
        <v>1516</v>
      </c>
      <c r="G129" s="2">
        <v>-3576</v>
      </c>
      <c r="H129" s="2">
        <v>142</v>
      </c>
      <c r="I129" s="18" t="s">
        <v>4895</v>
      </c>
      <c r="J129" s="12"/>
      <c r="K129" s="12"/>
    </row>
    <row r="130" spans="1:11" x14ac:dyDescent="0.2">
      <c r="A130" s="1" t="s">
        <v>4500</v>
      </c>
      <c r="B130" s="1" t="s">
        <v>4681</v>
      </c>
      <c r="C130" s="2" t="s">
        <v>864</v>
      </c>
      <c r="D130" s="2">
        <v>13</v>
      </c>
      <c r="E130" t="s">
        <v>787</v>
      </c>
      <c r="F130" s="2">
        <v>348</v>
      </c>
      <c r="G130" s="2">
        <v>-2050</v>
      </c>
      <c r="H130" s="2">
        <v>-26</v>
      </c>
      <c r="I130" s="18" t="s">
        <v>4896</v>
      </c>
      <c r="J130" s="12"/>
      <c r="K130" s="12"/>
    </row>
    <row r="131" spans="1:11" x14ac:dyDescent="0.2">
      <c r="A131" s="1" t="s">
        <v>4509</v>
      </c>
      <c r="B131" s="1" t="s">
        <v>4681</v>
      </c>
      <c r="C131" s="2" t="s">
        <v>864</v>
      </c>
      <c r="D131" s="2">
        <v>13</v>
      </c>
      <c r="E131" t="s">
        <v>787</v>
      </c>
      <c r="F131" s="2">
        <v>1217</v>
      </c>
      <c r="G131" s="2">
        <v>-2542</v>
      </c>
      <c r="H131" s="2">
        <v>96</v>
      </c>
      <c r="I131" s="18" t="s">
        <v>4897</v>
      </c>
      <c r="J131" s="12"/>
      <c r="K131" s="12"/>
    </row>
    <row r="132" spans="1:11" x14ac:dyDescent="0.2">
      <c r="A132" s="1" t="s">
        <v>4488</v>
      </c>
      <c r="B132" s="1" t="s">
        <v>4683</v>
      </c>
      <c r="C132" s="2" t="s">
        <v>864</v>
      </c>
      <c r="D132" s="2">
        <v>13</v>
      </c>
      <c r="E132" t="s">
        <v>787</v>
      </c>
      <c r="F132" s="2">
        <v>669</v>
      </c>
      <c r="G132" s="2">
        <v>-3358</v>
      </c>
      <c r="H132" s="2">
        <v>72</v>
      </c>
      <c r="I132" s="18" t="s">
        <v>4898</v>
      </c>
      <c r="J132" s="12"/>
      <c r="K132" s="12"/>
    </row>
    <row r="133" spans="1:11" x14ac:dyDescent="0.2">
      <c r="A133" s="1" t="s">
        <v>4479</v>
      </c>
      <c r="B133" s="1" t="s">
        <v>4683</v>
      </c>
      <c r="C133" s="2" t="s">
        <v>879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8" t="s">
        <v>4899</v>
      </c>
      <c r="J133" s="12"/>
      <c r="K133" s="12"/>
    </row>
    <row r="134" spans="1:11" x14ac:dyDescent="0.2">
      <c r="A134" s="1" t="s">
        <v>4470</v>
      </c>
      <c r="B134" s="1" t="s">
        <v>4681</v>
      </c>
      <c r="C134" s="2" t="s">
        <v>879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8" t="s">
        <v>4900</v>
      </c>
      <c r="J134" s="12"/>
      <c r="K134" s="12"/>
    </row>
    <row r="135" spans="1:11" x14ac:dyDescent="0.2">
      <c r="A135" s="1" t="s">
        <v>4465</v>
      </c>
      <c r="B135" s="1" t="s">
        <v>4681</v>
      </c>
      <c r="C135" s="2" t="s">
        <v>879</v>
      </c>
      <c r="D135" s="2">
        <v>14</v>
      </c>
      <c r="E135" t="s">
        <v>787</v>
      </c>
      <c r="F135" s="2">
        <v>-3211</v>
      </c>
      <c r="G135" s="2">
        <v>-3007</v>
      </c>
      <c r="H135" s="2">
        <v>-49</v>
      </c>
      <c r="I135" s="18" t="s">
        <v>4901</v>
      </c>
      <c r="J135" s="12"/>
      <c r="K135" s="12"/>
    </row>
    <row r="136" spans="1:11" x14ac:dyDescent="0.2">
      <c r="A136" s="1" t="s">
        <v>4460</v>
      </c>
      <c r="B136" s="1" t="s">
        <v>4681</v>
      </c>
      <c r="C136" s="2" t="s">
        <v>879</v>
      </c>
      <c r="D136" s="2">
        <v>14</v>
      </c>
      <c r="E136" t="s">
        <v>787</v>
      </c>
      <c r="F136" s="2">
        <v>-4159</v>
      </c>
      <c r="G136" s="2">
        <v>-3824</v>
      </c>
      <c r="H136" s="2">
        <v>28</v>
      </c>
      <c r="I136" s="18" t="s">
        <v>4902</v>
      </c>
      <c r="J136" s="12"/>
      <c r="K136" s="12"/>
    </row>
    <row r="137" spans="1:11" x14ac:dyDescent="0.2">
      <c r="A137" s="1" t="s">
        <v>4462</v>
      </c>
      <c r="B137" s="1" t="s">
        <v>4683</v>
      </c>
      <c r="C137" s="2" t="s">
        <v>879</v>
      </c>
      <c r="D137" s="2">
        <v>14</v>
      </c>
      <c r="E137" t="s">
        <v>787</v>
      </c>
      <c r="F137" s="2">
        <v>-3726</v>
      </c>
      <c r="G137" s="2">
        <v>-3625</v>
      </c>
      <c r="H137" s="2">
        <v>43</v>
      </c>
      <c r="I137" s="18" t="s">
        <v>4903</v>
      </c>
      <c r="J137" s="12"/>
      <c r="K137" s="12"/>
    </row>
    <row r="138" spans="1:11" x14ac:dyDescent="0.2">
      <c r="A138" s="1" t="s">
        <v>4473</v>
      </c>
      <c r="B138" s="1" t="s">
        <v>4683</v>
      </c>
      <c r="C138" s="2" t="s">
        <v>879</v>
      </c>
      <c r="D138" s="2">
        <v>14</v>
      </c>
      <c r="E138" t="s">
        <v>787</v>
      </c>
      <c r="F138" s="2">
        <v>-1529</v>
      </c>
      <c r="G138" s="2">
        <v>-2928</v>
      </c>
      <c r="H138" s="2">
        <v>321</v>
      </c>
      <c r="I138" s="18" t="s">
        <v>4904</v>
      </c>
      <c r="J138" s="12"/>
      <c r="K138" s="12"/>
    </row>
    <row r="139" spans="1:11" x14ac:dyDescent="0.2">
      <c r="A139" s="1" t="s">
        <v>4464</v>
      </c>
      <c r="B139" s="1" t="s">
        <v>4683</v>
      </c>
      <c r="C139" s="2" t="s">
        <v>879</v>
      </c>
      <c r="D139" s="2">
        <v>14</v>
      </c>
      <c r="E139" t="s">
        <v>787</v>
      </c>
      <c r="F139" s="2">
        <v>-4168</v>
      </c>
      <c r="G139" s="2">
        <v>-2144</v>
      </c>
      <c r="H139" s="2">
        <v>50</v>
      </c>
      <c r="I139" s="18" t="s">
        <v>4905</v>
      </c>
      <c r="J139" s="12"/>
      <c r="K139" s="12"/>
    </row>
    <row r="140" spans="1:11" x14ac:dyDescent="0.2">
      <c r="A140" s="1" t="s">
        <v>4467</v>
      </c>
      <c r="B140" s="1" t="s">
        <v>4683</v>
      </c>
      <c r="C140" s="2" t="s">
        <v>879</v>
      </c>
      <c r="D140" s="2">
        <v>14</v>
      </c>
      <c r="E140" t="s">
        <v>787</v>
      </c>
      <c r="F140" s="2">
        <v>-3292</v>
      </c>
      <c r="G140" s="2">
        <v>-2509</v>
      </c>
      <c r="H140" s="2">
        <v>23</v>
      </c>
      <c r="I140" s="18" t="s">
        <v>4906</v>
      </c>
      <c r="J140" s="12"/>
      <c r="K140" s="12"/>
    </row>
    <row r="141" spans="1:11" x14ac:dyDescent="0.2">
      <c r="A141" s="1" t="s">
        <v>4461</v>
      </c>
      <c r="B141" s="1" t="s">
        <v>4680</v>
      </c>
      <c r="C141" s="2" t="s">
        <v>879</v>
      </c>
      <c r="D141" s="2">
        <v>14</v>
      </c>
      <c r="E141" t="s">
        <v>787</v>
      </c>
      <c r="F141" s="2">
        <v>-4679</v>
      </c>
      <c r="G141" s="2">
        <v>-3086</v>
      </c>
      <c r="H141" s="2">
        <v>56</v>
      </c>
      <c r="I141" s="18" t="s">
        <v>4907</v>
      </c>
      <c r="J141" s="12"/>
      <c r="K141" s="12"/>
    </row>
    <row r="142" spans="1:11" x14ac:dyDescent="0.2">
      <c r="A142" s="1" t="s">
        <v>4501</v>
      </c>
      <c r="B142" s="1" t="s">
        <v>4681</v>
      </c>
      <c r="C142" s="2" t="s">
        <v>879</v>
      </c>
      <c r="D142" s="2">
        <v>14</v>
      </c>
      <c r="E142" t="s">
        <v>787</v>
      </c>
      <c r="F142" s="2">
        <v>-1795</v>
      </c>
      <c r="G142" s="2">
        <v>-3485</v>
      </c>
      <c r="H142" s="2">
        <v>45</v>
      </c>
      <c r="I142" s="18" t="s">
        <v>4908</v>
      </c>
      <c r="J142" s="12"/>
      <c r="K142" s="12"/>
    </row>
    <row r="143" spans="1:11" x14ac:dyDescent="0.2">
      <c r="A143" s="1" t="s">
        <v>4477</v>
      </c>
      <c r="B143" s="1" t="s">
        <v>4681</v>
      </c>
      <c r="C143" s="2" t="s">
        <v>879</v>
      </c>
      <c r="D143" s="2">
        <v>14</v>
      </c>
      <c r="E143" t="s">
        <v>787</v>
      </c>
      <c r="F143" s="2">
        <v>-2031</v>
      </c>
      <c r="G143" s="2">
        <v>-1847</v>
      </c>
      <c r="H143" s="2">
        <v>64</v>
      </c>
      <c r="I143" s="18" t="s">
        <v>4909</v>
      </c>
      <c r="J143" s="12"/>
      <c r="K143" s="12"/>
    </row>
    <row r="144" spans="1:11" x14ac:dyDescent="0.2">
      <c r="A144" s="1" t="s">
        <v>4468</v>
      </c>
      <c r="B144" s="1" t="s">
        <v>4683</v>
      </c>
      <c r="C144" s="2" t="s">
        <v>879</v>
      </c>
      <c r="D144" s="2">
        <v>14</v>
      </c>
      <c r="E144" t="s">
        <v>787</v>
      </c>
      <c r="F144" s="2">
        <v>-2445</v>
      </c>
      <c r="G144" s="2">
        <v>-3345</v>
      </c>
      <c r="H144" s="2">
        <v>41</v>
      </c>
      <c r="I144" s="18" t="s">
        <v>4910</v>
      </c>
      <c r="J144" s="12"/>
      <c r="K144" s="12"/>
    </row>
    <row r="145" spans="1:11" x14ac:dyDescent="0.2">
      <c r="A145" s="1" t="s">
        <v>4463</v>
      </c>
      <c r="B145" s="1" t="s">
        <v>4683</v>
      </c>
      <c r="C145" s="2" t="s">
        <v>879</v>
      </c>
      <c r="D145" s="2">
        <v>14</v>
      </c>
      <c r="E145" t="s">
        <v>787</v>
      </c>
      <c r="F145" s="2">
        <v>-3883</v>
      </c>
      <c r="G145" s="2">
        <v>-2964</v>
      </c>
      <c r="H145" s="2">
        <v>125</v>
      </c>
      <c r="I145" s="18" t="s">
        <v>4911</v>
      </c>
      <c r="J145" s="12"/>
      <c r="K145" s="12"/>
    </row>
    <row r="146" spans="1:11" x14ac:dyDescent="0.2">
      <c r="A146" s="1" t="s">
        <v>4471</v>
      </c>
      <c r="B146" s="1" t="s">
        <v>4683</v>
      </c>
      <c r="C146" s="2" t="s">
        <v>879</v>
      </c>
      <c r="D146" s="2">
        <v>14</v>
      </c>
      <c r="E146" t="s">
        <v>787</v>
      </c>
      <c r="F146" s="2">
        <v>-2658</v>
      </c>
      <c r="G146" s="2">
        <v>-2236</v>
      </c>
      <c r="H146" s="2">
        <v>67</v>
      </c>
      <c r="I146" s="18" t="s">
        <v>4912</v>
      </c>
      <c r="J146" s="12"/>
      <c r="K146" s="12"/>
    </row>
    <row r="147" spans="1:11" x14ac:dyDescent="0.2">
      <c r="A147" s="1" t="s">
        <v>4478</v>
      </c>
      <c r="B147" s="1" t="s">
        <v>4681</v>
      </c>
      <c r="C147" s="2" t="s">
        <v>876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8" t="s">
        <v>4913</v>
      </c>
      <c r="J147" s="12"/>
      <c r="K147" s="12"/>
    </row>
    <row r="148" spans="1:11" x14ac:dyDescent="0.2">
      <c r="A148" s="1" t="s">
        <v>4476</v>
      </c>
      <c r="B148" s="1" t="s">
        <v>4683</v>
      </c>
      <c r="C148" s="2" t="s">
        <v>876</v>
      </c>
      <c r="D148" s="2">
        <v>15</v>
      </c>
      <c r="E148" t="s">
        <v>787</v>
      </c>
      <c r="F148" s="2">
        <v>-4152</v>
      </c>
      <c r="G148" s="2">
        <v>98</v>
      </c>
      <c r="H148" s="2">
        <v>40</v>
      </c>
      <c r="I148" s="18" t="s">
        <v>4914</v>
      </c>
      <c r="J148" s="12"/>
      <c r="K148" s="12"/>
    </row>
    <row r="149" spans="1:11" x14ac:dyDescent="0.2">
      <c r="A149" s="1" t="s">
        <v>4466</v>
      </c>
      <c r="B149" s="1" t="s">
        <v>4683</v>
      </c>
      <c r="C149" s="2" t="s">
        <v>876</v>
      </c>
      <c r="D149" s="2">
        <v>15</v>
      </c>
      <c r="E149" t="s">
        <v>787</v>
      </c>
      <c r="F149" s="2">
        <v>-4637</v>
      </c>
      <c r="G149" s="2">
        <v>-1514</v>
      </c>
      <c r="H149" s="2">
        <v>452</v>
      </c>
      <c r="I149" s="18" t="s">
        <v>4915</v>
      </c>
      <c r="J149" s="12"/>
      <c r="K149" s="12"/>
    </row>
    <row r="150" spans="1:11" x14ac:dyDescent="0.2">
      <c r="A150" s="1" t="s">
        <v>4469</v>
      </c>
      <c r="B150" s="1" t="s">
        <v>4681</v>
      </c>
      <c r="C150" s="2" t="s">
        <v>876</v>
      </c>
      <c r="D150" s="2">
        <v>15</v>
      </c>
      <c r="E150" t="s">
        <v>787</v>
      </c>
      <c r="F150" s="2">
        <v>-4468</v>
      </c>
      <c r="G150" s="2">
        <v>-670</v>
      </c>
      <c r="H150" s="2">
        <v>509</v>
      </c>
      <c r="I150" s="18" t="s">
        <v>4916</v>
      </c>
      <c r="J150" s="12"/>
      <c r="K150" s="12"/>
    </row>
    <row r="151" spans="1:11" x14ac:dyDescent="0.2">
      <c r="A151" s="1" t="s">
        <v>4472</v>
      </c>
      <c r="B151" s="1" t="s">
        <v>4683</v>
      </c>
      <c r="C151" s="2" t="s">
        <v>876</v>
      </c>
      <c r="D151" s="2">
        <v>15</v>
      </c>
      <c r="E151" t="s">
        <v>787</v>
      </c>
      <c r="F151" s="2">
        <v>-3407</v>
      </c>
      <c r="G151" s="2">
        <v>-1362</v>
      </c>
      <c r="H151" s="2">
        <v>35</v>
      </c>
      <c r="I151" s="18" t="s">
        <v>4917</v>
      </c>
      <c r="J151" s="12"/>
      <c r="K151" s="12"/>
    </row>
    <row r="152" spans="1:11" x14ac:dyDescent="0.2">
      <c r="A152" s="1" t="s">
        <v>4474</v>
      </c>
      <c r="B152" s="1" t="s">
        <v>4681</v>
      </c>
      <c r="C152" s="2" t="s">
        <v>876</v>
      </c>
      <c r="D152" s="2">
        <v>15</v>
      </c>
      <c r="E152" t="s">
        <v>787</v>
      </c>
      <c r="F152" s="2">
        <v>-2523</v>
      </c>
      <c r="G152" s="2">
        <v>-1770</v>
      </c>
      <c r="H152" s="2">
        <v>132</v>
      </c>
      <c r="I152" s="18" t="s">
        <v>4918</v>
      </c>
      <c r="J152" s="12"/>
      <c r="K152" s="12"/>
    </row>
    <row r="153" spans="1:11" x14ac:dyDescent="0.2">
      <c r="A153" s="1" t="s">
        <v>4480</v>
      </c>
      <c r="B153" s="1" t="s">
        <v>4683</v>
      </c>
      <c r="C153" s="2" t="s">
        <v>876</v>
      </c>
      <c r="D153" s="2">
        <v>15</v>
      </c>
      <c r="E153" t="s">
        <v>787</v>
      </c>
      <c r="F153" s="2">
        <v>-3496</v>
      </c>
      <c r="G153" s="2">
        <v>-197</v>
      </c>
      <c r="H153" s="2">
        <v>66</v>
      </c>
      <c r="I153" s="18" t="s">
        <v>4919</v>
      </c>
      <c r="J153" s="12"/>
      <c r="K153" s="12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dimension ref="A1:I198"/>
  <sheetViews>
    <sheetView workbookViewId="0">
      <selection activeCell="I3" sqref="I3:I198"/>
    </sheetView>
  </sheetViews>
  <sheetFormatPr baseColWidth="10" defaultRowHeight="16" x14ac:dyDescent="0.2"/>
  <cols>
    <col min="1" max="1" width="29.1640625" bestFit="1" customWidth="1"/>
    <col min="2" max="2" width="18" bestFit="1" customWidth="1"/>
    <col min="5" max="5" width="12.83203125" bestFit="1" customWidth="1"/>
    <col min="8" max="8" width="7.164062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4673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4678</v>
      </c>
      <c r="I1" s="6" t="s">
        <v>4674</v>
      </c>
    </row>
    <row r="2" spans="1:9" x14ac:dyDescent="0.2">
      <c r="A2" t="s">
        <v>1091</v>
      </c>
      <c r="B2" t="s">
        <v>1922</v>
      </c>
      <c r="C2">
        <v>8</v>
      </c>
      <c r="D2" t="s">
        <v>787</v>
      </c>
      <c r="E2" s="2">
        <v>3243</v>
      </c>
      <c r="F2" s="2">
        <v>1456</v>
      </c>
      <c r="G2" s="2">
        <v>294</v>
      </c>
      <c r="I2" t="str">
        <f>"{ name: "&amp;CHAR(34)&amp;A2&amp;CHAR(34)&amp;", landmark: "&amp;CHAR(34)&amp;"Cave"&amp;CHAR(34)&amp;", type: "&amp;CHAR(34)&amp;""&amp;CHAR(34)&amp;", region: "&amp;C2&amp;", level: "&amp;CHAR(34)&amp;D2&amp;CHAR(34)&amp;", x: "&amp;E2&amp;", y: "&amp;F2&amp;", z: "&amp;G2&amp;", details: "&amp;CHAR(34)&amp;H2&amp;CHAR(34)&amp;" },"</f>
        <v>{ name: "Akkala Citadel Ruins Cave", landmark: "Cave", type: "", region: 8, level: "Surface", x: 3243, y: 1456, z: 294, details: "" },</v>
      </c>
    </row>
    <row r="3" spans="1:9" x14ac:dyDescent="0.2">
      <c r="A3" t="s">
        <v>1093</v>
      </c>
      <c r="B3" t="s">
        <v>1922</v>
      </c>
      <c r="C3">
        <v>8</v>
      </c>
      <c r="D3" t="s">
        <v>787</v>
      </c>
      <c r="E3" s="2">
        <v>3292</v>
      </c>
      <c r="F3" s="2">
        <v>1492</v>
      </c>
      <c r="G3" s="2">
        <v>394</v>
      </c>
      <c r="I3" t="s">
        <v>4920</v>
      </c>
    </row>
    <row r="4" spans="1:9" x14ac:dyDescent="0.2">
      <c r="A4" t="s">
        <v>4684</v>
      </c>
      <c r="B4" s="20" t="s">
        <v>879</v>
      </c>
      <c r="C4" s="20">
        <v>14</v>
      </c>
      <c r="D4" t="s">
        <v>787</v>
      </c>
      <c r="E4" s="2">
        <v>-2584</v>
      </c>
      <c r="F4" s="2">
        <v>-3638</v>
      </c>
      <c r="G4" s="2">
        <v>-47</v>
      </c>
      <c r="I4" t="s">
        <v>4921</v>
      </c>
    </row>
    <row r="5" spans="1:9" x14ac:dyDescent="0.2">
      <c r="A5" t="s">
        <v>4685</v>
      </c>
      <c r="B5" s="20" t="s">
        <v>879</v>
      </c>
      <c r="C5" s="20">
        <v>14</v>
      </c>
      <c r="D5" t="s">
        <v>787</v>
      </c>
      <c r="E5" s="2">
        <v>-2535</v>
      </c>
      <c r="F5" s="2">
        <v>-3626</v>
      </c>
      <c r="G5" s="2">
        <v>-48</v>
      </c>
      <c r="I5" t="s">
        <v>4922</v>
      </c>
    </row>
    <row r="6" spans="1:9" x14ac:dyDescent="0.2">
      <c r="A6" t="s">
        <v>4686</v>
      </c>
      <c r="B6" s="20" t="s">
        <v>879</v>
      </c>
      <c r="C6" s="20">
        <v>14</v>
      </c>
      <c r="D6" t="s">
        <v>787</v>
      </c>
      <c r="E6" s="2">
        <v>-2480</v>
      </c>
      <c r="F6" s="2">
        <v>-3632</v>
      </c>
      <c r="G6" s="2">
        <v>-46</v>
      </c>
      <c r="I6" t="s">
        <v>4923</v>
      </c>
    </row>
    <row r="7" spans="1:9" x14ac:dyDescent="0.2">
      <c r="A7" t="s">
        <v>4687</v>
      </c>
      <c r="B7" s="20" t="s">
        <v>879</v>
      </c>
      <c r="C7" s="20">
        <v>14</v>
      </c>
      <c r="D7" t="s">
        <v>787</v>
      </c>
      <c r="E7" s="2">
        <v>-2604</v>
      </c>
      <c r="F7" s="2">
        <v>-3709</v>
      </c>
      <c r="G7" s="2">
        <v>-49</v>
      </c>
      <c r="I7" t="s">
        <v>4924</v>
      </c>
    </row>
    <row r="8" spans="1:9" x14ac:dyDescent="0.2">
      <c r="A8" t="s">
        <v>4688</v>
      </c>
      <c r="B8" s="20" t="s">
        <v>879</v>
      </c>
      <c r="C8" s="20">
        <v>14</v>
      </c>
      <c r="D8" t="s">
        <v>787</v>
      </c>
      <c r="E8" s="2">
        <v>-2564</v>
      </c>
      <c r="F8" s="2">
        <v>-3681</v>
      </c>
      <c r="G8" s="2">
        <v>-48</v>
      </c>
      <c r="I8" t="s">
        <v>4925</v>
      </c>
    </row>
    <row r="9" spans="1:9" x14ac:dyDescent="0.2">
      <c r="A9" t="s">
        <v>4689</v>
      </c>
      <c r="B9" s="20" t="s">
        <v>879</v>
      </c>
      <c r="C9" s="20">
        <v>14</v>
      </c>
      <c r="D9" t="s">
        <v>787</v>
      </c>
      <c r="E9" s="2">
        <v>-2518</v>
      </c>
      <c r="F9" s="2">
        <v>-3671</v>
      </c>
      <c r="G9" s="2">
        <v>-47</v>
      </c>
      <c r="I9" t="s">
        <v>4926</v>
      </c>
    </row>
    <row r="10" spans="1:9" x14ac:dyDescent="0.2">
      <c r="A10" t="s">
        <v>4690</v>
      </c>
      <c r="B10" s="20" t="s">
        <v>879</v>
      </c>
      <c r="C10" s="20">
        <v>14</v>
      </c>
      <c r="D10" t="s">
        <v>787</v>
      </c>
      <c r="E10" s="2">
        <v>-2451</v>
      </c>
      <c r="F10" s="2">
        <v>-3676</v>
      </c>
      <c r="G10" s="2">
        <v>-46</v>
      </c>
      <c r="I10" t="s">
        <v>4927</v>
      </c>
    </row>
    <row r="11" spans="1:9" x14ac:dyDescent="0.2">
      <c r="A11" t="s">
        <v>4691</v>
      </c>
      <c r="B11" s="20" t="s">
        <v>879</v>
      </c>
      <c r="C11" s="20">
        <v>14</v>
      </c>
      <c r="D11" t="s">
        <v>787</v>
      </c>
      <c r="E11" s="2">
        <v>-2570</v>
      </c>
      <c r="F11" s="2">
        <v>-3744</v>
      </c>
      <c r="G11" s="2">
        <v>-51</v>
      </c>
      <c r="I11" t="s">
        <v>4928</v>
      </c>
    </row>
    <row r="12" spans="1:9" x14ac:dyDescent="0.2">
      <c r="A12" t="s">
        <v>4692</v>
      </c>
      <c r="B12" s="20" t="s">
        <v>879</v>
      </c>
      <c r="C12" s="20">
        <v>14</v>
      </c>
      <c r="D12" t="s">
        <v>787</v>
      </c>
      <c r="E12" s="2">
        <v>-2521</v>
      </c>
      <c r="F12" s="2">
        <v>-3724</v>
      </c>
      <c r="G12" s="2">
        <v>-47</v>
      </c>
      <c r="I12" t="s">
        <v>4929</v>
      </c>
    </row>
    <row r="13" spans="1:9" x14ac:dyDescent="0.2">
      <c r="A13" t="s">
        <v>4693</v>
      </c>
      <c r="B13" s="20" t="s">
        <v>879</v>
      </c>
      <c r="C13" s="20">
        <v>14</v>
      </c>
      <c r="D13" t="s">
        <v>787</v>
      </c>
      <c r="E13" s="2">
        <v>-2477</v>
      </c>
      <c r="F13" s="2">
        <v>-3709</v>
      </c>
      <c r="G13" s="2">
        <v>-47</v>
      </c>
      <c r="I13" t="s">
        <v>4930</v>
      </c>
    </row>
    <row r="14" spans="1:9" x14ac:dyDescent="0.2">
      <c r="A14" t="s">
        <v>4694</v>
      </c>
      <c r="B14" s="20" t="s">
        <v>879</v>
      </c>
      <c r="C14" s="20">
        <v>14</v>
      </c>
      <c r="D14" t="s">
        <v>787</v>
      </c>
      <c r="E14" s="2">
        <v>-2530</v>
      </c>
      <c r="F14" s="2">
        <v>-3769</v>
      </c>
      <c r="G14" s="2">
        <v>-46</v>
      </c>
      <c r="I14" t="s">
        <v>4931</v>
      </c>
    </row>
    <row r="15" spans="1:9" x14ac:dyDescent="0.2">
      <c r="A15" t="s">
        <v>4695</v>
      </c>
      <c r="B15" s="20" t="s">
        <v>879</v>
      </c>
      <c r="C15" s="20">
        <v>14</v>
      </c>
      <c r="D15" t="s">
        <v>787</v>
      </c>
      <c r="E15" s="2">
        <v>-2480</v>
      </c>
      <c r="F15" s="2">
        <v>-3758</v>
      </c>
      <c r="G15" s="2">
        <v>-46</v>
      </c>
      <c r="I15" t="s">
        <v>4932</v>
      </c>
    </row>
    <row r="16" spans="1:9" x14ac:dyDescent="0.2">
      <c r="A16" t="s">
        <v>1095</v>
      </c>
      <c r="B16" t="s">
        <v>801</v>
      </c>
      <c r="C16">
        <v>3</v>
      </c>
      <c r="D16" t="s">
        <v>787</v>
      </c>
      <c r="E16" s="2">
        <v>-3465</v>
      </c>
      <c r="F16" s="2">
        <v>449</v>
      </c>
      <c r="G16" s="2">
        <v>254</v>
      </c>
      <c r="I16" t="s">
        <v>4933</v>
      </c>
    </row>
    <row r="17" spans="1:9" x14ac:dyDescent="0.2">
      <c r="A17" t="s">
        <v>1096</v>
      </c>
      <c r="B17" s="20" t="s">
        <v>879</v>
      </c>
      <c r="C17" s="20">
        <v>14</v>
      </c>
      <c r="D17" t="s">
        <v>787</v>
      </c>
      <c r="E17" s="2">
        <v>-3099</v>
      </c>
      <c r="F17" s="2">
        <v>-3063</v>
      </c>
      <c r="G17" s="2">
        <v>-51</v>
      </c>
      <c r="I17" t="s">
        <v>4934</v>
      </c>
    </row>
    <row r="18" spans="1:9" x14ac:dyDescent="0.2">
      <c r="A18" t="s">
        <v>1097</v>
      </c>
      <c r="B18" t="s">
        <v>4633</v>
      </c>
      <c r="C18">
        <v>1</v>
      </c>
      <c r="D18" t="s">
        <v>787</v>
      </c>
      <c r="E18" s="2">
        <v>-1111</v>
      </c>
      <c r="F18" s="2">
        <v>-432</v>
      </c>
      <c r="G18" s="2">
        <v>22</v>
      </c>
      <c r="I18" t="s">
        <v>4935</v>
      </c>
    </row>
    <row r="19" spans="1:9" x14ac:dyDescent="0.2">
      <c r="A19" t="s">
        <v>1098</v>
      </c>
      <c r="B19" t="s">
        <v>922</v>
      </c>
      <c r="C19">
        <v>9</v>
      </c>
      <c r="D19" t="s">
        <v>787</v>
      </c>
      <c r="E19" s="2">
        <v>3606</v>
      </c>
      <c r="F19" s="2">
        <v>122</v>
      </c>
      <c r="G19" s="2">
        <v>-1</v>
      </c>
      <c r="I19" t="s">
        <v>4936</v>
      </c>
    </row>
    <row r="20" spans="1:9" x14ac:dyDescent="0.2">
      <c r="A20" t="s">
        <v>1099</v>
      </c>
      <c r="B20" t="s">
        <v>945</v>
      </c>
      <c r="C20">
        <v>12</v>
      </c>
      <c r="D20" t="s">
        <v>787</v>
      </c>
      <c r="E20" s="2">
        <v>2454</v>
      </c>
      <c r="F20" s="2">
        <v>-3193</v>
      </c>
      <c r="G20" s="2">
        <v>64</v>
      </c>
      <c r="I20" t="s">
        <v>4937</v>
      </c>
    </row>
    <row r="21" spans="1:9" x14ac:dyDescent="0.2">
      <c r="A21" t="s">
        <v>4696</v>
      </c>
      <c r="B21" s="20" t="s">
        <v>922</v>
      </c>
      <c r="C21" s="20">
        <v>9</v>
      </c>
      <c r="D21" t="s">
        <v>787</v>
      </c>
      <c r="E21" s="2">
        <v>2185</v>
      </c>
      <c r="F21" s="2">
        <v>142</v>
      </c>
      <c r="G21" s="2">
        <v>37</v>
      </c>
      <c r="I21" t="s">
        <v>4938</v>
      </c>
    </row>
    <row r="22" spans="1:9" x14ac:dyDescent="0.2">
      <c r="A22" t="s">
        <v>4697</v>
      </c>
      <c r="B22" s="20" t="s">
        <v>922</v>
      </c>
      <c r="C22" s="20">
        <v>9</v>
      </c>
      <c r="D22" t="s">
        <v>787</v>
      </c>
      <c r="E22" s="2">
        <v>2215</v>
      </c>
      <c r="F22" s="2">
        <v>100</v>
      </c>
      <c r="G22" s="2">
        <v>71</v>
      </c>
      <c r="I22" t="s">
        <v>4939</v>
      </c>
    </row>
    <row r="23" spans="1:9" x14ac:dyDescent="0.2">
      <c r="A23" t="s">
        <v>4698</v>
      </c>
      <c r="B23" s="20" t="s">
        <v>922</v>
      </c>
      <c r="C23" s="20">
        <v>9</v>
      </c>
      <c r="D23" t="s">
        <v>787</v>
      </c>
      <c r="E23" s="2">
        <v>2260</v>
      </c>
      <c r="F23" s="2">
        <v>108</v>
      </c>
      <c r="G23" s="2">
        <v>110</v>
      </c>
      <c r="I23" t="s">
        <v>4940</v>
      </c>
    </row>
    <row r="24" spans="1:9" x14ac:dyDescent="0.2">
      <c r="A24" t="s">
        <v>4699</v>
      </c>
      <c r="B24" s="20" t="s">
        <v>922</v>
      </c>
      <c r="C24" s="20">
        <v>9</v>
      </c>
      <c r="D24" t="s">
        <v>787</v>
      </c>
      <c r="E24" s="2">
        <v>2253</v>
      </c>
      <c r="F24" s="2">
        <v>14</v>
      </c>
      <c r="G24" s="2">
        <v>16</v>
      </c>
      <c r="I24" t="s">
        <v>4941</v>
      </c>
    </row>
    <row r="25" spans="1:9" x14ac:dyDescent="0.2">
      <c r="A25" t="s">
        <v>4700</v>
      </c>
      <c r="B25" t="s">
        <v>864</v>
      </c>
      <c r="C25">
        <v>13</v>
      </c>
      <c r="D25" t="s">
        <v>783</v>
      </c>
      <c r="E25" s="2">
        <v>739</v>
      </c>
      <c r="F25" s="2">
        <v>-1358</v>
      </c>
      <c r="G25" s="2">
        <v>1542</v>
      </c>
      <c r="I25" t="s">
        <v>4942</v>
      </c>
    </row>
    <row r="26" spans="1:9" x14ac:dyDescent="0.2">
      <c r="A26" t="s">
        <v>4701</v>
      </c>
      <c r="B26" t="s">
        <v>864</v>
      </c>
      <c r="C26">
        <v>13</v>
      </c>
      <c r="D26" t="s">
        <v>783</v>
      </c>
      <c r="E26" s="2">
        <v>711</v>
      </c>
      <c r="F26" s="2">
        <v>-1449</v>
      </c>
      <c r="G26" s="2">
        <v>1485</v>
      </c>
      <c r="I26" t="s">
        <v>4943</v>
      </c>
    </row>
    <row r="27" spans="1:9" x14ac:dyDescent="0.2">
      <c r="A27" t="s">
        <v>1101</v>
      </c>
      <c r="B27" t="s">
        <v>801</v>
      </c>
      <c r="C27">
        <v>3</v>
      </c>
      <c r="D27" t="s">
        <v>787</v>
      </c>
      <c r="E27" s="2">
        <v>-3005</v>
      </c>
      <c r="F27" s="2">
        <v>1635</v>
      </c>
      <c r="G27" s="2">
        <v>199</v>
      </c>
      <c r="I27" t="s">
        <v>4944</v>
      </c>
    </row>
    <row r="28" spans="1:9" x14ac:dyDescent="0.2">
      <c r="A28" t="s">
        <v>4702</v>
      </c>
      <c r="B28" t="s">
        <v>926</v>
      </c>
      <c r="C28">
        <v>10</v>
      </c>
      <c r="D28" t="s">
        <v>787</v>
      </c>
      <c r="E28" s="2">
        <v>1617</v>
      </c>
      <c r="F28" s="2">
        <v>-1260</v>
      </c>
      <c r="G28" s="2">
        <v>6</v>
      </c>
      <c r="I28" t="s">
        <v>4945</v>
      </c>
    </row>
    <row r="29" spans="1:9" x14ac:dyDescent="0.2">
      <c r="A29" t="s">
        <v>4702</v>
      </c>
      <c r="B29" t="s">
        <v>926</v>
      </c>
      <c r="C29">
        <v>10</v>
      </c>
      <c r="D29" t="s">
        <v>787</v>
      </c>
      <c r="E29" s="2">
        <v>1587</v>
      </c>
      <c r="F29" s="2">
        <v>-812</v>
      </c>
      <c r="G29" s="2">
        <v>6</v>
      </c>
      <c r="I29" t="s">
        <v>4946</v>
      </c>
    </row>
    <row r="30" spans="1:9" x14ac:dyDescent="0.2">
      <c r="A30" t="s">
        <v>4703</v>
      </c>
      <c r="B30" t="s">
        <v>864</v>
      </c>
      <c r="C30">
        <v>13</v>
      </c>
      <c r="D30" t="s">
        <v>787</v>
      </c>
      <c r="E30" s="2">
        <v>1958</v>
      </c>
      <c r="F30" s="2">
        <v>-3032</v>
      </c>
      <c r="G30" s="2">
        <v>192</v>
      </c>
      <c r="I30" t="s">
        <v>4947</v>
      </c>
    </row>
    <row r="31" spans="1:9" x14ac:dyDescent="0.2">
      <c r="A31" t="s">
        <v>4704</v>
      </c>
      <c r="B31" t="s">
        <v>864</v>
      </c>
      <c r="C31">
        <v>13</v>
      </c>
      <c r="D31" t="s">
        <v>787</v>
      </c>
      <c r="E31" s="2">
        <v>2009</v>
      </c>
      <c r="F31" s="2">
        <v>-3164</v>
      </c>
      <c r="G31" s="2">
        <v>176</v>
      </c>
      <c r="I31" t="s">
        <v>4948</v>
      </c>
    </row>
    <row r="32" spans="1:9" x14ac:dyDescent="0.2">
      <c r="A32" t="s">
        <v>1104</v>
      </c>
      <c r="B32" t="s">
        <v>945</v>
      </c>
      <c r="C32">
        <v>12</v>
      </c>
      <c r="D32" t="s">
        <v>787</v>
      </c>
      <c r="E32" s="2">
        <v>3650</v>
      </c>
      <c r="F32" s="2">
        <v>-3210</v>
      </c>
      <c r="G32" s="2">
        <v>-6</v>
      </c>
      <c r="I32" t="s">
        <v>4949</v>
      </c>
    </row>
    <row r="33" spans="1:9" x14ac:dyDescent="0.2">
      <c r="A33" t="s">
        <v>1105</v>
      </c>
      <c r="B33" t="s">
        <v>922</v>
      </c>
      <c r="C33">
        <v>9</v>
      </c>
      <c r="D33" t="s">
        <v>787</v>
      </c>
      <c r="E33" s="2">
        <v>3240</v>
      </c>
      <c r="F33" s="2">
        <v>373</v>
      </c>
      <c r="G33" s="2">
        <v>75</v>
      </c>
      <c r="I33" t="s">
        <v>4950</v>
      </c>
    </row>
    <row r="34" spans="1:9" x14ac:dyDescent="0.2">
      <c r="A34" t="s">
        <v>1106</v>
      </c>
      <c r="B34" s="20" t="s">
        <v>879</v>
      </c>
      <c r="C34" s="20">
        <v>14</v>
      </c>
      <c r="D34" t="s">
        <v>787</v>
      </c>
      <c r="E34" s="2">
        <v>-3679</v>
      </c>
      <c r="F34" s="2">
        <v>-3255</v>
      </c>
      <c r="G34" s="2">
        <v>-18</v>
      </c>
      <c r="I34" t="s">
        <v>4951</v>
      </c>
    </row>
    <row r="35" spans="1:9" x14ac:dyDescent="0.2">
      <c r="A35" t="s">
        <v>1107</v>
      </c>
      <c r="B35" t="s">
        <v>2073</v>
      </c>
      <c r="C35">
        <v>7</v>
      </c>
      <c r="D35" t="s">
        <v>787</v>
      </c>
      <c r="E35" s="2">
        <v>2593</v>
      </c>
      <c r="F35" s="2">
        <v>1330</v>
      </c>
      <c r="G35" s="2">
        <v>150</v>
      </c>
      <c r="I35" t="s">
        <v>4952</v>
      </c>
    </row>
    <row r="36" spans="1:9" x14ac:dyDescent="0.2">
      <c r="A36" t="s">
        <v>1108</v>
      </c>
      <c r="B36" t="s">
        <v>4634</v>
      </c>
      <c r="C36">
        <v>2</v>
      </c>
      <c r="D36" t="s">
        <v>787</v>
      </c>
      <c r="E36" s="2">
        <v>-1167</v>
      </c>
      <c r="F36" s="2">
        <v>-1310</v>
      </c>
      <c r="G36" s="2">
        <v>22</v>
      </c>
      <c r="I36" t="s">
        <v>4953</v>
      </c>
    </row>
    <row r="37" spans="1:9" x14ac:dyDescent="0.2">
      <c r="A37" t="s">
        <v>4705</v>
      </c>
      <c r="B37" t="s">
        <v>1922</v>
      </c>
      <c r="C37">
        <v>8</v>
      </c>
      <c r="D37" t="s">
        <v>787</v>
      </c>
      <c r="E37" s="2">
        <v>3678</v>
      </c>
      <c r="F37" s="2">
        <v>1538</v>
      </c>
      <c r="G37" s="2">
        <v>74</v>
      </c>
      <c r="I37" t="s">
        <v>4954</v>
      </c>
    </row>
    <row r="38" spans="1:9" x14ac:dyDescent="0.2">
      <c r="A38" t="s">
        <v>4706</v>
      </c>
      <c r="B38" t="s">
        <v>1922</v>
      </c>
      <c r="C38">
        <v>8</v>
      </c>
      <c r="D38" t="s">
        <v>787</v>
      </c>
      <c r="E38" s="2">
        <v>3735</v>
      </c>
      <c r="F38" s="2">
        <v>1534</v>
      </c>
      <c r="G38" s="2">
        <v>80</v>
      </c>
      <c r="I38" t="s">
        <v>4955</v>
      </c>
    </row>
    <row r="39" spans="1:9" x14ac:dyDescent="0.2">
      <c r="A39" t="s">
        <v>4707</v>
      </c>
      <c r="B39" t="s">
        <v>864</v>
      </c>
      <c r="C39">
        <v>13</v>
      </c>
      <c r="D39" t="s">
        <v>787</v>
      </c>
      <c r="E39" s="2">
        <v>-171</v>
      </c>
      <c r="F39" s="2">
        <v>-3067</v>
      </c>
      <c r="G39" s="2">
        <v>-13</v>
      </c>
      <c r="I39" t="s">
        <v>4956</v>
      </c>
    </row>
    <row r="40" spans="1:9" x14ac:dyDescent="0.2">
      <c r="A40" t="s">
        <v>4708</v>
      </c>
      <c r="B40" t="s">
        <v>864</v>
      </c>
      <c r="C40">
        <v>13</v>
      </c>
      <c r="D40" t="s">
        <v>787</v>
      </c>
      <c r="E40" s="2">
        <v>-256</v>
      </c>
      <c r="F40" s="2">
        <v>-2940</v>
      </c>
      <c r="G40" s="2">
        <v>-18</v>
      </c>
      <c r="I40" t="s">
        <v>4957</v>
      </c>
    </row>
    <row r="41" spans="1:9" x14ac:dyDescent="0.2">
      <c r="A41" t="s">
        <v>1111</v>
      </c>
      <c r="B41" t="s">
        <v>864</v>
      </c>
      <c r="C41">
        <v>13</v>
      </c>
      <c r="D41" t="s">
        <v>787</v>
      </c>
      <c r="E41" s="2">
        <v>1676</v>
      </c>
      <c r="F41" s="2">
        <v>-3038</v>
      </c>
      <c r="G41" s="2">
        <v>164</v>
      </c>
      <c r="I41" t="s">
        <v>4958</v>
      </c>
    </row>
    <row r="42" spans="1:9" x14ac:dyDescent="0.2">
      <c r="A42" t="s">
        <v>1112</v>
      </c>
      <c r="B42" t="s">
        <v>4633</v>
      </c>
      <c r="C42">
        <v>1</v>
      </c>
      <c r="D42" t="s">
        <v>787</v>
      </c>
      <c r="E42" s="2">
        <v>493</v>
      </c>
      <c r="F42" s="2">
        <v>730</v>
      </c>
      <c r="G42" s="2">
        <v>40</v>
      </c>
      <c r="I42" t="s">
        <v>4959</v>
      </c>
    </row>
    <row r="43" spans="1:9" x14ac:dyDescent="0.2">
      <c r="A43" t="s">
        <v>4709</v>
      </c>
      <c r="B43" t="s">
        <v>4633</v>
      </c>
      <c r="C43">
        <v>1</v>
      </c>
      <c r="D43" t="s">
        <v>787</v>
      </c>
      <c r="E43" s="2">
        <v>1144</v>
      </c>
      <c r="F43" s="2">
        <v>247</v>
      </c>
      <c r="G43" s="2">
        <v>57</v>
      </c>
      <c r="I43" t="s">
        <v>4960</v>
      </c>
    </row>
    <row r="44" spans="1:9" x14ac:dyDescent="0.2">
      <c r="A44" t="s">
        <v>4710</v>
      </c>
      <c r="B44" t="s">
        <v>4633</v>
      </c>
      <c r="C44">
        <v>1</v>
      </c>
      <c r="D44" t="s">
        <v>787</v>
      </c>
      <c r="E44" s="2">
        <v>1349</v>
      </c>
      <c r="F44" s="2">
        <v>296</v>
      </c>
      <c r="G44" s="2">
        <v>28</v>
      </c>
      <c r="I44" t="s">
        <v>4961</v>
      </c>
    </row>
    <row r="45" spans="1:9" x14ac:dyDescent="0.2">
      <c r="A45" t="s">
        <v>1114</v>
      </c>
      <c r="B45" s="20" t="s">
        <v>926</v>
      </c>
      <c r="C45" s="20">
        <v>10</v>
      </c>
      <c r="D45" t="s">
        <v>787</v>
      </c>
      <c r="E45" s="2">
        <v>1877</v>
      </c>
      <c r="F45" s="2">
        <v>-1160</v>
      </c>
      <c r="G45" s="2">
        <v>198</v>
      </c>
      <c r="I45" t="s">
        <v>4962</v>
      </c>
    </row>
    <row r="46" spans="1:9" x14ac:dyDescent="0.2">
      <c r="A46" t="s">
        <v>1115</v>
      </c>
      <c r="B46" t="s">
        <v>2073</v>
      </c>
      <c r="C46">
        <v>7</v>
      </c>
      <c r="D46" t="s">
        <v>787</v>
      </c>
      <c r="E46" s="2">
        <v>2767</v>
      </c>
      <c r="F46" s="2">
        <v>2778</v>
      </c>
      <c r="G46" s="2">
        <v>521</v>
      </c>
      <c r="I46" t="s">
        <v>4963</v>
      </c>
    </row>
    <row r="47" spans="1:9" x14ac:dyDescent="0.2">
      <c r="A47" t="s">
        <v>1116</v>
      </c>
      <c r="B47" t="s">
        <v>2073</v>
      </c>
      <c r="C47">
        <v>7</v>
      </c>
      <c r="D47" t="s">
        <v>787</v>
      </c>
      <c r="E47" s="2">
        <v>1949</v>
      </c>
      <c r="F47" s="2">
        <v>2687</v>
      </c>
      <c r="G47" s="2">
        <v>425</v>
      </c>
      <c r="I47" t="s">
        <v>4964</v>
      </c>
    </row>
    <row r="48" spans="1:9" x14ac:dyDescent="0.2">
      <c r="A48" t="s">
        <v>1117</v>
      </c>
      <c r="B48" t="s">
        <v>2073</v>
      </c>
      <c r="C48">
        <v>7</v>
      </c>
      <c r="D48" t="s">
        <v>787</v>
      </c>
      <c r="E48" s="2">
        <v>2238</v>
      </c>
      <c r="F48" s="2">
        <v>2682</v>
      </c>
      <c r="G48" s="2">
        <v>520</v>
      </c>
      <c r="I48" t="s">
        <v>4965</v>
      </c>
    </row>
    <row r="49" spans="1:9" x14ac:dyDescent="0.2">
      <c r="A49" t="s">
        <v>1118</v>
      </c>
      <c r="B49" t="s">
        <v>934</v>
      </c>
      <c r="C49">
        <v>11</v>
      </c>
      <c r="D49" t="s">
        <v>787</v>
      </c>
      <c r="E49" s="2">
        <v>4213</v>
      </c>
      <c r="F49" s="2">
        <v>-2262</v>
      </c>
      <c r="G49" s="2">
        <v>0</v>
      </c>
      <c r="I49" t="s">
        <v>4966</v>
      </c>
    </row>
    <row r="50" spans="1:9" x14ac:dyDescent="0.2">
      <c r="A50" t="s">
        <v>1119</v>
      </c>
      <c r="B50" t="s">
        <v>805</v>
      </c>
      <c r="C50">
        <v>6</v>
      </c>
      <c r="D50" t="s">
        <v>787</v>
      </c>
      <c r="E50" s="2">
        <v>307</v>
      </c>
      <c r="F50" s="2">
        <v>3579</v>
      </c>
      <c r="G50" s="2">
        <v>87</v>
      </c>
      <c r="I50" t="s">
        <v>4967</v>
      </c>
    </row>
    <row r="51" spans="1:9" x14ac:dyDescent="0.2">
      <c r="A51" t="s">
        <v>1120</v>
      </c>
      <c r="B51" t="s">
        <v>926</v>
      </c>
      <c r="C51">
        <v>10</v>
      </c>
      <c r="D51" t="s">
        <v>787</v>
      </c>
      <c r="E51" s="2">
        <v>1194</v>
      </c>
      <c r="F51" s="2">
        <v>-1854</v>
      </c>
      <c r="G51" s="2">
        <v>157</v>
      </c>
      <c r="I51" t="s">
        <v>4968</v>
      </c>
    </row>
    <row r="52" spans="1:9" x14ac:dyDescent="0.2">
      <c r="A52" t="s">
        <v>1121</v>
      </c>
      <c r="B52" t="s">
        <v>926</v>
      </c>
      <c r="C52">
        <v>10</v>
      </c>
      <c r="D52" t="s">
        <v>787</v>
      </c>
      <c r="E52" s="2">
        <v>1183</v>
      </c>
      <c r="F52" s="2">
        <v>-1947</v>
      </c>
      <c r="G52" s="2">
        <v>245</v>
      </c>
      <c r="I52" t="s">
        <v>4969</v>
      </c>
    </row>
    <row r="53" spans="1:9" x14ac:dyDescent="0.2">
      <c r="A53" t="s">
        <v>4711</v>
      </c>
      <c r="B53" t="s">
        <v>904</v>
      </c>
      <c r="C53">
        <v>4</v>
      </c>
      <c r="D53" t="s">
        <v>787</v>
      </c>
      <c r="E53" s="2">
        <v>-3989</v>
      </c>
      <c r="F53" s="2">
        <v>3062</v>
      </c>
      <c r="G53" s="2">
        <v>138</v>
      </c>
      <c r="I53" t="s">
        <v>4970</v>
      </c>
    </row>
    <row r="54" spans="1:9" x14ac:dyDescent="0.2">
      <c r="A54" t="s">
        <v>4712</v>
      </c>
      <c r="B54" t="s">
        <v>904</v>
      </c>
      <c r="C54">
        <v>4</v>
      </c>
      <c r="D54" t="s">
        <v>787</v>
      </c>
      <c r="E54" s="2">
        <v>-3555</v>
      </c>
      <c r="F54" s="2">
        <v>3088</v>
      </c>
      <c r="G54" s="2">
        <v>273</v>
      </c>
      <c r="I54" t="s">
        <v>4971</v>
      </c>
    </row>
    <row r="55" spans="1:9" x14ac:dyDescent="0.2">
      <c r="A55" t="s">
        <v>1123</v>
      </c>
      <c r="B55" t="s">
        <v>879</v>
      </c>
      <c r="C55">
        <v>14</v>
      </c>
      <c r="D55" t="s">
        <v>787</v>
      </c>
      <c r="E55" s="2">
        <v>-2696</v>
      </c>
      <c r="F55" s="2">
        <v>-2808</v>
      </c>
      <c r="G55" s="2">
        <v>-67</v>
      </c>
      <c r="I55" t="s">
        <v>4972</v>
      </c>
    </row>
    <row r="56" spans="1:9" x14ac:dyDescent="0.2">
      <c r="A56" t="s">
        <v>1124</v>
      </c>
      <c r="B56" t="s">
        <v>2073</v>
      </c>
      <c r="C56">
        <v>7</v>
      </c>
      <c r="D56" t="s">
        <v>787</v>
      </c>
      <c r="E56" s="2">
        <v>1853</v>
      </c>
      <c r="F56" s="2">
        <v>1719</v>
      </c>
      <c r="G56" s="2">
        <v>291</v>
      </c>
      <c r="I56" t="s">
        <v>4973</v>
      </c>
    </row>
    <row r="57" spans="1:9" x14ac:dyDescent="0.2">
      <c r="A57" t="s">
        <v>1125</v>
      </c>
      <c r="B57" t="s">
        <v>945</v>
      </c>
      <c r="C57">
        <v>12</v>
      </c>
      <c r="D57" t="s">
        <v>787</v>
      </c>
      <c r="E57" s="2">
        <v>4752</v>
      </c>
      <c r="F57" s="2">
        <v>-3781</v>
      </c>
      <c r="G57" s="2">
        <v>-6</v>
      </c>
      <c r="I57" t="s">
        <v>4974</v>
      </c>
    </row>
    <row r="58" spans="1:9" x14ac:dyDescent="0.2">
      <c r="A58" t="s">
        <v>1126</v>
      </c>
      <c r="B58" t="s">
        <v>864</v>
      </c>
      <c r="C58">
        <v>13</v>
      </c>
      <c r="D58" t="s">
        <v>787</v>
      </c>
      <c r="E58" s="2">
        <v>568</v>
      </c>
      <c r="F58" s="2">
        <v>-2981</v>
      </c>
      <c r="G58" s="2">
        <v>12</v>
      </c>
      <c r="I58" t="s">
        <v>4975</v>
      </c>
    </row>
    <row r="59" spans="1:9" x14ac:dyDescent="0.2">
      <c r="A59" t="s">
        <v>1127</v>
      </c>
      <c r="B59" t="s">
        <v>864</v>
      </c>
      <c r="C59">
        <v>13</v>
      </c>
      <c r="D59" t="s">
        <v>787</v>
      </c>
      <c r="E59" s="2">
        <v>809</v>
      </c>
      <c r="F59" s="2">
        <v>-2971</v>
      </c>
      <c r="G59" s="2">
        <v>10</v>
      </c>
      <c r="I59" t="s">
        <v>4976</v>
      </c>
    </row>
    <row r="60" spans="1:9" x14ac:dyDescent="0.2">
      <c r="A60" t="s">
        <v>1128</v>
      </c>
      <c r="B60" t="s">
        <v>2073</v>
      </c>
      <c r="C60">
        <v>7</v>
      </c>
      <c r="D60" t="s">
        <v>787</v>
      </c>
      <c r="E60" s="2">
        <v>2275</v>
      </c>
      <c r="F60" s="2">
        <v>1520</v>
      </c>
      <c r="G60" s="2">
        <v>157</v>
      </c>
      <c r="I60" t="s">
        <v>4977</v>
      </c>
    </row>
    <row r="61" spans="1:9" x14ac:dyDescent="0.2">
      <c r="A61" t="s">
        <v>1129</v>
      </c>
      <c r="B61" s="20" t="s">
        <v>926</v>
      </c>
      <c r="C61" s="20">
        <v>10</v>
      </c>
      <c r="D61" t="s">
        <v>787</v>
      </c>
      <c r="E61" s="2">
        <v>2243</v>
      </c>
      <c r="F61" s="2">
        <v>-1689</v>
      </c>
      <c r="G61" s="2">
        <v>23</v>
      </c>
      <c r="I61" t="s">
        <v>4978</v>
      </c>
    </row>
    <row r="62" spans="1:9" x14ac:dyDescent="0.2">
      <c r="A62" t="s">
        <v>4713</v>
      </c>
      <c r="B62" t="s">
        <v>879</v>
      </c>
      <c r="C62">
        <v>14</v>
      </c>
      <c r="D62" t="s">
        <v>787</v>
      </c>
      <c r="E62" s="2">
        <v>-2676</v>
      </c>
      <c r="F62" s="2">
        <v>-2402</v>
      </c>
      <c r="G62" s="2">
        <v>79</v>
      </c>
      <c r="I62" t="s">
        <v>4979</v>
      </c>
    </row>
    <row r="63" spans="1:9" x14ac:dyDescent="0.2">
      <c r="A63" t="s">
        <v>4714</v>
      </c>
      <c r="B63" t="s">
        <v>879</v>
      </c>
      <c r="C63">
        <v>14</v>
      </c>
      <c r="D63" t="s">
        <v>787</v>
      </c>
      <c r="E63" s="2">
        <v>-2611</v>
      </c>
      <c r="F63" s="2">
        <v>-2604</v>
      </c>
      <c r="G63" s="2">
        <v>112</v>
      </c>
      <c r="I63" t="s">
        <v>4980</v>
      </c>
    </row>
    <row r="64" spans="1:9" x14ac:dyDescent="0.2">
      <c r="A64" t="s">
        <v>4677</v>
      </c>
      <c r="B64" s="20" t="s">
        <v>879</v>
      </c>
      <c r="C64" s="20">
        <v>14</v>
      </c>
      <c r="D64" t="s">
        <v>787</v>
      </c>
      <c r="E64" s="2">
        <v>-4814</v>
      </c>
      <c r="F64" s="2">
        <v>-3875</v>
      </c>
      <c r="G64" s="2">
        <v>-1</v>
      </c>
      <c r="I64" t="s">
        <v>4981</v>
      </c>
    </row>
    <row r="65" spans="1:9" x14ac:dyDescent="0.2">
      <c r="A65" t="s">
        <v>4715</v>
      </c>
      <c r="B65" s="20" t="s">
        <v>879</v>
      </c>
      <c r="C65" s="20">
        <v>14</v>
      </c>
      <c r="D65" t="s">
        <v>787</v>
      </c>
      <c r="E65" s="2">
        <v>-3763</v>
      </c>
      <c r="F65" s="2">
        <v>-2420</v>
      </c>
      <c r="G65" s="2">
        <v>24</v>
      </c>
      <c r="I65" t="s">
        <v>4982</v>
      </c>
    </row>
    <row r="66" spans="1:9" x14ac:dyDescent="0.2">
      <c r="A66" t="s">
        <v>4716</v>
      </c>
      <c r="B66" s="20" t="s">
        <v>879</v>
      </c>
      <c r="C66" s="20">
        <v>14</v>
      </c>
      <c r="D66" t="s">
        <v>787</v>
      </c>
      <c r="E66" s="2">
        <v>-3763</v>
      </c>
      <c r="F66" s="2">
        <v>-2698</v>
      </c>
      <c r="G66" s="2">
        <v>35</v>
      </c>
      <c r="I66" t="s">
        <v>4983</v>
      </c>
    </row>
    <row r="67" spans="1:9" x14ac:dyDescent="0.2">
      <c r="A67" t="s">
        <v>4717</v>
      </c>
      <c r="B67" t="s">
        <v>801</v>
      </c>
      <c r="C67">
        <v>3</v>
      </c>
      <c r="D67" t="s">
        <v>787</v>
      </c>
      <c r="E67" s="2">
        <v>-3865</v>
      </c>
      <c r="F67" s="2">
        <v>1011</v>
      </c>
      <c r="G67" s="2">
        <v>72</v>
      </c>
      <c r="I67" t="s">
        <v>4984</v>
      </c>
    </row>
    <row r="68" spans="1:9" x14ac:dyDescent="0.2">
      <c r="A68" t="s">
        <v>4718</v>
      </c>
      <c r="B68" t="s">
        <v>801</v>
      </c>
      <c r="C68">
        <v>3</v>
      </c>
      <c r="D68" t="s">
        <v>787</v>
      </c>
      <c r="E68" s="2">
        <v>-3931</v>
      </c>
      <c r="F68" s="2">
        <v>1090</v>
      </c>
      <c r="G68" s="2">
        <v>72</v>
      </c>
      <c r="I68" t="s">
        <v>4985</v>
      </c>
    </row>
    <row r="69" spans="1:9" x14ac:dyDescent="0.2">
      <c r="A69" t="s">
        <v>1134</v>
      </c>
      <c r="B69" t="s">
        <v>2073</v>
      </c>
      <c r="C69">
        <v>7</v>
      </c>
      <c r="D69" t="s">
        <v>787</v>
      </c>
      <c r="E69" s="2">
        <v>2015</v>
      </c>
      <c r="F69" s="2">
        <v>2038</v>
      </c>
      <c r="G69" s="2">
        <v>420</v>
      </c>
      <c r="I69" t="s">
        <v>4986</v>
      </c>
    </row>
    <row r="70" spans="1:9" x14ac:dyDescent="0.2">
      <c r="A70" t="s">
        <v>1135</v>
      </c>
      <c r="B70" t="s">
        <v>2073</v>
      </c>
      <c r="C70">
        <v>7</v>
      </c>
      <c r="D70" t="s">
        <v>787</v>
      </c>
      <c r="E70" s="2">
        <v>1423</v>
      </c>
      <c r="F70" s="2">
        <v>2102</v>
      </c>
      <c r="G70" s="2">
        <v>284</v>
      </c>
      <c r="I70" t="s">
        <v>4987</v>
      </c>
    </row>
    <row r="71" spans="1:9" x14ac:dyDescent="0.2">
      <c r="A71" t="s">
        <v>1136</v>
      </c>
      <c r="B71" t="s">
        <v>4634</v>
      </c>
      <c r="C71">
        <v>2</v>
      </c>
      <c r="D71" t="s">
        <v>787</v>
      </c>
      <c r="E71" s="2">
        <v>-832</v>
      </c>
      <c r="F71" s="2">
        <v>-1488</v>
      </c>
      <c r="G71" s="2">
        <v>26</v>
      </c>
      <c r="I71" t="s">
        <v>4988</v>
      </c>
    </row>
    <row r="72" spans="1:9" x14ac:dyDescent="0.2">
      <c r="A72" t="s">
        <v>4675</v>
      </c>
      <c r="B72" t="s">
        <v>904</v>
      </c>
      <c r="C72">
        <v>4</v>
      </c>
      <c r="D72" t="s">
        <v>787</v>
      </c>
      <c r="E72" s="2">
        <v>-3814</v>
      </c>
      <c r="F72" s="2">
        <v>3595</v>
      </c>
      <c r="G72" s="2">
        <v>255</v>
      </c>
      <c r="I72" t="s">
        <v>4989</v>
      </c>
    </row>
    <row r="73" spans="1:9" x14ac:dyDescent="0.2">
      <c r="A73" t="s">
        <v>1138</v>
      </c>
      <c r="B73" t="s">
        <v>904</v>
      </c>
      <c r="C73">
        <v>4</v>
      </c>
      <c r="D73" t="s">
        <v>787</v>
      </c>
      <c r="E73" s="2">
        <v>-2900</v>
      </c>
      <c r="F73" s="2">
        <v>2510</v>
      </c>
      <c r="G73" s="2">
        <v>387</v>
      </c>
      <c r="I73" t="s">
        <v>4990</v>
      </c>
    </row>
    <row r="74" spans="1:9" x14ac:dyDescent="0.2">
      <c r="A74" t="s">
        <v>1139</v>
      </c>
      <c r="B74" t="s">
        <v>904</v>
      </c>
      <c r="C74">
        <v>4</v>
      </c>
      <c r="D74" t="s">
        <v>787</v>
      </c>
      <c r="E74" s="2">
        <v>-2995</v>
      </c>
      <c r="F74" s="2">
        <v>3225</v>
      </c>
      <c r="G74" s="2">
        <v>539</v>
      </c>
      <c r="I74" t="s">
        <v>4991</v>
      </c>
    </row>
    <row r="75" spans="1:9" x14ac:dyDescent="0.2">
      <c r="A75" t="s">
        <v>4719</v>
      </c>
      <c r="B75" t="s">
        <v>904</v>
      </c>
      <c r="C75">
        <v>4</v>
      </c>
      <c r="D75" t="s">
        <v>787</v>
      </c>
      <c r="E75" s="2">
        <v>-3398</v>
      </c>
      <c r="F75" s="2">
        <v>2499</v>
      </c>
      <c r="G75" s="2">
        <v>313</v>
      </c>
      <c r="I75" t="s">
        <v>4992</v>
      </c>
    </row>
    <row r="76" spans="1:9" x14ac:dyDescent="0.2">
      <c r="A76" t="s">
        <v>4720</v>
      </c>
      <c r="B76" t="s">
        <v>904</v>
      </c>
      <c r="C76">
        <v>4</v>
      </c>
      <c r="D76" t="s">
        <v>787</v>
      </c>
      <c r="E76" s="2">
        <v>-3227</v>
      </c>
      <c r="F76" s="2">
        <v>2535</v>
      </c>
      <c r="G76" s="2">
        <v>441</v>
      </c>
      <c r="I76" t="s">
        <v>4993</v>
      </c>
    </row>
    <row r="77" spans="1:9" x14ac:dyDescent="0.2">
      <c r="A77" t="s">
        <v>1141</v>
      </c>
      <c r="B77" t="s">
        <v>922</v>
      </c>
      <c r="C77">
        <v>9</v>
      </c>
      <c r="D77" t="s">
        <v>787</v>
      </c>
      <c r="E77" s="2">
        <v>4243</v>
      </c>
      <c r="F77" s="2">
        <v>-255</v>
      </c>
      <c r="G77" s="2">
        <v>-16</v>
      </c>
      <c r="I77" t="s">
        <v>4994</v>
      </c>
    </row>
    <row r="78" spans="1:9" x14ac:dyDescent="0.2">
      <c r="A78" t="s">
        <v>1142</v>
      </c>
      <c r="B78" t="s">
        <v>904</v>
      </c>
      <c r="C78">
        <v>4</v>
      </c>
      <c r="D78" t="s">
        <v>787</v>
      </c>
      <c r="E78" s="2">
        <v>-4429</v>
      </c>
      <c r="F78" s="2">
        <v>3760</v>
      </c>
      <c r="G78" s="2">
        <v>223</v>
      </c>
      <c r="I78" t="s">
        <v>4995</v>
      </c>
    </row>
    <row r="79" spans="1:9" x14ac:dyDescent="0.2">
      <c r="A79" t="s">
        <v>1143</v>
      </c>
      <c r="B79" t="s">
        <v>2073</v>
      </c>
      <c r="C79">
        <v>7</v>
      </c>
      <c r="D79" t="s">
        <v>787</v>
      </c>
      <c r="E79" s="2">
        <v>1554</v>
      </c>
      <c r="F79" s="2">
        <v>3102</v>
      </c>
      <c r="G79" s="2">
        <v>392</v>
      </c>
      <c r="I79" t="s">
        <v>4996</v>
      </c>
    </row>
    <row r="80" spans="1:9" x14ac:dyDescent="0.2">
      <c r="A80" t="s">
        <v>1144</v>
      </c>
      <c r="B80" s="20" t="s">
        <v>926</v>
      </c>
      <c r="C80" s="20">
        <v>10</v>
      </c>
      <c r="D80" t="s">
        <v>787</v>
      </c>
      <c r="E80" s="2">
        <v>1947</v>
      </c>
      <c r="F80" s="2">
        <v>-981</v>
      </c>
      <c r="G80" s="2">
        <v>157</v>
      </c>
      <c r="I80" t="s">
        <v>4997</v>
      </c>
    </row>
    <row r="81" spans="1:9" x14ac:dyDescent="0.2">
      <c r="A81" t="s">
        <v>1145</v>
      </c>
      <c r="B81" t="s">
        <v>864</v>
      </c>
      <c r="C81">
        <v>13</v>
      </c>
      <c r="D81" t="s">
        <v>787</v>
      </c>
      <c r="E81" s="2">
        <v>486</v>
      </c>
      <c r="F81" s="2">
        <v>-3831</v>
      </c>
      <c r="G81" s="2">
        <v>7</v>
      </c>
      <c r="I81" t="s">
        <v>4998</v>
      </c>
    </row>
    <row r="82" spans="1:9" x14ac:dyDescent="0.2">
      <c r="A82" t="s">
        <v>1146</v>
      </c>
      <c r="B82" t="s">
        <v>801</v>
      </c>
      <c r="C82">
        <v>3</v>
      </c>
      <c r="D82" t="s">
        <v>787</v>
      </c>
      <c r="E82" s="2">
        <v>-2395</v>
      </c>
      <c r="F82" s="2">
        <v>2276</v>
      </c>
      <c r="G82" s="2">
        <v>169</v>
      </c>
      <c r="I82" t="s">
        <v>4999</v>
      </c>
    </row>
    <row r="83" spans="1:9" x14ac:dyDescent="0.2">
      <c r="A83" t="s">
        <v>4721</v>
      </c>
      <c r="B83" t="s">
        <v>879</v>
      </c>
      <c r="C83">
        <v>14</v>
      </c>
      <c r="D83" t="s">
        <v>787</v>
      </c>
      <c r="E83" s="2">
        <v>-2258</v>
      </c>
      <c r="F83" s="2">
        <v>-1759</v>
      </c>
      <c r="G83" s="2">
        <v>56</v>
      </c>
      <c r="I83" t="s">
        <v>5000</v>
      </c>
    </row>
    <row r="84" spans="1:9" x14ac:dyDescent="0.2">
      <c r="A84" t="s">
        <v>4722</v>
      </c>
      <c r="B84" t="s">
        <v>879</v>
      </c>
      <c r="C84">
        <v>14</v>
      </c>
      <c r="D84" t="s">
        <v>787</v>
      </c>
      <c r="E84" s="2">
        <v>-2173</v>
      </c>
      <c r="F84" s="2">
        <v>-1841</v>
      </c>
      <c r="G84" s="2">
        <v>126</v>
      </c>
      <c r="I84" t="s">
        <v>5001</v>
      </c>
    </row>
    <row r="85" spans="1:9" x14ac:dyDescent="0.2">
      <c r="A85" t="s">
        <v>1148</v>
      </c>
      <c r="B85" t="s">
        <v>2073</v>
      </c>
      <c r="C85">
        <v>7</v>
      </c>
      <c r="D85" t="s">
        <v>787</v>
      </c>
      <c r="E85" s="2">
        <v>2373</v>
      </c>
      <c r="F85" s="2">
        <v>3051</v>
      </c>
      <c r="G85" s="2">
        <v>445</v>
      </c>
      <c r="I85" t="s">
        <v>5002</v>
      </c>
    </row>
    <row r="86" spans="1:9" x14ac:dyDescent="0.2">
      <c r="A86" t="s">
        <v>4723</v>
      </c>
      <c r="B86" t="s">
        <v>2073</v>
      </c>
      <c r="C86">
        <v>7</v>
      </c>
      <c r="D86" t="s">
        <v>787</v>
      </c>
      <c r="E86" s="2">
        <v>1929</v>
      </c>
      <c r="F86" s="2">
        <v>1271</v>
      </c>
      <c r="G86" s="2">
        <v>121</v>
      </c>
      <c r="I86" t="s">
        <v>5003</v>
      </c>
    </row>
    <row r="87" spans="1:9" x14ac:dyDescent="0.2">
      <c r="A87" t="s">
        <v>4724</v>
      </c>
      <c r="B87" t="s">
        <v>2073</v>
      </c>
      <c r="C87">
        <v>7</v>
      </c>
      <c r="D87" t="s">
        <v>787</v>
      </c>
      <c r="E87" s="2">
        <v>1931</v>
      </c>
      <c r="F87" s="2">
        <v>1304</v>
      </c>
      <c r="G87" s="2">
        <v>168</v>
      </c>
      <c r="I87" t="s">
        <v>5004</v>
      </c>
    </row>
    <row r="88" spans="1:9" x14ac:dyDescent="0.2">
      <c r="A88" t="s">
        <v>1150</v>
      </c>
      <c r="B88" t="s">
        <v>864</v>
      </c>
      <c r="C88">
        <v>13</v>
      </c>
      <c r="D88" t="s">
        <v>787</v>
      </c>
      <c r="E88" s="2">
        <v>125</v>
      </c>
      <c r="F88" s="2">
        <v>-2501</v>
      </c>
      <c r="G88" s="2">
        <v>-89</v>
      </c>
      <c r="I88" t="s">
        <v>5005</v>
      </c>
    </row>
    <row r="89" spans="1:9" x14ac:dyDescent="0.2">
      <c r="A89" t="s">
        <v>1151</v>
      </c>
      <c r="B89" t="s">
        <v>2073</v>
      </c>
      <c r="C89">
        <v>7</v>
      </c>
      <c r="D89" t="s">
        <v>787</v>
      </c>
      <c r="E89" s="2">
        <v>2485</v>
      </c>
      <c r="F89" s="2">
        <v>1792</v>
      </c>
      <c r="G89" s="2">
        <v>157</v>
      </c>
      <c r="I89" t="s">
        <v>5006</v>
      </c>
    </row>
    <row r="90" spans="1:9" x14ac:dyDescent="0.2">
      <c r="A90" t="s">
        <v>1152</v>
      </c>
      <c r="B90" t="s">
        <v>904</v>
      </c>
      <c r="C90">
        <v>4</v>
      </c>
      <c r="D90" t="s">
        <v>787</v>
      </c>
      <c r="E90" s="2">
        <v>-3930</v>
      </c>
      <c r="F90" s="2">
        <v>2861</v>
      </c>
      <c r="G90" s="2">
        <v>-18</v>
      </c>
      <c r="I90" t="s">
        <v>5007</v>
      </c>
    </row>
    <row r="91" spans="1:9" x14ac:dyDescent="0.2">
      <c r="A91" t="s">
        <v>4725</v>
      </c>
      <c r="B91" t="s">
        <v>934</v>
      </c>
      <c r="C91">
        <v>11</v>
      </c>
      <c r="D91" t="s">
        <v>787</v>
      </c>
      <c r="E91" s="2">
        <v>3073</v>
      </c>
      <c r="F91" s="2">
        <v>-1137</v>
      </c>
      <c r="G91" s="2">
        <v>91</v>
      </c>
      <c r="I91" t="s">
        <v>5008</v>
      </c>
    </row>
    <row r="92" spans="1:9" x14ac:dyDescent="0.2">
      <c r="A92" t="s">
        <v>4726</v>
      </c>
      <c r="B92" t="s">
        <v>934</v>
      </c>
      <c r="C92">
        <v>11</v>
      </c>
      <c r="D92" t="s">
        <v>787</v>
      </c>
      <c r="E92" s="2">
        <v>3476</v>
      </c>
      <c r="F92" s="2">
        <v>-968</v>
      </c>
      <c r="G92" s="2">
        <v>-8</v>
      </c>
      <c r="I92" t="s">
        <v>5009</v>
      </c>
    </row>
    <row r="93" spans="1:9" x14ac:dyDescent="0.2">
      <c r="A93" t="s">
        <v>1154</v>
      </c>
      <c r="B93" s="20" t="s">
        <v>926</v>
      </c>
      <c r="C93" s="20">
        <v>10</v>
      </c>
      <c r="D93" t="s">
        <v>787</v>
      </c>
      <c r="E93" s="2">
        <v>2698</v>
      </c>
      <c r="F93" s="2">
        <v>-1314</v>
      </c>
      <c r="G93" s="2">
        <v>111</v>
      </c>
      <c r="I93" t="s">
        <v>5010</v>
      </c>
    </row>
    <row r="94" spans="1:9" x14ac:dyDescent="0.2">
      <c r="A94" t="s">
        <v>1155</v>
      </c>
      <c r="B94" t="s">
        <v>801</v>
      </c>
      <c r="C94">
        <v>3</v>
      </c>
      <c r="D94" t="s">
        <v>787</v>
      </c>
      <c r="E94" s="2">
        <v>-1734</v>
      </c>
      <c r="F94" s="2">
        <v>1165</v>
      </c>
      <c r="G94" s="2">
        <v>228</v>
      </c>
      <c r="I94" t="s">
        <v>5011</v>
      </c>
    </row>
    <row r="95" spans="1:9" x14ac:dyDescent="0.2">
      <c r="A95" t="s">
        <v>1156</v>
      </c>
      <c r="B95" t="s">
        <v>2073</v>
      </c>
      <c r="C95">
        <v>7</v>
      </c>
      <c r="D95" t="s">
        <v>787</v>
      </c>
      <c r="E95" s="2">
        <v>2206</v>
      </c>
      <c r="F95" s="2">
        <v>3075</v>
      </c>
      <c r="G95" s="2">
        <v>405</v>
      </c>
      <c r="I95" t="s">
        <v>5012</v>
      </c>
    </row>
    <row r="96" spans="1:9" x14ac:dyDescent="0.2">
      <c r="A96" t="s">
        <v>1157</v>
      </c>
      <c r="B96" t="s">
        <v>879</v>
      </c>
      <c r="C96">
        <v>14</v>
      </c>
      <c r="D96" t="s">
        <v>787</v>
      </c>
      <c r="E96" s="2">
        <v>-1744</v>
      </c>
      <c r="F96" s="2">
        <v>-2394</v>
      </c>
      <c r="G96" s="2">
        <v>-11</v>
      </c>
      <c r="I96" t="s">
        <v>5013</v>
      </c>
    </row>
    <row r="97" spans="1:9" x14ac:dyDescent="0.2">
      <c r="A97" t="s">
        <v>1158</v>
      </c>
      <c r="B97" t="s">
        <v>922</v>
      </c>
      <c r="C97">
        <v>9</v>
      </c>
      <c r="D97" t="s">
        <v>787</v>
      </c>
      <c r="E97" s="2">
        <v>3094</v>
      </c>
      <c r="F97" s="2">
        <v>-51</v>
      </c>
      <c r="G97" s="2">
        <v>79</v>
      </c>
      <c r="I97" t="s">
        <v>5014</v>
      </c>
    </row>
    <row r="98" spans="1:9" x14ac:dyDescent="0.2">
      <c r="A98" t="s">
        <v>1159</v>
      </c>
      <c r="B98" t="s">
        <v>934</v>
      </c>
      <c r="C98">
        <v>11</v>
      </c>
      <c r="D98" t="s">
        <v>787</v>
      </c>
      <c r="E98" s="2">
        <v>4585</v>
      </c>
      <c r="F98" s="2">
        <v>-2246</v>
      </c>
      <c r="G98" s="2">
        <v>-1</v>
      </c>
      <c r="I98" t="s">
        <v>5015</v>
      </c>
    </row>
    <row r="99" spans="1:9" x14ac:dyDescent="0.2">
      <c r="A99" t="s">
        <v>1160</v>
      </c>
      <c r="B99" t="s">
        <v>876</v>
      </c>
      <c r="C99">
        <v>15</v>
      </c>
      <c r="D99" t="s">
        <v>787</v>
      </c>
      <c r="E99" s="2">
        <v>-3982</v>
      </c>
      <c r="F99" s="2">
        <v>-1245</v>
      </c>
      <c r="G99" s="2">
        <v>426</v>
      </c>
      <c r="I99" t="s">
        <v>5016</v>
      </c>
    </row>
    <row r="100" spans="1:9" x14ac:dyDescent="0.2">
      <c r="A100" t="s">
        <v>4727</v>
      </c>
      <c r="B100" t="s">
        <v>864</v>
      </c>
      <c r="C100">
        <v>13</v>
      </c>
      <c r="D100" t="s">
        <v>783</v>
      </c>
      <c r="E100" s="2">
        <v>380</v>
      </c>
      <c r="F100" s="2">
        <v>-1631</v>
      </c>
      <c r="G100" s="2">
        <v>1411</v>
      </c>
      <c r="I100" t="s">
        <v>5017</v>
      </c>
    </row>
    <row r="101" spans="1:9" x14ac:dyDescent="0.2">
      <c r="A101" t="s">
        <v>4728</v>
      </c>
      <c r="B101" t="s">
        <v>864</v>
      </c>
      <c r="C101">
        <v>13</v>
      </c>
      <c r="D101" t="s">
        <v>783</v>
      </c>
      <c r="E101" s="2">
        <v>489</v>
      </c>
      <c r="F101" s="2">
        <v>-1625</v>
      </c>
      <c r="G101" s="2">
        <v>1367</v>
      </c>
      <c r="I101" t="s">
        <v>5018</v>
      </c>
    </row>
    <row r="102" spans="1:9" x14ac:dyDescent="0.2">
      <c r="A102" t="s">
        <v>1162</v>
      </c>
      <c r="B102" t="s">
        <v>2506</v>
      </c>
      <c r="C102">
        <v>5</v>
      </c>
      <c r="D102" t="s">
        <v>787</v>
      </c>
      <c r="E102" s="2">
        <v>-1372</v>
      </c>
      <c r="F102" s="2">
        <v>2861</v>
      </c>
      <c r="G102" s="2">
        <v>197</v>
      </c>
      <c r="I102" t="s">
        <v>5019</v>
      </c>
    </row>
    <row r="103" spans="1:9" x14ac:dyDescent="0.2">
      <c r="A103" t="s">
        <v>4729</v>
      </c>
      <c r="B103" t="s">
        <v>945</v>
      </c>
      <c r="C103">
        <v>12</v>
      </c>
      <c r="D103" t="s">
        <v>787</v>
      </c>
      <c r="E103" s="2">
        <v>3224</v>
      </c>
      <c r="F103" s="2">
        <v>-3017</v>
      </c>
      <c r="G103" s="2">
        <v>59</v>
      </c>
      <c r="I103" t="s">
        <v>5020</v>
      </c>
    </row>
    <row r="104" spans="1:9" x14ac:dyDescent="0.2">
      <c r="A104" t="s">
        <v>4730</v>
      </c>
      <c r="B104" t="s">
        <v>945</v>
      </c>
      <c r="C104">
        <v>12</v>
      </c>
      <c r="D104" t="s">
        <v>787</v>
      </c>
      <c r="E104" s="2">
        <v>3291</v>
      </c>
      <c r="F104" s="2">
        <v>-3296</v>
      </c>
      <c r="G104" s="2">
        <v>64</v>
      </c>
      <c r="I104" t="s">
        <v>5021</v>
      </c>
    </row>
    <row r="105" spans="1:9" x14ac:dyDescent="0.2">
      <c r="A105" t="s">
        <v>4731</v>
      </c>
      <c r="B105" t="s">
        <v>864</v>
      </c>
      <c r="C105">
        <v>13</v>
      </c>
      <c r="D105" t="s">
        <v>787</v>
      </c>
      <c r="E105" s="2">
        <v>1959</v>
      </c>
      <c r="F105" s="2">
        <v>-2611</v>
      </c>
      <c r="G105" s="2">
        <v>71</v>
      </c>
      <c r="I105" t="s">
        <v>5022</v>
      </c>
    </row>
    <row r="106" spans="1:9" x14ac:dyDescent="0.2">
      <c r="A106" t="s">
        <v>4732</v>
      </c>
      <c r="B106" t="s">
        <v>864</v>
      </c>
      <c r="C106">
        <v>13</v>
      </c>
      <c r="D106" t="s">
        <v>787</v>
      </c>
      <c r="E106" s="2">
        <v>1789</v>
      </c>
      <c r="F106" s="2">
        <v>-2985</v>
      </c>
      <c r="G106" s="2">
        <v>80</v>
      </c>
      <c r="I106" t="s">
        <v>5023</v>
      </c>
    </row>
    <row r="107" spans="1:9" x14ac:dyDescent="0.2">
      <c r="A107" t="s">
        <v>4733</v>
      </c>
      <c r="B107" t="s">
        <v>879</v>
      </c>
      <c r="C107">
        <v>14</v>
      </c>
      <c r="D107" t="s">
        <v>787</v>
      </c>
      <c r="E107" s="2">
        <v>-1967</v>
      </c>
      <c r="F107" s="2">
        <v>-2059</v>
      </c>
      <c r="G107" s="2">
        <v>30</v>
      </c>
      <c r="I107" t="s">
        <v>5024</v>
      </c>
    </row>
    <row r="108" spans="1:9" x14ac:dyDescent="0.2">
      <c r="A108" t="s">
        <v>4734</v>
      </c>
      <c r="B108" t="s">
        <v>879</v>
      </c>
      <c r="C108">
        <v>14</v>
      </c>
      <c r="D108" t="s">
        <v>787</v>
      </c>
      <c r="E108" s="2">
        <v>-1795</v>
      </c>
      <c r="F108" s="2">
        <v>-1961</v>
      </c>
      <c r="G108" s="2">
        <v>31</v>
      </c>
      <c r="I108" t="s">
        <v>5025</v>
      </c>
    </row>
    <row r="109" spans="1:9" x14ac:dyDescent="0.2">
      <c r="A109" t="s">
        <v>1166</v>
      </c>
      <c r="B109" t="s">
        <v>879</v>
      </c>
      <c r="C109">
        <v>14</v>
      </c>
      <c r="D109" t="s">
        <v>787</v>
      </c>
      <c r="E109" s="2">
        <v>-1726</v>
      </c>
      <c r="F109" s="2">
        <v>-2183</v>
      </c>
      <c r="G109" s="2">
        <v>5</v>
      </c>
      <c r="I109" t="s">
        <v>5026</v>
      </c>
    </row>
    <row r="110" spans="1:9" x14ac:dyDescent="0.2">
      <c r="A110" t="s">
        <v>1167</v>
      </c>
      <c r="B110" t="s">
        <v>876</v>
      </c>
      <c r="C110">
        <v>15</v>
      </c>
      <c r="D110" t="s">
        <v>787</v>
      </c>
      <c r="E110" s="2">
        <v>-3881</v>
      </c>
      <c r="F110" s="2">
        <v>-726</v>
      </c>
      <c r="G110" s="2">
        <v>569</v>
      </c>
      <c r="I110" t="s">
        <v>5027</v>
      </c>
    </row>
    <row r="111" spans="1:9" x14ac:dyDescent="0.2">
      <c r="A111" t="s">
        <v>4735</v>
      </c>
      <c r="B111" t="s">
        <v>1922</v>
      </c>
      <c r="C111">
        <v>8</v>
      </c>
      <c r="D111" t="s">
        <v>787</v>
      </c>
      <c r="E111" s="2">
        <v>4650</v>
      </c>
      <c r="F111" s="2">
        <v>3584</v>
      </c>
      <c r="G111" s="2">
        <v>-51</v>
      </c>
      <c r="I111" t="s">
        <v>5028</v>
      </c>
    </row>
    <row r="112" spans="1:9" x14ac:dyDescent="0.2">
      <c r="A112" t="s">
        <v>4736</v>
      </c>
      <c r="B112" t="s">
        <v>1922</v>
      </c>
      <c r="C112">
        <v>8</v>
      </c>
      <c r="D112" t="s">
        <v>787</v>
      </c>
      <c r="E112" s="2">
        <v>4645</v>
      </c>
      <c r="F112" s="2">
        <v>3206</v>
      </c>
      <c r="G112" s="2">
        <v>6</v>
      </c>
      <c r="I112" t="s">
        <v>5029</v>
      </c>
    </row>
    <row r="113" spans="1:9" x14ac:dyDescent="0.2">
      <c r="A113" t="s">
        <v>1169</v>
      </c>
      <c r="B113" t="s">
        <v>904</v>
      </c>
      <c r="C113">
        <v>4</v>
      </c>
      <c r="D113" t="s">
        <v>787</v>
      </c>
      <c r="E113" s="2">
        <v>-3960</v>
      </c>
      <c r="F113" s="2">
        <v>3245</v>
      </c>
      <c r="G113" s="2">
        <v>236</v>
      </c>
      <c r="I113" t="s">
        <v>5030</v>
      </c>
    </row>
    <row r="114" spans="1:9" x14ac:dyDescent="0.2">
      <c r="A114" t="s">
        <v>4737</v>
      </c>
      <c r="B114" t="s">
        <v>801</v>
      </c>
      <c r="C114">
        <v>3</v>
      </c>
      <c r="D114" t="s">
        <v>787</v>
      </c>
      <c r="E114" s="2">
        <v>-1234</v>
      </c>
      <c r="F114" s="2">
        <v>770</v>
      </c>
      <c r="G114" s="2">
        <v>77</v>
      </c>
      <c r="I114" t="s">
        <v>5031</v>
      </c>
    </row>
    <row r="115" spans="1:9" x14ac:dyDescent="0.2">
      <c r="A115" t="s">
        <v>4738</v>
      </c>
      <c r="B115" t="s">
        <v>801</v>
      </c>
      <c r="C115">
        <v>3</v>
      </c>
      <c r="D115" t="s">
        <v>787</v>
      </c>
      <c r="E115" s="2">
        <v>-1188</v>
      </c>
      <c r="F115" s="2">
        <v>644</v>
      </c>
      <c r="G115" s="2">
        <v>72</v>
      </c>
      <c r="I115" t="s">
        <v>5032</v>
      </c>
    </row>
    <row r="116" spans="1:9" x14ac:dyDescent="0.2">
      <c r="A116" t="s">
        <v>1171</v>
      </c>
      <c r="B116" t="s">
        <v>934</v>
      </c>
      <c r="C116">
        <v>11</v>
      </c>
      <c r="D116" t="s">
        <v>787</v>
      </c>
      <c r="E116" s="2">
        <v>2504</v>
      </c>
      <c r="F116" s="2">
        <v>-2106</v>
      </c>
      <c r="G116" s="2">
        <v>6</v>
      </c>
      <c r="I116" t="s">
        <v>5033</v>
      </c>
    </row>
    <row r="117" spans="1:9" x14ac:dyDescent="0.2">
      <c r="A117" t="s">
        <v>4676</v>
      </c>
      <c r="B117" s="20" t="s">
        <v>879</v>
      </c>
      <c r="C117" s="20">
        <v>14</v>
      </c>
      <c r="D117" t="s">
        <v>787</v>
      </c>
      <c r="E117" s="2">
        <v>-3354</v>
      </c>
      <c r="F117" s="2">
        <v>-2693</v>
      </c>
      <c r="G117" s="2">
        <v>-4</v>
      </c>
      <c r="I117" t="s">
        <v>5034</v>
      </c>
    </row>
    <row r="118" spans="1:9" x14ac:dyDescent="0.2">
      <c r="A118" t="s">
        <v>1173</v>
      </c>
      <c r="B118" t="s">
        <v>922</v>
      </c>
      <c r="C118">
        <v>9</v>
      </c>
      <c r="D118" t="s">
        <v>787</v>
      </c>
      <c r="E118" s="2">
        <v>2909</v>
      </c>
      <c r="F118" s="2">
        <v>-65</v>
      </c>
      <c r="G118" s="2">
        <v>81</v>
      </c>
      <c r="I118" t="s">
        <v>5035</v>
      </c>
    </row>
    <row r="119" spans="1:9" x14ac:dyDescent="0.2">
      <c r="A119" t="s">
        <v>1174</v>
      </c>
      <c r="B119" t="s">
        <v>864</v>
      </c>
      <c r="C119">
        <v>13</v>
      </c>
      <c r="D119" t="s">
        <v>787</v>
      </c>
      <c r="E119" s="2">
        <v>671</v>
      </c>
      <c r="F119" s="2">
        <v>-3109</v>
      </c>
      <c r="G119" s="2">
        <v>23</v>
      </c>
      <c r="I119" t="s">
        <v>5036</v>
      </c>
    </row>
    <row r="120" spans="1:9" x14ac:dyDescent="0.2">
      <c r="A120" t="s">
        <v>1175</v>
      </c>
      <c r="B120" t="s">
        <v>4633</v>
      </c>
      <c r="C120">
        <v>1</v>
      </c>
      <c r="D120" t="s">
        <v>787</v>
      </c>
      <c r="E120" s="2">
        <v>-512</v>
      </c>
      <c r="F120" s="2">
        <v>127</v>
      </c>
      <c r="G120" s="2">
        <v>20</v>
      </c>
      <c r="I120" t="s">
        <v>5037</v>
      </c>
    </row>
    <row r="121" spans="1:9" x14ac:dyDescent="0.2">
      <c r="A121" t="s">
        <v>1176</v>
      </c>
      <c r="B121" t="s">
        <v>2073</v>
      </c>
      <c r="C121">
        <v>7</v>
      </c>
      <c r="D121" t="s">
        <v>787</v>
      </c>
      <c r="E121" s="2">
        <v>1247</v>
      </c>
      <c r="F121" s="2">
        <v>1231</v>
      </c>
      <c r="G121" s="2">
        <v>25</v>
      </c>
      <c r="I121" t="s">
        <v>5038</v>
      </c>
    </row>
    <row r="122" spans="1:9" x14ac:dyDescent="0.2">
      <c r="A122" t="s">
        <v>4739</v>
      </c>
      <c r="B122" t="s">
        <v>2506</v>
      </c>
      <c r="C122">
        <v>5</v>
      </c>
      <c r="D122" t="s">
        <v>787</v>
      </c>
      <c r="E122" s="2">
        <v>-2642</v>
      </c>
      <c r="F122" s="2">
        <v>3268</v>
      </c>
      <c r="G122" s="2">
        <v>249</v>
      </c>
      <c r="I122" t="s">
        <v>5039</v>
      </c>
    </row>
    <row r="123" spans="1:9" x14ac:dyDescent="0.2">
      <c r="A123" t="s">
        <v>4740</v>
      </c>
      <c r="B123" t="s">
        <v>2506</v>
      </c>
      <c r="C123">
        <v>5</v>
      </c>
      <c r="D123" t="s">
        <v>787</v>
      </c>
      <c r="E123" s="2">
        <v>-2414</v>
      </c>
      <c r="F123" s="2">
        <v>3136</v>
      </c>
      <c r="G123" s="2">
        <v>372</v>
      </c>
      <c r="I123" t="s">
        <v>5040</v>
      </c>
    </row>
    <row r="124" spans="1:9" x14ac:dyDescent="0.2">
      <c r="A124" t="s">
        <v>4741</v>
      </c>
      <c r="B124" t="s">
        <v>864</v>
      </c>
      <c r="C124">
        <v>13</v>
      </c>
      <c r="D124" t="s">
        <v>783</v>
      </c>
      <c r="E124" s="2">
        <v>587</v>
      </c>
      <c r="F124" s="2">
        <v>-1624</v>
      </c>
      <c r="G124" s="2">
        <v>1442</v>
      </c>
      <c r="I124" t="s">
        <v>5041</v>
      </c>
    </row>
    <row r="125" spans="1:9" x14ac:dyDescent="0.2">
      <c r="A125" t="s">
        <v>4742</v>
      </c>
      <c r="B125" t="s">
        <v>864</v>
      </c>
      <c r="C125">
        <v>13</v>
      </c>
      <c r="D125" t="s">
        <v>783</v>
      </c>
      <c r="E125" s="2">
        <v>632</v>
      </c>
      <c r="F125" s="2">
        <v>-1638</v>
      </c>
      <c r="G125" s="2">
        <v>1483</v>
      </c>
      <c r="I125" t="s">
        <v>5042</v>
      </c>
    </row>
    <row r="126" spans="1:9" x14ac:dyDescent="0.2">
      <c r="A126" t="s">
        <v>1179</v>
      </c>
      <c r="B126" t="s">
        <v>922</v>
      </c>
      <c r="C126">
        <v>9</v>
      </c>
      <c r="D126" t="s">
        <v>787</v>
      </c>
      <c r="E126" s="2">
        <v>3660</v>
      </c>
      <c r="F126" s="2">
        <v>538</v>
      </c>
      <c r="G126" s="2">
        <v>268</v>
      </c>
      <c r="I126" t="s">
        <v>5043</v>
      </c>
    </row>
    <row r="127" spans="1:9" x14ac:dyDescent="0.2">
      <c r="A127" t="s">
        <v>4743</v>
      </c>
      <c r="B127" t="s">
        <v>4634</v>
      </c>
      <c r="C127">
        <v>2</v>
      </c>
      <c r="D127" t="s">
        <v>783</v>
      </c>
      <c r="E127" s="2">
        <v>260</v>
      </c>
      <c r="F127" s="2">
        <v>-1557</v>
      </c>
      <c r="G127" s="2">
        <v>1361</v>
      </c>
      <c r="I127" t="s">
        <v>5044</v>
      </c>
    </row>
    <row r="128" spans="1:9" x14ac:dyDescent="0.2">
      <c r="A128" t="s">
        <v>4744</v>
      </c>
      <c r="B128" t="s">
        <v>4634</v>
      </c>
      <c r="C128">
        <v>2</v>
      </c>
      <c r="D128" t="s">
        <v>783</v>
      </c>
      <c r="E128" s="2">
        <v>170</v>
      </c>
      <c r="F128" s="2">
        <v>-1633</v>
      </c>
      <c r="G128" s="2">
        <v>1377</v>
      </c>
      <c r="I128" t="s">
        <v>5045</v>
      </c>
    </row>
    <row r="129" spans="1:9" x14ac:dyDescent="0.2">
      <c r="A129" t="s">
        <v>1181</v>
      </c>
      <c r="B129" t="s">
        <v>864</v>
      </c>
      <c r="C129">
        <v>13</v>
      </c>
      <c r="D129" t="s">
        <v>787</v>
      </c>
      <c r="E129" s="2">
        <v>608</v>
      </c>
      <c r="F129" s="2">
        <v>-2210</v>
      </c>
      <c r="G129" s="2">
        <v>50</v>
      </c>
      <c r="I129" t="s">
        <v>5046</v>
      </c>
    </row>
    <row r="130" spans="1:9" x14ac:dyDescent="0.2">
      <c r="A130" t="s">
        <v>4745</v>
      </c>
      <c r="B130" t="s">
        <v>922</v>
      </c>
      <c r="C130">
        <v>9</v>
      </c>
      <c r="D130" t="s">
        <v>787</v>
      </c>
      <c r="E130" s="2">
        <v>3708</v>
      </c>
      <c r="F130" s="2">
        <v>608</v>
      </c>
      <c r="G130" s="2">
        <v>343</v>
      </c>
      <c r="I130" t="s">
        <v>5047</v>
      </c>
    </row>
    <row r="131" spans="1:9" x14ac:dyDescent="0.2">
      <c r="A131" t="s">
        <v>4746</v>
      </c>
      <c r="B131" t="s">
        <v>922</v>
      </c>
      <c r="C131">
        <v>9</v>
      </c>
      <c r="D131" t="s">
        <v>787</v>
      </c>
      <c r="E131" s="2">
        <v>3622</v>
      </c>
      <c r="F131" s="2">
        <v>583</v>
      </c>
      <c r="G131" s="2">
        <v>169</v>
      </c>
      <c r="I131" t="s">
        <v>5048</v>
      </c>
    </row>
    <row r="132" spans="1:9" x14ac:dyDescent="0.2">
      <c r="A132" t="s">
        <v>1183</v>
      </c>
      <c r="B132" t="s">
        <v>864</v>
      </c>
      <c r="C132">
        <v>13</v>
      </c>
      <c r="D132" t="s">
        <v>787</v>
      </c>
      <c r="E132" s="2">
        <v>283</v>
      </c>
      <c r="F132" s="2">
        <v>-3851</v>
      </c>
      <c r="G132" s="2">
        <v>33</v>
      </c>
      <c r="I132" t="s">
        <v>5049</v>
      </c>
    </row>
    <row r="133" spans="1:9" x14ac:dyDescent="0.2">
      <c r="A133" t="s">
        <v>1184</v>
      </c>
      <c r="B133" s="20" t="s">
        <v>879</v>
      </c>
      <c r="C133" s="20">
        <v>14</v>
      </c>
      <c r="D133" t="s">
        <v>787</v>
      </c>
      <c r="E133" s="2">
        <v>-3238</v>
      </c>
      <c r="F133" s="2">
        <v>-2939</v>
      </c>
      <c r="G133" s="2">
        <v>-65</v>
      </c>
      <c r="I133" t="s">
        <v>5050</v>
      </c>
    </row>
    <row r="134" spans="1:9" x14ac:dyDescent="0.2">
      <c r="A134" t="s">
        <v>4747</v>
      </c>
      <c r="B134" t="s">
        <v>922</v>
      </c>
      <c r="C134">
        <v>9</v>
      </c>
      <c r="D134" t="s">
        <v>787</v>
      </c>
      <c r="E134" s="2">
        <v>2958</v>
      </c>
      <c r="F134" s="2">
        <v>253</v>
      </c>
      <c r="G134" s="2">
        <v>202</v>
      </c>
      <c r="I134" t="s">
        <v>5051</v>
      </c>
    </row>
    <row r="135" spans="1:9" x14ac:dyDescent="0.2">
      <c r="A135" t="s">
        <v>4748</v>
      </c>
      <c r="B135" t="s">
        <v>922</v>
      </c>
      <c r="C135">
        <v>9</v>
      </c>
      <c r="D135" t="s">
        <v>787</v>
      </c>
      <c r="E135" s="2">
        <v>2912</v>
      </c>
      <c r="F135" s="2">
        <v>170</v>
      </c>
      <c r="G135" s="2">
        <v>157</v>
      </c>
      <c r="I135" t="s">
        <v>5052</v>
      </c>
    </row>
    <row r="136" spans="1:9" x14ac:dyDescent="0.2">
      <c r="A136" t="s">
        <v>4749</v>
      </c>
      <c r="B136" t="s">
        <v>4633</v>
      </c>
      <c r="C136">
        <v>1</v>
      </c>
      <c r="D136" t="s">
        <v>787</v>
      </c>
      <c r="E136" s="2">
        <v>6</v>
      </c>
      <c r="F136" s="2">
        <v>-157</v>
      </c>
      <c r="G136" s="2">
        <v>30</v>
      </c>
      <c r="I136" t="s">
        <v>5053</v>
      </c>
    </row>
    <row r="137" spans="1:9" x14ac:dyDescent="0.2">
      <c r="A137" t="s">
        <v>4750</v>
      </c>
      <c r="B137" t="s">
        <v>4633</v>
      </c>
      <c r="C137">
        <v>1</v>
      </c>
      <c r="D137" t="s">
        <v>787</v>
      </c>
      <c r="E137" s="2">
        <v>37</v>
      </c>
      <c r="F137" s="2">
        <v>-198</v>
      </c>
      <c r="G137" s="2">
        <v>18</v>
      </c>
      <c r="I137" t="s">
        <v>5054</v>
      </c>
    </row>
    <row r="138" spans="1:9" x14ac:dyDescent="0.2">
      <c r="A138" t="s">
        <v>1187</v>
      </c>
      <c r="B138" t="s">
        <v>864</v>
      </c>
      <c r="C138">
        <v>13</v>
      </c>
      <c r="D138" t="s">
        <v>787</v>
      </c>
      <c r="E138" s="2">
        <v>1813</v>
      </c>
      <c r="F138" s="2">
        <v>-3738</v>
      </c>
      <c r="G138" s="2">
        <v>118</v>
      </c>
      <c r="I138" t="s">
        <v>5055</v>
      </c>
    </row>
    <row r="139" spans="1:9" x14ac:dyDescent="0.2">
      <c r="A139" t="s">
        <v>1188</v>
      </c>
      <c r="B139" t="s">
        <v>805</v>
      </c>
      <c r="C139">
        <v>6</v>
      </c>
      <c r="D139" t="s">
        <v>787</v>
      </c>
      <c r="E139" s="2">
        <v>676</v>
      </c>
      <c r="F139" s="2">
        <v>1389</v>
      </c>
      <c r="G139" s="2">
        <v>45</v>
      </c>
      <c r="I139" t="s">
        <v>5056</v>
      </c>
    </row>
    <row r="140" spans="1:9" x14ac:dyDescent="0.2">
      <c r="A140" t="s">
        <v>1189</v>
      </c>
      <c r="B140" t="s">
        <v>4633</v>
      </c>
      <c r="C140">
        <v>1</v>
      </c>
      <c r="D140" t="s">
        <v>787</v>
      </c>
      <c r="E140" s="2">
        <v>845</v>
      </c>
      <c r="F140" s="2">
        <v>31</v>
      </c>
      <c r="G140" s="2">
        <v>15</v>
      </c>
      <c r="I140" t="s">
        <v>5057</v>
      </c>
    </row>
    <row r="141" spans="1:9" x14ac:dyDescent="0.2">
      <c r="A141" t="s">
        <v>1190</v>
      </c>
      <c r="B141" t="s">
        <v>922</v>
      </c>
      <c r="C141">
        <v>9</v>
      </c>
      <c r="D141" t="s">
        <v>787</v>
      </c>
      <c r="E141" s="2">
        <v>3809</v>
      </c>
      <c r="F141" s="2">
        <v>419</v>
      </c>
      <c r="G141" s="2">
        <v>208</v>
      </c>
      <c r="I141" t="s">
        <v>5058</v>
      </c>
    </row>
    <row r="142" spans="1:9" x14ac:dyDescent="0.2">
      <c r="A142" t="s">
        <v>4751</v>
      </c>
      <c r="B142" t="s">
        <v>934</v>
      </c>
      <c r="C142">
        <v>11</v>
      </c>
      <c r="D142" t="s">
        <v>787</v>
      </c>
      <c r="E142" s="2">
        <v>3748</v>
      </c>
      <c r="F142" s="2">
        <v>-2026</v>
      </c>
      <c r="G142" s="2">
        <v>190</v>
      </c>
      <c r="I142" t="s">
        <v>5059</v>
      </c>
    </row>
    <row r="143" spans="1:9" x14ac:dyDescent="0.2">
      <c r="A143" t="s">
        <v>4752</v>
      </c>
      <c r="B143" t="s">
        <v>934</v>
      </c>
      <c r="C143">
        <v>11</v>
      </c>
      <c r="D143" t="s">
        <v>787</v>
      </c>
      <c r="E143" s="2">
        <v>3757</v>
      </c>
      <c r="F143" s="2">
        <v>-2066</v>
      </c>
      <c r="G143" s="2">
        <v>214</v>
      </c>
      <c r="I143" t="s">
        <v>5060</v>
      </c>
    </row>
    <row r="144" spans="1:9" x14ac:dyDescent="0.2">
      <c r="A144" t="s">
        <v>1192</v>
      </c>
      <c r="B144" t="s">
        <v>4634</v>
      </c>
      <c r="C144">
        <v>2</v>
      </c>
      <c r="D144" t="s">
        <v>787</v>
      </c>
      <c r="E144" s="2">
        <v>-1092</v>
      </c>
      <c r="F144" s="2">
        <v>-2162</v>
      </c>
      <c r="G144" s="2">
        <v>143</v>
      </c>
      <c r="I144" t="s">
        <v>5061</v>
      </c>
    </row>
    <row r="145" spans="1:9" x14ac:dyDescent="0.2">
      <c r="A145" t="s">
        <v>1193</v>
      </c>
      <c r="B145" s="20" t="s">
        <v>926</v>
      </c>
      <c r="C145" s="20">
        <v>10</v>
      </c>
      <c r="D145" t="s">
        <v>787</v>
      </c>
      <c r="E145" s="2">
        <v>2492</v>
      </c>
      <c r="F145" s="2">
        <v>-1477</v>
      </c>
      <c r="G145" s="2">
        <v>12</v>
      </c>
      <c r="I145" t="s">
        <v>5062</v>
      </c>
    </row>
    <row r="146" spans="1:9" x14ac:dyDescent="0.2">
      <c r="A146" t="s">
        <v>1194</v>
      </c>
      <c r="B146" t="s">
        <v>864</v>
      </c>
      <c r="C146">
        <v>13</v>
      </c>
      <c r="D146" t="s">
        <v>787</v>
      </c>
      <c r="E146" s="2">
        <v>1896</v>
      </c>
      <c r="F146" s="2">
        <v>-3111</v>
      </c>
      <c r="G146" s="2">
        <v>132</v>
      </c>
      <c r="I146" t="s">
        <v>5063</v>
      </c>
    </row>
    <row r="147" spans="1:9" x14ac:dyDescent="0.2">
      <c r="A147" t="s">
        <v>1195</v>
      </c>
      <c r="B147" t="s">
        <v>904</v>
      </c>
      <c r="C147">
        <v>4</v>
      </c>
      <c r="D147" t="s">
        <v>787</v>
      </c>
      <c r="E147" s="2">
        <v>-3559</v>
      </c>
      <c r="F147" s="2">
        <v>2488</v>
      </c>
      <c r="G147" s="2">
        <v>227</v>
      </c>
      <c r="I147" t="s">
        <v>5064</v>
      </c>
    </row>
    <row r="148" spans="1:9" x14ac:dyDescent="0.2">
      <c r="A148" t="s">
        <v>4753</v>
      </c>
      <c r="B148" t="s">
        <v>4633</v>
      </c>
      <c r="C148">
        <v>1</v>
      </c>
      <c r="D148" t="s">
        <v>787</v>
      </c>
      <c r="E148" s="2">
        <v>-325</v>
      </c>
      <c r="F148" s="2">
        <v>802</v>
      </c>
      <c r="G148" s="2">
        <v>54</v>
      </c>
      <c r="I148" t="s">
        <v>5065</v>
      </c>
    </row>
    <row r="149" spans="1:9" x14ac:dyDescent="0.2">
      <c r="A149" t="s">
        <v>4754</v>
      </c>
      <c r="B149" t="s">
        <v>4633</v>
      </c>
      <c r="C149">
        <v>1</v>
      </c>
      <c r="D149" t="s">
        <v>787</v>
      </c>
      <c r="E149" s="2">
        <v>-253</v>
      </c>
      <c r="F149" s="2">
        <v>767</v>
      </c>
      <c r="G149" s="2">
        <v>27</v>
      </c>
      <c r="I149" t="s">
        <v>5066</v>
      </c>
    </row>
    <row r="150" spans="1:9" x14ac:dyDescent="0.2">
      <c r="A150" t="s">
        <v>4755</v>
      </c>
      <c r="B150" t="s">
        <v>4633</v>
      </c>
      <c r="C150">
        <v>1</v>
      </c>
      <c r="D150" t="s">
        <v>787</v>
      </c>
      <c r="E150" s="2">
        <v>-254</v>
      </c>
      <c r="F150" s="2">
        <v>129</v>
      </c>
      <c r="G150" s="2">
        <v>8</v>
      </c>
      <c r="I150" t="s">
        <v>5067</v>
      </c>
    </row>
    <row r="151" spans="1:9" x14ac:dyDescent="0.2">
      <c r="A151" t="s">
        <v>1197</v>
      </c>
      <c r="B151" t="s">
        <v>4633</v>
      </c>
      <c r="C151">
        <v>1</v>
      </c>
      <c r="D151" t="s">
        <v>787</v>
      </c>
      <c r="E151" s="2">
        <v>-1404</v>
      </c>
      <c r="F151" s="2">
        <v>-256</v>
      </c>
      <c r="G151" s="2">
        <v>-3</v>
      </c>
      <c r="I151" t="s">
        <v>5068</v>
      </c>
    </row>
    <row r="152" spans="1:9" x14ac:dyDescent="0.2">
      <c r="A152" t="s">
        <v>4756</v>
      </c>
      <c r="B152" t="s">
        <v>926</v>
      </c>
      <c r="C152">
        <v>10</v>
      </c>
      <c r="D152" t="s">
        <v>787</v>
      </c>
      <c r="E152" s="2">
        <v>1328</v>
      </c>
      <c r="F152" s="2">
        <v>-1156</v>
      </c>
      <c r="G152" s="2">
        <v>134</v>
      </c>
      <c r="I152" t="s">
        <v>5069</v>
      </c>
    </row>
    <row r="153" spans="1:9" x14ac:dyDescent="0.2">
      <c r="A153" t="s">
        <v>4757</v>
      </c>
      <c r="B153" t="s">
        <v>926</v>
      </c>
      <c r="C153">
        <v>10</v>
      </c>
      <c r="D153" t="s">
        <v>787</v>
      </c>
      <c r="E153" s="2">
        <v>1373</v>
      </c>
      <c r="F153" s="2">
        <v>-1197</v>
      </c>
      <c r="G153" s="2">
        <v>129</v>
      </c>
      <c r="I153" t="s">
        <v>5070</v>
      </c>
    </row>
    <row r="154" spans="1:9" x14ac:dyDescent="0.2">
      <c r="A154" t="s">
        <v>1199</v>
      </c>
      <c r="B154" t="s">
        <v>864</v>
      </c>
      <c r="C154">
        <v>13</v>
      </c>
      <c r="D154" t="s">
        <v>787</v>
      </c>
      <c r="E154" s="2">
        <v>1203</v>
      </c>
      <c r="F154" s="2">
        <v>-3170</v>
      </c>
      <c r="G154" s="2">
        <v>25</v>
      </c>
      <c r="I154" t="s">
        <v>5071</v>
      </c>
    </row>
    <row r="155" spans="1:9" x14ac:dyDescent="0.2">
      <c r="A155" t="s">
        <v>1200</v>
      </c>
      <c r="B155" t="s">
        <v>4634</v>
      </c>
      <c r="C155">
        <v>2</v>
      </c>
      <c r="D155" t="s">
        <v>787</v>
      </c>
      <c r="E155" s="2">
        <v>-2151</v>
      </c>
      <c r="F155" s="2">
        <v>-360</v>
      </c>
      <c r="G155" s="2">
        <v>276</v>
      </c>
      <c r="I155" t="s">
        <v>5072</v>
      </c>
    </row>
    <row r="156" spans="1:9" x14ac:dyDescent="0.2">
      <c r="A156" t="s">
        <v>1201</v>
      </c>
      <c r="B156" t="s">
        <v>4634</v>
      </c>
      <c r="C156">
        <v>2</v>
      </c>
      <c r="D156" t="s">
        <v>787</v>
      </c>
      <c r="E156" s="2">
        <v>-2198</v>
      </c>
      <c r="F156" s="2">
        <v>-807</v>
      </c>
      <c r="G156" s="2">
        <v>117</v>
      </c>
      <c r="I156" t="s">
        <v>5073</v>
      </c>
    </row>
    <row r="157" spans="1:9" x14ac:dyDescent="0.2">
      <c r="A157" t="s">
        <v>1202</v>
      </c>
      <c r="B157" t="s">
        <v>4634</v>
      </c>
      <c r="C157">
        <v>2</v>
      </c>
      <c r="D157" t="s">
        <v>787</v>
      </c>
      <c r="E157" s="2">
        <v>-1061</v>
      </c>
      <c r="F157" s="2">
        <v>-1829</v>
      </c>
      <c r="G157" s="2">
        <v>142</v>
      </c>
      <c r="I157" t="s">
        <v>5074</v>
      </c>
    </row>
    <row r="158" spans="1:9" x14ac:dyDescent="0.2">
      <c r="A158" t="s">
        <v>1203</v>
      </c>
      <c r="B158" t="s">
        <v>1922</v>
      </c>
      <c r="C158">
        <v>8</v>
      </c>
      <c r="D158" t="s">
        <v>787</v>
      </c>
      <c r="E158" s="2">
        <v>3321</v>
      </c>
      <c r="F158" s="2">
        <v>3424</v>
      </c>
      <c r="G158" s="2">
        <v>171</v>
      </c>
      <c r="I158" t="s">
        <v>5075</v>
      </c>
    </row>
    <row r="159" spans="1:9" x14ac:dyDescent="0.2">
      <c r="A159" t="s">
        <v>1204</v>
      </c>
      <c r="B159" s="20" t="s">
        <v>879</v>
      </c>
      <c r="C159" s="20">
        <v>14</v>
      </c>
      <c r="D159" t="s">
        <v>787</v>
      </c>
      <c r="E159" s="2">
        <v>-2939</v>
      </c>
      <c r="F159" s="2">
        <v>-3857</v>
      </c>
      <c r="G159" s="2">
        <v>-37</v>
      </c>
      <c r="I159" t="s">
        <v>5076</v>
      </c>
    </row>
    <row r="160" spans="1:9" x14ac:dyDescent="0.2">
      <c r="A160" t="s">
        <v>1205</v>
      </c>
      <c r="B160" t="s">
        <v>2073</v>
      </c>
      <c r="C160">
        <v>7</v>
      </c>
      <c r="D160" t="s">
        <v>787</v>
      </c>
      <c r="E160" s="2">
        <v>1800</v>
      </c>
      <c r="F160" s="2">
        <v>1983</v>
      </c>
      <c r="G160" s="2">
        <v>320</v>
      </c>
      <c r="I160" t="s">
        <v>5077</v>
      </c>
    </row>
    <row r="161" spans="1:9" x14ac:dyDescent="0.2">
      <c r="A161" t="s">
        <v>1206</v>
      </c>
      <c r="B161" t="s">
        <v>879</v>
      </c>
      <c r="C161">
        <v>14</v>
      </c>
      <c r="D161" t="s">
        <v>787</v>
      </c>
      <c r="E161" s="2">
        <v>-2215</v>
      </c>
      <c r="F161" s="2">
        <v>-2395</v>
      </c>
      <c r="G161" s="2">
        <v>247</v>
      </c>
      <c r="I161" t="s">
        <v>5078</v>
      </c>
    </row>
    <row r="162" spans="1:9" x14ac:dyDescent="0.2">
      <c r="A162" t="s">
        <v>1207</v>
      </c>
      <c r="B162" t="s">
        <v>879</v>
      </c>
      <c r="C162">
        <v>14</v>
      </c>
      <c r="D162" t="s">
        <v>787</v>
      </c>
      <c r="E162" s="2">
        <v>-1527</v>
      </c>
      <c r="F162" s="2">
        <v>-2222</v>
      </c>
      <c r="G162" s="2">
        <v>-20</v>
      </c>
      <c r="I162" t="s">
        <v>5079</v>
      </c>
    </row>
    <row r="163" spans="1:9" x14ac:dyDescent="0.2">
      <c r="A163" t="s">
        <v>1208</v>
      </c>
      <c r="B163" t="s">
        <v>876</v>
      </c>
      <c r="C163">
        <v>15</v>
      </c>
      <c r="D163" t="s">
        <v>787</v>
      </c>
      <c r="E163" s="2">
        <v>-4384</v>
      </c>
      <c r="F163" s="2">
        <v>-536</v>
      </c>
      <c r="G163" s="2">
        <v>473</v>
      </c>
      <c r="I163" t="s">
        <v>5080</v>
      </c>
    </row>
    <row r="164" spans="1:9" x14ac:dyDescent="0.2">
      <c r="A164" t="s">
        <v>1209</v>
      </c>
      <c r="B164" t="s">
        <v>904</v>
      </c>
      <c r="C164">
        <v>4</v>
      </c>
      <c r="D164" t="s">
        <v>787</v>
      </c>
      <c r="E164" s="2">
        <v>-4041</v>
      </c>
      <c r="F164" s="2">
        <v>2671</v>
      </c>
      <c r="G164" s="2">
        <v>23</v>
      </c>
      <c r="I164" t="s">
        <v>5081</v>
      </c>
    </row>
    <row r="165" spans="1:9" x14ac:dyDescent="0.2">
      <c r="A165" t="s">
        <v>1210</v>
      </c>
      <c r="B165" t="s">
        <v>879</v>
      </c>
      <c r="C165">
        <v>14</v>
      </c>
      <c r="D165" t="s">
        <v>787</v>
      </c>
      <c r="E165" s="2">
        <v>-2457</v>
      </c>
      <c r="F165" s="2">
        <v>-1798</v>
      </c>
      <c r="G165" s="2">
        <v>176</v>
      </c>
      <c r="I165" t="s">
        <v>5082</v>
      </c>
    </row>
    <row r="166" spans="1:9" x14ac:dyDescent="0.2">
      <c r="A166" t="s">
        <v>4758</v>
      </c>
      <c r="B166" s="20" t="s">
        <v>922</v>
      </c>
      <c r="C166" s="20">
        <v>9</v>
      </c>
      <c r="D166" t="s">
        <v>787</v>
      </c>
      <c r="E166" s="2">
        <v>2674</v>
      </c>
      <c r="F166" s="2">
        <v>287</v>
      </c>
      <c r="G166" s="2">
        <v>89</v>
      </c>
      <c r="I166" t="s">
        <v>5083</v>
      </c>
    </row>
    <row r="167" spans="1:9" x14ac:dyDescent="0.2">
      <c r="A167" t="s">
        <v>4759</v>
      </c>
      <c r="B167" s="20" t="s">
        <v>922</v>
      </c>
      <c r="C167" s="20">
        <v>9</v>
      </c>
      <c r="D167" t="s">
        <v>787</v>
      </c>
      <c r="E167" s="2">
        <v>2605</v>
      </c>
      <c r="F167" s="2">
        <v>227</v>
      </c>
      <c r="G167" s="2">
        <v>75</v>
      </c>
      <c r="I167" t="s">
        <v>5084</v>
      </c>
    </row>
    <row r="168" spans="1:9" x14ac:dyDescent="0.2">
      <c r="A168" t="s">
        <v>4760</v>
      </c>
      <c r="B168" s="20" t="s">
        <v>922</v>
      </c>
      <c r="C168" s="20">
        <v>9</v>
      </c>
      <c r="D168" t="s">
        <v>787</v>
      </c>
      <c r="E168" s="2">
        <v>2679</v>
      </c>
      <c r="F168" s="2">
        <v>217</v>
      </c>
      <c r="G168" s="2">
        <v>92</v>
      </c>
      <c r="I168" t="s">
        <v>5085</v>
      </c>
    </row>
    <row r="169" spans="1:9" x14ac:dyDescent="0.2">
      <c r="A169" t="s">
        <v>1212</v>
      </c>
      <c r="B169" t="s">
        <v>801</v>
      </c>
      <c r="C169">
        <v>3</v>
      </c>
      <c r="D169" t="s">
        <v>787</v>
      </c>
      <c r="E169" s="2">
        <v>-2840</v>
      </c>
      <c r="F169" s="2">
        <v>1771</v>
      </c>
      <c r="G169" s="2">
        <v>222</v>
      </c>
      <c r="I169" t="s">
        <v>5086</v>
      </c>
    </row>
    <row r="170" spans="1:9" x14ac:dyDescent="0.2">
      <c r="A170" t="s">
        <v>1213</v>
      </c>
      <c r="B170" t="s">
        <v>904</v>
      </c>
      <c r="C170">
        <v>4</v>
      </c>
      <c r="D170" t="s">
        <v>787</v>
      </c>
      <c r="E170" s="2">
        <v>-3214</v>
      </c>
      <c r="F170" s="2">
        <v>2462</v>
      </c>
      <c r="G170" s="2">
        <v>345</v>
      </c>
      <c r="I170" t="s">
        <v>5087</v>
      </c>
    </row>
    <row r="171" spans="1:9" x14ac:dyDescent="0.2">
      <c r="A171" t="s">
        <v>1214</v>
      </c>
      <c r="B171" t="s">
        <v>4634</v>
      </c>
      <c r="C171">
        <v>2</v>
      </c>
      <c r="D171" t="s">
        <v>787</v>
      </c>
      <c r="E171" s="2">
        <v>-2921</v>
      </c>
      <c r="F171" s="2">
        <v>-804</v>
      </c>
      <c r="G171" s="2">
        <v>7</v>
      </c>
      <c r="I171" t="s">
        <v>5088</v>
      </c>
    </row>
    <row r="172" spans="1:9" x14ac:dyDescent="0.2">
      <c r="A172" t="s">
        <v>1215</v>
      </c>
      <c r="B172" t="s">
        <v>801</v>
      </c>
      <c r="C172">
        <v>3</v>
      </c>
      <c r="D172" t="s">
        <v>787</v>
      </c>
      <c r="E172" s="2">
        <v>-2049</v>
      </c>
      <c r="F172" s="2">
        <v>1631</v>
      </c>
      <c r="G172" s="2">
        <v>-56</v>
      </c>
      <c r="I172" t="s">
        <v>5089</v>
      </c>
    </row>
    <row r="173" spans="1:9" x14ac:dyDescent="0.2">
      <c r="A173" t="s">
        <v>1216</v>
      </c>
      <c r="B173" t="s">
        <v>801</v>
      </c>
      <c r="C173">
        <v>3</v>
      </c>
      <c r="D173" t="s">
        <v>787</v>
      </c>
      <c r="E173" s="2">
        <v>-3308</v>
      </c>
      <c r="F173" s="2">
        <v>789</v>
      </c>
      <c r="G173" s="2">
        <v>-101</v>
      </c>
      <c r="I173" t="s">
        <v>5090</v>
      </c>
    </row>
    <row r="174" spans="1:9" x14ac:dyDescent="0.2">
      <c r="A174" t="s">
        <v>1217</v>
      </c>
      <c r="B174" t="s">
        <v>934</v>
      </c>
      <c r="C174">
        <v>11</v>
      </c>
      <c r="D174" t="s">
        <v>787</v>
      </c>
      <c r="E174" s="2">
        <v>4473</v>
      </c>
      <c r="F174" s="2">
        <v>-826</v>
      </c>
      <c r="G174" s="2">
        <v>31</v>
      </c>
      <c r="I174" t="s">
        <v>5091</v>
      </c>
    </row>
    <row r="175" spans="1:9" x14ac:dyDescent="0.2">
      <c r="A175" t="s">
        <v>1218</v>
      </c>
      <c r="B175" t="s">
        <v>1922</v>
      </c>
      <c r="C175">
        <v>8</v>
      </c>
      <c r="D175" t="s">
        <v>787</v>
      </c>
      <c r="E175" s="2">
        <v>3925</v>
      </c>
      <c r="F175" s="2">
        <v>1576</v>
      </c>
      <c r="G175" s="2">
        <v>107</v>
      </c>
      <c r="I175" t="s">
        <v>5092</v>
      </c>
    </row>
    <row r="176" spans="1:9" x14ac:dyDescent="0.2">
      <c r="A176" t="s">
        <v>1219</v>
      </c>
      <c r="B176" t="s">
        <v>801</v>
      </c>
      <c r="C176">
        <v>3</v>
      </c>
      <c r="D176" t="s">
        <v>787</v>
      </c>
      <c r="E176" s="2">
        <v>-2268</v>
      </c>
      <c r="F176" s="2">
        <v>899</v>
      </c>
      <c r="G176" s="2">
        <v>86</v>
      </c>
      <c r="I176" t="s">
        <v>5093</v>
      </c>
    </row>
    <row r="177" spans="1:9" x14ac:dyDescent="0.2">
      <c r="A177" t="s">
        <v>1220</v>
      </c>
      <c r="B177" t="s">
        <v>926</v>
      </c>
      <c r="C177">
        <v>10</v>
      </c>
      <c r="D177" t="s">
        <v>787</v>
      </c>
      <c r="E177" s="2">
        <v>1169</v>
      </c>
      <c r="F177" s="2">
        <v>-2443</v>
      </c>
      <c r="G177" s="2">
        <v>177</v>
      </c>
      <c r="I177" t="s">
        <v>5094</v>
      </c>
    </row>
    <row r="178" spans="1:9" x14ac:dyDescent="0.2">
      <c r="A178" t="s">
        <v>1221</v>
      </c>
      <c r="B178" t="s">
        <v>864</v>
      </c>
      <c r="C178">
        <v>13</v>
      </c>
      <c r="D178" t="s">
        <v>787</v>
      </c>
      <c r="E178" s="2">
        <v>1446</v>
      </c>
      <c r="F178" s="2">
        <v>-3483</v>
      </c>
      <c r="G178" s="2">
        <v>77</v>
      </c>
      <c r="I178" t="s">
        <v>5095</v>
      </c>
    </row>
    <row r="179" spans="1:9" x14ac:dyDescent="0.2">
      <c r="A179" t="s">
        <v>4761</v>
      </c>
      <c r="B179" t="s">
        <v>922</v>
      </c>
      <c r="C179">
        <v>9</v>
      </c>
      <c r="D179" t="s">
        <v>787</v>
      </c>
      <c r="E179" s="2">
        <v>4272</v>
      </c>
      <c r="F179" s="2">
        <v>774</v>
      </c>
      <c r="G179" s="2">
        <v>144</v>
      </c>
      <c r="I179" t="s">
        <v>5096</v>
      </c>
    </row>
    <row r="180" spans="1:9" x14ac:dyDescent="0.2">
      <c r="A180" t="s">
        <v>4762</v>
      </c>
      <c r="B180" t="s">
        <v>922</v>
      </c>
      <c r="C180">
        <v>9</v>
      </c>
      <c r="D180" t="s">
        <v>787</v>
      </c>
      <c r="E180" s="2">
        <v>4505</v>
      </c>
      <c r="F180" s="2">
        <v>705</v>
      </c>
      <c r="G180" s="2">
        <v>96</v>
      </c>
      <c r="I180" t="s">
        <v>5097</v>
      </c>
    </row>
    <row r="181" spans="1:9" x14ac:dyDescent="0.2">
      <c r="A181" t="s">
        <v>1223</v>
      </c>
      <c r="B181" t="s">
        <v>922</v>
      </c>
      <c r="C181">
        <v>9</v>
      </c>
      <c r="D181" t="s">
        <v>787</v>
      </c>
      <c r="E181" s="2">
        <v>4122</v>
      </c>
      <c r="F181" s="2">
        <v>662</v>
      </c>
      <c r="G181" s="2">
        <v>187</v>
      </c>
      <c r="I181" t="s">
        <v>5098</v>
      </c>
    </row>
    <row r="182" spans="1:9" x14ac:dyDescent="0.2">
      <c r="A182" t="s">
        <v>4763</v>
      </c>
      <c r="B182" t="s">
        <v>922</v>
      </c>
      <c r="C182">
        <v>9</v>
      </c>
      <c r="D182" t="s">
        <v>787</v>
      </c>
      <c r="E182" s="2">
        <v>2863</v>
      </c>
      <c r="F182" s="2">
        <v>346</v>
      </c>
      <c r="G182" s="2">
        <v>227</v>
      </c>
      <c r="I182" t="s">
        <v>5099</v>
      </c>
    </row>
    <row r="183" spans="1:9" x14ac:dyDescent="0.2">
      <c r="A183" t="s">
        <v>4764</v>
      </c>
      <c r="B183" t="s">
        <v>922</v>
      </c>
      <c r="C183">
        <v>9</v>
      </c>
      <c r="D183" t="s">
        <v>787</v>
      </c>
      <c r="E183" s="2">
        <v>2700</v>
      </c>
      <c r="F183" s="2">
        <v>479</v>
      </c>
      <c r="G183" s="2">
        <v>201</v>
      </c>
      <c r="I183" t="s">
        <v>5100</v>
      </c>
    </row>
    <row r="184" spans="1:9" x14ac:dyDescent="0.2">
      <c r="A184" t="s">
        <v>1225</v>
      </c>
      <c r="B184" t="s">
        <v>922</v>
      </c>
      <c r="C184">
        <v>9</v>
      </c>
      <c r="D184" t="s">
        <v>787</v>
      </c>
      <c r="E184" s="2">
        <v>3147</v>
      </c>
      <c r="F184" s="2">
        <v>667</v>
      </c>
      <c r="G184" s="2">
        <v>177</v>
      </c>
      <c r="I184" t="s">
        <v>5101</v>
      </c>
    </row>
    <row r="185" spans="1:9" x14ac:dyDescent="0.2">
      <c r="A185" t="s">
        <v>4765</v>
      </c>
      <c r="B185" s="20" t="s">
        <v>922</v>
      </c>
      <c r="C185" s="20">
        <v>9</v>
      </c>
      <c r="D185" t="s">
        <v>787</v>
      </c>
      <c r="E185" s="2">
        <v>2570</v>
      </c>
      <c r="F185" s="2">
        <v>517</v>
      </c>
      <c r="G185" s="2">
        <v>164</v>
      </c>
      <c r="I185" t="s">
        <v>5102</v>
      </c>
    </row>
    <row r="186" spans="1:9" x14ac:dyDescent="0.2">
      <c r="A186" t="s">
        <v>4766</v>
      </c>
      <c r="B186" t="s">
        <v>922</v>
      </c>
      <c r="C186">
        <v>9</v>
      </c>
      <c r="D186" t="s">
        <v>787</v>
      </c>
      <c r="E186" s="2">
        <v>2633</v>
      </c>
      <c r="F186" s="2">
        <v>526</v>
      </c>
      <c r="G186" s="2">
        <v>188</v>
      </c>
      <c r="I186" t="s">
        <v>5103</v>
      </c>
    </row>
    <row r="187" spans="1:9" x14ac:dyDescent="0.2">
      <c r="A187" t="s">
        <v>1227</v>
      </c>
      <c r="B187" s="20" t="s">
        <v>922</v>
      </c>
      <c r="C187" s="20">
        <v>9</v>
      </c>
      <c r="D187" t="s">
        <v>787</v>
      </c>
      <c r="E187" s="2">
        <v>2850</v>
      </c>
      <c r="F187" s="2">
        <v>477</v>
      </c>
      <c r="G187" s="2">
        <v>324</v>
      </c>
      <c r="I187" t="s">
        <v>5104</v>
      </c>
    </row>
    <row r="188" spans="1:9" x14ac:dyDescent="0.2">
      <c r="A188" t="s">
        <v>1228</v>
      </c>
      <c r="B188" s="20" t="s">
        <v>879</v>
      </c>
      <c r="C188" s="20">
        <v>14</v>
      </c>
      <c r="D188" t="s">
        <v>787</v>
      </c>
      <c r="E188" s="2">
        <v>-3827</v>
      </c>
      <c r="F188" s="2">
        <v>-2650</v>
      </c>
      <c r="G188" s="2">
        <v>35</v>
      </c>
      <c r="I188" t="s">
        <v>5105</v>
      </c>
    </row>
    <row r="189" spans="1:9" x14ac:dyDescent="0.2">
      <c r="A189" t="s">
        <v>4767</v>
      </c>
      <c r="B189" t="s">
        <v>934</v>
      </c>
      <c r="C189">
        <v>11</v>
      </c>
      <c r="D189" t="s">
        <v>787</v>
      </c>
      <c r="E189" s="2">
        <v>4225</v>
      </c>
      <c r="F189" s="2">
        <v>-1738</v>
      </c>
      <c r="G189" s="2">
        <v>180</v>
      </c>
      <c r="I189" t="s">
        <v>5106</v>
      </c>
    </row>
    <row r="190" spans="1:9" x14ac:dyDescent="0.2">
      <c r="A190" t="s">
        <v>4768</v>
      </c>
      <c r="B190" t="s">
        <v>934</v>
      </c>
      <c r="C190">
        <v>11</v>
      </c>
      <c r="D190" t="s">
        <v>787</v>
      </c>
      <c r="E190" s="2">
        <v>3933</v>
      </c>
      <c r="F190" s="2">
        <v>-2069</v>
      </c>
      <c r="G190" s="2">
        <v>127</v>
      </c>
      <c r="I190" t="s">
        <v>5107</v>
      </c>
    </row>
    <row r="191" spans="1:9" x14ac:dyDescent="0.2">
      <c r="A191" t="s">
        <v>1230</v>
      </c>
      <c r="B191" s="20" t="s">
        <v>879</v>
      </c>
      <c r="C191" s="20">
        <v>14</v>
      </c>
      <c r="D191" t="s">
        <v>787</v>
      </c>
      <c r="E191" s="2">
        <v>-4673</v>
      </c>
      <c r="F191" s="2">
        <v>-1986</v>
      </c>
      <c r="G191" s="2">
        <v>9</v>
      </c>
      <c r="I191" t="s">
        <v>5108</v>
      </c>
    </row>
    <row r="192" spans="1:9" x14ac:dyDescent="0.2">
      <c r="A192" t="s">
        <v>1231</v>
      </c>
      <c r="B192" t="s">
        <v>904</v>
      </c>
      <c r="C192">
        <v>4</v>
      </c>
      <c r="D192" t="s">
        <v>787</v>
      </c>
      <c r="E192" s="2">
        <v>-3958</v>
      </c>
      <c r="F192" s="2">
        <v>2029</v>
      </c>
      <c r="G192" s="2">
        <v>200</v>
      </c>
      <c r="I192" t="s">
        <v>5109</v>
      </c>
    </row>
    <row r="193" spans="1:9" x14ac:dyDescent="0.2">
      <c r="A193" t="s">
        <v>1232</v>
      </c>
      <c r="B193" t="s">
        <v>2073</v>
      </c>
      <c r="C193">
        <v>7</v>
      </c>
      <c r="D193" t="s">
        <v>787</v>
      </c>
      <c r="E193" s="2">
        <v>1642</v>
      </c>
      <c r="F193" s="2">
        <v>1729</v>
      </c>
      <c r="G193" s="2">
        <v>279</v>
      </c>
      <c r="I193" t="s">
        <v>5110</v>
      </c>
    </row>
    <row r="194" spans="1:9" x14ac:dyDescent="0.2">
      <c r="A194" t="s">
        <v>1233</v>
      </c>
      <c r="B194" t="s">
        <v>4634</v>
      </c>
      <c r="C194">
        <v>2</v>
      </c>
      <c r="D194" t="s">
        <v>787</v>
      </c>
      <c r="E194" s="2">
        <v>-72</v>
      </c>
      <c r="F194" s="2">
        <v>-1045</v>
      </c>
      <c r="G194" s="2">
        <v>17</v>
      </c>
      <c r="I194" t="s">
        <v>5111</v>
      </c>
    </row>
    <row r="195" spans="1:9" x14ac:dyDescent="0.2">
      <c r="A195" t="s">
        <v>1234</v>
      </c>
      <c r="B195" t="s">
        <v>879</v>
      </c>
      <c r="C195">
        <v>14</v>
      </c>
      <c r="D195" t="s">
        <v>787</v>
      </c>
      <c r="E195" s="2">
        <v>-2433</v>
      </c>
      <c r="F195" s="2">
        <v>-1819</v>
      </c>
      <c r="G195" s="2">
        <v>145</v>
      </c>
      <c r="I195" t="s">
        <v>5112</v>
      </c>
    </row>
    <row r="196" spans="1:9" x14ac:dyDescent="0.2">
      <c r="A196" t="s">
        <v>1235</v>
      </c>
      <c r="B196" t="s">
        <v>805</v>
      </c>
      <c r="C196">
        <v>6</v>
      </c>
      <c r="D196" t="s">
        <v>787</v>
      </c>
      <c r="E196" s="2">
        <v>-643</v>
      </c>
      <c r="F196" s="2">
        <v>2040</v>
      </c>
      <c r="G196" s="2">
        <v>154</v>
      </c>
      <c r="I196" t="s">
        <v>5113</v>
      </c>
    </row>
    <row r="197" spans="1:9" x14ac:dyDescent="0.2">
      <c r="A197" t="s">
        <v>1236</v>
      </c>
      <c r="B197" t="s">
        <v>2073</v>
      </c>
      <c r="C197">
        <v>7</v>
      </c>
      <c r="D197" t="s">
        <v>787</v>
      </c>
      <c r="E197" s="2">
        <v>1764</v>
      </c>
      <c r="F197" s="2">
        <v>2837</v>
      </c>
      <c r="G197" s="2">
        <v>399</v>
      </c>
      <c r="I197" t="s">
        <v>5114</v>
      </c>
    </row>
    <row r="198" spans="1:9" x14ac:dyDescent="0.2">
      <c r="A198" t="s">
        <v>1237</v>
      </c>
      <c r="B198" t="s">
        <v>2073</v>
      </c>
      <c r="C198">
        <v>7</v>
      </c>
      <c r="D198" t="s">
        <v>787</v>
      </c>
      <c r="E198" s="2">
        <v>1713</v>
      </c>
      <c r="F198" s="2">
        <v>2718</v>
      </c>
      <c r="G198" s="2">
        <v>400</v>
      </c>
      <c r="I198" t="s">
        <v>5115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dimension ref="A1:G29"/>
  <sheetViews>
    <sheetView workbookViewId="0">
      <selection activeCell="C2" sqref="C2:C29"/>
    </sheetView>
  </sheetViews>
  <sheetFormatPr baseColWidth="10" defaultRowHeight="16" x14ac:dyDescent="0.2"/>
  <sheetData>
    <row r="1" spans="1:7" x14ac:dyDescent="0.2">
      <c r="A1" s="10" t="s">
        <v>993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s="1" t="s">
        <v>965</v>
      </c>
      <c r="B2" t="s">
        <v>965</v>
      </c>
      <c r="C2" t="s">
        <v>994</v>
      </c>
      <c r="D2" t="s">
        <v>787</v>
      </c>
      <c r="E2" t="s">
        <v>995</v>
      </c>
      <c r="F2" t="s">
        <v>996</v>
      </c>
      <c r="G2" t="s">
        <v>824</v>
      </c>
    </row>
    <row r="3" spans="1:7" x14ac:dyDescent="0.2">
      <c r="A3" s="1" t="s">
        <v>966</v>
      </c>
      <c r="B3" t="s">
        <v>966</v>
      </c>
      <c r="C3" t="s">
        <v>997</v>
      </c>
      <c r="D3" t="s">
        <v>787</v>
      </c>
      <c r="E3" t="s">
        <v>998</v>
      </c>
      <c r="F3" t="s">
        <v>999</v>
      </c>
      <c r="G3" t="s">
        <v>1000</v>
      </c>
    </row>
    <row r="4" spans="1:7" x14ac:dyDescent="0.2">
      <c r="A4" s="1" t="s">
        <v>967</v>
      </c>
      <c r="B4" t="s">
        <v>967</v>
      </c>
      <c r="C4" t="s">
        <v>1001</v>
      </c>
      <c r="D4" t="s">
        <v>787</v>
      </c>
      <c r="E4" t="s">
        <v>1002</v>
      </c>
      <c r="F4" t="s">
        <v>1003</v>
      </c>
      <c r="G4" t="s">
        <v>1004</v>
      </c>
    </row>
    <row r="5" spans="1:7" x14ac:dyDescent="0.2">
      <c r="A5" s="1" t="s">
        <v>968</v>
      </c>
      <c r="B5" t="s">
        <v>968</v>
      </c>
      <c r="C5" t="s">
        <v>1005</v>
      </c>
      <c r="D5" t="s">
        <v>787</v>
      </c>
      <c r="E5" t="s">
        <v>1006</v>
      </c>
      <c r="F5" t="s">
        <v>1007</v>
      </c>
      <c r="G5" t="s">
        <v>1008</v>
      </c>
    </row>
    <row r="6" spans="1:7" x14ac:dyDescent="0.2">
      <c r="A6" s="1" t="s">
        <v>969</v>
      </c>
      <c r="B6" t="s">
        <v>969</v>
      </c>
      <c r="C6" t="s">
        <v>852</v>
      </c>
      <c r="D6" t="s">
        <v>787</v>
      </c>
      <c r="E6" t="s">
        <v>1009</v>
      </c>
      <c r="F6" t="s">
        <v>1010</v>
      </c>
      <c r="G6" t="s">
        <v>1011</v>
      </c>
    </row>
    <row r="7" spans="1:7" x14ac:dyDescent="0.2">
      <c r="A7" s="1" t="s">
        <v>970</v>
      </c>
      <c r="B7" t="s">
        <v>970</v>
      </c>
      <c r="C7" t="s">
        <v>1012</v>
      </c>
      <c r="D7" t="s">
        <v>787</v>
      </c>
      <c r="E7" t="s">
        <v>1013</v>
      </c>
      <c r="F7" t="s">
        <v>1014</v>
      </c>
      <c r="G7" t="s">
        <v>1015</v>
      </c>
    </row>
    <row r="8" spans="1:7" x14ac:dyDescent="0.2">
      <c r="A8" s="1" t="s">
        <v>971</v>
      </c>
      <c r="B8" t="s">
        <v>971</v>
      </c>
      <c r="C8" t="s">
        <v>1016</v>
      </c>
      <c r="D8" t="s">
        <v>787</v>
      </c>
      <c r="E8" t="s">
        <v>1017</v>
      </c>
      <c r="F8" t="s">
        <v>896</v>
      </c>
      <c r="G8" t="s">
        <v>827</v>
      </c>
    </row>
    <row r="9" spans="1:7" x14ac:dyDescent="0.2">
      <c r="A9" s="1" t="s">
        <v>972</v>
      </c>
      <c r="B9" t="s">
        <v>972</v>
      </c>
      <c r="C9" t="s">
        <v>1018</v>
      </c>
      <c r="D9" t="s">
        <v>787</v>
      </c>
      <c r="E9" t="s">
        <v>1019</v>
      </c>
      <c r="F9" t="s">
        <v>1020</v>
      </c>
      <c r="G9" t="s">
        <v>1021</v>
      </c>
    </row>
    <row r="10" spans="1:7" x14ac:dyDescent="0.2">
      <c r="A10" s="1" t="s">
        <v>973</v>
      </c>
      <c r="B10" t="s">
        <v>973</v>
      </c>
      <c r="C10" t="s">
        <v>1022</v>
      </c>
      <c r="D10" t="s">
        <v>787</v>
      </c>
      <c r="E10" t="s">
        <v>1023</v>
      </c>
      <c r="F10" t="s">
        <v>1024</v>
      </c>
      <c r="G10" t="s">
        <v>1025</v>
      </c>
    </row>
    <row r="11" spans="1:7" x14ac:dyDescent="0.2">
      <c r="A11" s="1" t="s">
        <v>974</v>
      </c>
      <c r="B11" t="s">
        <v>974</v>
      </c>
      <c r="C11" t="s">
        <v>1026</v>
      </c>
      <c r="D11" t="s">
        <v>787</v>
      </c>
      <c r="E11" t="s">
        <v>1027</v>
      </c>
      <c r="F11" t="s">
        <v>1028</v>
      </c>
      <c r="G11" t="s">
        <v>1029</v>
      </c>
    </row>
    <row r="12" spans="1:7" x14ac:dyDescent="0.2">
      <c r="A12" s="1" t="s">
        <v>975</v>
      </c>
      <c r="B12" t="s">
        <v>975</v>
      </c>
      <c r="C12" t="s">
        <v>1030</v>
      </c>
      <c r="D12" t="s">
        <v>787</v>
      </c>
      <c r="E12" t="s">
        <v>1031</v>
      </c>
      <c r="F12" t="s">
        <v>1032</v>
      </c>
      <c r="G12" t="s">
        <v>1033</v>
      </c>
    </row>
    <row r="13" spans="1:7" x14ac:dyDescent="0.2">
      <c r="A13" s="1" t="s">
        <v>976</v>
      </c>
      <c r="B13" t="s">
        <v>976</v>
      </c>
      <c r="C13" t="s">
        <v>1034</v>
      </c>
      <c r="D13" t="s">
        <v>787</v>
      </c>
      <c r="E13" t="s">
        <v>1035</v>
      </c>
      <c r="F13" t="s">
        <v>1036</v>
      </c>
      <c r="G13" t="s">
        <v>1037</v>
      </c>
    </row>
    <row r="14" spans="1:7" x14ac:dyDescent="0.2">
      <c r="A14" s="1" t="s">
        <v>977</v>
      </c>
      <c r="B14" t="s">
        <v>977</v>
      </c>
      <c r="C14" t="s">
        <v>1038</v>
      </c>
      <c r="D14" t="s">
        <v>787</v>
      </c>
      <c r="E14" t="s">
        <v>1039</v>
      </c>
      <c r="F14" t="s">
        <v>1040</v>
      </c>
      <c r="G14" t="s">
        <v>1041</v>
      </c>
    </row>
    <row r="15" spans="1:7" x14ac:dyDescent="0.2">
      <c r="A15" s="1" t="s">
        <v>978</v>
      </c>
      <c r="B15" t="s">
        <v>978</v>
      </c>
      <c r="C15" t="s">
        <v>1042</v>
      </c>
      <c r="D15" t="s">
        <v>787</v>
      </c>
      <c r="E15" t="s">
        <v>1043</v>
      </c>
      <c r="F15" t="s">
        <v>1044</v>
      </c>
      <c r="G15" t="s">
        <v>938</v>
      </c>
    </row>
    <row r="16" spans="1:7" x14ac:dyDescent="0.2">
      <c r="A16" s="1" t="s">
        <v>979</v>
      </c>
      <c r="B16" t="s">
        <v>979</v>
      </c>
      <c r="C16" t="s">
        <v>1045</v>
      </c>
      <c r="D16" t="s">
        <v>787</v>
      </c>
      <c r="E16" t="s">
        <v>1046</v>
      </c>
      <c r="F16" t="s">
        <v>1047</v>
      </c>
      <c r="G16" t="s">
        <v>1048</v>
      </c>
    </row>
    <row r="17" spans="1:7" x14ac:dyDescent="0.2">
      <c r="A17" s="1" t="s">
        <v>980</v>
      </c>
      <c r="B17" t="s">
        <v>980</v>
      </c>
      <c r="C17" t="s">
        <v>1049</v>
      </c>
      <c r="D17" t="s">
        <v>787</v>
      </c>
      <c r="E17" t="s">
        <v>1050</v>
      </c>
      <c r="F17" t="s">
        <v>1051</v>
      </c>
      <c r="G17" t="s">
        <v>1052</v>
      </c>
    </row>
    <row r="18" spans="1:7" x14ac:dyDescent="0.2">
      <c r="A18" s="1" t="s">
        <v>981</v>
      </c>
      <c r="B18" t="s">
        <v>981</v>
      </c>
      <c r="C18" t="s">
        <v>1053</v>
      </c>
      <c r="D18" t="s">
        <v>787</v>
      </c>
      <c r="E18" t="s">
        <v>1054</v>
      </c>
      <c r="F18" t="s">
        <v>1055</v>
      </c>
      <c r="G18" t="s">
        <v>1056</v>
      </c>
    </row>
    <row r="19" spans="1:7" x14ac:dyDescent="0.2">
      <c r="A19" s="1" t="s">
        <v>982</v>
      </c>
      <c r="B19" t="s">
        <v>982</v>
      </c>
      <c r="C19" t="s">
        <v>1057</v>
      </c>
      <c r="D19" t="s">
        <v>787</v>
      </c>
      <c r="E19" t="s">
        <v>1058</v>
      </c>
      <c r="F19" t="s">
        <v>1059</v>
      </c>
      <c r="G19" t="s">
        <v>929</v>
      </c>
    </row>
    <row r="20" spans="1:7" x14ac:dyDescent="0.2">
      <c r="A20" s="1" t="s">
        <v>983</v>
      </c>
      <c r="B20" t="s">
        <v>983</v>
      </c>
      <c r="C20" t="s">
        <v>808</v>
      </c>
      <c r="D20" t="s">
        <v>787</v>
      </c>
      <c r="E20" t="s">
        <v>1060</v>
      </c>
      <c r="F20" t="s">
        <v>1061</v>
      </c>
      <c r="G20" t="s">
        <v>1062</v>
      </c>
    </row>
    <row r="21" spans="1:7" x14ac:dyDescent="0.2">
      <c r="A21" s="1" t="s">
        <v>984</v>
      </c>
      <c r="B21" t="s">
        <v>984</v>
      </c>
      <c r="C21" t="s">
        <v>1063</v>
      </c>
      <c r="D21" t="s">
        <v>787</v>
      </c>
      <c r="E21" t="s">
        <v>1064</v>
      </c>
      <c r="F21" t="s">
        <v>1065</v>
      </c>
      <c r="G21" t="s">
        <v>1056</v>
      </c>
    </row>
    <row r="22" spans="1:7" x14ac:dyDescent="0.2">
      <c r="A22" s="1" t="s">
        <v>985</v>
      </c>
      <c r="B22" t="s">
        <v>985</v>
      </c>
      <c r="C22" t="s">
        <v>801</v>
      </c>
      <c r="D22" t="s">
        <v>787</v>
      </c>
      <c r="E22" t="s">
        <v>1066</v>
      </c>
      <c r="F22" t="s">
        <v>1067</v>
      </c>
      <c r="G22" t="s">
        <v>1068</v>
      </c>
    </row>
    <row r="23" spans="1:7" x14ac:dyDescent="0.2">
      <c r="A23" s="1" t="s">
        <v>986</v>
      </c>
      <c r="B23" t="s">
        <v>986</v>
      </c>
      <c r="C23" t="s">
        <v>1069</v>
      </c>
      <c r="D23" t="s">
        <v>787</v>
      </c>
      <c r="E23" t="s">
        <v>1070</v>
      </c>
      <c r="F23" t="s">
        <v>1071</v>
      </c>
      <c r="G23" t="s">
        <v>1072</v>
      </c>
    </row>
    <row r="24" spans="1:7" x14ac:dyDescent="0.2">
      <c r="A24" s="1" t="s">
        <v>987</v>
      </c>
      <c r="B24" t="s">
        <v>987</v>
      </c>
      <c r="C24" t="s">
        <v>1073</v>
      </c>
      <c r="D24" t="s">
        <v>787</v>
      </c>
      <c r="E24" t="s">
        <v>1074</v>
      </c>
      <c r="F24" t="s">
        <v>1075</v>
      </c>
      <c r="G24" t="s">
        <v>836</v>
      </c>
    </row>
    <row r="25" spans="1:7" x14ac:dyDescent="0.2">
      <c r="A25" s="1" t="s">
        <v>988</v>
      </c>
      <c r="B25" t="s">
        <v>988</v>
      </c>
      <c r="C25" t="s">
        <v>1076</v>
      </c>
      <c r="D25" t="s">
        <v>787</v>
      </c>
      <c r="E25" t="s">
        <v>1077</v>
      </c>
      <c r="F25" t="s">
        <v>1078</v>
      </c>
      <c r="G25" t="s">
        <v>1079</v>
      </c>
    </row>
    <row r="26" spans="1:7" x14ac:dyDescent="0.2">
      <c r="A26" s="1" t="s">
        <v>989</v>
      </c>
      <c r="B26" t="s">
        <v>989</v>
      </c>
      <c r="C26" t="s">
        <v>1080</v>
      </c>
      <c r="D26" t="s">
        <v>787</v>
      </c>
      <c r="E26" t="s">
        <v>1081</v>
      </c>
      <c r="F26" t="s">
        <v>1082</v>
      </c>
      <c r="G26" t="s">
        <v>911</v>
      </c>
    </row>
    <row r="27" spans="1:7" x14ac:dyDescent="0.2">
      <c r="A27" s="1" t="s">
        <v>990</v>
      </c>
      <c r="B27" t="s">
        <v>990</v>
      </c>
      <c r="C27" t="s">
        <v>1083</v>
      </c>
      <c r="D27" t="s">
        <v>787</v>
      </c>
      <c r="E27" t="s">
        <v>1084</v>
      </c>
      <c r="F27" t="s">
        <v>856</v>
      </c>
      <c r="G27" t="s">
        <v>1085</v>
      </c>
    </row>
    <row r="28" spans="1:7" x14ac:dyDescent="0.2">
      <c r="A28" s="1" t="s">
        <v>991</v>
      </c>
      <c r="B28" t="s">
        <v>991</v>
      </c>
      <c r="C28" t="s">
        <v>991</v>
      </c>
      <c r="D28" t="s">
        <v>787</v>
      </c>
      <c r="E28" t="s">
        <v>931</v>
      </c>
      <c r="F28" t="s">
        <v>1086</v>
      </c>
      <c r="G28" t="s">
        <v>1087</v>
      </c>
    </row>
    <row r="29" spans="1:7" x14ac:dyDescent="0.2">
      <c r="A29" s="1" t="s">
        <v>992</v>
      </c>
      <c r="B29" t="s">
        <v>992</v>
      </c>
      <c r="C29" t="s">
        <v>1088</v>
      </c>
      <c r="D29" t="s">
        <v>787</v>
      </c>
      <c r="E29" t="s">
        <v>797</v>
      </c>
      <c r="F29" t="s">
        <v>1089</v>
      </c>
      <c r="G29" t="s">
        <v>885</v>
      </c>
    </row>
  </sheetData>
  <autoFilter ref="A1:G29" xr:uid="{D3556292-572C-6940-86CF-28B5941B8F64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dimension ref="A1:K32"/>
  <sheetViews>
    <sheetView workbookViewId="0">
      <selection activeCell="B3" sqref="B3:B32"/>
    </sheetView>
  </sheetViews>
  <sheetFormatPr baseColWidth="10" defaultRowHeight="16" x14ac:dyDescent="0.2"/>
  <cols>
    <col min="1" max="1" width="18.1640625" customWidth="1"/>
  </cols>
  <sheetData>
    <row r="1" spans="1:11" s="6" customFormat="1" x14ac:dyDescent="0.2">
      <c r="A1" s="6" t="s">
        <v>1090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1580</v>
      </c>
      <c r="I1" s="6" t="s">
        <v>1581</v>
      </c>
      <c r="J1" s="6" t="s">
        <v>1582</v>
      </c>
      <c r="K1" s="6" t="s">
        <v>1583</v>
      </c>
    </row>
    <row r="2" spans="1:11" x14ac:dyDescent="0.2">
      <c r="A2" t="s">
        <v>1091</v>
      </c>
      <c r="B2" t="str">
        <f>IF(A2="",A1,"")</f>
        <v/>
      </c>
      <c r="D2" t="str">
        <f>IF(A2="",#REF!,"")</f>
        <v/>
      </c>
      <c r="E2" t="str">
        <f>IF(A2="",TEXT(LEFT(A3,FIND(",",A3)-1),"0000"),"")</f>
        <v/>
      </c>
      <c r="F2" t="str">
        <f>IF(A2="",TEXT(SUBSTITUTE(MID(A3,FIND(",",A3)+2,5),",",""),"0000"),"")</f>
        <v/>
      </c>
      <c r="G2" t="str">
        <f>IF(A2="",TEXT(RIGHT(A3,LEN(A3)-FIND(",",A3,7)-1),"0000"),"")</f>
        <v/>
      </c>
      <c r="H2" t="str">
        <f>IF(A2="",#REF!,"")</f>
        <v/>
      </c>
      <c r="I2" t="str">
        <f>IF(A2="",#REF!,"")</f>
        <v/>
      </c>
      <c r="J2" t="str">
        <f>IF(A2="",#REF!,"")</f>
        <v/>
      </c>
      <c r="K2" t="str">
        <f>IF(A2="",#REF!,"")</f>
        <v/>
      </c>
    </row>
    <row r="3" spans="1:11" x14ac:dyDescent="0.2">
      <c r="B3" t="s">
        <v>1471</v>
      </c>
      <c r="D3" t="s">
        <v>783</v>
      </c>
      <c r="E3" t="s">
        <v>1584</v>
      </c>
      <c r="F3" t="s">
        <v>1585</v>
      </c>
      <c r="G3" t="s">
        <v>1586</v>
      </c>
      <c r="H3" t="s">
        <v>1472</v>
      </c>
      <c r="I3" t="s">
        <v>1473</v>
      </c>
      <c r="J3" t="s">
        <v>1474</v>
      </c>
      <c r="K3" t="s">
        <v>1475</v>
      </c>
    </row>
    <row r="4" spans="1:11" x14ac:dyDescent="0.2">
      <c r="B4" t="s">
        <v>1476</v>
      </c>
      <c r="D4" t="s">
        <v>783</v>
      </c>
      <c r="E4" t="s">
        <v>1587</v>
      </c>
      <c r="F4" t="s">
        <v>1588</v>
      </c>
      <c r="G4" t="s">
        <v>1589</v>
      </c>
      <c r="H4" t="s">
        <v>1477</v>
      </c>
      <c r="I4" t="s">
        <v>1478</v>
      </c>
      <c r="J4" t="s">
        <v>1479</v>
      </c>
      <c r="K4" t="s">
        <v>1480</v>
      </c>
    </row>
    <row r="5" spans="1:11" x14ac:dyDescent="0.2">
      <c r="B5" t="s">
        <v>1481</v>
      </c>
      <c r="D5" t="s">
        <v>1482</v>
      </c>
      <c r="E5" t="s">
        <v>1590</v>
      </c>
      <c r="F5" t="s">
        <v>1591</v>
      </c>
      <c r="G5" t="s">
        <v>1011</v>
      </c>
      <c r="H5" t="s">
        <v>1483</v>
      </c>
      <c r="I5" t="s">
        <v>1484</v>
      </c>
      <c r="J5" t="s">
        <v>1485</v>
      </c>
      <c r="K5" t="s">
        <v>1486</v>
      </c>
    </row>
    <row r="6" spans="1:11" x14ac:dyDescent="0.2">
      <c r="B6" t="s">
        <v>866</v>
      </c>
      <c r="D6" t="s">
        <v>783</v>
      </c>
      <c r="E6" t="s">
        <v>1592</v>
      </c>
      <c r="F6" t="s">
        <v>1593</v>
      </c>
      <c r="G6" t="s">
        <v>1594</v>
      </c>
      <c r="H6" t="s">
        <v>1487</v>
      </c>
      <c r="I6" t="s">
        <v>1488</v>
      </c>
      <c r="J6" t="s">
        <v>1489</v>
      </c>
      <c r="K6" t="s">
        <v>1490</v>
      </c>
    </row>
    <row r="7" spans="1:11" x14ac:dyDescent="0.2">
      <c r="B7" t="s">
        <v>1491</v>
      </c>
      <c r="D7" t="s">
        <v>783</v>
      </c>
      <c r="E7" t="s">
        <v>1595</v>
      </c>
      <c r="F7" t="s">
        <v>1596</v>
      </c>
      <c r="G7" t="s">
        <v>1597</v>
      </c>
      <c r="H7" t="s">
        <v>1492</v>
      </c>
      <c r="I7" t="s">
        <v>1493</v>
      </c>
      <c r="J7" t="s">
        <v>1494</v>
      </c>
      <c r="K7" t="s">
        <v>1495</v>
      </c>
    </row>
    <row r="8" spans="1:11" x14ac:dyDescent="0.2">
      <c r="B8" t="s">
        <v>1497</v>
      </c>
      <c r="D8" t="s">
        <v>783</v>
      </c>
      <c r="E8" t="s">
        <v>1598</v>
      </c>
      <c r="F8" t="s">
        <v>1599</v>
      </c>
      <c r="G8" t="s">
        <v>1600</v>
      </c>
      <c r="H8" t="s">
        <v>1498</v>
      </c>
      <c r="I8" t="s">
        <v>1499</v>
      </c>
      <c r="J8" t="s">
        <v>1500</v>
      </c>
      <c r="K8" t="s">
        <v>1501</v>
      </c>
    </row>
    <row r="9" spans="1:11" x14ac:dyDescent="0.2">
      <c r="B9" t="s">
        <v>1502</v>
      </c>
      <c r="D9" t="s">
        <v>787</v>
      </c>
      <c r="E9" t="s">
        <v>1601</v>
      </c>
      <c r="F9" t="s">
        <v>1602</v>
      </c>
      <c r="G9" t="s">
        <v>794</v>
      </c>
      <c r="H9" t="s">
        <v>1483</v>
      </c>
      <c r="I9" t="s">
        <v>1484</v>
      </c>
      <c r="J9" t="s">
        <v>1485</v>
      </c>
      <c r="K9" t="s">
        <v>1503</v>
      </c>
    </row>
    <row r="10" spans="1:11" x14ac:dyDescent="0.2">
      <c r="B10" t="s">
        <v>1504</v>
      </c>
      <c r="D10" t="s">
        <v>783</v>
      </c>
      <c r="E10" t="s">
        <v>1603</v>
      </c>
      <c r="F10" t="s">
        <v>1604</v>
      </c>
      <c r="G10" t="s">
        <v>1605</v>
      </c>
      <c r="H10" t="s">
        <v>1505</v>
      </c>
      <c r="I10" t="s">
        <v>1506</v>
      </c>
      <c r="J10" t="s">
        <v>1507</v>
      </c>
      <c r="K10" t="s">
        <v>1508</v>
      </c>
    </row>
    <row r="11" spans="1:11" x14ac:dyDescent="0.2">
      <c r="B11" t="s">
        <v>1509</v>
      </c>
      <c r="D11" t="s">
        <v>783</v>
      </c>
      <c r="E11" t="s">
        <v>1606</v>
      </c>
      <c r="F11" t="s">
        <v>1607</v>
      </c>
      <c r="G11" t="s">
        <v>1608</v>
      </c>
      <c r="H11" t="s">
        <v>1510</v>
      </c>
      <c r="I11" t="s">
        <v>1474</v>
      </c>
      <c r="J11" t="s">
        <v>1511</v>
      </c>
      <c r="K11" t="s">
        <v>1512</v>
      </c>
    </row>
    <row r="12" spans="1:11" x14ac:dyDescent="0.2">
      <c r="B12" t="s">
        <v>1512</v>
      </c>
      <c r="D12" t="s">
        <v>787</v>
      </c>
      <c r="E12" t="s">
        <v>1609</v>
      </c>
      <c r="F12" t="s">
        <v>1610</v>
      </c>
      <c r="G12" t="s">
        <v>819</v>
      </c>
      <c r="H12" t="s">
        <v>1513</v>
      </c>
      <c r="I12" t="s">
        <v>1514</v>
      </c>
      <c r="J12" t="s">
        <v>1499</v>
      </c>
      <c r="K12" t="s">
        <v>1515</v>
      </c>
    </row>
    <row r="13" spans="1:11" x14ac:dyDescent="0.2">
      <c r="B13" t="s">
        <v>1516</v>
      </c>
      <c r="D13" t="s">
        <v>787</v>
      </c>
      <c r="E13" t="s">
        <v>1611</v>
      </c>
      <c r="F13" t="s">
        <v>1612</v>
      </c>
      <c r="G13" t="s">
        <v>1465</v>
      </c>
      <c r="H13" t="s">
        <v>1517</v>
      </c>
      <c r="I13" t="s">
        <v>1518</v>
      </c>
      <c r="J13" t="s">
        <v>1478</v>
      </c>
      <c r="K13" t="s">
        <v>1519</v>
      </c>
    </row>
    <row r="14" spans="1:11" x14ac:dyDescent="0.2">
      <c r="B14" t="s">
        <v>1520</v>
      </c>
      <c r="D14" t="s">
        <v>783</v>
      </c>
      <c r="E14" t="s">
        <v>1613</v>
      </c>
      <c r="F14" t="s">
        <v>1614</v>
      </c>
      <c r="G14" t="s">
        <v>1615</v>
      </c>
      <c r="H14" t="s">
        <v>1521</v>
      </c>
      <c r="I14" t="s">
        <v>1522</v>
      </c>
      <c r="J14" t="s">
        <v>1478</v>
      </c>
      <c r="K14" t="s">
        <v>1523</v>
      </c>
    </row>
    <row r="15" spans="1:11" x14ac:dyDescent="0.2">
      <c r="B15" t="s">
        <v>1524</v>
      </c>
      <c r="D15" t="s">
        <v>1482</v>
      </c>
      <c r="E15" t="s">
        <v>1616</v>
      </c>
      <c r="F15" t="s">
        <v>1617</v>
      </c>
      <c r="G15" t="s">
        <v>1618</v>
      </c>
      <c r="H15" t="s">
        <v>1518</v>
      </c>
      <c r="I15" t="s">
        <v>1525</v>
      </c>
      <c r="J15" t="s">
        <v>1515</v>
      </c>
      <c r="K15" t="s">
        <v>1526</v>
      </c>
    </row>
    <row r="16" spans="1:11" x14ac:dyDescent="0.2">
      <c r="B16" t="s">
        <v>1527</v>
      </c>
      <c r="D16" t="s">
        <v>783</v>
      </c>
      <c r="E16" t="s">
        <v>1619</v>
      </c>
      <c r="F16" t="s">
        <v>1620</v>
      </c>
      <c r="G16" t="s">
        <v>1621</v>
      </c>
      <c r="H16" t="s">
        <v>1513</v>
      </c>
      <c r="I16" t="s">
        <v>1528</v>
      </c>
      <c r="J16" t="s">
        <v>1529</v>
      </c>
      <c r="K16" t="s">
        <v>1503</v>
      </c>
    </row>
    <row r="17" spans="2:11" x14ac:dyDescent="0.2">
      <c r="B17" t="s">
        <v>1531</v>
      </c>
      <c r="D17" t="s">
        <v>783</v>
      </c>
      <c r="E17" t="s">
        <v>1622</v>
      </c>
      <c r="F17" t="s">
        <v>1623</v>
      </c>
      <c r="G17" t="s">
        <v>1624</v>
      </c>
      <c r="H17" t="s">
        <v>1532</v>
      </c>
      <c r="I17" t="s">
        <v>1533</v>
      </c>
      <c r="J17" t="s">
        <v>1534</v>
      </c>
      <c r="K17" t="s">
        <v>1496</v>
      </c>
    </row>
    <row r="18" spans="2:11" x14ac:dyDescent="0.2">
      <c r="B18" t="s">
        <v>1535</v>
      </c>
      <c r="D18" t="s">
        <v>783</v>
      </c>
      <c r="E18" t="s">
        <v>1625</v>
      </c>
      <c r="F18" t="s">
        <v>1626</v>
      </c>
      <c r="G18" t="s">
        <v>1627</v>
      </c>
      <c r="H18" t="s">
        <v>1536</v>
      </c>
      <c r="I18" t="s">
        <v>1537</v>
      </c>
      <c r="J18" t="s">
        <v>1538</v>
      </c>
      <c r="K18" t="s">
        <v>1530</v>
      </c>
    </row>
    <row r="19" spans="2:11" x14ac:dyDescent="0.2">
      <c r="B19" t="s">
        <v>1539</v>
      </c>
      <c r="D19" t="s">
        <v>783</v>
      </c>
      <c r="E19" t="s">
        <v>1628</v>
      </c>
      <c r="F19" t="s">
        <v>1629</v>
      </c>
      <c r="G19" t="s">
        <v>1630</v>
      </c>
      <c r="H19" t="s">
        <v>1540</v>
      </c>
      <c r="I19" t="s">
        <v>1541</v>
      </c>
      <c r="J19" t="s">
        <v>1542</v>
      </c>
      <c r="K19" t="s">
        <v>1480</v>
      </c>
    </row>
    <row r="20" spans="2:11" x14ac:dyDescent="0.2">
      <c r="B20" t="s">
        <v>1543</v>
      </c>
      <c r="D20" t="s">
        <v>783</v>
      </c>
      <c r="E20" t="s">
        <v>1631</v>
      </c>
      <c r="F20" t="s">
        <v>1632</v>
      </c>
      <c r="G20" t="s">
        <v>1633</v>
      </c>
      <c r="H20" t="s">
        <v>1544</v>
      </c>
      <c r="I20" t="s">
        <v>1498</v>
      </c>
      <c r="J20" t="s">
        <v>1545</v>
      </c>
      <c r="K20" t="s">
        <v>1546</v>
      </c>
    </row>
    <row r="21" spans="2:11" x14ac:dyDescent="0.2">
      <c r="B21" t="s">
        <v>1547</v>
      </c>
      <c r="D21" t="s">
        <v>783</v>
      </c>
      <c r="E21" t="s">
        <v>1422</v>
      </c>
      <c r="F21" t="s">
        <v>1634</v>
      </c>
      <c r="G21" t="s">
        <v>1635</v>
      </c>
      <c r="H21" t="s">
        <v>1548</v>
      </c>
      <c r="I21" t="s">
        <v>1518</v>
      </c>
      <c r="J21" t="s">
        <v>1478</v>
      </c>
      <c r="K21" t="s">
        <v>1549</v>
      </c>
    </row>
    <row r="22" spans="2:11" x14ac:dyDescent="0.2">
      <c r="B22" t="s">
        <v>1550</v>
      </c>
      <c r="D22" t="s">
        <v>783</v>
      </c>
      <c r="E22" t="s">
        <v>1636</v>
      </c>
      <c r="F22" t="s">
        <v>1637</v>
      </c>
      <c r="G22" t="s">
        <v>1638</v>
      </c>
      <c r="H22" t="s">
        <v>1475</v>
      </c>
      <c r="I22" t="s">
        <v>1551</v>
      </c>
      <c r="J22" t="s">
        <v>1552</v>
      </c>
      <c r="K22" t="s">
        <v>1538</v>
      </c>
    </row>
    <row r="23" spans="2:11" x14ac:dyDescent="0.2">
      <c r="B23" t="s">
        <v>1553</v>
      </c>
      <c r="D23" t="s">
        <v>783</v>
      </c>
      <c r="E23" t="s">
        <v>1639</v>
      </c>
      <c r="F23" t="s">
        <v>1640</v>
      </c>
      <c r="G23" t="s">
        <v>1641</v>
      </c>
      <c r="H23" t="s">
        <v>1472</v>
      </c>
      <c r="I23" t="s">
        <v>1554</v>
      </c>
      <c r="J23" t="s">
        <v>1493</v>
      </c>
      <c r="K23" t="s">
        <v>1530</v>
      </c>
    </row>
    <row r="24" spans="2:11" x14ac:dyDescent="0.2">
      <c r="B24" t="s">
        <v>1555</v>
      </c>
      <c r="D24" t="s">
        <v>783</v>
      </c>
      <c r="E24" t="s">
        <v>1642</v>
      </c>
      <c r="F24" t="s">
        <v>1643</v>
      </c>
      <c r="G24" t="s">
        <v>1644</v>
      </c>
      <c r="H24" t="s">
        <v>1536</v>
      </c>
      <c r="I24" t="s">
        <v>1556</v>
      </c>
      <c r="J24" t="s">
        <v>1552</v>
      </c>
      <c r="K24" t="s">
        <v>1496</v>
      </c>
    </row>
    <row r="25" spans="2:11" x14ac:dyDescent="0.2">
      <c r="B25" t="s">
        <v>1557</v>
      </c>
      <c r="D25" t="s">
        <v>783</v>
      </c>
      <c r="E25" t="s">
        <v>1645</v>
      </c>
      <c r="F25" t="s">
        <v>1646</v>
      </c>
      <c r="G25" t="s">
        <v>1647</v>
      </c>
      <c r="H25" t="s">
        <v>1558</v>
      </c>
      <c r="I25" t="s">
        <v>1534</v>
      </c>
      <c r="J25" t="s">
        <v>1559</v>
      </c>
      <c r="K25" t="s">
        <v>1560</v>
      </c>
    </row>
    <row r="26" spans="2:11" x14ac:dyDescent="0.2">
      <c r="B26" t="s">
        <v>1561</v>
      </c>
      <c r="D26" t="s">
        <v>783</v>
      </c>
      <c r="E26" t="s">
        <v>1648</v>
      </c>
      <c r="F26" t="s">
        <v>1649</v>
      </c>
      <c r="G26" t="s">
        <v>1650</v>
      </c>
      <c r="H26" t="s">
        <v>1558</v>
      </c>
      <c r="I26" t="s">
        <v>1562</v>
      </c>
      <c r="J26" t="s">
        <v>1563</v>
      </c>
      <c r="K26" t="s">
        <v>1523</v>
      </c>
    </row>
    <row r="27" spans="2:11" x14ac:dyDescent="0.2">
      <c r="B27" t="s">
        <v>1564</v>
      </c>
      <c r="D27" t="s">
        <v>783</v>
      </c>
      <c r="E27" t="s">
        <v>1651</v>
      </c>
      <c r="F27" t="s">
        <v>1652</v>
      </c>
      <c r="G27" t="s">
        <v>1653</v>
      </c>
      <c r="H27" t="s">
        <v>1483</v>
      </c>
      <c r="I27" t="s">
        <v>1565</v>
      </c>
      <c r="J27" t="s">
        <v>1485</v>
      </c>
      <c r="K27" t="s">
        <v>1566</v>
      </c>
    </row>
    <row r="28" spans="2:11" x14ac:dyDescent="0.2">
      <c r="B28" t="s">
        <v>1567</v>
      </c>
      <c r="D28" t="s">
        <v>783</v>
      </c>
      <c r="E28" t="s">
        <v>1654</v>
      </c>
      <c r="F28" t="s">
        <v>1655</v>
      </c>
      <c r="G28" t="s">
        <v>1656</v>
      </c>
      <c r="H28" t="s">
        <v>1521</v>
      </c>
      <c r="I28" t="s">
        <v>1568</v>
      </c>
      <c r="J28" t="s">
        <v>1569</v>
      </c>
      <c r="K28" t="s">
        <v>1489</v>
      </c>
    </row>
    <row r="29" spans="2:11" x14ac:dyDescent="0.2">
      <c r="B29" t="s">
        <v>1570</v>
      </c>
      <c r="D29" t="s">
        <v>783</v>
      </c>
      <c r="E29" t="s">
        <v>906</v>
      </c>
      <c r="F29" t="s">
        <v>1657</v>
      </c>
      <c r="G29" t="s">
        <v>1658</v>
      </c>
      <c r="H29" t="s">
        <v>1483</v>
      </c>
      <c r="I29" t="s">
        <v>1499</v>
      </c>
      <c r="J29" t="s">
        <v>1541</v>
      </c>
      <c r="K29" t="s">
        <v>1571</v>
      </c>
    </row>
    <row r="30" spans="2:11" x14ac:dyDescent="0.2">
      <c r="B30" t="s">
        <v>1572</v>
      </c>
      <c r="D30" t="s">
        <v>783</v>
      </c>
      <c r="E30" t="s">
        <v>1659</v>
      </c>
      <c r="F30" t="s">
        <v>1660</v>
      </c>
      <c r="G30" t="s">
        <v>1661</v>
      </c>
      <c r="H30" t="s">
        <v>1573</v>
      </c>
      <c r="I30" t="s">
        <v>1485</v>
      </c>
      <c r="J30" t="s">
        <v>1574</v>
      </c>
      <c r="K30" t="s">
        <v>1480</v>
      </c>
    </row>
    <row r="31" spans="2:11" x14ac:dyDescent="0.2">
      <c r="B31" t="s">
        <v>1575</v>
      </c>
      <c r="D31" t="s">
        <v>783</v>
      </c>
      <c r="E31" t="s">
        <v>1662</v>
      </c>
      <c r="F31" t="s">
        <v>1415</v>
      </c>
      <c r="G31" t="s">
        <v>1663</v>
      </c>
      <c r="H31" t="s">
        <v>1576</v>
      </c>
      <c r="I31" t="s">
        <v>1577</v>
      </c>
      <c r="J31" t="s">
        <v>1545</v>
      </c>
      <c r="K31" t="s">
        <v>1578</v>
      </c>
    </row>
    <row r="32" spans="2:11" x14ac:dyDescent="0.2">
      <c r="B32" t="s">
        <v>1579</v>
      </c>
      <c r="D32" t="s">
        <v>783</v>
      </c>
      <c r="E32" t="s">
        <v>1664</v>
      </c>
      <c r="F32" t="s">
        <v>1665</v>
      </c>
      <c r="G32" t="s">
        <v>1666</v>
      </c>
      <c r="H32" t="s">
        <v>1521</v>
      </c>
      <c r="I32" t="s">
        <v>1474</v>
      </c>
      <c r="J32" t="s">
        <v>1558</v>
      </c>
      <c r="K32" t="s">
        <v>1532</v>
      </c>
    </row>
  </sheetData>
  <autoFilter ref="A1:K32" xr:uid="{9224B9E3-8783-154E-9ABB-C6A7605FBA2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dimension ref="A1:G83"/>
  <sheetViews>
    <sheetView topLeftCell="A49" workbookViewId="0">
      <selection activeCell="B3" sqref="B3:B83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1090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1667</v>
      </c>
      <c r="B2" t="str">
        <f>IF(A2="",#REF!,"")</f>
        <v/>
      </c>
      <c r="D2" t="str">
        <f>IF(A2="",#REF!,"")</f>
        <v/>
      </c>
      <c r="E2" t="str">
        <f t="shared" ref="E2" si="0">IF(A2="",TEXT(LEFT(A3,FIND(",",A3)-1),"0000"),"")</f>
        <v/>
      </c>
      <c r="F2" t="str">
        <f t="shared" ref="F2" si="1">IF(A2="",TEXT(SUBSTITUTE(MID(A3,FIND(",",A3)+2,5),",",""),"0000"),"")</f>
        <v/>
      </c>
      <c r="G2" t="str">
        <f t="shared" ref="G2" si="2">IF(A2="",TEXT(RIGHT(A3,LEN(A3)-FIND(",",A3,7)-1),"0000"),"")</f>
        <v/>
      </c>
    </row>
    <row r="3" spans="1:7" x14ac:dyDescent="0.2">
      <c r="B3" t="s">
        <v>1667</v>
      </c>
      <c r="D3" t="s">
        <v>787</v>
      </c>
      <c r="E3" t="s">
        <v>1740</v>
      </c>
      <c r="F3" t="s">
        <v>1344</v>
      </c>
      <c r="G3" t="s">
        <v>848</v>
      </c>
    </row>
    <row r="4" spans="1:7" x14ac:dyDescent="0.2">
      <c r="B4" t="s">
        <v>1668</v>
      </c>
      <c r="D4" t="s">
        <v>787</v>
      </c>
      <c r="E4" t="s">
        <v>1741</v>
      </c>
      <c r="F4" t="s">
        <v>1742</v>
      </c>
      <c r="G4" t="s">
        <v>1249</v>
      </c>
    </row>
    <row r="5" spans="1:7" x14ac:dyDescent="0.2">
      <c r="B5" t="s">
        <v>1669</v>
      </c>
      <c r="D5" t="s">
        <v>787</v>
      </c>
      <c r="E5" t="s">
        <v>1743</v>
      </c>
      <c r="F5" t="s">
        <v>1744</v>
      </c>
      <c r="G5" t="s">
        <v>1745</v>
      </c>
    </row>
    <row r="6" spans="1:7" x14ac:dyDescent="0.2">
      <c r="B6" t="s">
        <v>1670</v>
      </c>
      <c r="D6" t="s">
        <v>787</v>
      </c>
      <c r="E6" t="s">
        <v>1746</v>
      </c>
      <c r="F6" t="s">
        <v>1747</v>
      </c>
      <c r="G6" t="s">
        <v>1748</v>
      </c>
    </row>
    <row r="7" spans="1:7" x14ac:dyDescent="0.2">
      <c r="B7" t="s">
        <v>1671</v>
      </c>
      <c r="D7" t="s">
        <v>787</v>
      </c>
      <c r="E7" t="s">
        <v>1749</v>
      </c>
      <c r="F7" t="s">
        <v>1750</v>
      </c>
      <c r="G7" t="s">
        <v>894</v>
      </c>
    </row>
    <row r="8" spans="1:7" x14ac:dyDescent="0.2">
      <c r="B8" t="s">
        <v>1672</v>
      </c>
      <c r="D8" t="s">
        <v>787</v>
      </c>
      <c r="E8" t="s">
        <v>1430</v>
      </c>
      <c r="F8" t="s">
        <v>1751</v>
      </c>
      <c r="G8" t="s">
        <v>1752</v>
      </c>
    </row>
    <row r="9" spans="1:7" x14ac:dyDescent="0.2">
      <c r="B9" t="s">
        <v>852</v>
      </c>
      <c r="D9" t="s">
        <v>787</v>
      </c>
      <c r="E9" t="s">
        <v>1753</v>
      </c>
      <c r="F9" t="s">
        <v>1754</v>
      </c>
      <c r="G9" t="s">
        <v>1755</v>
      </c>
    </row>
    <row r="10" spans="1:7" x14ac:dyDescent="0.2">
      <c r="B10" t="s">
        <v>1673</v>
      </c>
      <c r="D10" t="s">
        <v>787</v>
      </c>
      <c r="E10" t="s">
        <v>1756</v>
      </c>
      <c r="F10" t="s">
        <v>1757</v>
      </c>
      <c r="G10" t="s">
        <v>1758</v>
      </c>
    </row>
    <row r="11" spans="1:7" x14ac:dyDescent="0.2">
      <c r="B11" t="s">
        <v>1674</v>
      </c>
      <c r="D11" t="s">
        <v>787</v>
      </c>
      <c r="E11" t="s">
        <v>1759</v>
      </c>
      <c r="F11" t="s">
        <v>1760</v>
      </c>
      <c r="G11" t="s">
        <v>1761</v>
      </c>
    </row>
    <row r="12" spans="1:7" x14ac:dyDescent="0.2">
      <c r="B12" t="s">
        <v>1675</v>
      </c>
      <c r="D12" t="s">
        <v>787</v>
      </c>
      <c r="E12" t="s">
        <v>1762</v>
      </c>
      <c r="F12" t="s">
        <v>1763</v>
      </c>
      <c r="G12" t="s">
        <v>792</v>
      </c>
    </row>
    <row r="13" spans="1:7" x14ac:dyDescent="0.2">
      <c r="B13" t="s">
        <v>1676</v>
      </c>
      <c r="D13" t="s">
        <v>787</v>
      </c>
      <c r="E13" t="s">
        <v>1764</v>
      </c>
      <c r="F13" t="s">
        <v>1765</v>
      </c>
      <c r="G13" t="s">
        <v>875</v>
      </c>
    </row>
    <row r="14" spans="1:7" x14ac:dyDescent="0.2">
      <c r="B14" t="s">
        <v>1677</v>
      </c>
      <c r="D14" t="s">
        <v>787</v>
      </c>
      <c r="E14" t="s">
        <v>1766</v>
      </c>
      <c r="F14" t="s">
        <v>1767</v>
      </c>
      <c r="G14" t="s">
        <v>1768</v>
      </c>
    </row>
    <row r="15" spans="1:7" x14ac:dyDescent="0.2">
      <c r="B15" t="s">
        <v>847</v>
      </c>
      <c r="D15" t="s">
        <v>787</v>
      </c>
      <c r="E15" t="s">
        <v>1769</v>
      </c>
      <c r="F15" t="s">
        <v>1770</v>
      </c>
      <c r="G15" t="s">
        <v>1771</v>
      </c>
    </row>
    <row r="16" spans="1:7" x14ac:dyDescent="0.2">
      <c r="B16" t="s">
        <v>1678</v>
      </c>
      <c r="D16" t="s">
        <v>787</v>
      </c>
      <c r="E16" t="s">
        <v>1772</v>
      </c>
      <c r="F16" t="s">
        <v>1773</v>
      </c>
      <c r="G16" t="s">
        <v>1079</v>
      </c>
    </row>
    <row r="17" spans="2:7" x14ac:dyDescent="0.2">
      <c r="B17" t="s">
        <v>1679</v>
      </c>
      <c r="D17" t="s">
        <v>787</v>
      </c>
      <c r="E17" t="s">
        <v>1774</v>
      </c>
      <c r="F17" t="s">
        <v>1775</v>
      </c>
      <c r="G17" t="s">
        <v>834</v>
      </c>
    </row>
    <row r="18" spans="2:7" x14ac:dyDescent="0.2">
      <c r="B18" t="s">
        <v>1680</v>
      </c>
      <c r="D18" t="s">
        <v>787</v>
      </c>
      <c r="E18" t="s">
        <v>1776</v>
      </c>
      <c r="F18" t="s">
        <v>1777</v>
      </c>
      <c r="G18" t="s">
        <v>898</v>
      </c>
    </row>
    <row r="19" spans="2:7" x14ac:dyDescent="0.2">
      <c r="B19" t="s">
        <v>1681</v>
      </c>
      <c r="D19" t="s">
        <v>787</v>
      </c>
      <c r="E19" t="s">
        <v>1778</v>
      </c>
      <c r="F19" t="s">
        <v>1779</v>
      </c>
      <c r="G19" t="s">
        <v>1416</v>
      </c>
    </row>
    <row r="20" spans="2:7" x14ac:dyDescent="0.2">
      <c r="B20" t="s">
        <v>1502</v>
      </c>
      <c r="D20" t="s">
        <v>787</v>
      </c>
      <c r="E20" t="s">
        <v>1780</v>
      </c>
      <c r="F20" t="s">
        <v>1781</v>
      </c>
      <c r="G20" t="s">
        <v>1371</v>
      </c>
    </row>
    <row r="21" spans="2:7" x14ac:dyDescent="0.2">
      <c r="B21" t="s">
        <v>1682</v>
      </c>
      <c r="D21" t="s">
        <v>787</v>
      </c>
      <c r="E21" t="s">
        <v>1782</v>
      </c>
      <c r="F21" t="s">
        <v>1783</v>
      </c>
      <c r="G21" t="s">
        <v>1025</v>
      </c>
    </row>
    <row r="22" spans="2:7" x14ac:dyDescent="0.2">
      <c r="B22" t="s">
        <v>1683</v>
      </c>
      <c r="D22" t="s">
        <v>787</v>
      </c>
      <c r="E22" t="s">
        <v>1784</v>
      </c>
      <c r="F22" t="s">
        <v>1785</v>
      </c>
      <c r="G22" t="s">
        <v>1279</v>
      </c>
    </row>
    <row r="23" spans="2:7" x14ac:dyDescent="0.2">
      <c r="B23" t="s">
        <v>1684</v>
      </c>
      <c r="D23" t="s">
        <v>787</v>
      </c>
      <c r="E23" t="s">
        <v>1245</v>
      </c>
      <c r="F23" t="s">
        <v>1786</v>
      </c>
      <c r="G23" t="s">
        <v>819</v>
      </c>
    </row>
    <row r="24" spans="2:7" x14ac:dyDescent="0.2">
      <c r="B24" t="s">
        <v>1685</v>
      </c>
      <c r="D24" t="s">
        <v>787</v>
      </c>
      <c r="E24" t="s">
        <v>1787</v>
      </c>
      <c r="F24" t="s">
        <v>1788</v>
      </c>
      <c r="G24" t="s">
        <v>1465</v>
      </c>
    </row>
    <row r="25" spans="2:7" x14ac:dyDescent="0.2">
      <c r="B25" t="s">
        <v>1686</v>
      </c>
      <c r="D25" t="s">
        <v>787</v>
      </c>
      <c r="E25" t="s">
        <v>1789</v>
      </c>
      <c r="F25" t="s">
        <v>1662</v>
      </c>
      <c r="G25" t="s">
        <v>1249</v>
      </c>
    </row>
    <row r="26" spans="2:7" x14ac:dyDescent="0.2">
      <c r="B26" t="s">
        <v>1687</v>
      </c>
      <c r="D26" t="s">
        <v>787</v>
      </c>
      <c r="E26" t="s">
        <v>1790</v>
      </c>
      <c r="F26" t="s">
        <v>1791</v>
      </c>
      <c r="G26" t="s">
        <v>1391</v>
      </c>
    </row>
    <row r="27" spans="2:7" x14ac:dyDescent="0.2">
      <c r="B27" t="s">
        <v>801</v>
      </c>
      <c r="D27" t="s">
        <v>787</v>
      </c>
      <c r="E27" t="s">
        <v>1792</v>
      </c>
      <c r="F27" t="s">
        <v>1793</v>
      </c>
      <c r="G27" t="s">
        <v>941</v>
      </c>
    </row>
    <row r="28" spans="2:7" x14ac:dyDescent="0.2">
      <c r="B28" t="s">
        <v>1688</v>
      </c>
      <c r="D28" t="s">
        <v>787</v>
      </c>
      <c r="E28" t="s">
        <v>1794</v>
      </c>
      <c r="F28" t="s">
        <v>1795</v>
      </c>
      <c r="G28" t="s">
        <v>1407</v>
      </c>
    </row>
    <row r="29" spans="2:7" x14ac:dyDescent="0.2">
      <c r="B29" t="s">
        <v>1689</v>
      </c>
      <c r="D29" t="s">
        <v>787</v>
      </c>
      <c r="E29" t="s">
        <v>1796</v>
      </c>
      <c r="F29" t="s">
        <v>1797</v>
      </c>
      <c r="G29" t="s">
        <v>807</v>
      </c>
    </row>
    <row r="30" spans="2:7" x14ac:dyDescent="0.2">
      <c r="B30" t="s">
        <v>1690</v>
      </c>
      <c r="D30" t="s">
        <v>787</v>
      </c>
      <c r="E30" t="s">
        <v>1798</v>
      </c>
      <c r="F30" t="s">
        <v>1799</v>
      </c>
      <c r="G30" t="s">
        <v>1800</v>
      </c>
    </row>
    <row r="31" spans="2:7" x14ac:dyDescent="0.2">
      <c r="B31" t="s">
        <v>1691</v>
      </c>
      <c r="D31" t="s">
        <v>787</v>
      </c>
      <c r="E31" t="s">
        <v>1801</v>
      </c>
      <c r="F31" t="s">
        <v>1802</v>
      </c>
      <c r="G31" t="s">
        <v>1439</v>
      </c>
    </row>
    <row r="32" spans="2:7" x14ac:dyDescent="0.2">
      <c r="B32" t="s">
        <v>870</v>
      </c>
      <c r="D32" t="s">
        <v>787</v>
      </c>
      <c r="E32" t="s">
        <v>838</v>
      </c>
      <c r="F32" t="s">
        <v>1803</v>
      </c>
      <c r="G32" t="s">
        <v>1804</v>
      </c>
    </row>
    <row r="33" spans="2:7" x14ac:dyDescent="0.2">
      <c r="B33" t="s">
        <v>1692</v>
      </c>
      <c r="D33" t="s">
        <v>787</v>
      </c>
      <c r="E33" t="s">
        <v>1805</v>
      </c>
      <c r="F33" t="s">
        <v>933</v>
      </c>
      <c r="G33" t="s">
        <v>943</v>
      </c>
    </row>
    <row r="34" spans="2:7" x14ac:dyDescent="0.2">
      <c r="B34" t="s">
        <v>1693</v>
      </c>
      <c r="D34" t="s">
        <v>787</v>
      </c>
      <c r="E34" t="s">
        <v>1405</v>
      </c>
      <c r="F34" t="s">
        <v>1806</v>
      </c>
      <c r="G34" t="s">
        <v>958</v>
      </c>
    </row>
    <row r="35" spans="2:7" x14ac:dyDescent="0.2">
      <c r="B35" t="s">
        <v>1694</v>
      </c>
      <c r="D35" t="s">
        <v>787</v>
      </c>
      <c r="E35" t="s">
        <v>1807</v>
      </c>
      <c r="F35" t="s">
        <v>1808</v>
      </c>
      <c r="G35" t="s">
        <v>1037</v>
      </c>
    </row>
    <row r="36" spans="2:7" x14ac:dyDescent="0.2">
      <c r="B36" t="s">
        <v>1695</v>
      </c>
      <c r="D36" t="s">
        <v>787</v>
      </c>
      <c r="E36" t="s">
        <v>1809</v>
      </c>
      <c r="F36" t="s">
        <v>1810</v>
      </c>
      <c r="G36" t="s">
        <v>928</v>
      </c>
    </row>
    <row r="37" spans="2:7" x14ac:dyDescent="0.2">
      <c r="B37" t="s">
        <v>1696</v>
      </c>
      <c r="D37" t="s">
        <v>787</v>
      </c>
      <c r="E37" t="s">
        <v>1811</v>
      </c>
      <c r="F37" t="s">
        <v>1812</v>
      </c>
      <c r="G37" t="s">
        <v>1037</v>
      </c>
    </row>
    <row r="38" spans="2:7" x14ac:dyDescent="0.2">
      <c r="B38" t="s">
        <v>1697</v>
      </c>
      <c r="D38" t="s">
        <v>787</v>
      </c>
      <c r="E38" t="s">
        <v>1813</v>
      </c>
      <c r="F38" t="s">
        <v>1814</v>
      </c>
      <c r="G38" t="s">
        <v>1815</v>
      </c>
    </row>
    <row r="39" spans="2:7" x14ac:dyDescent="0.2">
      <c r="B39" t="s">
        <v>1698</v>
      </c>
      <c r="D39" t="s">
        <v>787</v>
      </c>
      <c r="E39" t="s">
        <v>1816</v>
      </c>
      <c r="F39" t="s">
        <v>1382</v>
      </c>
      <c r="G39" t="s">
        <v>1817</v>
      </c>
    </row>
    <row r="40" spans="2:7" x14ac:dyDescent="0.2">
      <c r="B40" t="s">
        <v>1699</v>
      </c>
      <c r="D40" t="s">
        <v>787</v>
      </c>
      <c r="E40" t="s">
        <v>1818</v>
      </c>
      <c r="F40" t="s">
        <v>1819</v>
      </c>
      <c r="G40" t="s">
        <v>885</v>
      </c>
    </row>
    <row r="41" spans="2:7" x14ac:dyDescent="0.2">
      <c r="B41" t="s">
        <v>1700</v>
      </c>
      <c r="D41" t="s">
        <v>787</v>
      </c>
      <c r="E41" t="s">
        <v>1820</v>
      </c>
      <c r="F41" t="s">
        <v>1821</v>
      </c>
      <c r="G41" t="s">
        <v>888</v>
      </c>
    </row>
    <row r="42" spans="2:7" x14ac:dyDescent="0.2">
      <c r="B42" t="s">
        <v>1701</v>
      </c>
      <c r="D42" t="s">
        <v>787</v>
      </c>
      <c r="E42" t="s">
        <v>1822</v>
      </c>
      <c r="F42" t="s">
        <v>1823</v>
      </c>
      <c r="G42" t="s">
        <v>1824</v>
      </c>
    </row>
    <row r="43" spans="2:7" x14ac:dyDescent="0.2">
      <c r="B43" t="s">
        <v>1702</v>
      </c>
      <c r="D43" t="s">
        <v>787</v>
      </c>
      <c r="E43" t="s">
        <v>1825</v>
      </c>
      <c r="F43" t="s">
        <v>1826</v>
      </c>
      <c r="G43" t="s">
        <v>1358</v>
      </c>
    </row>
    <row r="44" spans="2:7" x14ac:dyDescent="0.2">
      <c r="B44" t="s">
        <v>1703</v>
      </c>
      <c r="D44" t="s">
        <v>787</v>
      </c>
      <c r="E44" t="s">
        <v>1827</v>
      </c>
      <c r="F44" t="s">
        <v>1828</v>
      </c>
      <c r="G44" t="s">
        <v>1274</v>
      </c>
    </row>
    <row r="45" spans="2:7" x14ac:dyDescent="0.2">
      <c r="B45" t="s">
        <v>1704</v>
      </c>
      <c r="D45" t="s">
        <v>787</v>
      </c>
      <c r="E45" t="s">
        <v>1829</v>
      </c>
      <c r="F45" t="s">
        <v>1753</v>
      </c>
      <c r="G45" t="s">
        <v>1793</v>
      </c>
    </row>
    <row r="46" spans="2:7" x14ac:dyDescent="0.2">
      <c r="B46" t="s">
        <v>1705</v>
      </c>
      <c r="D46" t="s">
        <v>787</v>
      </c>
      <c r="E46" t="s">
        <v>1830</v>
      </c>
      <c r="F46" t="s">
        <v>1831</v>
      </c>
      <c r="G46" t="s">
        <v>951</v>
      </c>
    </row>
    <row r="47" spans="2:7" x14ac:dyDescent="0.2">
      <c r="B47" t="s">
        <v>1706</v>
      </c>
      <c r="D47" t="s">
        <v>787</v>
      </c>
      <c r="E47" t="s">
        <v>1832</v>
      </c>
      <c r="F47" t="s">
        <v>1833</v>
      </c>
      <c r="G47" t="s">
        <v>814</v>
      </c>
    </row>
    <row r="48" spans="2:7" x14ac:dyDescent="0.2">
      <c r="B48" t="s">
        <v>934</v>
      </c>
      <c r="D48" t="s">
        <v>787</v>
      </c>
      <c r="E48" t="s">
        <v>1834</v>
      </c>
      <c r="F48" t="s">
        <v>1835</v>
      </c>
      <c r="G48" t="s">
        <v>1836</v>
      </c>
    </row>
    <row r="49" spans="2:7" x14ac:dyDescent="0.2">
      <c r="B49" t="s">
        <v>1707</v>
      </c>
      <c r="D49" t="s">
        <v>787</v>
      </c>
      <c r="E49" t="s">
        <v>1837</v>
      </c>
      <c r="F49" t="s">
        <v>1838</v>
      </c>
      <c r="G49" t="s">
        <v>1839</v>
      </c>
    </row>
    <row r="50" spans="2:7" x14ac:dyDescent="0.2">
      <c r="B50" t="s">
        <v>1708</v>
      </c>
      <c r="D50" t="s">
        <v>787</v>
      </c>
      <c r="E50" t="s">
        <v>1840</v>
      </c>
      <c r="F50" t="s">
        <v>1841</v>
      </c>
      <c r="G50" t="s">
        <v>880</v>
      </c>
    </row>
    <row r="51" spans="2:7" x14ac:dyDescent="0.2">
      <c r="B51" t="s">
        <v>1709</v>
      </c>
      <c r="D51" t="s">
        <v>787</v>
      </c>
      <c r="E51" t="s">
        <v>1842</v>
      </c>
      <c r="F51" t="s">
        <v>1463</v>
      </c>
      <c r="G51" t="s">
        <v>827</v>
      </c>
    </row>
    <row r="52" spans="2:7" x14ac:dyDescent="0.2">
      <c r="B52" t="s">
        <v>1710</v>
      </c>
      <c r="D52" t="s">
        <v>787</v>
      </c>
      <c r="E52" t="s">
        <v>1843</v>
      </c>
      <c r="F52" t="s">
        <v>1844</v>
      </c>
      <c r="G52" t="s">
        <v>1845</v>
      </c>
    </row>
    <row r="53" spans="2:7" x14ac:dyDescent="0.2">
      <c r="B53" t="s">
        <v>1711</v>
      </c>
      <c r="D53" t="s">
        <v>787</v>
      </c>
      <c r="E53" t="s">
        <v>1846</v>
      </c>
      <c r="F53" t="s">
        <v>1847</v>
      </c>
      <c r="G53" t="s">
        <v>1848</v>
      </c>
    </row>
    <row r="54" spans="2:7" x14ac:dyDescent="0.2">
      <c r="B54" t="s">
        <v>1712</v>
      </c>
      <c r="D54" t="s">
        <v>787</v>
      </c>
      <c r="E54" t="s">
        <v>1849</v>
      </c>
      <c r="F54" t="s">
        <v>1850</v>
      </c>
      <c r="G54" t="s">
        <v>813</v>
      </c>
    </row>
    <row r="55" spans="2:7" x14ac:dyDescent="0.2">
      <c r="B55" t="s">
        <v>1713</v>
      </c>
      <c r="D55" t="s">
        <v>787</v>
      </c>
      <c r="E55" t="s">
        <v>1851</v>
      </c>
      <c r="F55" t="s">
        <v>1852</v>
      </c>
      <c r="G55" t="s">
        <v>885</v>
      </c>
    </row>
    <row r="56" spans="2:7" x14ac:dyDescent="0.2">
      <c r="B56" t="s">
        <v>1714</v>
      </c>
      <c r="D56" t="s">
        <v>787</v>
      </c>
      <c r="E56" t="s">
        <v>1853</v>
      </c>
      <c r="F56" t="s">
        <v>1854</v>
      </c>
      <c r="G56" t="s">
        <v>884</v>
      </c>
    </row>
    <row r="57" spans="2:7" x14ac:dyDescent="0.2">
      <c r="B57" t="s">
        <v>1715</v>
      </c>
      <c r="D57" t="s">
        <v>787</v>
      </c>
      <c r="E57" t="s">
        <v>1855</v>
      </c>
      <c r="F57" t="s">
        <v>1856</v>
      </c>
      <c r="G57" t="s">
        <v>898</v>
      </c>
    </row>
    <row r="58" spans="2:7" x14ac:dyDescent="0.2">
      <c r="B58" t="s">
        <v>1716</v>
      </c>
      <c r="D58" t="s">
        <v>787</v>
      </c>
      <c r="E58" t="s">
        <v>1857</v>
      </c>
      <c r="F58" t="s">
        <v>1858</v>
      </c>
      <c r="G58" t="s">
        <v>1859</v>
      </c>
    </row>
    <row r="59" spans="2:7" x14ac:dyDescent="0.2">
      <c r="B59" t="s">
        <v>1717</v>
      </c>
      <c r="D59" t="s">
        <v>787</v>
      </c>
      <c r="E59" t="s">
        <v>1860</v>
      </c>
      <c r="F59" t="s">
        <v>1861</v>
      </c>
      <c r="G59" t="s">
        <v>1862</v>
      </c>
    </row>
    <row r="60" spans="2:7" x14ac:dyDescent="0.2">
      <c r="B60" t="s">
        <v>1718</v>
      </c>
      <c r="D60" t="s">
        <v>787</v>
      </c>
      <c r="E60" t="s">
        <v>1863</v>
      </c>
      <c r="F60" t="s">
        <v>1864</v>
      </c>
      <c r="G60" t="s">
        <v>840</v>
      </c>
    </row>
    <row r="61" spans="2:7" x14ac:dyDescent="0.2">
      <c r="B61" t="s">
        <v>1719</v>
      </c>
      <c r="D61" t="s">
        <v>787</v>
      </c>
      <c r="E61" t="s">
        <v>1865</v>
      </c>
      <c r="F61" t="s">
        <v>1866</v>
      </c>
      <c r="G61" t="s">
        <v>1867</v>
      </c>
    </row>
    <row r="62" spans="2:7" x14ac:dyDescent="0.2">
      <c r="B62" t="s">
        <v>1720</v>
      </c>
      <c r="D62" t="s">
        <v>787</v>
      </c>
      <c r="E62" t="s">
        <v>1868</v>
      </c>
      <c r="F62" t="s">
        <v>1869</v>
      </c>
      <c r="G62" t="s">
        <v>1859</v>
      </c>
    </row>
    <row r="63" spans="2:7" x14ac:dyDescent="0.2">
      <c r="B63" t="s">
        <v>1721</v>
      </c>
      <c r="D63" t="s">
        <v>787</v>
      </c>
      <c r="E63" t="s">
        <v>1870</v>
      </c>
      <c r="F63" t="s">
        <v>800</v>
      </c>
      <c r="G63" t="s">
        <v>834</v>
      </c>
    </row>
    <row r="64" spans="2:7" x14ac:dyDescent="0.2">
      <c r="B64" t="s">
        <v>1722</v>
      </c>
      <c r="D64" t="s">
        <v>787</v>
      </c>
      <c r="E64" t="s">
        <v>1871</v>
      </c>
      <c r="F64" t="s">
        <v>1872</v>
      </c>
      <c r="G64" t="s">
        <v>793</v>
      </c>
    </row>
    <row r="65" spans="2:7" x14ac:dyDescent="0.2">
      <c r="B65" t="s">
        <v>1723</v>
      </c>
      <c r="D65" t="s">
        <v>787</v>
      </c>
      <c r="E65" t="s">
        <v>1873</v>
      </c>
      <c r="F65" t="s">
        <v>1874</v>
      </c>
      <c r="G65" t="s">
        <v>1271</v>
      </c>
    </row>
    <row r="66" spans="2:7" x14ac:dyDescent="0.2">
      <c r="B66" t="s">
        <v>1724</v>
      </c>
      <c r="D66" t="s">
        <v>787</v>
      </c>
      <c r="E66" t="s">
        <v>1875</v>
      </c>
      <c r="F66" t="s">
        <v>1876</v>
      </c>
      <c r="G66" t="s">
        <v>1877</v>
      </c>
    </row>
    <row r="67" spans="2:7" x14ac:dyDescent="0.2">
      <c r="B67" t="s">
        <v>1725</v>
      </c>
      <c r="D67" t="s">
        <v>787</v>
      </c>
      <c r="E67" t="s">
        <v>1878</v>
      </c>
      <c r="F67" t="s">
        <v>1879</v>
      </c>
      <c r="G67" t="s">
        <v>1361</v>
      </c>
    </row>
    <row r="68" spans="2:7" x14ac:dyDescent="0.2">
      <c r="B68" t="s">
        <v>1005</v>
      </c>
      <c r="D68" t="s">
        <v>787</v>
      </c>
      <c r="E68" t="s">
        <v>1880</v>
      </c>
      <c r="F68" t="s">
        <v>1881</v>
      </c>
      <c r="G68" t="s">
        <v>1882</v>
      </c>
    </row>
    <row r="69" spans="2:7" x14ac:dyDescent="0.2">
      <c r="B69" t="s">
        <v>1726</v>
      </c>
      <c r="D69" t="s">
        <v>787</v>
      </c>
      <c r="E69" t="s">
        <v>1883</v>
      </c>
      <c r="F69" t="s">
        <v>1884</v>
      </c>
      <c r="G69" t="s">
        <v>916</v>
      </c>
    </row>
    <row r="70" spans="2:7" x14ac:dyDescent="0.2">
      <c r="B70" t="s">
        <v>1727</v>
      </c>
      <c r="D70" t="s">
        <v>787</v>
      </c>
      <c r="E70" t="s">
        <v>1885</v>
      </c>
      <c r="F70" t="s">
        <v>1886</v>
      </c>
      <c r="G70" t="s">
        <v>1887</v>
      </c>
    </row>
    <row r="71" spans="2:7" x14ac:dyDescent="0.2">
      <c r="B71" t="s">
        <v>1205</v>
      </c>
      <c r="D71" t="s">
        <v>787</v>
      </c>
      <c r="E71" t="s">
        <v>1888</v>
      </c>
      <c r="F71" t="s">
        <v>1889</v>
      </c>
      <c r="G71" t="s">
        <v>1447</v>
      </c>
    </row>
    <row r="72" spans="2:7" x14ac:dyDescent="0.2">
      <c r="B72" t="s">
        <v>1728</v>
      </c>
      <c r="D72" t="s">
        <v>787</v>
      </c>
      <c r="E72" t="s">
        <v>802</v>
      </c>
      <c r="F72" t="s">
        <v>1890</v>
      </c>
      <c r="G72" t="s">
        <v>800</v>
      </c>
    </row>
    <row r="73" spans="2:7" x14ac:dyDescent="0.2">
      <c r="B73" t="s">
        <v>1729</v>
      </c>
      <c r="D73" t="s">
        <v>787</v>
      </c>
      <c r="E73" t="s">
        <v>1891</v>
      </c>
      <c r="F73" t="s">
        <v>861</v>
      </c>
      <c r="G73" t="s">
        <v>1256</v>
      </c>
    </row>
    <row r="74" spans="2:7" x14ac:dyDescent="0.2">
      <c r="B74" t="s">
        <v>1730</v>
      </c>
      <c r="D74" t="s">
        <v>787</v>
      </c>
      <c r="E74" t="s">
        <v>1892</v>
      </c>
      <c r="F74" t="s">
        <v>940</v>
      </c>
      <c r="G74" t="s">
        <v>1893</v>
      </c>
    </row>
    <row r="75" spans="2:7" x14ac:dyDescent="0.2">
      <c r="B75" t="s">
        <v>1731</v>
      </c>
      <c r="D75" t="s">
        <v>787</v>
      </c>
      <c r="E75" t="s">
        <v>1894</v>
      </c>
      <c r="F75" t="s">
        <v>1895</v>
      </c>
      <c r="G75" t="s">
        <v>882</v>
      </c>
    </row>
    <row r="76" spans="2:7" x14ac:dyDescent="0.2">
      <c r="B76" t="s">
        <v>1732</v>
      </c>
      <c r="D76" t="s">
        <v>787</v>
      </c>
      <c r="E76" t="s">
        <v>1896</v>
      </c>
      <c r="F76" t="s">
        <v>1897</v>
      </c>
      <c r="G76" t="s">
        <v>1249</v>
      </c>
    </row>
    <row r="77" spans="2:7" x14ac:dyDescent="0.2">
      <c r="B77" t="s">
        <v>1733</v>
      </c>
      <c r="D77" t="s">
        <v>787</v>
      </c>
      <c r="E77" t="s">
        <v>1898</v>
      </c>
      <c r="F77" t="s">
        <v>1899</v>
      </c>
      <c r="G77" t="s">
        <v>892</v>
      </c>
    </row>
    <row r="78" spans="2:7" x14ac:dyDescent="0.2">
      <c r="B78" t="s">
        <v>1734</v>
      </c>
      <c r="D78" t="s">
        <v>787</v>
      </c>
      <c r="E78" t="s">
        <v>1900</v>
      </c>
      <c r="F78" t="s">
        <v>1901</v>
      </c>
      <c r="G78" t="s">
        <v>1391</v>
      </c>
    </row>
    <row r="79" spans="2:7" x14ac:dyDescent="0.2">
      <c r="B79" t="s">
        <v>1735</v>
      </c>
      <c r="D79" t="s">
        <v>787</v>
      </c>
      <c r="E79" t="s">
        <v>1277</v>
      </c>
      <c r="F79" t="s">
        <v>1902</v>
      </c>
      <c r="G79" t="s">
        <v>1446</v>
      </c>
    </row>
    <row r="80" spans="2:7" x14ac:dyDescent="0.2">
      <c r="B80" t="s">
        <v>1736</v>
      </c>
      <c r="D80" t="s">
        <v>787</v>
      </c>
      <c r="E80" t="s">
        <v>1903</v>
      </c>
      <c r="F80" t="s">
        <v>1904</v>
      </c>
      <c r="G80" t="s">
        <v>1389</v>
      </c>
    </row>
    <row r="81" spans="2:7" x14ac:dyDescent="0.2">
      <c r="B81" t="s">
        <v>1737</v>
      </c>
      <c r="D81" t="s">
        <v>787</v>
      </c>
      <c r="E81" t="s">
        <v>1905</v>
      </c>
      <c r="F81" t="s">
        <v>1906</v>
      </c>
      <c r="G81" t="s">
        <v>1907</v>
      </c>
    </row>
    <row r="82" spans="2:7" x14ac:dyDescent="0.2">
      <c r="B82" t="s">
        <v>1738</v>
      </c>
      <c r="D82" t="s">
        <v>787</v>
      </c>
      <c r="E82" t="s">
        <v>1908</v>
      </c>
      <c r="F82" t="s">
        <v>1909</v>
      </c>
      <c r="G82" t="s">
        <v>1333</v>
      </c>
    </row>
    <row r="83" spans="2:7" x14ac:dyDescent="0.2">
      <c r="B83" t="s">
        <v>1739</v>
      </c>
      <c r="D83" t="s">
        <v>787</v>
      </c>
      <c r="E83" t="s">
        <v>1910</v>
      </c>
      <c r="F83" t="s">
        <v>857</v>
      </c>
      <c r="G83" t="s">
        <v>895</v>
      </c>
    </row>
  </sheetData>
  <autoFilter ref="A1:G83" xr:uid="{9F268EE0-ED4E-D644-BE8D-34069771440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232A2-AE93-4140-9ACB-5EE0ABE4087B}">
  <dimension ref="A1:F991"/>
  <sheetViews>
    <sheetView workbookViewId="0">
      <selection activeCell="A5" sqref="A5"/>
    </sheetView>
  </sheetViews>
  <sheetFormatPr baseColWidth="10" defaultRowHeight="16" x14ac:dyDescent="0.2"/>
  <cols>
    <col min="1" max="1" width="32.6640625" bestFit="1" customWidth="1"/>
  </cols>
  <sheetData>
    <row r="1" spans="1:6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</row>
    <row r="2" spans="1:6" x14ac:dyDescent="0.2">
      <c r="A2" t="s">
        <v>1911</v>
      </c>
      <c r="C2" t="s">
        <v>1482</v>
      </c>
      <c r="D2" t="s">
        <v>2591</v>
      </c>
      <c r="E2" t="s">
        <v>2592</v>
      </c>
      <c r="F2" t="s">
        <v>2593</v>
      </c>
    </row>
    <row r="3" spans="1:6" x14ac:dyDescent="0.2">
      <c r="A3" t="s">
        <v>1912</v>
      </c>
      <c r="C3" t="s">
        <v>1482</v>
      </c>
      <c r="D3" t="s">
        <v>2594</v>
      </c>
      <c r="E3" t="s">
        <v>2595</v>
      </c>
      <c r="F3" t="s">
        <v>2596</v>
      </c>
    </row>
    <row r="4" spans="1:6" x14ac:dyDescent="0.2">
      <c r="A4" t="s">
        <v>1913</v>
      </c>
      <c r="C4" t="s">
        <v>1482</v>
      </c>
      <c r="D4" t="s">
        <v>2597</v>
      </c>
      <c r="E4" t="s">
        <v>2598</v>
      </c>
      <c r="F4" t="s">
        <v>2599</v>
      </c>
    </row>
    <row r="5" spans="1:6" x14ac:dyDescent="0.2">
      <c r="A5" t="s">
        <v>1914</v>
      </c>
      <c r="C5" t="s">
        <v>1482</v>
      </c>
      <c r="D5" t="s">
        <v>1645</v>
      </c>
      <c r="E5" t="s">
        <v>2600</v>
      </c>
      <c r="F5" t="s">
        <v>2601</v>
      </c>
    </row>
    <row r="6" spans="1:6" x14ac:dyDescent="0.2">
      <c r="A6" t="s">
        <v>1915</v>
      </c>
      <c r="C6" t="s">
        <v>1482</v>
      </c>
      <c r="D6" t="s">
        <v>1624</v>
      </c>
      <c r="E6" t="s">
        <v>2602</v>
      </c>
      <c r="F6" t="s">
        <v>2603</v>
      </c>
    </row>
    <row r="7" spans="1:6" x14ac:dyDescent="0.2">
      <c r="A7" t="s">
        <v>1916</v>
      </c>
      <c r="C7" t="s">
        <v>1482</v>
      </c>
      <c r="D7" t="s">
        <v>2604</v>
      </c>
      <c r="E7" t="s">
        <v>2605</v>
      </c>
      <c r="F7" t="s">
        <v>2606</v>
      </c>
    </row>
    <row r="8" spans="1:6" x14ac:dyDescent="0.2">
      <c r="A8" t="s">
        <v>1917</v>
      </c>
      <c r="C8" t="s">
        <v>1482</v>
      </c>
      <c r="D8" t="s">
        <v>2607</v>
      </c>
      <c r="E8" t="s">
        <v>2608</v>
      </c>
      <c r="F8" t="s">
        <v>2609</v>
      </c>
    </row>
    <row r="9" spans="1:6" x14ac:dyDescent="0.2">
      <c r="A9" t="s">
        <v>1918</v>
      </c>
      <c r="C9" t="s">
        <v>1482</v>
      </c>
      <c r="D9" t="s">
        <v>2610</v>
      </c>
      <c r="E9" t="s">
        <v>2611</v>
      </c>
      <c r="F9" t="s">
        <v>2612</v>
      </c>
    </row>
    <row r="10" spans="1:6" x14ac:dyDescent="0.2">
      <c r="A10" t="s">
        <v>1919</v>
      </c>
      <c r="C10" t="s">
        <v>1482</v>
      </c>
      <c r="D10" t="s">
        <v>2613</v>
      </c>
      <c r="E10" t="s">
        <v>2614</v>
      </c>
      <c r="F10" t="s">
        <v>2612</v>
      </c>
    </row>
    <row r="11" spans="1:6" x14ac:dyDescent="0.2">
      <c r="A11" t="s">
        <v>1920</v>
      </c>
      <c r="C11" t="s">
        <v>787</v>
      </c>
      <c r="D11" t="s">
        <v>2615</v>
      </c>
      <c r="E11" t="s">
        <v>2616</v>
      </c>
      <c r="F11" t="s">
        <v>2617</v>
      </c>
    </row>
    <row r="12" spans="1:6" x14ac:dyDescent="0.2">
      <c r="A12" t="s">
        <v>1921</v>
      </c>
      <c r="C12" t="s">
        <v>1482</v>
      </c>
      <c r="D12" t="s">
        <v>2618</v>
      </c>
      <c r="E12" t="s">
        <v>2619</v>
      </c>
      <c r="F12" t="s">
        <v>2620</v>
      </c>
    </row>
    <row r="13" spans="1:6" x14ac:dyDescent="0.2">
      <c r="A13" t="s">
        <v>1922</v>
      </c>
      <c r="C13" t="s">
        <v>787</v>
      </c>
      <c r="D13" t="s">
        <v>2621</v>
      </c>
      <c r="E13" t="s">
        <v>2622</v>
      </c>
      <c r="F13" t="s">
        <v>2617</v>
      </c>
    </row>
    <row r="14" spans="1:6" x14ac:dyDescent="0.2">
      <c r="A14" t="s">
        <v>1667</v>
      </c>
      <c r="C14" t="s">
        <v>787</v>
      </c>
      <c r="D14" t="s">
        <v>2623</v>
      </c>
      <c r="E14" t="s">
        <v>2624</v>
      </c>
      <c r="F14" t="s">
        <v>1259</v>
      </c>
    </row>
    <row r="15" spans="1:6" x14ac:dyDescent="0.2">
      <c r="A15" t="s">
        <v>1923</v>
      </c>
      <c r="C15" t="s">
        <v>787</v>
      </c>
      <c r="D15" t="s">
        <v>2625</v>
      </c>
      <c r="E15" t="s">
        <v>2626</v>
      </c>
      <c r="F15" t="s">
        <v>2627</v>
      </c>
    </row>
    <row r="16" spans="1:6" x14ac:dyDescent="0.2">
      <c r="A16" t="s">
        <v>1924</v>
      </c>
      <c r="C16" t="s">
        <v>787</v>
      </c>
      <c r="D16" t="s">
        <v>2628</v>
      </c>
      <c r="E16" t="s">
        <v>2629</v>
      </c>
      <c r="F16" t="s">
        <v>2630</v>
      </c>
    </row>
    <row r="17" spans="1:6" x14ac:dyDescent="0.2">
      <c r="A17" t="s">
        <v>1091</v>
      </c>
      <c r="C17" t="s">
        <v>787</v>
      </c>
      <c r="D17" t="s">
        <v>2631</v>
      </c>
      <c r="E17" t="s">
        <v>2632</v>
      </c>
      <c r="F17" t="s">
        <v>1239</v>
      </c>
    </row>
    <row r="18" spans="1:6" x14ac:dyDescent="0.2">
      <c r="A18" t="s">
        <v>1093</v>
      </c>
      <c r="C18" t="s">
        <v>787</v>
      </c>
      <c r="D18" t="s">
        <v>2633</v>
      </c>
      <c r="E18" t="s">
        <v>1240</v>
      </c>
      <c r="F18" t="s">
        <v>2634</v>
      </c>
    </row>
    <row r="19" spans="1:6" x14ac:dyDescent="0.2">
      <c r="A19" t="s">
        <v>1925</v>
      </c>
      <c r="C19" t="s">
        <v>787</v>
      </c>
      <c r="D19" t="s">
        <v>2635</v>
      </c>
      <c r="E19" t="s">
        <v>2636</v>
      </c>
      <c r="F19" t="s">
        <v>2617</v>
      </c>
    </row>
    <row r="20" spans="1:6" x14ac:dyDescent="0.2">
      <c r="A20" t="s">
        <v>782</v>
      </c>
      <c r="C20" t="s">
        <v>787</v>
      </c>
      <c r="D20" t="s">
        <v>2637</v>
      </c>
      <c r="E20" t="s">
        <v>1343</v>
      </c>
      <c r="F20" t="s">
        <v>2617</v>
      </c>
    </row>
    <row r="21" spans="1:6" x14ac:dyDescent="0.2">
      <c r="A21" t="s">
        <v>1926</v>
      </c>
      <c r="C21" t="s">
        <v>1482</v>
      </c>
      <c r="D21" t="s">
        <v>2638</v>
      </c>
      <c r="E21" t="s">
        <v>2639</v>
      </c>
      <c r="F21" t="s">
        <v>2640</v>
      </c>
    </row>
    <row r="22" spans="1:6" x14ac:dyDescent="0.2">
      <c r="A22" t="s">
        <v>1927</v>
      </c>
      <c r="C22" t="s">
        <v>787</v>
      </c>
      <c r="D22" t="s">
        <v>2641</v>
      </c>
      <c r="E22" t="s">
        <v>2642</v>
      </c>
      <c r="F22" t="s">
        <v>932</v>
      </c>
    </row>
    <row r="23" spans="1:6" x14ac:dyDescent="0.2">
      <c r="A23" t="s">
        <v>785</v>
      </c>
      <c r="C23" t="s">
        <v>787</v>
      </c>
      <c r="D23" t="s">
        <v>2643</v>
      </c>
      <c r="E23" t="s">
        <v>2644</v>
      </c>
      <c r="F23" t="s">
        <v>2617</v>
      </c>
    </row>
    <row r="24" spans="1:6" x14ac:dyDescent="0.2">
      <c r="A24" t="s">
        <v>1928</v>
      </c>
      <c r="C24" t="s">
        <v>783</v>
      </c>
      <c r="D24" t="s">
        <v>2645</v>
      </c>
      <c r="E24" t="s">
        <v>2646</v>
      </c>
      <c r="F24" t="s">
        <v>2647</v>
      </c>
    </row>
    <row r="25" spans="1:6" x14ac:dyDescent="0.2">
      <c r="A25" t="s">
        <v>1929</v>
      </c>
      <c r="C25" t="s">
        <v>787</v>
      </c>
      <c r="D25" t="s">
        <v>2648</v>
      </c>
      <c r="E25" t="s">
        <v>2649</v>
      </c>
      <c r="F25" t="s">
        <v>2650</v>
      </c>
    </row>
    <row r="26" spans="1:6" x14ac:dyDescent="0.2">
      <c r="A26" t="s">
        <v>1930</v>
      </c>
      <c r="C26" t="s">
        <v>787</v>
      </c>
      <c r="D26" t="s">
        <v>2651</v>
      </c>
      <c r="E26" t="s">
        <v>2652</v>
      </c>
      <c r="F26" t="s">
        <v>2617</v>
      </c>
    </row>
    <row r="27" spans="1:6" x14ac:dyDescent="0.2">
      <c r="A27" t="s">
        <v>1931</v>
      </c>
      <c r="C27" t="s">
        <v>787</v>
      </c>
      <c r="D27" t="s">
        <v>2653</v>
      </c>
      <c r="E27" t="s">
        <v>2654</v>
      </c>
      <c r="F27" t="s">
        <v>2617</v>
      </c>
    </row>
    <row r="28" spans="1:6" x14ac:dyDescent="0.2">
      <c r="A28" t="s">
        <v>1094</v>
      </c>
      <c r="C28" t="s">
        <v>787</v>
      </c>
      <c r="D28" t="s">
        <v>2655</v>
      </c>
      <c r="E28" t="s">
        <v>1241</v>
      </c>
      <c r="F28" t="s">
        <v>1242</v>
      </c>
    </row>
    <row r="29" spans="1:6" x14ac:dyDescent="0.2">
      <c r="A29" t="s">
        <v>1932</v>
      </c>
      <c r="C29" t="s">
        <v>787</v>
      </c>
      <c r="D29" t="s">
        <v>2656</v>
      </c>
      <c r="E29" t="s">
        <v>849</v>
      </c>
      <c r="F29" t="s">
        <v>2657</v>
      </c>
    </row>
    <row r="30" spans="1:6" x14ac:dyDescent="0.2">
      <c r="A30" t="s">
        <v>1095</v>
      </c>
      <c r="C30" t="s">
        <v>787</v>
      </c>
      <c r="D30" t="s">
        <v>1243</v>
      </c>
      <c r="E30" t="s">
        <v>1244</v>
      </c>
      <c r="F30" t="s">
        <v>1245</v>
      </c>
    </row>
    <row r="31" spans="1:6" x14ac:dyDescent="0.2">
      <c r="A31" t="s">
        <v>1933</v>
      </c>
      <c r="C31" t="s">
        <v>1482</v>
      </c>
      <c r="D31" t="s">
        <v>2658</v>
      </c>
      <c r="E31" t="s">
        <v>2659</v>
      </c>
      <c r="F31" t="s">
        <v>2660</v>
      </c>
    </row>
    <row r="32" spans="1:6" x14ac:dyDescent="0.2">
      <c r="A32" t="s">
        <v>1096</v>
      </c>
      <c r="C32" t="s">
        <v>787</v>
      </c>
      <c r="D32" t="s">
        <v>1246</v>
      </c>
      <c r="E32" t="s">
        <v>2661</v>
      </c>
      <c r="F32" t="s">
        <v>2662</v>
      </c>
    </row>
    <row r="33" spans="1:6" x14ac:dyDescent="0.2">
      <c r="A33" t="s">
        <v>1934</v>
      </c>
      <c r="C33" t="s">
        <v>783</v>
      </c>
      <c r="D33" t="s">
        <v>2663</v>
      </c>
      <c r="E33" t="s">
        <v>2664</v>
      </c>
      <c r="F33" t="s">
        <v>877</v>
      </c>
    </row>
    <row r="34" spans="1:6" x14ac:dyDescent="0.2">
      <c r="A34" t="s">
        <v>1935</v>
      </c>
      <c r="C34" t="s">
        <v>787</v>
      </c>
      <c r="D34" t="s">
        <v>2665</v>
      </c>
      <c r="E34" t="s">
        <v>2666</v>
      </c>
      <c r="F34" t="s">
        <v>2667</v>
      </c>
    </row>
    <row r="35" spans="1:6" x14ac:dyDescent="0.2">
      <c r="A35" t="s">
        <v>1097</v>
      </c>
      <c r="C35" t="s">
        <v>787</v>
      </c>
      <c r="D35" t="s">
        <v>2665</v>
      </c>
      <c r="E35" t="s">
        <v>1248</v>
      </c>
      <c r="F35" t="s">
        <v>810</v>
      </c>
    </row>
    <row r="36" spans="1:6" x14ac:dyDescent="0.2">
      <c r="A36" t="s">
        <v>1936</v>
      </c>
      <c r="C36" t="s">
        <v>1482</v>
      </c>
      <c r="D36" t="s">
        <v>2668</v>
      </c>
      <c r="E36" t="s">
        <v>2669</v>
      </c>
      <c r="F36" t="s">
        <v>2670</v>
      </c>
    </row>
    <row r="37" spans="1:6" x14ac:dyDescent="0.2">
      <c r="A37" t="s">
        <v>1098</v>
      </c>
      <c r="C37" t="s">
        <v>787</v>
      </c>
      <c r="D37" t="s">
        <v>2671</v>
      </c>
      <c r="E37" t="s">
        <v>1251</v>
      </c>
      <c r="F37" t="s">
        <v>1804</v>
      </c>
    </row>
    <row r="38" spans="1:6" x14ac:dyDescent="0.2">
      <c r="A38" t="s">
        <v>1937</v>
      </c>
      <c r="C38" t="s">
        <v>787</v>
      </c>
      <c r="D38" t="s">
        <v>2672</v>
      </c>
      <c r="E38" t="s">
        <v>2673</v>
      </c>
      <c r="F38" t="s">
        <v>2617</v>
      </c>
    </row>
    <row r="39" spans="1:6" x14ac:dyDescent="0.2">
      <c r="A39" t="s">
        <v>1938</v>
      </c>
      <c r="C39" t="s">
        <v>787</v>
      </c>
      <c r="D39" t="s">
        <v>2674</v>
      </c>
      <c r="E39" t="s">
        <v>2675</v>
      </c>
      <c r="F39" t="s">
        <v>2617</v>
      </c>
    </row>
    <row r="40" spans="1:6" x14ac:dyDescent="0.2">
      <c r="A40" t="s">
        <v>1668</v>
      </c>
      <c r="C40" t="s">
        <v>787</v>
      </c>
      <c r="D40" t="s">
        <v>2676</v>
      </c>
      <c r="E40" t="s">
        <v>2677</v>
      </c>
      <c r="F40" t="s">
        <v>2617</v>
      </c>
    </row>
    <row r="41" spans="1:6" x14ac:dyDescent="0.2">
      <c r="A41" t="s">
        <v>1939</v>
      </c>
      <c r="C41" t="s">
        <v>1482</v>
      </c>
      <c r="D41" t="s">
        <v>2676</v>
      </c>
      <c r="E41" t="s">
        <v>2678</v>
      </c>
      <c r="F41" t="s">
        <v>937</v>
      </c>
    </row>
    <row r="42" spans="1:6" x14ac:dyDescent="0.2">
      <c r="A42" t="s">
        <v>1940</v>
      </c>
      <c r="C42" t="s">
        <v>787</v>
      </c>
      <c r="D42" t="s">
        <v>2679</v>
      </c>
      <c r="E42" t="s">
        <v>2680</v>
      </c>
      <c r="F42" t="s">
        <v>1331</v>
      </c>
    </row>
    <row r="43" spans="1:6" x14ac:dyDescent="0.2">
      <c r="A43" t="s">
        <v>1941</v>
      </c>
      <c r="C43" t="s">
        <v>787</v>
      </c>
      <c r="D43" t="s">
        <v>2681</v>
      </c>
      <c r="E43" t="s">
        <v>2682</v>
      </c>
      <c r="F43" t="s">
        <v>2617</v>
      </c>
    </row>
    <row r="44" spans="1:6" x14ac:dyDescent="0.2">
      <c r="A44" t="s">
        <v>1942</v>
      </c>
      <c r="C44" t="s">
        <v>787</v>
      </c>
      <c r="D44" t="s">
        <v>2683</v>
      </c>
      <c r="E44" t="s">
        <v>2684</v>
      </c>
      <c r="F44" t="s">
        <v>815</v>
      </c>
    </row>
    <row r="45" spans="1:6" x14ac:dyDescent="0.2">
      <c r="A45" t="s">
        <v>1943</v>
      </c>
      <c r="C45" t="s">
        <v>787</v>
      </c>
      <c r="D45" t="s">
        <v>2685</v>
      </c>
      <c r="E45" t="s">
        <v>1659</v>
      </c>
      <c r="F45" t="s">
        <v>895</v>
      </c>
    </row>
    <row r="46" spans="1:6" x14ac:dyDescent="0.2">
      <c r="A46" t="s">
        <v>1944</v>
      </c>
      <c r="C46" t="s">
        <v>787</v>
      </c>
      <c r="D46" t="s">
        <v>2686</v>
      </c>
      <c r="E46" t="s">
        <v>2687</v>
      </c>
      <c r="F46" t="s">
        <v>2617</v>
      </c>
    </row>
    <row r="47" spans="1:6" x14ac:dyDescent="0.2">
      <c r="A47" t="s">
        <v>1945</v>
      </c>
      <c r="C47" t="s">
        <v>787</v>
      </c>
      <c r="D47" t="s">
        <v>2688</v>
      </c>
      <c r="E47" t="s">
        <v>2689</v>
      </c>
      <c r="F47" t="s">
        <v>1374</v>
      </c>
    </row>
    <row r="48" spans="1:6" x14ac:dyDescent="0.2">
      <c r="A48" t="s">
        <v>1669</v>
      </c>
      <c r="C48" t="s">
        <v>787</v>
      </c>
      <c r="D48" t="s">
        <v>2690</v>
      </c>
      <c r="E48" t="s">
        <v>2691</v>
      </c>
      <c r="F48" t="s">
        <v>2617</v>
      </c>
    </row>
    <row r="49" spans="1:6" x14ac:dyDescent="0.2">
      <c r="A49" t="s">
        <v>1946</v>
      </c>
      <c r="C49" t="s">
        <v>787</v>
      </c>
      <c r="D49" t="s">
        <v>2692</v>
      </c>
      <c r="E49" t="s">
        <v>2693</v>
      </c>
      <c r="F49" t="s">
        <v>2617</v>
      </c>
    </row>
    <row r="50" spans="1:6" x14ac:dyDescent="0.2">
      <c r="A50" t="s">
        <v>1099</v>
      </c>
      <c r="C50" t="s">
        <v>787</v>
      </c>
      <c r="D50" t="s">
        <v>1253</v>
      </c>
      <c r="E50" t="s">
        <v>1254</v>
      </c>
      <c r="F50" t="s">
        <v>1848</v>
      </c>
    </row>
    <row r="51" spans="1:6" x14ac:dyDescent="0.2">
      <c r="A51" t="s">
        <v>1947</v>
      </c>
      <c r="C51" t="s">
        <v>787</v>
      </c>
      <c r="D51" t="s">
        <v>2694</v>
      </c>
      <c r="E51" t="s">
        <v>2695</v>
      </c>
      <c r="F51" t="s">
        <v>2617</v>
      </c>
    </row>
    <row r="52" spans="1:6" x14ac:dyDescent="0.2">
      <c r="A52" t="s">
        <v>1948</v>
      </c>
      <c r="C52" t="s">
        <v>787</v>
      </c>
      <c r="D52" t="s">
        <v>2696</v>
      </c>
      <c r="E52" t="s">
        <v>2697</v>
      </c>
      <c r="F52" t="s">
        <v>2617</v>
      </c>
    </row>
    <row r="53" spans="1:6" x14ac:dyDescent="0.2">
      <c r="A53" t="s">
        <v>1949</v>
      </c>
      <c r="C53" t="s">
        <v>787</v>
      </c>
      <c r="D53" t="s">
        <v>1060</v>
      </c>
      <c r="E53" t="s">
        <v>941</v>
      </c>
      <c r="F53" t="s">
        <v>809</v>
      </c>
    </row>
    <row r="54" spans="1:6" x14ac:dyDescent="0.2">
      <c r="A54" t="s">
        <v>1950</v>
      </c>
      <c r="C54" t="s">
        <v>787</v>
      </c>
      <c r="D54" t="s">
        <v>2698</v>
      </c>
      <c r="E54" t="s">
        <v>2699</v>
      </c>
      <c r="F54" t="s">
        <v>2617</v>
      </c>
    </row>
    <row r="55" spans="1:6" x14ac:dyDescent="0.2">
      <c r="A55" t="s">
        <v>1951</v>
      </c>
      <c r="C55" t="s">
        <v>787</v>
      </c>
      <c r="D55" t="s">
        <v>2700</v>
      </c>
      <c r="E55" t="s">
        <v>1367</v>
      </c>
      <c r="F55" t="s">
        <v>2617</v>
      </c>
    </row>
    <row r="56" spans="1:6" x14ac:dyDescent="0.2">
      <c r="A56" t="s">
        <v>1952</v>
      </c>
      <c r="C56" t="s">
        <v>787</v>
      </c>
      <c r="D56" t="s">
        <v>2701</v>
      </c>
      <c r="E56" t="s">
        <v>1806</v>
      </c>
      <c r="F56" t="s">
        <v>2702</v>
      </c>
    </row>
    <row r="57" spans="1:6" x14ac:dyDescent="0.2">
      <c r="A57" t="s">
        <v>1953</v>
      </c>
      <c r="C57" t="s">
        <v>787</v>
      </c>
      <c r="D57" t="s">
        <v>2703</v>
      </c>
      <c r="E57" t="s">
        <v>2704</v>
      </c>
      <c r="F57" t="s">
        <v>2705</v>
      </c>
    </row>
    <row r="58" spans="1:6" x14ac:dyDescent="0.2">
      <c r="A58" t="s">
        <v>1012</v>
      </c>
      <c r="C58" t="s">
        <v>787</v>
      </c>
      <c r="D58" t="s">
        <v>2706</v>
      </c>
      <c r="E58" t="s">
        <v>2707</v>
      </c>
      <c r="F58" t="s">
        <v>2617</v>
      </c>
    </row>
    <row r="59" spans="1:6" x14ac:dyDescent="0.2">
      <c r="A59" t="s">
        <v>970</v>
      </c>
      <c r="C59" t="s">
        <v>787</v>
      </c>
      <c r="D59" t="s">
        <v>2708</v>
      </c>
      <c r="E59" t="s">
        <v>2709</v>
      </c>
      <c r="F59" t="s">
        <v>1391</v>
      </c>
    </row>
    <row r="60" spans="1:6" x14ac:dyDescent="0.2">
      <c r="A60" t="s">
        <v>1954</v>
      </c>
      <c r="C60" t="s">
        <v>787</v>
      </c>
      <c r="D60" t="s">
        <v>2710</v>
      </c>
      <c r="E60" t="s">
        <v>2711</v>
      </c>
      <c r="F60" t="s">
        <v>2617</v>
      </c>
    </row>
    <row r="61" spans="1:6" x14ac:dyDescent="0.2">
      <c r="A61" t="s">
        <v>1955</v>
      </c>
      <c r="C61" t="s">
        <v>787</v>
      </c>
      <c r="D61" t="s">
        <v>2712</v>
      </c>
      <c r="E61" t="s">
        <v>2713</v>
      </c>
      <c r="F61" t="s">
        <v>2617</v>
      </c>
    </row>
    <row r="62" spans="1:6" x14ac:dyDescent="0.2">
      <c r="A62" t="s">
        <v>1956</v>
      </c>
      <c r="C62" t="s">
        <v>787</v>
      </c>
      <c r="D62" t="s">
        <v>2714</v>
      </c>
      <c r="E62" t="s">
        <v>2715</v>
      </c>
      <c r="F62" t="s">
        <v>2617</v>
      </c>
    </row>
    <row r="63" spans="1:6" x14ac:dyDescent="0.2">
      <c r="A63" t="s">
        <v>1957</v>
      </c>
      <c r="C63" t="s">
        <v>1482</v>
      </c>
      <c r="D63" t="s">
        <v>2716</v>
      </c>
      <c r="E63" t="s">
        <v>2717</v>
      </c>
      <c r="F63" t="s">
        <v>2718</v>
      </c>
    </row>
    <row r="64" spans="1:6" x14ac:dyDescent="0.2">
      <c r="A64" t="s">
        <v>1958</v>
      </c>
      <c r="C64" t="s">
        <v>787</v>
      </c>
      <c r="D64" t="s">
        <v>2719</v>
      </c>
      <c r="E64" t="s">
        <v>2720</v>
      </c>
      <c r="F64" t="s">
        <v>2617</v>
      </c>
    </row>
    <row r="65" spans="1:6" x14ac:dyDescent="0.2">
      <c r="A65" t="s">
        <v>1959</v>
      </c>
      <c r="C65" t="s">
        <v>787</v>
      </c>
      <c r="D65" t="s">
        <v>1255</v>
      </c>
      <c r="E65" t="s">
        <v>952</v>
      </c>
      <c r="F65" t="s">
        <v>1256</v>
      </c>
    </row>
    <row r="66" spans="1:6" x14ac:dyDescent="0.2">
      <c r="A66" t="s">
        <v>1960</v>
      </c>
      <c r="C66" t="s">
        <v>787</v>
      </c>
      <c r="D66" t="s">
        <v>2721</v>
      </c>
      <c r="E66" t="s">
        <v>2722</v>
      </c>
      <c r="F66" t="s">
        <v>2723</v>
      </c>
    </row>
    <row r="67" spans="1:6" x14ac:dyDescent="0.2">
      <c r="A67" t="s">
        <v>1961</v>
      </c>
      <c r="C67" t="s">
        <v>787</v>
      </c>
      <c r="D67" t="s">
        <v>2724</v>
      </c>
      <c r="E67" t="s">
        <v>2725</v>
      </c>
      <c r="F67" t="s">
        <v>2617</v>
      </c>
    </row>
    <row r="68" spans="1:6" x14ac:dyDescent="0.2">
      <c r="A68" t="s">
        <v>1100</v>
      </c>
      <c r="C68" t="s">
        <v>783</v>
      </c>
      <c r="D68" t="s">
        <v>2722</v>
      </c>
      <c r="E68" t="s">
        <v>1258</v>
      </c>
      <c r="F68" t="s">
        <v>2726</v>
      </c>
    </row>
    <row r="69" spans="1:6" x14ac:dyDescent="0.2">
      <c r="A69" t="s">
        <v>1962</v>
      </c>
      <c r="C69" t="s">
        <v>787</v>
      </c>
      <c r="D69" t="s">
        <v>2727</v>
      </c>
      <c r="E69" t="s">
        <v>2728</v>
      </c>
      <c r="F69" t="s">
        <v>2617</v>
      </c>
    </row>
    <row r="70" spans="1:6" x14ac:dyDescent="0.2">
      <c r="A70" t="s">
        <v>1963</v>
      </c>
      <c r="C70" t="s">
        <v>787</v>
      </c>
      <c r="D70" t="s">
        <v>2729</v>
      </c>
      <c r="E70" t="s">
        <v>2730</v>
      </c>
      <c r="F70" t="s">
        <v>798</v>
      </c>
    </row>
    <row r="71" spans="1:6" x14ac:dyDescent="0.2">
      <c r="A71" t="s">
        <v>1471</v>
      </c>
      <c r="C71" t="s">
        <v>783</v>
      </c>
      <c r="D71" t="s">
        <v>2731</v>
      </c>
      <c r="E71" t="s">
        <v>2732</v>
      </c>
      <c r="F71" t="s">
        <v>2733</v>
      </c>
    </row>
    <row r="72" spans="1:6" x14ac:dyDescent="0.2">
      <c r="A72" t="s">
        <v>1964</v>
      </c>
      <c r="C72" t="s">
        <v>787</v>
      </c>
      <c r="D72" t="s">
        <v>1818</v>
      </c>
      <c r="E72" t="s">
        <v>2734</v>
      </c>
      <c r="F72" t="s">
        <v>2617</v>
      </c>
    </row>
    <row r="73" spans="1:6" x14ac:dyDescent="0.2">
      <c r="A73" t="s">
        <v>1965</v>
      </c>
      <c r="C73" t="s">
        <v>787</v>
      </c>
      <c r="D73" t="s">
        <v>2735</v>
      </c>
      <c r="E73" t="s">
        <v>2736</v>
      </c>
      <c r="F73" t="s">
        <v>2737</v>
      </c>
    </row>
    <row r="74" spans="1:6" x14ac:dyDescent="0.2">
      <c r="A74" t="s">
        <v>1966</v>
      </c>
      <c r="C74" t="s">
        <v>787</v>
      </c>
      <c r="D74" t="s">
        <v>2738</v>
      </c>
      <c r="E74" t="s">
        <v>2739</v>
      </c>
      <c r="F74" t="s">
        <v>2617</v>
      </c>
    </row>
    <row r="75" spans="1:6" x14ac:dyDescent="0.2">
      <c r="A75" t="s">
        <v>1670</v>
      </c>
      <c r="C75" t="s">
        <v>787</v>
      </c>
      <c r="D75" t="s">
        <v>1898</v>
      </c>
      <c r="E75" t="s">
        <v>2740</v>
      </c>
      <c r="F75" t="s">
        <v>2741</v>
      </c>
    </row>
    <row r="76" spans="1:6" x14ac:dyDescent="0.2">
      <c r="A76" t="s">
        <v>1967</v>
      </c>
      <c r="C76" t="s">
        <v>787</v>
      </c>
      <c r="D76" t="s">
        <v>1420</v>
      </c>
      <c r="E76" t="s">
        <v>2742</v>
      </c>
      <c r="F76" t="s">
        <v>822</v>
      </c>
    </row>
    <row r="77" spans="1:6" x14ac:dyDescent="0.2">
      <c r="A77" t="s">
        <v>1101</v>
      </c>
      <c r="C77" t="s">
        <v>787</v>
      </c>
      <c r="D77" t="s">
        <v>2743</v>
      </c>
      <c r="E77" t="s">
        <v>850</v>
      </c>
      <c r="F77" t="s">
        <v>1259</v>
      </c>
    </row>
    <row r="78" spans="1:6" x14ac:dyDescent="0.2">
      <c r="A78" t="s">
        <v>1968</v>
      </c>
      <c r="C78" t="s">
        <v>787</v>
      </c>
      <c r="D78" t="s">
        <v>2744</v>
      </c>
      <c r="E78" t="s">
        <v>950</v>
      </c>
      <c r="F78" t="s">
        <v>2617</v>
      </c>
    </row>
    <row r="79" spans="1:6" x14ac:dyDescent="0.2">
      <c r="A79" t="s">
        <v>1969</v>
      </c>
      <c r="C79" t="s">
        <v>787</v>
      </c>
      <c r="D79" t="s">
        <v>2745</v>
      </c>
      <c r="E79" t="s">
        <v>2746</v>
      </c>
      <c r="F79" t="s">
        <v>2617</v>
      </c>
    </row>
    <row r="80" spans="1:6" x14ac:dyDescent="0.2">
      <c r="A80" t="s">
        <v>1671</v>
      </c>
      <c r="C80" t="s">
        <v>787</v>
      </c>
      <c r="D80" t="s">
        <v>2747</v>
      </c>
      <c r="E80" t="s">
        <v>2748</v>
      </c>
      <c r="F80" t="s">
        <v>2617</v>
      </c>
    </row>
    <row r="81" spans="1:6" x14ac:dyDescent="0.2">
      <c r="A81" t="s">
        <v>1970</v>
      </c>
      <c r="C81" t="s">
        <v>787</v>
      </c>
      <c r="D81" t="s">
        <v>2749</v>
      </c>
      <c r="E81" t="s">
        <v>2750</v>
      </c>
      <c r="F81" t="s">
        <v>2617</v>
      </c>
    </row>
    <row r="82" spans="1:6" x14ac:dyDescent="0.2">
      <c r="A82" t="s">
        <v>1971</v>
      </c>
      <c r="C82" t="s">
        <v>1482</v>
      </c>
      <c r="D82" t="s">
        <v>2751</v>
      </c>
      <c r="E82" t="s">
        <v>2752</v>
      </c>
      <c r="F82" t="s">
        <v>2753</v>
      </c>
    </row>
    <row r="83" spans="1:6" x14ac:dyDescent="0.2">
      <c r="A83" t="s">
        <v>1102</v>
      </c>
      <c r="C83" t="s">
        <v>787</v>
      </c>
      <c r="D83" t="s">
        <v>1260</v>
      </c>
      <c r="E83" t="s">
        <v>1261</v>
      </c>
      <c r="F83" t="s">
        <v>1331</v>
      </c>
    </row>
    <row r="84" spans="1:6" x14ac:dyDescent="0.2">
      <c r="A84" t="s">
        <v>1972</v>
      </c>
      <c r="C84" t="s">
        <v>787</v>
      </c>
      <c r="D84" t="s">
        <v>2751</v>
      </c>
      <c r="E84" t="s">
        <v>2754</v>
      </c>
      <c r="F84" t="s">
        <v>2617</v>
      </c>
    </row>
    <row r="85" spans="1:6" x14ac:dyDescent="0.2">
      <c r="A85" t="s">
        <v>1103</v>
      </c>
      <c r="C85" t="s">
        <v>787</v>
      </c>
      <c r="D85" t="s">
        <v>1359</v>
      </c>
      <c r="E85" t="s">
        <v>2755</v>
      </c>
      <c r="F85" t="s">
        <v>2698</v>
      </c>
    </row>
    <row r="86" spans="1:6" x14ac:dyDescent="0.2">
      <c r="A86" t="s">
        <v>1973</v>
      </c>
      <c r="C86" t="s">
        <v>787</v>
      </c>
      <c r="D86" t="s">
        <v>855</v>
      </c>
      <c r="E86" t="s">
        <v>2756</v>
      </c>
      <c r="F86" t="s">
        <v>2617</v>
      </c>
    </row>
    <row r="87" spans="1:6" x14ac:dyDescent="0.2">
      <c r="A87" t="s">
        <v>1974</v>
      </c>
      <c r="C87" t="s">
        <v>787</v>
      </c>
      <c r="D87" t="s">
        <v>907</v>
      </c>
      <c r="E87" t="s">
        <v>2757</v>
      </c>
      <c r="F87" t="s">
        <v>792</v>
      </c>
    </row>
    <row r="88" spans="1:6" x14ac:dyDescent="0.2">
      <c r="A88" t="s">
        <v>1975</v>
      </c>
      <c r="C88" t="s">
        <v>1482</v>
      </c>
      <c r="D88" t="s">
        <v>2758</v>
      </c>
      <c r="E88" t="s">
        <v>1409</v>
      </c>
      <c r="F88" t="s">
        <v>2759</v>
      </c>
    </row>
    <row r="89" spans="1:6" x14ac:dyDescent="0.2">
      <c r="A89" t="s">
        <v>1976</v>
      </c>
      <c r="C89" t="s">
        <v>787</v>
      </c>
      <c r="D89" t="s">
        <v>2760</v>
      </c>
      <c r="E89" t="s">
        <v>2761</v>
      </c>
      <c r="F89" t="s">
        <v>2617</v>
      </c>
    </row>
    <row r="90" spans="1:6" x14ac:dyDescent="0.2">
      <c r="A90" t="s">
        <v>1104</v>
      </c>
      <c r="C90" t="s">
        <v>787</v>
      </c>
      <c r="D90" t="s">
        <v>1263</v>
      </c>
      <c r="E90" t="s">
        <v>2762</v>
      </c>
      <c r="F90" t="s">
        <v>1264</v>
      </c>
    </row>
    <row r="91" spans="1:6" x14ac:dyDescent="0.2">
      <c r="A91" t="s">
        <v>1977</v>
      </c>
      <c r="C91" t="s">
        <v>787</v>
      </c>
      <c r="D91" t="s">
        <v>2763</v>
      </c>
      <c r="E91" t="s">
        <v>2764</v>
      </c>
      <c r="F91" t="s">
        <v>2617</v>
      </c>
    </row>
    <row r="92" spans="1:6" x14ac:dyDescent="0.2">
      <c r="A92" t="s">
        <v>1978</v>
      </c>
      <c r="C92" t="s">
        <v>787</v>
      </c>
      <c r="D92" t="s">
        <v>2765</v>
      </c>
      <c r="E92" t="s">
        <v>2766</v>
      </c>
      <c r="F92" t="s">
        <v>930</v>
      </c>
    </row>
    <row r="93" spans="1:6" x14ac:dyDescent="0.2">
      <c r="A93" t="s">
        <v>1979</v>
      </c>
      <c r="C93" t="s">
        <v>787</v>
      </c>
      <c r="D93" t="s">
        <v>2767</v>
      </c>
      <c r="E93" t="s">
        <v>2768</v>
      </c>
      <c r="F93" t="s">
        <v>2769</v>
      </c>
    </row>
    <row r="94" spans="1:6" x14ac:dyDescent="0.2">
      <c r="A94" t="s">
        <v>1980</v>
      </c>
      <c r="C94" t="s">
        <v>787</v>
      </c>
      <c r="D94" t="s">
        <v>2609</v>
      </c>
      <c r="E94" t="s">
        <v>2770</v>
      </c>
      <c r="F94" t="s">
        <v>2771</v>
      </c>
    </row>
    <row r="95" spans="1:6" x14ac:dyDescent="0.2">
      <c r="A95" t="s">
        <v>1981</v>
      </c>
      <c r="C95" t="s">
        <v>787</v>
      </c>
      <c r="D95" t="s">
        <v>2772</v>
      </c>
      <c r="E95" t="s">
        <v>2773</v>
      </c>
      <c r="F95" t="s">
        <v>1301</v>
      </c>
    </row>
    <row r="96" spans="1:6" x14ac:dyDescent="0.2">
      <c r="A96" t="s">
        <v>1105</v>
      </c>
      <c r="C96" t="s">
        <v>787</v>
      </c>
      <c r="D96" t="s">
        <v>2774</v>
      </c>
      <c r="E96" t="s">
        <v>2775</v>
      </c>
      <c r="F96" t="s">
        <v>1015</v>
      </c>
    </row>
    <row r="97" spans="1:6" x14ac:dyDescent="0.2">
      <c r="A97" t="s">
        <v>1106</v>
      </c>
      <c r="C97" t="s">
        <v>787</v>
      </c>
      <c r="D97" t="s">
        <v>1267</v>
      </c>
      <c r="E97" t="s">
        <v>1268</v>
      </c>
      <c r="F97" t="s">
        <v>1269</v>
      </c>
    </row>
    <row r="98" spans="1:6" x14ac:dyDescent="0.2">
      <c r="A98" t="s">
        <v>803</v>
      </c>
      <c r="C98" t="s">
        <v>787</v>
      </c>
      <c r="D98" t="s">
        <v>1275</v>
      </c>
      <c r="E98" t="s">
        <v>2776</v>
      </c>
      <c r="F98" t="s">
        <v>2617</v>
      </c>
    </row>
    <row r="99" spans="1:6" x14ac:dyDescent="0.2">
      <c r="A99" t="s">
        <v>1982</v>
      </c>
      <c r="C99" t="s">
        <v>783</v>
      </c>
      <c r="D99" t="s">
        <v>2777</v>
      </c>
      <c r="E99" t="s">
        <v>2778</v>
      </c>
      <c r="F99" t="s">
        <v>2647</v>
      </c>
    </row>
    <row r="100" spans="1:6" x14ac:dyDescent="0.2">
      <c r="A100" t="s">
        <v>1983</v>
      </c>
      <c r="C100" t="s">
        <v>783</v>
      </c>
      <c r="D100" t="s">
        <v>889</v>
      </c>
      <c r="E100" t="s">
        <v>2779</v>
      </c>
      <c r="F100" t="s">
        <v>1285</v>
      </c>
    </row>
    <row r="101" spans="1:6" x14ac:dyDescent="0.2">
      <c r="A101" t="s">
        <v>1984</v>
      </c>
      <c r="C101" t="s">
        <v>787</v>
      </c>
      <c r="D101" t="s">
        <v>2780</v>
      </c>
      <c r="E101" t="s">
        <v>2781</v>
      </c>
      <c r="F101" t="s">
        <v>930</v>
      </c>
    </row>
    <row r="102" spans="1:6" x14ac:dyDescent="0.2">
      <c r="A102" t="s">
        <v>1985</v>
      </c>
      <c r="C102" t="s">
        <v>787</v>
      </c>
      <c r="D102" t="s">
        <v>2782</v>
      </c>
      <c r="E102" t="s">
        <v>2783</v>
      </c>
      <c r="F102" t="s">
        <v>2617</v>
      </c>
    </row>
    <row r="103" spans="1:6" x14ac:dyDescent="0.2">
      <c r="A103" t="s">
        <v>1107</v>
      </c>
      <c r="C103" t="s">
        <v>787</v>
      </c>
      <c r="D103" t="s">
        <v>2784</v>
      </c>
      <c r="E103" t="s">
        <v>1270</v>
      </c>
      <c r="F103" t="s">
        <v>2785</v>
      </c>
    </row>
    <row r="104" spans="1:6" x14ac:dyDescent="0.2">
      <c r="A104" t="s">
        <v>1986</v>
      </c>
      <c r="C104" t="s">
        <v>787</v>
      </c>
      <c r="D104" t="s">
        <v>2756</v>
      </c>
      <c r="E104" t="s">
        <v>2786</v>
      </c>
      <c r="F104" t="s">
        <v>2617</v>
      </c>
    </row>
    <row r="105" spans="1:6" x14ac:dyDescent="0.2">
      <c r="A105" t="s">
        <v>991</v>
      </c>
      <c r="C105" t="s">
        <v>787</v>
      </c>
      <c r="D105" t="s">
        <v>2787</v>
      </c>
      <c r="E105" t="s">
        <v>2788</v>
      </c>
      <c r="F105" t="s">
        <v>2789</v>
      </c>
    </row>
    <row r="106" spans="1:6" x14ac:dyDescent="0.2">
      <c r="A106" t="s">
        <v>1987</v>
      </c>
      <c r="C106" t="s">
        <v>787</v>
      </c>
      <c r="D106" t="s">
        <v>2790</v>
      </c>
      <c r="E106" t="s">
        <v>2791</v>
      </c>
      <c r="F106" t="s">
        <v>2617</v>
      </c>
    </row>
    <row r="107" spans="1:6" x14ac:dyDescent="0.2">
      <c r="A107" t="s">
        <v>1988</v>
      </c>
      <c r="C107" t="s">
        <v>1482</v>
      </c>
      <c r="D107" t="s">
        <v>2792</v>
      </c>
      <c r="E107" t="s">
        <v>2793</v>
      </c>
      <c r="F107" t="s">
        <v>2794</v>
      </c>
    </row>
    <row r="108" spans="1:6" x14ac:dyDescent="0.2">
      <c r="A108" t="s">
        <v>1672</v>
      </c>
      <c r="C108" t="s">
        <v>787</v>
      </c>
      <c r="D108" t="s">
        <v>2795</v>
      </c>
      <c r="E108" t="s">
        <v>949</v>
      </c>
      <c r="F108" t="s">
        <v>2617</v>
      </c>
    </row>
    <row r="109" spans="1:6" x14ac:dyDescent="0.2">
      <c r="A109" t="s">
        <v>1989</v>
      </c>
      <c r="C109" t="s">
        <v>787</v>
      </c>
      <c r="D109" t="s">
        <v>2796</v>
      </c>
      <c r="E109" t="s">
        <v>937</v>
      </c>
      <c r="F109" t="s">
        <v>2617</v>
      </c>
    </row>
    <row r="110" spans="1:6" x14ac:dyDescent="0.2">
      <c r="A110" t="s">
        <v>1990</v>
      </c>
      <c r="C110" t="s">
        <v>787</v>
      </c>
      <c r="D110" t="s">
        <v>896</v>
      </c>
      <c r="E110" t="s">
        <v>2797</v>
      </c>
      <c r="F110" t="s">
        <v>2617</v>
      </c>
    </row>
    <row r="111" spans="1:6" x14ac:dyDescent="0.2">
      <c r="A111" t="s">
        <v>1991</v>
      </c>
      <c r="C111" t="s">
        <v>787</v>
      </c>
      <c r="D111" t="s">
        <v>2798</v>
      </c>
      <c r="E111" t="s">
        <v>2799</v>
      </c>
      <c r="F111" t="s">
        <v>1435</v>
      </c>
    </row>
    <row r="112" spans="1:6" x14ac:dyDescent="0.2">
      <c r="A112" t="s">
        <v>1108</v>
      </c>
      <c r="C112" t="s">
        <v>787</v>
      </c>
      <c r="D112" t="s">
        <v>1272</v>
      </c>
      <c r="E112" t="s">
        <v>2800</v>
      </c>
      <c r="F112" t="s">
        <v>1249</v>
      </c>
    </row>
    <row r="113" spans="1:6" x14ac:dyDescent="0.2">
      <c r="A113" t="s">
        <v>1992</v>
      </c>
      <c r="C113" t="s">
        <v>1482</v>
      </c>
      <c r="D113" t="s">
        <v>867</v>
      </c>
      <c r="E113" t="s">
        <v>2801</v>
      </c>
      <c r="F113" t="s">
        <v>2802</v>
      </c>
    </row>
    <row r="114" spans="1:6" x14ac:dyDescent="0.2">
      <c r="A114" t="s">
        <v>1109</v>
      </c>
      <c r="C114" t="s">
        <v>787</v>
      </c>
      <c r="D114" t="s">
        <v>2803</v>
      </c>
      <c r="E114" t="s">
        <v>1273</v>
      </c>
      <c r="F114" t="s">
        <v>1274</v>
      </c>
    </row>
    <row r="115" spans="1:6" x14ac:dyDescent="0.2">
      <c r="A115" t="s">
        <v>1993</v>
      </c>
      <c r="C115" t="s">
        <v>787</v>
      </c>
      <c r="D115" t="s">
        <v>2804</v>
      </c>
      <c r="E115" t="s">
        <v>2805</v>
      </c>
      <c r="F115" t="s">
        <v>1369</v>
      </c>
    </row>
    <row r="116" spans="1:6" x14ac:dyDescent="0.2">
      <c r="A116" t="s">
        <v>1994</v>
      </c>
      <c r="C116" t="s">
        <v>787</v>
      </c>
      <c r="D116" t="s">
        <v>1242</v>
      </c>
      <c r="E116" t="s">
        <v>2806</v>
      </c>
      <c r="F116" t="s">
        <v>2617</v>
      </c>
    </row>
    <row r="117" spans="1:6" x14ac:dyDescent="0.2">
      <c r="A117" t="s">
        <v>1110</v>
      </c>
      <c r="C117" t="s">
        <v>787</v>
      </c>
      <c r="D117" t="s">
        <v>1275</v>
      </c>
      <c r="E117" t="s">
        <v>1276</v>
      </c>
      <c r="F117" t="s">
        <v>2807</v>
      </c>
    </row>
    <row r="118" spans="1:6" x14ac:dyDescent="0.2">
      <c r="A118" t="s">
        <v>1995</v>
      </c>
      <c r="C118" t="s">
        <v>787</v>
      </c>
      <c r="D118" t="s">
        <v>2808</v>
      </c>
      <c r="E118" t="s">
        <v>2809</v>
      </c>
      <c r="F118" t="s">
        <v>2617</v>
      </c>
    </row>
    <row r="119" spans="1:6" x14ac:dyDescent="0.2">
      <c r="A119" t="s">
        <v>1111</v>
      </c>
      <c r="C119" t="s">
        <v>787</v>
      </c>
      <c r="D119" t="s">
        <v>2810</v>
      </c>
      <c r="E119" t="s">
        <v>2811</v>
      </c>
      <c r="F119" t="s">
        <v>793</v>
      </c>
    </row>
    <row r="120" spans="1:6" x14ac:dyDescent="0.2">
      <c r="A120" t="s">
        <v>1996</v>
      </c>
      <c r="C120" t="s">
        <v>1482</v>
      </c>
      <c r="D120" t="s">
        <v>2812</v>
      </c>
      <c r="E120" t="s">
        <v>2813</v>
      </c>
      <c r="F120" t="s">
        <v>2814</v>
      </c>
    </row>
    <row r="121" spans="1:6" x14ac:dyDescent="0.2">
      <c r="A121" t="s">
        <v>1997</v>
      </c>
      <c r="C121" t="s">
        <v>787</v>
      </c>
      <c r="D121" t="s">
        <v>2815</v>
      </c>
      <c r="E121" t="s">
        <v>2816</v>
      </c>
      <c r="F121" t="s">
        <v>2617</v>
      </c>
    </row>
    <row r="122" spans="1:6" x14ac:dyDescent="0.2">
      <c r="A122" t="s">
        <v>1476</v>
      </c>
      <c r="C122" t="s">
        <v>783</v>
      </c>
      <c r="D122" t="s">
        <v>2817</v>
      </c>
      <c r="E122" t="s">
        <v>2818</v>
      </c>
      <c r="F122" t="s">
        <v>2647</v>
      </c>
    </row>
    <row r="123" spans="1:6" x14ac:dyDescent="0.2">
      <c r="A123" t="s">
        <v>1998</v>
      </c>
      <c r="C123" t="s">
        <v>787</v>
      </c>
      <c r="D123" t="s">
        <v>2819</v>
      </c>
      <c r="E123" t="s">
        <v>2820</v>
      </c>
      <c r="F123" t="s">
        <v>2617</v>
      </c>
    </row>
    <row r="124" spans="1:6" x14ac:dyDescent="0.2">
      <c r="A124" t="s">
        <v>1999</v>
      </c>
      <c r="C124" t="s">
        <v>1482</v>
      </c>
      <c r="D124" t="s">
        <v>1630</v>
      </c>
      <c r="E124" t="s">
        <v>1742</v>
      </c>
      <c r="F124" t="s">
        <v>2821</v>
      </c>
    </row>
    <row r="125" spans="1:6" x14ac:dyDescent="0.2">
      <c r="A125" t="s">
        <v>2000</v>
      </c>
      <c r="C125" t="s">
        <v>787</v>
      </c>
      <c r="D125" t="s">
        <v>2822</v>
      </c>
      <c r="E125" t="s">
        <v>2823</v>
      </c>
      <c r="F125" t="s">
        <v>2617</v>
      </c>
    </row>
    <row r="126" spans="1:6" x14ac:dyDescent="0.2">
      <c r="A126" t="s">
        <v>1112</v>
      </c>
      <c r="C126" t="s">
        <v>787</v>
      </c>
      <c r="D126" t="s">
        <v>2824</v>
      </c>
      <c r="E126" t="s">
        <v>2825</v>
      </c>
      <c r="F126" t="s">
        <v>892</v>
      </c>
    </row>
    <row r="127" spans="1:6" x14ac:dyDescent="0.2">
      <c r="A127" t="s">
        <v>2001</v>
      </c>
      <c r="C127" t="s">
        <v>787</v>
      </c>
      <c r="D127" t="s">
        <v>811</v>
      </c>
      <c r="E127" t="s">
        <v>1398</v>
      </c>
      <c r="F127" t="s">
        <v>2617</v>
      </c>
    </row>
    <row r="128" spans="1:6" x14ac:dyDescent="0.2">
      <c r="A128" t="s">
        <v>1113</v>
      </c>
      <c r="C128" t="s">
        <v>787</v>
      </c>
      <c r="D128" t="s">
        <v>2826</v>
      </c>
      <c r="E128" t="s">
        <v>1279</v>
      </c>
      <c r="F128" t="s">
        <v>2827</v>
      </c>
    </row>
    <row r="129" spans="1:6" x14ac:dyDescent="0.2">
      <c r="A129" t="s">
        <v>2002</v>
      </c>
      <c r="C129" t="s">
        <v>1482</v>
      </c>
      <c r="D129" t="s">
        <v>2828</v>
      </c>
      <c r="E129" t="s">
        <v>2829</v>
      </c>
      <c r="F129" t="s">
        <v>2830</v>
      </c>
    </row>
    <row r="130" spans="1:6" x14ac:dyDescent="0.2">
      <c r="A130" t="s">
        <v>2003</v>
      </c>
      <c r="C130" t="s">
        <v>783</v>
      </c>
      <c r="D130" t="s">
        <v>2831</v>
      </c>
      <c r="E130" t="s">
        <v>2832</v>
      </c>
      <c r="F130" t="s">
        <v>963</v>
      </c>
    </row>
    <row r="131" spans="1:6" x14ac:dyDescent="0.2">
      <c r="A131" t="s">
        <v>1114</v>
      </c>
      <c r="C131" t="s">
        <v>787</v>
      </c>
      <c r="D131" t="s">
        <v>1280</v>
      </c>
      <c r="E131" t="s">
        <v>1281</v>
      </c>
      <c r="F131" t="s">
        <v>1259</v>
      </c>
    </row>
    <row r="132" spans="1:6" x14ac:dyDescent="0.2">
      <c r="A132" t="s">
        <v>2004</v>
      </c>
      <c r="C132" t="s">
        <v>1482</v>
      </c>
      <c r="D132" t="s">
        <v>2833</v>
      </c>
      <c r="E132" t="s">
        <v>2834</v>
      </c>
      <c r="F132" t="s">
        <v>2835</v>
      </c>
    </row>
    <row r="133" spans="1:6" x14ac:dyDescent="0.2">
      <c r="A133" t="s">
        <v>2005</v>
      </c>
      <c r="C133" t="s">
        <v>787</v>
      </c>
      <c r="D133" t="s">
        <v>2836</v>
      </c>
      <c r="E133" t="s">
        <v>2837</v>
      </c>
      <c r="F133" t="s">
        <v>2617</v>
      </c>
    </row>
    <row r="134" spans="1:6" x14ac:dyDescent="0.2">
      <c r="A134" t="s">
        <v>2006</v>
      </c>
      <c r="C134" t="s">
        <v>787</v>
      </c>
      <c r="D134" t="s">
        <v>2838</v>
      </c>
      <c r="E134" t="s">
        <v>2839</v>
      </c>
      <c r="F134" t="s">
        <v>2617</v>
      </c>
    </row>
    <row r="135" spans="1:6" x14ac:dyDescent="0.2">
      <c r="A135" t="s">
        <v>2007</v>
      </c>
      <c r="C135" t="s">
        <v>1482</v>
      </c>
      <c r="D135" t="s">
        <v>2840</v>
      </c>
      <c r="E135" t="s">
        <v>944</v>
      </c>
      <c r="F135" t="s">
        <v>2841</v>
      </c>
    </row>
    <row r="136" spans="1:6" x14ac:dyDescent="0.2">
      <c r="A136" t="s">
        <v>2008</v>
      </c>
      <c r="C136" t="s">
        <v>787</v>
      </c>
      <c r="D136" t="s">
        <v>2842</v>
      </c>
      <c r="E136" t="s">
        <v>1837</v>
      </c>
      <c r="F136" t="s">
        <v>2617</v>
      </c>
    </row>
    <row r="137" spans="1:6" x14ac:dyDescent="0.2">
      <c r="A137" t="s">
        <v>2009</v>
      </c>
      <c r="C137" t="s">
        <v>1482</v>
      </c>
      <c r="D137" t="s">
        <v>2843</v>
      </c>
      <c r="E137" t="s">
        <v>2844</v>
      </c>
      <c r="F137" t="s">
        <v>2845</v>
      </c>
    </row>
    <row r="138" spans="1:6" x14ac:dyDescent="0.2">
      <c r="A138" t="s">
        <v>2010</v>
      </c>
      <c r="C138" t="s">
        <v>787</v>
      </c>
      <c r="D138" t="s">
        <v>2846</v>
      </c>
      <c r="E138" t="s">
        <v>2847</v>
      </c>
      <c r="F138" t="s">
        <v>2617</v>
      </c>
    </row>
    <row r="139" spans="1:6" x14ac:dyDescent="0.2">
      <c r="A139" t="s">
        <v>2011</v>
      </c>
      <c r="C139" t="s">
        <v>787</v>
      </c>
      <c r="D139" t="s">
        <v>2848</v>
      </c>
      <c r="E139" t="s">
        <v>2849</v>
      </c>
      <c r="F139" t="s">
        <v>2617</v>
      </c>
    </row>
    <row r="140" spans="1:6" x14ac:dyDescent="0.2">
      <c r="A140" t="s">
        <v>2012</v>
      </c>
      <c r="C140" t="s">
        <v>787</v>
      </c>
      <c r="D140" t="s">
        <v>1789</v>
      </c>
      <c r="E140" t="s">
        <v>2850</v>
      </c>
      <c r="F140" t="s">
        <v>2617</v>
      </c>
    </row>
    <row r="141" spans="1:6" x14ac:dyDescent="0.2">
      <c r="A141" t="s">
        <v>2013</v>
      </c>
      <c r="C141" t="s">
        <v>1482</v>
      </c>
      <c r="D141" t="s">
        <v>2851</v>
      </c>
      <c r="E141" t="s">
        <v>2852</v>
      </c>
      <c r="F141" t="s">
        <v>2853</v>
      </c>
    </row>
    <row r="142" spans="1:6" x14ac:dyDescent="0.2">
      <c r="A142" t="s">
        <v>2014</v>
      </c>
      <c r="C142" t="s">
        <v>787</v>
      </c>
      <c r="D142" t="s">
        <v>2851</v>
      </c>
      <c r="E142" t="s">
        <v>2854</v>
      </c>
      <c r="F142" t="s">
        <v>2617</v>
      </c>
    </row>
    <row r="143" spans="1:6" x14ac:dyDescent="0.2">
      <c r="A143" t="s">
        <v>2015</v>
      </c>
      <c r="C143" t="s">
        <v>787</v>
      </c>
      <c r="D143" t="s">
        <v>2855</v>
      </c>
      <c r="E143" t="s">
        <v>1385</v>
      </c>
      <c r="F143" t="s">
        <v>2617</v>
      </c>
    </row>
    <row r="144" spans="1:6" x14ac:dyDescent="0.2">
      <c r="A144" t="s">
        <v>2016</v>
      </c>
      <c r="C144" t="s">
        <v>787</v>
      </c>
      <c r="D144" t="s">
        <v>2856</v>
      </c>
      <c r="E144" t="s">
        <v>2857</v>
      </c>
      <c r="F144" t="s">
        <v>2617</v>
      </c>
    </row>
    <row r="145" spans="1:6" x14ac:dyDescent="0.2">
      <c r="A145" t="s">
        <v>852</v>
      </c>
      <c r="C145" t="s">
        <v>787</v>
      </c>
      <c r="D145" t="s">
        <v>2858</v>
      </c>
      <c r="E145" t="s">
        <v>2859</v>
      </c>
      <c r="F145" t="s">
        <v>2617</v>
      </c>
    </row>
    <row r="146" spans="1:6" x14ac:dyDescent="0.2">
      <c r="A146" t="s">
        <v>969</v>
      </c>
      <c r="C146" t="s">
        <v>787</v>
      </c>
      <c r="D146" t="s">
        <v>2860</v>
      </c>
      <c r="E146" t="s">
        <v>2861</v>
      </c>
      <c r="F146" t="s">
        <v>2862</v>
      </c>
    </row>
    <row r="147" spans="1:6" x14ac:dyDescent="0.2">
      <c r="A147" t="s">
        <v>1115</v>
      </c>
      <c r="C147" t="s">
        <v>787</v>
      </c>
      <c r="D147" t="s">
        <v>2863</v>
      </c>
      <c r="E147" t="s">
        <v>1283</v>
      </c>
      <c r="F147" t="s">
        <v>1284</v>
      </c>
    </row>
    <row r="148" spans="1:6" x14ac:dyDescent="0.2">
      <c r="A148" t="s">
        <v>1116</v>
      </c>
      <c r="C148" t="s">
        <v>787</v>
      </c>
      <c r="D148" t="s">
        <v>2864</v>
      </c>
      <c r="E148" t="s">
        <v>1286</v>
      </c>
      <c r="F148" t="s">
        <v>788</v>
      </c>
    </row>
    <row r="149" spans="1:6" x14ac:dyDescent="0.2">
      <c r="A149" t="s">
        <v>1673</v>
      </c>
      <c r="C149" t="s">
        <v>787</v>
      </c>
      <c r="D149" t="s">
        <v>2865</v>
      </c>
      <c r="E149" t="s">
        <v>2866</v>
      </c>
      <c r="F149" t="s">
        <v>2867</v>
      </c>
    </row>
    <row r="150" spans="1:6" x14ac:dyDescent="0.2">
      <c r="A150" t="s">
        <v>1117</v>
      </c>
      <c r="C150" t="s">
        <v>787</v>
      </c>
      <c r="D150" t="s">
        <v>2868</v>
      </c>
      <c r="E150" t="s">
        <v>1287</v>
      </c>
      <c r="F150" t="s">
        <v>1284</v>
      </c>
    </row>
    <row r="151" spans="1:6" x14ac:dyDescent="0.2">
      <c r="A151" t="s">
        <v>789</v>
      </c>
      <c r="C151" t="s">
        <v>787</v>
      </c>
      <c r="D151" t="s">
        <v>2869</v>
      </c>
      <c r="E151" t="s">
        <v>2870</v>
      </c>
      <c r="F151" t="s">
        <v>2617</v>
      </c>
    </row>
    <row r="152" spans="1:6" x14ac:dyDescent="0.2">
      <c r="A152" t="s">
        <v>2017</v>
      </c>
      <c r="C152" t="s">
        <v>787</v>
      </c>
      <c r="D152" t="s">
        <v>2871</v>
      </c>
      <c r="E152" t="s">
        <v>2872</v>
      </c>
      <c r="F152" t="s">
        <v>2617</v>
      </c>
    </row>
    <row r="153" spans="1:6" x14ac:dyDescent="0.2">
      <c r="A153" t="s">
        <v>1118</v>
      </c>
      <c r="C153" t="s">
        <v>787</v>
      </c>
      <c r="D153" t="s">
        <v>1288</v>
      </c>
      <c r="E153" t="s">
        <v>1783</v>
      </c>
      <c r="F153" t="s">
        <v>1289</v>
      </c>
    </row>
    <row r="154" spans="1:6" x14ac:dyDescent="0.2">
      <c r="A154" t="s">
        <v>2018</v>
      </c>
      <c r="C154" t="s">
        <v>787</v>
      </c>
      <c r="D154" t="s">
        <v>2873</v>
      </c>
      <c r="E154" t="s">
        <v>2874</v>
      </c>
      <c r="F154" t="s">
        <v>840</v>
      </c>
    </row>
    <row r="155" spans="1:6" x14ac:dyDescent="0.2">
      <c r="A155" t="s">
        <v>2019</v>
      </c>
      <c r="C155" t="s">
        <v>787</v>
      </c>
      <c r="D155" t="s">
        <v>2875</v>
      </c>
      <c r="E155" t="s">
        <v>2876</v>
      </c>
      <c r="F155" t="s">
        <v>2617</v>
      </c>
    </row>
    <row r="156" spans="1:6" x14ac:dyDescent="0.2">
      <c r="A156" t="s">
        <v>1119</v>
      </c>
      <c r="C156" t="s">
        <v>787</v>
      </c>
      <c r="D156" t="s">
        <v>1290</v>
      </c>
      <c r="E156" t="s">
        <v>1291</v>
      </c>
      <c r="F156" t="s">
        <v>873</v>
      </c>
    </row>
    <row r="157" spans="1:6" x14ac:dyDescent="0.2">
      <c r="A157" t="s">
        <v>2020</v>
      </c>
      <c r="C157" t="s">
        <v>1482</v>
      </c>
      <c r="D157" t="s">
        <v>2877</v>
      </c>
      <c r="E157" t="s">
        <v>2878</v>
      </c>
      <c r="F157" t="s">
        <v>2879</v>
      </c>
    </row>
    <row r="158" spans="1:6" x14ac:dyDescent="0.2">
      <c r="A158" t="s">
        <v>2021</v>
      </c>
      <c r="C158" t="s">
        <v>787</v>
      </c>
      <c r="D158" t="s">
        <v>2880</v>
      </c>
      <c r="E158" t="s">
        <v>2881</v>
      </c>
      <c r="F158" t="s">
        <v>962</v>
      </c>
    </row>
    <row r="159" spans="1:6" x14ac:dyDescent="0.2">
      <c r="A159" t="s">
        <v>2022</v>
      </c>
      <c r="C159" t="s">
        <v>787</v>
      </c>
      <c r="D159" t="s">
        <v>2882</v>
      </c>
      <c r="E159" t="s">
        <v>2883</v>
      </c>
      <c r="F159" t="s">
        <v>2617</v>
      </c>
    </row>
    <row r="160" spans="1:6" x14ac:dyDescent="0.2">
      <c r="A160" t="s">
        <v>2023</v>
      </c>
      <c r="C160" t="s">
        <v>787</v>
      </c>
      <c r="D160" t="s">
        <v>2884</v>
      </c>
      <c r="E160" t="s">
        <v>2885</v>
      </c>
      <c r="F160" t="s">
        <v>1033</v>
      </c>
    </row>
    <row r="161" spans="1:6" x14ac:dyDescent="0.2">
      <c r="A161" t="s">
        <v>2024</v>
      </c>
      <c r="C161" t="s">
        <v>787</v>
      </c>
      <c r="D161" t="s">
        <v>2886</v>
      </c>
      <c r="E161" t="s">
        <v>2887</v>
      </c>
      <c r="F161" t="s">
        <v>1264</v>
      </c>
    </row>
    <row r="162" spans="1:6" x14ac:dyDescent="0.2">
      <c r="A162" t="s">
        <v>2025</v>
      </c>
      <c r="C162" t="s">
        <v>787</v>
      </c>
      <c r="D162" t="s">
        <v>2888</v>
      </c>
      <c r="E162" t="s">
        <v>2889</v>
      </c>
      <c r="F162" t="s">
        <v>1264</v>
      </c>
    </row>
    <row r="163" spans="1:6" x14ac:dyDescent="0.2">
      <c r="A163" t="s">
        <v>2026</v>
      </c>
      <c r="C163" t="s">
        <v>787</v>
      </c>
      <c r="D163" t="s">
        <v>806</v>
      </c>
      <c r="E163" t="s">
        <v>2890</v>
      </c>
      <c r="F163" t="s">
        <v>1301</v>
      </c>
    </row>
    <row r="164" spans="1:6" x14ac:dyDescent="0.2">
      <c r="A164" t="s">
        <v>2027</v>
      </c>
      <c r="C164" t="s">
        <v>787</v>
      </c>
      <c r="D164" t="s">
        <v>2891</v>
      </c>
      <c r="E164" t="s">
        <v>2892</v>
      </c>
      <c r="F164" t="s">
        <v>2893</v>
      </c>
    </row>
    <row r="165" spans="1:6" x14ac:dyDescent="0.2">
      <c r="A165" t="s">
        <v>2028</v>
      </c>
      <c r="C165" t="s">
        <v>787</v>
      </c>
      <c r="D165" t="s">
        <v>2894</v>
      </c>
      <c r="E165" t="s">
        <v>886</v>
      </c>
      <c r="F165" t="s">
        <v>2895</v>
      </c>
    </row>
    <row r="166" spans="1:6" x14ac:dyDescent="0.2">
      <c r="A166" t="s">
        <v>2029</v>
      </c>
      <c r="C166" t="s">
        <v>787</v>
      </c>
      <c r="D166" t="s">
        <v>2896</v>
      </c>
      <c r="E166" t="s">
        <v>2897</v>
      </c>
      <c r="F166" t="s">
        <v>871</v>
      </c>
    </row>
    <row r="167" spans="1:6" x14ac:dyDescent="0.2">
      <c r="A167" t="s">
        <v>2030</v>
      </c>
      <c r="C167" t="s">
        <v>787</v>
      </c>
      <c r="D167" t="s">
        <v>2898</v>
      </c>
      <c r="E167" t="s">
        <v>2899</v>
      </c>
      <c r="F167" t="s">
        <v>809</v>
      </c>
    </row>
    <row r="168" spans="1:6" x14ac:dyDescent="0.2">
      <c r="A168" t="s">
        <v>2031</v>
      </c>
      <c r="C168" t="s">
        <v>1482</v>
      </c>
      <c r="D168" t="s">
        <v>2900</v>
      </c>
      <c r="E168" t="s">
        <v>2901</v>
      </c>
      <c r="F168" t="s">
        <v>2902</v>
      </c>
    </row>
    <row r="169" spans="1:6" x14ac:dyDescent="0.2">
      <c r="A169" t="s">
        <v>2032</v>
      </c>
      <c r="C169" t="s">
        <v>787</v>
      </c>
      <c r="D169" t="s">
        <v>2903</v>
      </c>
      <c r="E169" t="s">
        <v>2904</v>
      </c>
      <c r="F169" t="s">
        <v>2617</v>
      </c>
    </row>
    <row r="170" spans="1:6" x14ac:dyDescent="0.2">
      <c r="A170" t="s">
        <v>2033</v>
      </c>
      <c r="C170" t="s">
        <v>787</v>
      </c>
      <c r="D170" t="s">
        <v>1769</v>
      </c>
      <c r="E170" t="s">
        <v>2905</v>
      </c>
      <c r="F170" t="s">
        <v>2617</v>
      </c>
    </row>
    <row r="171" spans="1:6" x14ac:dyDescent="0.2">
      <c r="A171" t="s">
        <v>2034</v>
      </c>
      <c r="C171" t="s">
        <v>787</v>
      </c>
      <c r="D171" t="s">
        <v>2906</v>
      </c>
      <c r="E171" t="s">
        <v>909</v>
      </c>
      <c r="F171" t="s">
        <v>2907</v>
      </c>
    </row>
    <row r="172" spans="1:6" x14ac:dyDescent="0.2">
      <c r="A172" t="s">
        <v>866</v>
      </c>
      <c r="C172" t="s">
        <v>783</v>
      </c>
      <c r="D172" t="s">
        <v>901</v>
      </c>
      <c r="E172" t="s">
        <v>2908</v>
      </c>
      <c r="F172" t="s">
        <v>2647</v>
      </c>
    </row>
    <row r="173" spans="1:6" x14ac:dyDescent="0.2">
      <c r="A173" t="s">
        <v>2035</v>
      </c>
      <c r="C173" t="s">
        <v>787</v>
      </c>
      <c r="D173" t="s">
        <v>2909</v>
      </c>
      <c r="E173" t="s">
        <v>2910</v>
      </c>
      <c r="F173" t="s">
        <v>2617</v>
      </c>
    </row>
    <row r="174" spans="1:6" x14ac:dyDescent="0.2">
      <c r="A174" t="s">
        <v>2036</v>
      </c>
      <c r="C174" t="s">
        <v>787</v>
      </c>
      <c r="D174" t="s">
        <v>818</v>
      </c>
      <c r="E174" t="s">
        <v>2911</v>
      </c>
      <c r="F174" t="s">
        <v>1054</v>
      </c>
    </row>
    <row r="175" spans="1:6" x14ac:dyDescent="0.2">
      <c r="A175" t="s">
        <v>2037</v>
      </c>
      <c r="C175" t="s">
        <v>787</v>
      </c>
      <c r="D175" t="s">
        <v>2912</v>
      </c>
      <c r="E175" t="s">
        <v>2913</v>
      </c>
      <c r="F175" t="s">
        <v>1423</v>
      </c>
    </row>
    <row r="176" spans="1:6" x14ac:dyDescent="0.2">
      <c r="A176" t="s">
        <v>2038</v>
      </c>
      <c r="C176" t="s">
        <v>787</v>
      </c>
      <c r="D176" t="s">
        <v>2914</v>
      </c>
      <c r="E176" t="s">
        <v>2915</v>
      </c>
      <c r="F176" t="s">
        <v>796</v>
      </c>
    </row>
    <row r="177" spans="1:6" x14ac:dyDescent="0.2">
      <c r="A177" t="s">
        <v>2039</v>
      </c>
      <c r="C177" t="s">
        <v>787</v>
      </c>
      <c r="D177" t="s">
        <v>2916</v>
      </c>
      <c r="E177" t="s">
        <v>2917</v>
      </c>
      <c r="F177" t="s">
        <v>1408</v>
      </c>
    </row>
    <row r="178" spans="1:6" x14ac:dyDescent="0.2">
      <c r="A178" t="s">
        <v>2040</v>
      </c>
      <c r="C178" t="s">
        <v>787</v>
      </c>
      <c r="D178" t="s">
        <v>2918</v>
      </c>
      <c r="E178" t="s">
        <v>2919</v>
      </c>
      <c r="F178" t="s">
        <v>1398</v>
      </c>
    </row>
    <row r="179" spans="1:6" x14ac:dyDescent="0.2">
      <c r="A179" t="s">
        <v>2041</v>
      </c>
      <c r="C179" t="s">
        <v>787</v>
      </c>
      <c r="D179" t="s">
        <v>2920</v>
      </c>
      <c r="E179" t="s">
        <v>2921</v>
      </c>
      <c r="F179" t="s">
        <v>916</v>
      </c>
    </row>
    <row r="180" spans="1:6" x14ac:dyDescent="0.2">
      <c r="A180" t="s">
        <v>2042</v>
      </c>
      <c r="C180" t="s">
        <v>787</v>
      </c>
      <c r="D180" t="s">
        <v>2922</v>
      </c>
      <c r="E180" t="s">
        <v>2923</v>
      </c>
      <c r="F180" t="s">
        <v>1363</v>
      </c>
    </row>
    <row r="181" spans="1:6" x14ac:dyDescent="0.2">
      <c r="A181" t="s">
        <v>2043</v>
      </c>
      <c r="C181" t="s">
        <v>787</v>
      </c>
      <c r="D181" t="s">
        <v>2924</v>
      </c>
      <c r="E181" t="s">
        <v>2925</v>
      </c>
      <c r="F181" t="s">
        <v>2926</v>
      </c>
    </row>
    <row r="182" spans="1:6" x14ac:dyDescent="0.2">
      <c r="A182" t="s">
        <v>2044</v>
      </c>
      <c r="C182" t="s">
        <v>787</v>
      </c>
      <c r="D182" t="s">
        <v>2927</v>
      </c>
      <c r="E182" t="s">
        <v>2928</v>
      </c>
      <c r="F182" t="s">
        <v>1266</v>
      </c>
    </row>
    <row r="183" spans="1:6" x14ac:dyDescent="0.2">
      <c r="A183" t="s">
        <v>2045</v>
      </c>
      <c r="C183" t="s">
        <v>787</v>
      </c>
      <c r="D183" t="s">
        <v>2929</v>
      </c>
      <c r="E183" t="s">
        <v>2930</v>
      </c>
      <c r="F183" t="s">
        <v>2931</v>
      </c>
    </row>
    <row r="184" spans="1:6" x14ac:dyDescent="0.2">
      <c r="A184" t="s">
        <v>2046</v>
      </c>
      <c r="C184" t="s">
        <v>787</v>
      </c>
      <c r="D184" t="s">
        <v>2932</v>
      </c>
      <c r="E184" t="s">
        <v>2933</v>
      </c>
      <c r="F184" t="s">
        <v>851</v>
      </c>
    </row>
    <row r="185" spans="1:6" x14ac:dyDescent="0.2">
      <c r="A185" t="s">
        <v>2047</v>
      </c>
      <c r="C185" t="s">
        <v>787</v>
      </c>
      <c r="D185" t="s">
        <v>2934</v>
      </c>
      <c r="E185" t="s">
        <v>2935</v>
      </c>
      <c r="F185" t="s">
        <v>794</v>
      </c>
    </row>
    <row r="186" spans="1:6" x14ac:dyDescent="0.2">
      <c r="A186" t="s">
        <v>2048</v>
      </c>
      <c r="C186" t="s">
        <v>1482</v>
      </c>
      <c r="D186" t="s">
        <v>2936</v>
      </c>
      <c r="E186" t="s">
        <v>2937</v>
      </c>
      <c r="F186" t="s">
        <v>2938</v>
      </c>
    </row>
    <row r="187" spans="1:6" x14ac:dyDescent="0.2">
      <c r="A187" t="s">
        <v>1674</v>
      </c>
      <c r="C187" t="s">
        <v>787</v>
      </c>
      <c r="D187" t="s">
        <v>2939</v>
      </c>
      <c r="E187" t="s">
        <v>2940</v>
      </c>
      <c r="F187" t="s">
        <v>2617</v>
      </c>
    </row>
    <row r="188" spans="1:6" x14ac:dyDescent="0.2">
      <c r="A188" t="s">
        <v>2049</v>
      </c>
      <c r="C188" t="s">
        <v>787</v>
      </c>
      <c r="D188" t="s">
        <v>2941</v>
      </c>
      <c r="E188" t="s">
        <v>2942</v>
      </c>
      <c r="F188" t="s">
        <v>1859</v>
      </c>
    </row>
    <row r="189" spans="1:6" x14ac:dyDescent="0.2">
      <c r="A189" t="s">
        <v>2050</v>
      </c>
      <c r="C189" t="s">
        <v>787</v>
      </c>
      <c r="D189" t="s">
        <v>1767</v>
      </c>
      <c r="E189" t="s">
        <v>2943</v>
      </c>
      <c r="F189" t="s">
        <v>2617</v>
      </c>
    </row>
    <row r="190" spans="1:6" x14ac:dyDescent="0.2">
      <c r="A190" t="s">
        <v>2051</v>
      </c>
      <c r="C190" t="s">
        <v>787</v>
      </c>
      <c r="D190" t="s">
        <v>2944</v>
      </c>
      <c r="E190" t="s">
        <v>2945</v>
      </c>
      <c r="F190" t="s">
        <v>880</v>
      </c>
    </row>
    <row r="191" spans="1:6" x14ac:dyDescent="0.2">
      <c r="A191" t="s">
        <v>2052</v>
      </c>
      <c r="C191" t="s">
        <v>1482</v>
      </c>
      <c r="D191" t="s">
        <v>2946</v>
      </c>
      <c r="E191" t="s">
        <v>2947</v>
      </c>
      <c r="F191" t="s">
        <v>2948</v>
      </c>
    </row>
    <row r="192" spans="1:6" x14ac:dyDescent="0.2">
      <c r="A192" t="s">
        <v>2053</v>
      </c>
      <c r="C192" t="s">
        <v>787</v>
      </c>
      <c r="D192" t="s">
        <v>2949</v>
      </c>
      <c r="E192" t="s">
        <v>2950</v>
      </c>
      <c r="F192" t="s">
        <v>2617</v>
      </c>
    </row>
    <row r="193" spans="1:6" x14ac:dyDescent="0.2">
      <c r="A193" t="s">
        <v>1120</v>
      </c>
      <c r="C193" t="s">
        <v>787</v>
      </c>
      <c r="D193" t="s">
        <v>833</v>
      </c>
      <c r="E193" t="s">
        <v>1292</v>
      </c>
      <c r="F193" t="s">
        <v>2951</v>
      </c>
    </row>
    <row r="194" spans="1:6" x14ac:dyDescent="0.2">
      <c r="A194" t="s">
        <v>1121</v>
      </c>
      <c r="C194" t="s">
        <v>787</v>
      </c>
      <c r="D194" t="s">
        <v>1293</v>
      </c>
      <c r="E194" t="s">
        <v>953</v>
      </c>
      <c r="F194" t="s">
        <v>1887</v>
      </c>
    </row>
    <row r="195" spans="1:6" x14ac:dyDescent="0.2">
      <c r="A195" t="s">
        <v>2054</v>
      </c>
      <c r="C195" t="s">
        <v>787</v>
      </c>
      <c r="D195" t="s">
        <v>2952</v>
      </c>
      <c r="E195" t="s">
        <v>2953</v>
      </c>
      <c r="F195" t="s">
        <v>1079</v>
      </c>
    </row>
    <row r="196" spans="1:6" x14ac:dyDescent="0.2">
      <c r="A196" t="s">
        <v>2055</v>
      </c>
      <c r="C196" t="s">
        <v>787</v>
      </c>
      <c r="D196" t="s">
        <v>2954</v>
      </c>
      <c r="E196" t="s">
        <v>2955</v>
      </c>
      <c r="F196" t="s">
        <v>1371</v>
      </c>
    </row>
    <row r="197" spans="1:6" x14ac:dyDescent="0.2">
      <c r="A197" t="s">
        <v>2056</v>
      </c>
      <c r="C197" t="s">
        <v>1482</v>
      </c>
      <c r="D197" t="s">
        <v>2956</v>
      </c>
      <c r="E197" t="s">
        <v>2957</v>
      </c>
      <c r="F197" t="s">
        <v>2958</v>
      </c>
    </row>
    <row r="198" spans="1:6" x14ac:dyDescent="0.2">
      <c r="A198" t="s">
        <v>2057</v>
      </c>
      <c r="C198" t="s">
        <v>787</v>
      </c>
      <c r="D198" t="s">
        <v>2959</v>
      </c>
      <c r="E198" t="s">
        <v>2960</v>
      </c>
      <c r="F198" t="s">
        <v>2617</v>
      </c>
    </row>
    <row r="199" spans="1:6" x14ac:dyDescent="0.2">
      <c r="A199" t="s">
        <v>2058</v>
      </c>
      <c r="C199" t="s">
        <v>787</v>
      </c>
      <c r="D199" t="s">
        <v>2961</v>
      </c>
      <c r="E199" t="s">
        <v>2962</v>
      </c>
      <c r="F199" t="s">
        <v>928</v>
      </c>
    </row>
    <row r="200" spans="1:6" x14ac:dyDescent="0.2">
      <c r="A200" t="s">
        <v>1675</v>
      </c>
      <c r="C200" t="s">
        <v>787</v>
      </c>
      <c r="D200" t="s">
        <v>1051</v>
      </c>
      <c r="E200" t="s">
        <v>2963</v>
      </c>
      <c r="F200" t="s">
        <v>1264</v>
      </c>
    </row>
    <row r="201" spans="1:6" x14ac:dyDescent="0.2">
      <c r="A201" t="s">
        <v>2059</v>
      </c>
      <c r="C201" t="s">
        <v>787</v>
      </c>
      <c r="D201" t="s">
        <v>2964</v>
      </c>
      <c r="E201" t="s">
        <v>2965</v>
      </c>
      <c r="F201" t="s">
        <v>2617</v>
      </c>
    </row>
    <row r="202" spans="1:6" x14ac:dyDescent="0.2">
      <c r="A202" t="s">
        <v>994</v>
      </c>
      <c r="C202" t="s">
        <v>787</v>
      </c>
      <c r="D202" t="s">
        <v>2966</v>
      </c>
      <c r="E202" t="s">
        <v>2967</v>
      </c>
      <c r="F202" t="s">
        <v>2617</v>
      </c>
    </row>
    <row r="203" spans="1:6" x14ac:dyDescent="0.2">
      <c r="A203" t="s">
        <v>965</v>
      </c>
      <c r="C203" t="s">
        <v>787</v>
      </c>
      <c r="D203" t="s">
        <v>2968</v>
      </c>
      <c r="E203" t="s">
        <v>2969</v>
      </c>
      <c r="F203" t="s">
        <v>2970</v>
      </c>
    </row>
    <row r="204" spans="1:6" x14ac:dyDescent="0.2">
      <c r="A204" t="s">
        <v>1676</v>
      </c>
      <c r="C204" t="s">
        <v>787</v>
      </c>
      <c r="D204" t="s">
        <v>2971</v>
      </c>
      <c r="E204" t="s">
        <v>2972</v>
      </c>
      <c r="F204" t="s">
        <v>1383</v>
      </c>
    </row>
    <row r="205" spans="1:6" x14ac:dyDescent="0.2">
      <c r="A205" t="s">
        <v>2060</v>
      </c>
      <c r="C205" t="s">
        <v>787</v>
      </c>
      <c r="D205" t="s">
        <v>2973</v>
      </c>
      <c r="E205" t="s">
        <v>2974</v>
      </c>
      <c r="F205" t="s">
        <v>932</v>
      </c>
    </row>
    <row r="206" spans="1:6" x14ac:dyDescent="0.2">
      <c r="A206" t="s">
        <v>1677</v>
      </c>
      <c r="C206" t="s">
        <v>787</v>
      </c>
      <c r="D206" t="s">
        <v>2975</v>
      </c>
      <c r="E206" t="s">
        <v>2976</v>
      </c>
      <c r="F206" t="s">
        <v>2617</v>
      </c>
    </row>
    <row r="207" spans="1:6" x14ac:dyDescent="0.2">
      <c r="A207" t="s">
        <v>1122</v>
      </c>
      <c r="C207" t="s">
        <v>787</v>
      </c>
      <c r="D207" t="s">
        <v>1294</v>
      </c>
      <c r="E207" t="s">
        <v>1295</v>
      </c>
      <c r="F207" t="s">
        <v>1296</v>
      </c>
    </row>
    <row r="208" spans="1:6" x14ac:dyDescent="0.2">
      <c r="A208" t="s">
        <v>2061</v>
      </c>
      <c r="C208" t="s">
        <v>787</v>
      </c>
      <c r="D208" t="s">
        <v>845</v>
      </c>
      <c r="E208" t="s">
        <v>2977</v>
      </c>
      <c r="F208" t="s">
        <v>2617</v>
      </c>
    </row>
    <row r="209" spans="1:6" x14ac:dyDescent="0.2">
      <c r="A209" t="s">
        <v>2062</v>
      </c>
      <c r="C209" t="s">
        <v>787</v>
      </c>
      <c r="D209" t="s">
        <v>2978</v>
      </c>
      <c r="E209" t="s">
        <v>2979</v>
      </c>
      <c r="F209" t="s">
        <v>2617</v>
      </c>
    </row>
    <row r="210" spans="1:6" x14ac:dyDescent="0.2">
      <c r="A210" t="s">
        <v>971</v>
      </c>
      <c r="C210" t="s">
        <v>787</v>
      </c>
      <c r="D210" t="s">
        <v>2980</v>
      </c>
      <c r="E210" t="s">
        <v>2981</v>
      </c>
      <c r="F210" t="s">
        <v>815</v>
      </c>
    </row>
    <row r="211" spans="1:6" x14ac:dyDescent="0.2">
      <c r="A211" t="s">
        <v>2063</v>
      </c>
      <c r="C211" t="s">
        <v>787</v>
      </c>
      <c r="D211" t="s">
        <v>2982</v>
      </c>
      <c r="E211" t="s">
        <v>2983</v>
      </c>
      <c r="F211" t="s">
        <v>2617</v>
      </c>
    </row>
    <row r="212" spans="1:6" x14ac:dyDescent="0.2">
      <c r="A212" t="s">
        <v>2064</v>
      </c>
      <c r="C212" t="s">
        <v>787</v>
      </c>
      <c r="D212" t="s">
        <v>1297</v>
      </c>
      <c r="E212" t="s">
        <v>2984</v>
      </c>
      <c r="F212" t="s">
        <v>2985</v>
      </c>
    </row>
    <row r="213" spans="1:6" x14ac:dyDescent="0.2">
      <c r="A213" t="s">
        <v>1123</v>
      </c>
      <c r="C213" t="s">
        <v>787</v>
      </c>
      <c r="D213" t="s">
        <v>1297</v>
      </c>
      <c r="E213" t="s">
        <v>2986</v>
      </c>
      <c r="F213" t="s">
        <v>1298</v>
      </c>
    </row>
    <row r="214" spans="1:6" x14ac:dyDescent="0.2">
      <c r="A214" t="s">
        <v>1491</v>
      </c>
      <c r="C214" t="s">
        <v>783</v>
      </c>
      <c r="D214" t="s">
        <v>2987</v>
      </c>
      <c r="E214" t="s">
        <v>2988</v>
      </c>
      <c r="F214" t="s">
        <v>2647</v>
      </c>
    </row>
    <row r="215" spans="1:6" x14ac:dyDescent="0.2">
      <c r="A215" t="s">
        <v>1497</v>
      </c>
      <c r="C215" t="s">
        <v>783</v>
      </c>
      <c r="D215" t="s">
        <v>2989</v>
      </c>
      <c r="E215" t="s">
        <v>2990</v>
      </c>
      <c r="F215" t="s">
        <v>2647</v>
      </c>
    </row>
    <row r="216" spans="1:6" x14ac:dyDescent="0.2">
      <c r="A216" t="s">
        <v>1073</v>
      </c>
      <c r="C216" t="s">
        <v>787</v>
      </c>
      <c r="D216" t="s">
        <v>2991</v>
      </c>
      <c r="E216" t="s">
        <v>1433</v>
      </c>
      <c r="F216" t="s">
        <v>1004</v>
      </c>
    </row>
    <row r="217" spans="1:6" x14ac:dyDescent="0.2">
      <c r="A217" t="s">
        <v>987</v>
      </c>
      <c r="C217" t="s">
        <v>787</v>
      </c>
      <c r="D217" t="s">
        <v>2992</v>
      </c>
      <c r="E217" t="s">
        <v>925</v>
      </c>
      <c r="F217" t="s">
        <v>2993</v>
      </c>
    </row>
    <row r="218" spans="1:6" x14ac:dyDescent="0.2">
      <c r="A218" t="s">
        <v>945</v>
      </c>
      <c r="C218" t="s">
        <v>787</v>
      </c>
      <c r="D218" t="s">
        <v>2793</v>
      </c>
      <c r="E218" t="s">
        <v>2994</v>
      </c>
      <c r="F218" t="s">
        <v>2617</v>
      </c>
    </row>
    <row r="219" spans="1:6" x14ac:dyDescent="0.2">
      <c r="A219" t="s">
        <v>2065</v>
      </c>
      <c r="C219" t="s">
        <v>787</v>
      </c>
      <c r="D219" t="s">
        <v>2995</v>
      </c>
      <c r="E219" t="s">
        <v>2996</v>
      </c>
      <c r="F219" t="s">
        <v>813</v>
      </c>
    </row>
    <row r="220" spans="1:6" x14ac:dyDescent="0.2">
      <c r="A220" t="s">
        <v>2066</v>
      </c>
      <c r="C220" t="s">
        <v>787</v>
      </c>
      <c r="D220" t="s">
        <v>816</v>
      </c>
      <c r="E220" t="s">
        <v>2997</v>
      </c>
      <c r="F220" t="s">
        <v>1470</v>
      </c>
    </row>
    <row r="221" spans="1:6" x14ac:dyDescent="0.2">
      <c r="A221" t="s">
        <v>2067</v>
      </c>
      <c r="C221" t="s">
        <v>787</v>
      </c>
      <c r="D221" t="s">
        <v>2998</v>
      </c>
      <c r="E221" t="s">
        <v>1455</v>
      </c>
      <c r="F221" t="s">
        <v>2999</v>
      </c>
    </row>
    <row r="222" spans="1:6" x14ac:dyDescent="0.2">
      <c r="A222" t="s">
        <v>1124</v>
      </c>
      <c r="C222" t="s">
        <v>787</v>
      </c>
      <c r="D222" t="s">
        <v>3000</v>
      </c>
      <c r="E222" t="s">
        <v>3001</v>
      </c>
      <c r="F222" t="s">
        <v>3002</v>
      </c>
    </row>
    <row r="223" spans="1:6" x14ac:dyDescent="0.2">
      <c r="A223" t="s">
        <v>2068</v>
      </c>
      <c r="C223" t="s">
        <v>787</v>
      </c>
      <c r="D223" t="s">
        <v>3003</v>
      </c>
      <c r="E223" t="s">
        <v>3004</v>
      </c>
      <c r="F223" t="s">
        <v>3005</v>
      </c>
    </row>
    <row r="224" spans="1:6" x14ac:dyDescent="0.2">
      <c r="A224" t="s">
        <v>2069</v>
      </c>
      <c r="C224" t="s">
        <v>787</v>
      </c>
      <c r="D224" t="s">
        <v>3006</v>
      </c>
      <c r="E224" t="s">
        <v>3007</v>
      </c>
      <c r="F224" t="s">
        <v>2617</v>
      </c>
    </row>
    <row r="225" spans="1:6" x14ac:dyDescent="0.2">
      <c r="A225" t="s">
        <v>2070</v>
      </c>
      <c r="C225" t="s">
        <v>787</v>
      </c>
      <c r="D225" t="s">
        <v>3008</v>
      </c>
      <c r="E225" t="s">
        <v>3009</v>
      </c>
      <c r="F225" t="s">
        <v>2617</v>
      </c>
    </row>
    <row r="226" spans="1:6" x14ac:dyDescent="0.2">
      <c r="A226" t="s">
        <v>2071</v>
      </c>
      <c r="C226" t="s">
        <v>1482</v>
      </c>
      <c r="D226" t="s">
        <v>3010</v>
      </c>
      <c r="E226" t="s">
        <v>872</v>
      </c>
      <c r="F226" t="s">
        <v>3011</v>
      </c>
    </row>
    <row r="227" spans="1:6" x14ac:dyDescent="0.2">
      <c r="A227" t="s">
        <v>2072</v>
      </c>
      <c r="C227" t="s">
        <v>787</v>
      </c>
      <c r="D227" t="s">
        <v>3012</v>
      </c>
      <c r="E227" t="s">
        <v>3013</v>
      </c>
      <c r="F227" t="s">
        <v>2617</v>
      </c>
    </row>
    <row r="228" spans="1:6" x14ac:dyDescent="0.2">
      <c r="A228" t="s">
        <v>2073</v>
      </c>
      <c r="C228" t="s">
        <v>787</v>
      </c>
      <c r="D228" t="s">
        <v>3014</v>
      </c>
      <c r="E228" t="s">
        <v>3015</v>
      </c>
      <c r="F228" t="s">
        <v>2617</v>
      </c>
    </row>
    <row r="229" spans="1:6" x14ac:dyDescent="0.2">
      <c r="A229" t="s">
        <v>846</v>
      </c>
      <c r="C229" t="s">
        <v>787</v>
      </c>
      <c r="D229" t="s">
        <v>1299</v>
      </c>
      <c r="E229" t="s">
        <v>3016</v>
      </c>
      <c r="F229" t="s">
        <v>2617</v>
      </c>
    </row>
    <row r="230" spans="1:6" x14ac:dyDescent="0.2">
      <c r="A230" t="s">
        <v>2074</v>
      </c>
      <c r="C230" t="s">
        <v>787</v>
      </c>
      <c r="D230" t="s">
        <v>1459</v>
      </c>
      <c r="E230" t="s">
        <v>3017</v>
      </c>
      <c r="F230" t="s">
        <v>2999</v>
      </c>
    </row>
    <row r="231" spans="1:6" x14ac:dyDescent="0.2">
      <c r="A231" t="s">
        <v>2075</v>
      </c>
      <c r="C231" t="s">
        <v>1482</v>
      </c>
      <c r="D231" t="s">
        <v>3018</v>
      </c>
      <c r="E231" t="s">
        <v>3019</v>
      </c>
      <c r="F231" t="s">
        <v>881</v>
      </c>
    </row>
    <row r="232" spans="1:6" x14ac:dyDescent="0.2">
      <c r="A232" t="s">
        <v>2076</v>
      </c>
      <c r="C232" t="s">
        <v>787</v>
      </c>
      <c r="D232" t="s">
        <v>3020</v>
      </c>
      <c r="E232" t="s">
        <v>3021</v>
      </c>
      <c r="F232" t="s">
        <v>838</v>
      </c>
    </row>
    <row r="233" spans="1:6" x14ac:dyDescent="0.2">
      <c r="A233" t="s">
        <v>847</v>
      </c>
      <c r="C233" t="s">
        <v>787</v>
      </c>
      <c r="D233" t="s">
        <v>1857</v>
      </c>
      <c r="E233" t="s">
        <v>3022</v>
      </c>
      <c r="F233" t="s">
        <v>2617</v>
      </c>
    </row>
    <row r="234" spans="1:6" x14ac:dyDescent="0.2">
      <c r="A234" t="s">
        <v>2077</v>
      </c>
      <c r="C234" t="s">
        <v>783</v>
      </c>
      <c r="D234" t="s">
        <v>3023</v>
      </c>
      <c r="E234" t="s">
        <v>837</v>
      </c>
      <c r="F234" t="s">
        <v>2647</v>
      </c>
    </row>
    <row r="235" spans="1:6" x14ac:dyDescent="0.2">
      <c r="A235" t="s">
        <v>2078</v>
      </c>
      <c r="C235" t="s">
        <v>783</v>
      </c>
      <c r="D235" t="s">
        <v>3024</v>
      </c>
      <c r="E235" t="s">
        <v>3025</v>
      </c>
      <c r="F235" t="s">
        <v>2647</v>
      </c>
    </row>
    <row r="236" spans="1:6" x14ac:dyDescent="0.2">
      <c r="A236" t="s">
        <v>2079</v>
      </c>
      <c r="C236" t="s">
        <v>787</v>
      </c>
      <c r="D236" t="s">
        <v>3026</v>
      </c>
      <c r="E236" t="s">
        <v>2803</v>
      </c>
      <c r="F236" t="s">
        <v>2617</v>
      </c>
    </row>
    <row r="237" spans="1:6" x14ac:dyDescent="0.2">
      <c r="A237" t="s">
        <v>2080</v>
      </c>
      <c r="C237" t="s">
        <v>787</v>
      </c>
      <c r="D237" t="s">
        <v>2666</v>
      </c>
      <c r="E237" t="s">
        <v>3027</v>
      </c>
      <c r="F237" t="s">
        <v>2617</v>
      </c>
    </row>
    <row r="238" spans="1:6" x14ac:dyDescent="0.2">
      <c r="A238" t="s">
        <v>2081</v>
      </c>
      <c r="C238" t="s">
        <v>787</v>
      </c>
      <c r="D238" t="s">
        <v>3028</v>
      </c>
      <c r="E238" t="s">
        <v>3029</v>
      </c>
      <c r="F238" t="s">
        <v>1333</v>
      </c>
    </row>
    <row r="239" spans="1:6" x14ac:dyDescent="0.2">
      <c r="A239" t="s">
        <v>2082</v>
      </c>
      <c r="C239" t="s">
        <v>787</v>
      </c>
      <c r="D239" t="s">
        <v>3030</v>
      </c>
      <c r="E239" t="s">
        <v>3031</v>
      </c>
      <c r="F239" t="s">
        <v>869</v>
      </c>
    </row>
    <row r="240" spans="1:6" x14ac:dyDescent="0.2">
      <c r="A240" t="s">
        <v>2083</v>
      </c>
      <c r="C240" t="s">
        <v>787</v>
      </c>
      <c r="D240" t="s">
        <v>3032</v>
      </c>
      <c r="E240" t="s">
        <v>3033</v>
      </c>
      <c r="F240" t="s">
        <v>898</v>
      </c>
    </row>
    <row r="241" spans="1:6" x14ac:dyDescent="0.2">
      <c r="A241" t="s">
        <v>1125</v>
      </c>
      <c r="C241" t="s">
        <v>787</v>
      </c>
      <c r="D241" t="s">
        <v>3034</v>
      </c>
      <c r="E241" t="s">
        <v>3035</v>
      </c>
      <c r="F241" t="s">
        <v>1264</v>
      </c>
    </row>
    <row r="242" spans="1:6" x14ac:dyDescent="0.2">
      <c r="A242" t="s">
        <v>2084</v>
      </c>
      <c r="C242" t="s">
        <v>787</v>
      </c>
      <c r="D242" t="s">
        <v>3036</v>
      </c>
      <c r="E242" t="s">
        <v>3037</v>
      </c>
      <c r="F242" t="s">
        <v>1269</v>
      </c>
    </row>
    <row r="243" spans="1:6" x14ac:dyDescent="0.2">
      <c r="A243" t="s">
        <v>1678</v>
      </c>
      <c r="C243" t="s">
        <v>787</v>
      </c>
      <c r="D243" t="s">
        <v>3038</v>
      </c>
      <c r="E243" t="s">
        <v>3039</v>
      </c>
      <c r="F243" t="s">
        <v>3040</v>
      </c>
    </row>
    <row r="244" spans="1:6" x14ac:dyDescent="0.2">
      <c r="A244" t="s">
        <v>2085</v>
      </c>
      <c r="C244" t="s">
        <v>1482</v>
      </c>
      <c r="D244" t="s">
        <v>3041</v>
      </c>
      <c r="E244" t="s">
        <v>3042</v>
      </c>
      <c r="F244" t="s">
        <v>3043</v>
      </c>
    </row>
    <row r="245" spans="1:6" x14ac:dyDescent="0.2">
      <c r="A245" t="s">
        <v>2086</v>
      </c>
      <c r="C245" t="s">
        <v>787</v>
      </c>
      <c r="D245" t="s">
        <v>3044</v>
      </c>
      <c r="E245" t="s">
        <v>3045</v>
      </c>
      <c r="F245" t="s">
        <v>2617</v>
      </c>
    </row>
    <row r="246" spans="1:6" x14ac:dyDescent="0.2">
      <c r="A246" t="s">
        <v>864</v>
      </c>
      <c r="C246" t="s">
        <v>787</v>
      </c>
      <c r="D246" t="s">
        <v>3046</v>
      </c>
      <c r="E246" t="s">
        <v>3047</v>
      </c>
      <c r="F246" t="s">
        <v>2617</v>
      </c>
    </row>
    <row r="247" spans="1:6" x14ac:dyDescent="0.2">
      <c r="A247" t="s">
        <v>2087</v>
      </c>
      <c r="C247" t="s">
        <v>787</v>
      </c>
      <c r="D247" t="s">
        <v>1247</v>
      </c>
      <c r="E247" t="s">
        <v>3048</v>
      </c>
      <c r="F247" t="s">
        <v>2617</v>
      </c>
    </row>
    <row r="248" spans="1:6" x14ac:dyDescent="0.2">
      <c r="A248" t="s">
        <v>2088</v>
      </c>
      <c r="C248" t="s">
        <v>783</v>
      </c>
      <c r="D248" t="s">
        <v>3044</v>
      </c>
      <c r="E248" t="s">
        <v>3045</v>
      </c>
      <c r="F248" t="s">
        <v>3049</v>
      </c>
    </row>
    <row r="249" spans="1:6" x14ac:dyDescent="0.2">
      <c r="A249" t="s">
        <v>2089</v>
      </c>
      <c r="C249" t="s">
        <v>783</v>
      </c>
      <c r="D249" t="s">
        <v>3050</v>
      </c>
      <c r="E249" t="s">
        <v>3051</v>
      </c>
      <c r="F249" t="s">
        <v>3049</v>
      </c>
    </row>
    <row r="250" spans="1:6" x14ac:dyDescent="0.2">
      <c r="A250" t="s">
        <v>2090</v>
      </c>
      <c r="C250" t="s">
        <v>787</v>
      </c>
      <c r="D250" t="s">
        <v>3052</v>
      </c>
      <c r="E250" t="s">
        <v>3053</v>
      </c>
      <c r="F250" t="s">
        <v>3054</v>
      </c>
    </row>
    <row r="251" spans="1:6" x14ac:dyDescent="0.2">
      <c r="A251" t="s">
        <v>2091</v>
      </c>
      <c r="C251" t="s">
        <v>787</v>
      </c>
      <c r="D251" t="s">
        <v>3055</v>
      </c>
      <c r="E251" t="s">
        <v>3056</v>
      </c>
      <c r="F251" t="s">
        <v>2617</v>
      </c>
    </row>
    <row r="252" spans="1:6" x14ac:dyDescent="0.2">
      <c r="A252" t="s">
        <v>2092</v>
      </c>
      <c r="C252" t="s">
        <v>787</v>
      </c>
      <c r="D252" t="s">
        <v>2886</v>
      </c>
      <c r="E252" t="s">
        <v>3057</v>
      </c>
      <c r="F252" t="s">
        <v>2617</v>
      </c>
    </row>
    <row r="253" spans="1:6" x14ac:dyDescent="0.2">
      <c r="A253" t="s">
        <v>1126</v>
      </c>
      <c r="C253" t="s">
        <v>787</v>
      </c>
      <c r="D253" t="s">
        <v>1365</v>
      </c>
      <c r="E253" t="s">
        <v>3058</v>
      </c>
      <c r="F253" t="s">
        <v>1877</v>
      </c>
    </row>
    <row r="254" spans="1:6" x14ac:dyDescent="0.2">
      <c r="A254" t="s">
        <v>2093</v>
      </c>
      <c r="C254" t="s">
        <v>787</v>
      </c>
      <c r="D254" t="s">
        <v>3059</v>
      </c>
      <c r="E254" t="s">
        <v>1799</v>
      </c>
      <c r="F254" t="s">
        <v>2617</v>
      </c>
    </row>
    <row r="255" spans="1:6" x14ac:dyDescent="0.2">
      <c r="A255" t="s">
        <v>2094</v>
      </c>
      <c r="C255" t="s">
        <v>787</v>
      </c>
      <c r="D255" t="s">
        <v>3060</v>
      </c>
      <c r="E255" t="s">
        <v>3061</v>
      </c>
      <c r="F255" t="s">
        <v>2617</v>
      </c>
    </row>
    <row r="256" spans="1:6" x14ac:dyDescent="0.2">
      <c r="A256" t="s">
        <v>2095</v>
      </c>
      <c r="C256" t="s">
        <v>787</v>
      </c>
      <c r="D256" t="s">
        <v>3062</v>
      </c>
      <c r="E256" t="s">
        <v>3063</v>
      </c>
      <c r="F256" t="s">
        <v>2617</v>
      </c>
    </row>
    <row r="257" spans="1:6" x14ac:dyDescent="0.2">
      <c r="A257" t="s">
        <v>2096</v>
      </c>
      <c r="C257" t="s">
        <v>787</v>
      </c>
      <c r="D257" t="s">
        <v>3064</v>
      </c>
      <c r="E257" t="s">
        <v>3065</v>
      </c>
      <c r="F257" t="s">
        <v>3066</v>
      </c>
    </row>
    <row r="258" spans="1:6" x14ac:dyDescent="0.2">
      <c r="A258" t="s">
        <v>2097</v>
      </c>
      <c r="C258" t="s">
        <v>787</v>
      </c>
      <c r="D258" t="s">
        <v>3067</v>
      </c>
      <c r="E258" t="s">
        <v>3068</v>
      </c>
      <c r="F258" t="s">
        <v>3069</v>
      </c>
    </row>
    <row r="259" spans="1:6" x14ac:dyDescent="0.2">
      <c r="A259" t="s">
        <v>2098</v>
      </c>
      <c r="C259" t="s">
        <v>1482</v>
      </c>
      <c r="D259" t="s">
        <v>3070</v>
      </c>
      <c r="E259" t="s">
        <v>3071</v>
      </c>
      <c r="F259" t="s">
        <v>3072</v>
      </c>
    </row>
    <row r="260" spans="1:6" x14ac:dyDescent="0.2">
      <c r="A260" t="s">
        <v>2099</v>
      </c>
      <c r="C260" t="s">
        <v>783</v>
      </c>
      <c r="D260" t="s">
        <v>3073</v>
      </c>
      <c r="E260" t="s">
        <v>3074</v>
      </c>
      <c r="F260" t="s">
        <v>3075</v>
      </c>
    </row>
    <row r="261" spans="1:6" x14ac:dyDescent="0.2">
      <c r="A261" t="s">
        <v>2100</v>
      </c>
      <c r="C261" t="s">
        <v>787</v>
      </c>
      <c r="D261" t="s">
        <v>3076</v>
      </c>
      <c r="E261" t="s">
        <v>3077</v>
      </c>
      <c r="F261" t="s">
        <v>3078</v>
      </c>
    </row>
    <row r="262" spans="1:6" x14ac:dyDescent="0.2">
      <c r="A262" t="s">
        <v>2101</v>
      </c>
      <c r="C262" t="s">
        <v>787</v>
      </c>
      <c r="D262" t="s">
        <v>3079</v>
      </c>
      <c r="E262" t="s">
        <v>1648</v>
      </c>
      <c r="F262" t="s">
        <v>1408</v>
      </c>
    </row>
    <row r="263" spans="1:6" x14ac:dyDescent="0.2">
      <c r="A263" t="s">
        <v>2102</v>
      </c>
      <c r="C263" t="s">
        <v>1482</v>
      </c>
      <c r="D263" t="s">
        <v>2686</v>
      </c>
      <c r="E263" t="s">
        <v>3080</v>
      </c>
      <c r="F263" t="s">
        <v>3081</v>
      </c>
    </row>
    <row r="264" spans="1:6" x14ac:dyDescent="0.2">
      <c r="A264" t="s">
        <v>2103</v>
      </c>
      <c r="C264" t="s">
        <v>787</v>
      </c>
      <c r="D264" t="s">
        <v>3082</v>
      </c>
      <c r="E264" t="s">
        <v>1894</v>
      </c>
      <c r="F264" t="s">
        <v>2617</v>
      </c>
    </row>
    <row r="265" spans="1:6" x14ac:dyDescent="0.2">
      <c r="A265" t="s">
        <v>2104</v>
      </c>
      <c r="C265" t="s">
        <v>787</v>
      </c>
      <c r="D265" t="s">
        <v>3083</v>
      </c>
      <c r="E265" t="s">
        <v>3084</v>
      </c>
      <c r="F265" t="s">
        <v>2617</v>
      </c>
    </row>
    <row r="266" spans="1:6" x14ac:dyDescent="0.2">
      <c r="A266" t="s">
        <v>1127</v>
      </c>
      <c r="C266" t="s">
        <v>787</v>
      </c>
      <c r="D266" t="s">
        <v>3085</v>
      </c>
      <c r="E266" t="s">
        <v>3086</v>
      </c>
      <c r="F266" t="s">
        <v>3087</v>
      </c>
    </row>
    <row r="267" spans="1:6" x14ac:dyDescent="0.2">
      <c r="A267" t="s">
        <v>1128</v>
      </c>
      <c r="C267" t="s">
        <v>787</v>
      </c>
      <c r="D267" t="s">
        <v>942</v>
      </c>
      <c r="E267" t="s">
        <v>1302</v>
      </c>
      <c r="F267" t="s">
        <v>954</v>
      </c>
    </row>
    <row r="268" spans="1:6" x14ac:dyDescent="0.2">
      <c r="A268" t="s">
        <v>1679</v>
      </c>
      <c r="C268" t="s">
        <v>787</v>
      </c>
      <c r="D268" t="s">
        <v>3088</v>
      </c>
      <c r="E268" t="s">
        <v>1278</v>
      </c>
      <c r="F268" t="s">
        <v>958</v>
      </c>
    </row>
    <row r="269" spans="1:6" x14ac:dyDescent="0.2">
      <c r="A269" t="s">
        <v>2105</v>
      </c>
      <c r="C269" t="s">
        <v>787</v>
      </c>
      <c r="D269" t="s">
        <v>3089</v>
      </c>
      <c r="E269" t="s">
        <v>1442</v>
      </c>
      <c r="F269" t="s">
        <v>3090</v>
      </c>
    </row>
    <row r="270" spans="1:6" x14ac:dyDescent="0.2">
      <c r="A270" t="s">
        <v>2106</v>
      </c>
      <c r="C270" t="s">
        <v>1482</v>
      </c>
      <c r="D270" t="s">
        <v>3091</v>
      </c>
      <c r="E270" t="s">
        <v>3092</v>
      </c>
      <c r="F270" t="s">
        <v>3093</v>
      </c>
    </row>
    <row r="271" spans="1:6" x14ac:dyDescent="0.2">
      <c r="A271" t="s">
        <v>1680</v>
      </c>
      <c r="C271" t="s">
        <v>787</v>
      </c>
      <c r="D271" t="s">
        <v>1011</v>
      </c>
      <c r="E271" t="s">
        <v>1598</v>
      </c>
      <c r="F271" t="s">
        <v>2617</v>
      </c>
    </row>
    <row r="272" spans="1:6" x14ac:dyDescent="0.2">
      <c r="A272" t="s">
        <v>1030</v>
      </c>
      <c r="C272" t="s">
        <v>787</v>
      </c>
      <c r="D272" t="s">
        <v>3094</v>
      </c>
      <c r="E272" t="s">
        <v>3095</v>
      </c>
      <c r="F272" t="s">
        <v>2617</v>
      </c>
    </row>
    <row r="273" spans="1:6" x14ac:dyDescent="0.2">
      <c r="A273" t="s">
        <v>975</v>
      </c>
      <c r="C273" t="s">
        <v>787</v>
      </c>
      <c r="D273" t="s">
        <v>3096</v>
      </c>
      <c r="E273" t="s">
        <v>3097</v>
      </c>
      <c r="F273" t="s">
        <v>3098</v>
      </c>
    </row>
    <row r="274" spans="1:6" x14ac:dyDescent="0.2">
      <c r="A274" t="s">
        <v>2107</v>
      </c>
      <c r="C274" t="s">
        <v>783</v>
      </c>
      <c r="D274" t="s">
        <v>3099</v>
      </c>
      <c r="E274" t="s">
        <v>1607</v>
      </c>
      <c r="F274" t="s">
        <v>3100</v>
      </c>
    </row>
    <row r="275" spans="1:6" x14ac:dyDescent="0.2">
      <c r="A275" t="s">
        <v>2108</v>
      </c>
      <c r="C275" t="s">
        <v>787</v>
      </c>
      <c r="D275" t="s">
        <v>3101</v>
      </c>
      <c r="E275" t="s">
        <v>3102</v>
      </c>
      <c r="F275" t="s">
        <v>2617</v>
      </c>
    </row>
    <row r="276" spans="1:6" x14ac:dyDescent="0.2">
      <c r="A276" t="s">
        <v>2109</v>
      </c>
      <c r="C276" t="s">
        <v>787</v>
      </c>
      <c r="D276" t="s">
        <v>1886</v>
      </c>
      <c r="E276" t="s">
        <v>3103</v>
      </c>
      <c r="F276" t="s">
        <v>964</v>
      </c>
    </row>
    <row r="277" spans="1:6" x14ac:dyDescent="0.2">
      <c r="A277" t="s">
        <v>1129</v>
      </c>
      <c r="C277" t="s">
        <v>787</v>
      </c>
      <c r="D277" t="s">
        <v>1303</v>
      </c>
      <c r="E277" t="s">
        <v>1032</v>
      </c>
      <c r="F277" t="s">
        <v>3104</v>
      </c>
    </row>
    <row r="278" spans="1:6" x14ac:dyDescent="0.2">
      <c r="A278" t="s">
        <v>2110</v>
      </c>
      <c r="C278" t="s">
        <v>787</v>
      </c>
      <c r="D278" t="s">
        <v>3105</v>
      </c>
      <c r="E278" t="s">
        <v>3106</v>
      </c>
      <c r="F278" t="s">
        <v>2617</v>
      </c>
    </row>
    <row r="279" spans="1:6" x14ac:dyDescent="0.2">
      <c r="A279" t="s">
        <v>2111</v>
      </c>
      <c r="C279" t="s">
        <v>787</v>
      </c>
      <c r="D279" t="s">
        <v>3107</v>
      </c>
      <c r="E279" t="s">
        <v>3108</v>
      </c>
      <c r="F279" t="s">
        <v>2617</v>
      </c>
    </row>
    <row r="280" spans="1:6" x14ac:dyDescent="0.2">
      <c r="A280" t="s">
        <v>2112</v>
      </c>
      <c r="C280" t="s">
        <v>787</v>
      </c>
      <c r="D280" t="s">
        <v>3109</v>
      </c>
      <c r="E280" t="s">
        <v>3110</v>
      </c>
      <c r="F280" t="s">
        <v>794</v>
      </c>
    </row>
    <row r="281" spans="1:6" x14ac:dyDescent="0.2">
      <c r="A281" t="s">
        <v>2113</v>
      </c>
      <c r="C281" t="s">
        <v>787</v>
      </c>
      <c r="D281" t="s">
        <v>2688</v>
      </c>
      <c r="E281" t="s">
        <v>3111</v>
      </c>
      <c r="F281" t="s">
        <v>1374</v>
      </c>
    </row>
    <row r="282" spans="1:6" x14ac:dyDescent="0.2">
      <c r="A282" t="s">
        <v>2114</v>
      </c>
      <c r="C282" t="s">
        <v>787</v>
      </c>
      <c r="D282" t="s">
        <v>3112</v>
      </c>
      <c r="E282" t="s">
        <v>1460</v>
      </c>
      <c r="F282" t="s">
        <v>2617</v>
      </c>
    </row>
    <row r="283" spans="1:6" x14ac:dyDescent="0.2">
      <c r="A283" t="s">
        <v>2115</v>
      </c>
      <c r="C283" t="s">
        <v>787</v>
      </c>
      <c r="D283" t="s">
        <v>3113</v>
      </c>
      <c r="E283" t="s">
        <v>3114</v>
      </c>
      <c r="F283" t="s">
        <v>2617</v>
      </c>
    </row>
    <row r="284" spans="1:6" x14ac:dyDescent="0.2">
      <c r="A284" t="s">
        <v>1681</v>
      </c>
      <c r="C284" t="s">
        <v>787</v>
      </c>
      <c r="D284" t="s">
        <v>3115</v>
      </c>
      <c r="E284" t="s">
        <v>3116</v>
      </c>
      <c r="F284" t="s">
        <v>2617</v>
      </c>
    </row>
    <row r="285" spans="1:6" x14ac:dyDescent="0.2">
      <c r="A285" t="s">
        <v>1130</v>
      </c>
      <c r="C285" t="s">
        <v>1482</v>
      </c>
      <c r="D285" t="s">
        <v>3117</v>
      </c>
      <c r="E285" t="s">
        <v>3118</v>
      </c>
      <c r="F285" t="s">
        <v>3119</v>
      </c>
    </row>
    <row r="286" spans="1:6" x14ac:dyDescent="0.2">
      <c r="A286" t="s">
        <v>1502</v>
      </c>
      <c r="C286" t="s">
        <v>787</v>
      </c>
      <c r="D286" t="s">
        <v>3120</v>
      </c>
      <c r="E286" t="s">
        <v>3121</v>
      </c>
      <c r="F286" t="s">
        <v>962</v>
      </c>
    </row>
    <row r="287" spans="1:6" x14ac:dyDescent="0.2">
      <c r="A287" t="s">
        <v>2116</v>
      </c>
      <c r="C287" t="s">
        <v>787</v>
      </c>
      <c r="D287" t="s">
        <v>3122</v>
      </c>
      <c r="E287" t="s">
        <v>1362</v>
      </c>
      <c r="F287" t="s">
        <v>3123</v>
      </c>
    </row>
    <row r="288" spans="1:6" x14ac:dyDescent="0.2">
      <c r="A288" t="s">
        <v>1682</v>
      </c>
      <c r="C288" t="s">
        <v>787</v>
      </c>
      <c r="D288" t="s">
        <v>3124</v>
      </c>
      <c r="E288" t="s">
        <v>3125</v>
      </c>
      <c r="F288" t="s">
        <v>3126</v>
      </c>
    </row>
    <row r="289" spans="1:6" x14ac:dyDescent="0.2">
      <c r="A289" t="s">
        <v>2117</v>
      </c>
      <c r="C289" t="s">
        <v>787</v>
      </c>
      <c r="D289" t="s">
        <v>3127</v>
      </c>
      <c r="E289" t="s">
        <v>3063</v>
      </c>
      <c r="F289" t="s">
        <v>929</v>
      </c>
    </row>
    <row r="290" spans="1:6" x14ac:dyDescent="0.2">
      <c r="A290" t="s">
        <v>2118</v>
      </c>
      <c r="C290" t="s">
        <v>1482</v>
      </c>
      <c r="D290" t="s">
        <v>3128</v>
      </c>
      <c r="E290" t="s">
        <v>3129</v>
      </c>
      <c r="F290" t="s">
        <v>3130</v>
      </c>
    </row>
    <row r="291" spans="1:6" x14ac:dyDescent="0.2">
      <c r="A291" t="s">
        <v>879</v>
      </c>
      <c r="C291" t="s">
        <v>787</v>
      </c>
      <c r="D291" t="s">
        <v>3131</v>
      </c>
      <c r="E291" t="s">
        <v>3132</v>
      </c>
      <c r="F291" t="s">
        <v>2617</v>
      </c>
    </row>
    <row r="292" spans="1:6" x14ac:dyDescent="0.2">
      <c r="A292" t="s">
        <v>2119</v>
      </c>
      <c r="C292" t="s">
        <v>787</v>
      </c>
      <c r="D292" t="s">
        <v>3133</v>
      </c>
      <c r="E292" t="s">
        <v>1890</v>
      </c>
      <c r="F292" t="s">
        <v>1391</v>
      </c>
    </row>
    <row r="293" spans="1:6" x14ac:dyDescent="0.2">
      <c r="A293" t="s">
        <v>1131</v>
      </c>
      <c r="C293" t="s">
        <v>787</v>
      </c>
      <c r="D293" t="s">
        <v>1306</v>
      </c>
      <c r="E293" t="s">
        <v>1307</v>
      </c>
      <c r="F293" t="s">
        <v>1252</v>
      </c>
    </row>
    <row r="294" spans="1:6" x14ac:dyDescent="0.2">
      <c r="A294" t="s">
        <v>876</v>
      </c>
      <c r="C294" t="s">
        <v>787</v>
      </c>
      <c r="D294" t="s">
        <v>3134</v>
      </c>
      <c r="E294" t="s">
        <v>3135</v>
      </c>
      <c r="F294" t="s">
        <v>2617</v>
      </c>
    </row>
    <row r="295" spans="1:6" x14ac:dyDescent="0.2">
      <c r="A295" t="s">
        <v>2120</v>
      </c>
      <c r="C295" t="s">
        <v>787</v>
      </c>
      <c r="D295" t="s">
        <v>3136</v>
      </c>
      <c r="E295" t="s">
        <v>3137</v>
      </c>
      <c r="F295" t="s">
        <v>1594</v>
      </c>
    </row>
    <row r="296" spans="1:6" x14ac:dyDescent="0.2">
      <c r="A296" t="s">
        <v>1132</v>
      </c>
      <c r="C296" t="s">
        <v>787</v>
      </c>
      <c r="D296" t="s">
        <v>1308</v>
      </c>
      <c r="E296" t="s">
        <v>3138</v>
      </c>
      <c r="F296" t="s">
        <v>929</v>
      </c>
    </row>
    <row r="297" spans="1:6" x14ac:dyDescent="0.2">
      <c r="A297" t="s">
        <v>2121</v>
      </c>
      <c r="C297" t="s">
        <v>783</v>
      </c>
      <c r="D297" t="s">
        <v>3139</v>
      </c>
      <c r="E297" t="s">
        <v>3140</v>
      </c>
      <c r="F297" t="s">
        <v>2647</v>
      </c>
    </row>
    <row r="298" spans="1:6" x14ac:dyDescent="0.2">
      <c r="A298" t="s">
        <v>1018</v>
      </c>
      <c r="C298" t="s">
        <v>787</v>
      </c>
      <c r="D298" t="s">
        <v>3141</v>
      </c>
      <c r="E298" t="s">
        <v>3142</v>
      </c>
      <c r="F298" t="s">
        <v>2617</v>
      </c>
    </row>
    <row r="299" spans="1:6" x14ac:dyDescent="0.2">
      <c r="A299" t="s">
        <v>972</v>
      </c>
      <c r="C299" t="s">
        <v>787</v>
      </c>
      <c r="D299" t="s">
        <v>3143</v>
      </c>
      <c r="E299" t="s">
        <v>3144</v>
      </c>
      <c r="F299" t="s">
        <v>2862</v>
      </c>
    </row>
    <row r="300" spans="1:6" x14ac:dyDescent="0.2">
      <c r="A300" t="s">
        <v>2122</v>
      </c>
      <c r="C300" t="s">
        <v>787</v>
      </c>
      <c r="D300" t="s">
        <v>3145</v>
      </c>
      <c r="E300" t="s">
        <v>3146</v>
      </c>
      <c r="F300" t="s">
        <v>1391</v>
      </c>
    </row>
    <row r="301" spans="1:6" x14ac:dyDescent="0.2">
      <c r="A301" t="s">
        <v>2123</v>
      </c>
      <c r="C301" t="s">
        <v>1482</v>
      </c>
      <c r="D301" t="s">
        <v>3147</v>
      </c>
      <c r="E301" t="s">
        <v>3148</v>
      </c>
      <c r="F301" t="s">
        <v>3130</v>
      </c>
    </row>
    <row r="302" spans="1:6" x14ac:dyDescent="0.2">
      <c r="A302" t="s">
        <v>2124</v>
      </c>
      <c r="C302" t="s">
        <v>787</v>
      </c>
      <c r="D302" t="s">
        <v>3149</v>
      </c>
      <c r="E302" t="s">
        <v>3150</v>
      </c>
      <c r="F302" t="s">
        <v>2617</v>
      </c>
    </row>
    <row r="303" spans="1:6" x14ac:dyDescent="0.2">
      <c r="A303" t="s">
        <v>2125</v>
      </c>
      <c r="C303" t="s">
        <v>1482</v>
      </c>
      <c r="D303" t="s">
        <v>3151</v>
      </c>
      <c r="E303" t="s">
        <v>3152</v>
      </c>
      <c r="F303" t="s">
        <v>3153</v>
      </c>
    </row>
    <row r="304" spans="1:6" x14ac:dyDescent="0.2">
      <c r="A304" t="s">
        <v>2126</v>
      </c>
      <c r="C304" t="s">
        <v>1482</v>
      </c>
      <c r="D304" t="s">
        <v>3154</v>
      </c>
      <c r="E304" t="s">
        <v>3155</v>
      </c>
      <c r="F304" t="s">
        <v>3156</v>
      </c>
    </row>
    <row r="305" spans="1:6" x14ac:dyDescent="0.2">
      <c r="A305" t="s">
        <v>2127</v>
      </c>
      <c r="C305" t="s">
        <v>787</v>
      </c>
      <c r="D305" t="s">
        <v>3157</v>
      </c>
      <c r="E305" t="s">
        <v>3158</v>
      </c>
      <c r="F305" t="s">
        <v>2617</v>
      </c>
    </row>
    <row r="306" spans="1:6" x14ac:dyDescent="0.2">
      <c r="A306" t="s">
        <v>2128</v>
      </c>
      <c r="C306" t="s">
        <v>787</v>
      </c>
      <c r="D306" t="s">
        <v>3159</v>
      </c>
      <c r="E306" t="s">
        <v>3160</v>
      </c>
      <c r="F306" t="s">
        <v>835</v>
      </c>
    </row>
    <row r="307" spans="1:6" x14ac:dyDescent="0.2">
      <c r="A307" t="s">
        <v>1133</v>
      </c>
      <c r="C307" t="s">
        <v>787</v>
      </c>
      <c r="D307" t="s">
        <v>3161</v>
      </c>
      <c r="E307" t="s">
        <v>3162</v>
      </c>
      <c r="F307" t="s">
        <v>3126</v>
      </c>
    </row>
    <row r="308" spans="1:6" x14ac:dyDescent="0.2">
      <c r="A308" t="s">
        <v>2129</v>
      </c>
      <c r="C308" t="s">
        <v>787</v>
      </c>
      <c r="D308" t="s">
        <v>1064</v>
      </c>
      <c r="E308" t="s">
        <v>3163</v>
      </c>
      <c r="F308" t="s">
        <v>3164</v>
      </c>
    </row>
    <row r="309" spans="1:6" x14ac:dyDescent="0.2">
      <c r="A309" t="s">
        <v>2130</v>
      </c>
      <c r="C309" t="s">
        <v>1482</v>
      </c>
      <c r="D309" t="s">
        <v>3165</v>
      </c>
      <c r="E309" t="s">
        <v>3166</v>
      </c>
      <c r="F309" t="s">
        <v>1759</v>
      </c>
    </row>
    <row r="310" spans="1:6" x14ac:dyDescent="0.2">
      <c r="A310" t="s">
        <v>2131</v>
      </c>
      <c r="C310" t="s">
        <v>1482</v>
      </c>
      <c r="D310" t="s">
        <v>3167</v>
      </c>
      <c r="E310" t="s">
        <v>3168</v>
      </c>
      <c r="F310" t="s">
        <v>3169</v>
      </c>
    </row>
    <row r="311" spans="1:6" x14ac:dyDescent="0.2">
      <c r="A311" t="s">
        <v>2132</v>
      </c>
      <c r="C311" t="s">
        <v>787</v>
      </c>
      <c r="D311" t="s">
        <v>3170</v>
      </c>
      <c r="E311" t="s">
        <v>3171</v>
      </c>
      <c r="F311" t="s">
        <v>2617</v>
      </c>
    </row>
    <row r="312" spans="1:6" x14ac:dyDescent="0.2">
      <c r="A312" t="s">
        <v>2133</v>
      </c>
      <c r="C312" t="s">
        <v>787</v>
      </c>
      <c r="D312" t="s">
        <v>915</v>
      </c>
      <c r="E312" t="s">
        <v>3172</v>
      </c>
      <c r="F312" t="s">
        <v>2617</v>
      </c>
    </row>
    <row r="313" spans="1:6" x14ac:dyDescent="0.2">
      <c r="A313" t="s">
        <v>2134</v>
      </c>
      <c r="C313" t="s">
        <v>787</v>
      </c>
      <c r="D313" t="s">
        <v>2726</v>
      </c>
      <c r="E313" t="s">
        <v>3173</v>
      </c>
      <c r="F313" t="s">
        <v>2617</v>
      </c>
    </row>
    <row r="314" spans="1:6" x14ac:dyDescent="0.2">
      <c r="A314" t="s">
        <v>2135</v>
      </c>
      <c r="C314" t="s">
        <v>787</v>
      </c>
      <c r="D314" t="s">
        <v>1328</v>
      </c>
      <c r="E314" t="s">
        <v>3174</v>
      </c>
      <c r="F314" t="s">
        <v>2617</v>
      </c>
    </row>
    <row r="315" spans="1:6" x14ac:dyDescent="0.2">
      <c r="A315" t="s">
        <v>2136</v>
      </c>
      <c r="C315" t="s">
        <v>787</v>
      </c>
      <c r="D315" t="s">
        <v>3175</v>
      </c>
      <c r="E315" t="s">
        <v>3176</v>
      </c>
      <c r="F315" t="s">
        <v>2723</v>
      </c>
    </row>
    <row r="316" spans="1:6" x14ac:dyDescent="0.2">
      <c r="A316" t="s">
        <v>2137</v>
      </c>
      <c r="C316" t="s">
        <v>787</v>
      </c>
      <c r="D316" t="s">
        <v>3177</v>
      </c>
      <c r="E316" t="s">
        <v>3178</v>
      </c>
      <c r="F316" t="s">
        <v>1264</v>
      </c>
    </row>
    <row r="317" spans="1:6" x14ac:dyDescent="0.2">
      <c r="A317" t="s">
        <v>2138</v>
      </c>
      <c r="C317" t="s">
        <v>787</v>
      </c>
      <c r="D317" t="s">
        <v>1863</v>
      </c>
      <c r="E317" t="s">
        <v>3179</v>
      </c>
      <c r="F317" t="s">
        <v>2617</v>
      </c>
    </row>
    <row r="318" spans="1:6" x14ac:dyDescent="0.2">
      <c r="A318" t="s">
        <v>1134</v>
      </c>
      <c r="C318" t="s">
        <v>787</v>
      </c>
      <c r="D318" t="s">
        <v>3180</v>
      </c>
      <c r="E318" t="s">
        <v>3181</v>
      </c>
      <c r="F318" t="s">
        <v>2617</v>
      </c>
    </row>
    <row r="319" spans="1:6" x14ac:dyDescent="0.2">
      <c r="A319" t="s">
        <v>2139</v>
      </c>
      <c r="C319" t="s">
        <v>787</v>
      </c>
      <c r="D319" t="s">
        <v>3182</v>
      </c>
      <c r="E319" t="s">
        <v>1253</v>
      </c>
      <c r="F319" t="s">
        <v>2617</v>
      </c>
    </row>
    <row r="320" spans="1:6" x14ac:dyDescent="0.2">
      <c r="A320" t="s">
        <v>2140</v>
      </c>
      <c r="C320" t="s">
        <v>787</v>
      </c>
      <c r="D320" t="s">
        <v>3183</v>
      </c>
      <c r="E320" t="s">
        <v>3184</v>
      </c>
      <c r="F320" t="s">
        <v>806</v>
      </c>
    </row>
    <row r="321" spans="1:6" x14ac:dyDescent="0.2">
      <c r="A321" t="s">
        <v>2141</v>
      </c>
      <c r="C321" t="s">
        <v>787</v>
      </c>
      <c r="D321" t="s">
        <v>3185</v>
      </c>
      <c r="E321" t="s">
        <v>3186</v>
      </c>
      <c r="F321" t="s">
        <v>2617</v>
      </c>
    </row>
    <row r="322" spans="1:6" x14ac:dyDescent="0.2">
      <c r="A322" t="s">
        <v>2142</v>
      </c>
      <c r="C322" t="s">
        <v>787</v>
      </c>
      <c r="D322" t="s">
        <v>3187</v>
      </c>
      <c r="E322" t="s">
        <v>1380</v>
      </c>
      <c r="F322" t="s">
        <v>2617</v>
      </c>
    </row>
    <row r="323" spans="1:6" x14ac:dyDescent="0.2">
      <c r="A323" t="s">
        <v>2143</v>
      </c>
      <c r="C323" t="s">
        <v>787</v>
      </c>
      <c r="D323" t="s">
        <v>3188</v>
      </c>
      <c r="E323" t="s">
        <v>3189</v>
      </c>
      <c r="F323" t="s">
        <v>2617</v>
      </c>
    </row>
    <row r="324" spans="1:6" x14ac:dyDescent="0.2">
      <c r="A324" t="s">
        <v>1135</v>
      </c>
      <c r="C324" t="s">
        <v>787</v>
      </c>
      <c r="D324" t="s">
        <v>1311</v>
      </c>
      <c r="E324" t="s">
        <v>3190</v>
      </c>
      <c r="F324" t="s">
        <v>1312</v>
      </c>
    </row>
    <row r="325" spans="1:6" x14ac:dyDescent="0.2">
      <c r="A325" t="s">
        <v>2144</v>
      </c>
      <c r="C325" t="s">
        <v>787</v>
      </c>
      <c r="D325" t="s">
        <v>1624</v>
      </c>
      <c r="E325" t="s">
        <v>3191</v>
      </c>
      <c r="F325" t="s">
        <v>2617</v>
      </c>
    </row>
    <row r="326" spans="1:6" x14ac:dyDescent="0.2">
      <c r="A326" t="s">
        <v>2145</v>
      </c>
      <c r="C326" t="s">
        <v>1482</v>
      </c>
      <c r="D326" t="s">
        <v>902</v>
      </c>
      <c r="E326" t="s">
        <v>3192</v>
      </c>
      <c r="F326" t="s">
        <v>3193</v>
      </c>
    </row>
    <row r="327" spans="1:6" x14ac:dyDescent="0.2">
      <c r="A327" t="s">
        <v>2146</v>
      </c>
      <c r="C327" t="s">
        <v>1482</v>
      </c>
      <c r="D327" t="s">
        <v>3194</v>
      </c>
      <c r="E327" t="s">
        <v>3195</v>
      </c>
      <c r="F327" t="s">
        <v>3196</v>
      </c>
    </row>
    <row r="328" spans="1:6" x14ac:dyDescent="0.2">
      <c r="A328" t="s">
        <v>2147</v>
      </c>
      <c r="C328" t="s">
        <v>787</v>
      </c>
      <c r="D328" t="s">
        <v>2812</v>
      </c>
      <c r="E328" t="s">
        <v>3197</v>
      </c>
      <c r="F328" t="s">
        <v>2617</v>
      </c>
    </row>
    <row r="329" spans="1:6" x14ac:dyDescent="0.2">
      <c r="A329" t="s">
        <v>2148</v>
      </c>
      <c r="C329" t="s">
        <v>787</v>
      </c>
      <c r="D329" t="s">
        <v>3198</v>
      </c>
      <c r="E329" t="s">
        <v>957</v>
      </c>
      <c r="F329" t="s">
        <v>794</v>
      </c>
    </row>
    <row r="330" spans="1:6" x14ac:dyDescent="0.2">
      <c r="A330" t="s">
        <v>805</v>
      </c>
      <c r="C330" t="s">
        <v>787</v>
      </c>
      <c r="D330" t="s">
        <v>2657</v>
      </c>
      <c r="E330" t="s">
        <v>3199</v>
      </c>
      <c r="F330" t="s">
        <v>2617</v>
      </c>
    </row>
    <row r="331" spans="1:6" x14ac:dyDescent="0.2">
      <c r="A331" t="s">
        <v>2149</v>
      </c>
      <c r="C331" t="s">
        <v>787</v>
      </c>
      <c r="D331" t="s">
        <v>3200</v>
      </c>
      <c r="E331" t="s">
        <v>3201</v>
      </c>
      <c r="F331" t="s">
        <v>2737</v>
      </c>
    </row>
    <row r="332" spans="1:6" x14ac:dyDescent="0.2">
      <c r="A332" t="s">
        <v>976</v>
      </c>
      <c r="C332" t="s">
        <v>787</v>
      </c>
      <c r="D332" t="s">
        <v>3202</v>
      </c>
      <c r="E332" t="s">
        <v>3203</v>
      </c>
      <c r="F332" t="s">
        <v>888</v>
      </c>
    </row>
    <row r="333" spans="1:6" x14ac:dyDescent="0.2">
      <c r="A333" t="s">
        <v>1136</v>
      </c>
      <c r="C333" t="s">
        <v>787</v>
      </c>
      <c r="D333" t="s">
        <v>1313</v>
      </c>
      <c r="E333" t="s">
        <v>1314</v>
      </c>
      <c r="F333" t="s">
        <v>813</v>
      </c>
    </row>
    <row r="334" spans="1:6" x14ac:dyDescent="0.2">
      <c r="A334" t="s">
        <v>977</v>
      </c>
      <c r="C334" t="s">
        <v>787</v>
      </c>
      <c r="D334" t="s">
        <v>3204</v>
      </c>
      <c r="E334" t="s">
        <v>3205</v>
      </c>
      <c r="F334" t="s">
        <v>817</v>
      </c>
    </row>
    <row r="335" spans="1:6" x14ac:dyDescent="0.2">
      <c r="A335" t="s">
        <v>978</v>
      </c>
      <c r="C335" t="s">
        <v>787</v>
      </c>
      <c r="D335" t="s">
        <v>3206</v>
      </c>
      <c r="E335" t="s">
        <v>3207</v>
      </c>
      <c r="F335" t="s">
        <v>807</v>
      </c>
    </row>
    <row r="336" spans="1:6" x14ac:dyDescent="0.2">
      <c r="A336" t="s">
        <v>979</v>
      </c>
      <c r="C336" t="s">
        <v>787</v>
      </c>
      <c r="D336" t="s">
        <v>3208</v>
      </c>
      <c r="E336" t="s">
        <v>3203</v>
      </c>
      <c r="F336" t="s">
        <v>848</v>
      </c>
    </row>
    <row r="337" spans="1:6" x14ac:dyDescent="0.2">
      <c r="A337" t="s">
        <v>1257</v>
      </c>
      <c r="C337" t="s">
        <v>783</v>
      </c>
      <c r="D337" t="s">
        <v>860</v>
      </c>
      <c r="E337" t="s">
        <v>1261</v>
      </c>
      <c r="F337" t="s">
        <v>3209</v>
      </c>
    </row>
    <row r="338" spans="1:6" x14ac:dyDescent="0.2">
      <c r="A338" t="s">
        <v>2150</v>
      </c>
      <c r="C338" t="s">
        <v>787</v>
      </c>
      <c r="D338" t="s">
        <v>3210</v>
      </c>
      <c r="E338" t="s">
        <v>3211</v>
      </c>
      <c r="F338" t="s">
        <v>2617</v>
      </c>
    </row>
    <row r="339" spans="1:6" x14ac:dyDescent="0.2">
      <c r="A339" t="s">
        <v>2151</v>
      </c>
      <c r="C339" t="s">
        <v>787</v>
      </c>
      <c r="D339" t="s">
        <v>3212</v>
      </c>
      <c r="E339" t="s">
        <v>3213</v>
      </c>
      <c r="F339" t="s">
        <v>2617</v>
      </c>
    </row>
    <row r="340" spans="1:6" x14ac:dyDescent="0.2">
      <c r="A340" t="s">
        <v>2152</v>
      </c>
      <c r="C340" t="s">
        <v>1482</v>
      </c>
      <c r="D340" t="s">
        <v>3214</v>
      </c>
      <c r="E340" t="s">
        <v>3215</v>
      </c>
      <c r="F340" t="s">
        <v>3216</v>
      </c>
    </row>
    <row r="341" spans="1:6" x14ac:dyDescent="0.2">
      <c r="A341" t="s">
        <v>2153</v>
      </c>
      <c r="C341" t="s">
        <v>1482</v>
      </c>
      <c r="D341" t="s">
        <v>2596</v>
      </c>
      <c r="E341" t="s">
        <v>3217</v>
      </c>
      <c r="F341" t="s">
        <v>3218</v>
      </c>
    </row>
    <row r="342" spans="1:6" x14ac:dyDescent="0.2">
      <c r="A342" t="s">
        <v>2154</v>
      </c>
      <c r="C342" t="s">
        <v>783</v>
      </c>
      <c r="D342" t="s">
        <v>3047</v>
      </c>
      <c r="E342" t="s">
        <v>3219</v>
      </c>
      <c r="F342" t="s">
        <v>2647</v>
      </c>
    </row>
    <row r="343" spans="1:6" x14ac:dyDescent="0.2">
      <c r="A343" t="s">
        <v>2155</v>
      </c>
      <c r="C343" t="s">
        <v>787</v>
      </c>
      <c r="D343" t="s">
        <v>3220</v>
      </c>
      <c r="E343" t="s">
        <v>3221</v>
      </c>
      <c r="F343" t="s">
        <v>869</v>
      </c>
    </row>
    <row r="344" spans="1:6" x14ac:dyDescent="0.2">
      <c r="A344" t="s">
        <v>2156</v>
      </c>
      <c r="C344" t="s">
        <v>787</v>
      </c>
      <c r="D344" t="s">
        <v>3222</v>
      </c>
      <c r="E344" t="s">
        <v>3223</v>
      </c>
      <c r="F344" t="s">
        <v>2617</v>
      </c>
    </row>
    <row r="345" spans="1:6" x14ac:dyDescent="0.2">
      <c r="A345" t="s">
        <v>2157</v>
      </c>
      <c r="C345" t="s">
        <v>787</v>
      </c>
      <c r="D345" t="s">
        <v>3224</v>
      </c>
      <c r="E345" t="s">
        <v>1645</v>
      </c>
      <c r="F345" t="s">
        <v>3225</v>
      </c>
    </row>
    <row r="346" spans="1:6" x14ac:dyDescent="0.2">
      <c r="A346" t="s">
        <v>2158</v>
      </c>
      <c r="C346" t="s">
        <v>1482</v>
      </c>
      <c r="D346" t="s">
        <v>3226</v>
      </c>
      <c r="E346" t="s">
        <v>3227</v>
      </c>
      <c r="F346" t="s">
        <v>3228</v>
      </c>
    </row>
    <row r="347" spans="1:6" x14ac:dyDescent="0.2">
      <c r="A347" t="s">
        <v>1683</v>
      </c>
      <c r="C347" t="s">
        <v>787</v>
      </c>
      <c r="D347" t="s">
        <v>3229</v>
      </c>
      <c r="E347" t="s">
        <v>3230</v>
      </c>
      <c r="F347" t="s">
        <v>1356</v>
      </c>
    </row>
    <row r="348" spans="1:6" x14ac:dyDescent="0.2">
      <c r="A348" t="s">
        <v>2159</v>
      </c>
      <c r="C348" t="s">
        <v>787</v>
      </c>
      <c r="D348" t="s">
        <v>3231</v>
      </c>
      <c r="E348" t="s">
        <v>2881</v>
      </c>
      <c r="F348" t="s">
        <v>2617</v>
      </c>
    </row>
    <row r="349" spans="1:6" x14ac:dyDescent="0.2">
      <c r="A349" t="s">
        <v>1684</v>
      </c>
      <c r="C349" t="s">
        <v>787</v>
      </c>
      <c r="D349" t="s">
        <v>3232</v>
      </c>
      <c r="E349" t="s">
        <v>3233</v>
      </c>
      <c r="F349" t="s">
        <v>2617</v>
      </c>
    </row>
    <row r="350" spans="1:6" x14ac:dyDescent="0.2">
      <c r="A350" t="s">
        <v>2160</v>
      </c>
      <c r="C350" t="s">
        <v>787</v>
      </c>
      <c r="D350" t="s">
        <v>2634</v>
      </c>
      <c r="E350" t="s">
        <v>3234</v>
      </c>
      <c r="F350" t="s">
        <v>1391</v>
      </c>
    </row>
    <row r="351" spans="1:6" x14ac:dyDescent="0.2">
      <c r="A351" t="s">
        <v>2161</v>
      </c>
      <c r="C351" t="s">
        <v>787</v>
      </c>
      <c r="D351" t="s">
        <v>799</v>
      </c>
      <c r="E351" t="s">
        <v>3235</v>
      </c>
      <c r="F351" t="s">
        <v>2617</v>
      </c>
    </row>
    <row r="352" spans="1:6" x14ac:dyDescent="0.2">
      <c r="A352" t="s">
        <v>2162</v>
      </c>
      <c r="C352" t="s">
        <v>787</v>
      </c>
      <c r="D352" t="s">
        <v>3236</v>
      </c>
      <c r="E352" t="s">
        <v>3237</v>
      </c>
      <c r="F352" t="s">
        <v>2617</v>
      </c>
    </row>
    <row r="353" spans="1:6" x14ac:dyDescent="0.2">
      <c r="A353" t="s">
        <v>2163</v>
      </c>
      <c r="C353" t="s">
        <v>787</v>
      </c>
      <c r="D353" t="s">
        <v>3238</v>
      </c>
      <c r="E353" t="s">
        <v>3239</v>
      </c>
      <c r="F353" t="s">
        <v>3240</v>
      </c>
    </row>
    <row r="354" spans="1:6" x14ac:dyDescent="0.2">
      <c r="A354" t="s">
        <v>2164</v>
      </c>
      <c r="C354" t="s">
        <v>787</v>
      </c>
      <c r="D354" t="s">
        <v>3241</v>
      </c>
      <c r="E354" t="s">
        <v>3242</v>
      </c>
      <c r="F354" t="s">
        <v>2617</v>
      </c>
    </row>
    <row r="355" spans="1:6" x14ac:dyDescent="0.2">
      <c r="A355" t="s">
        <v>2165</v>
      </c>
      <c r="C355" t="s">
        <v>787</v>
      </c>
      <c r="D355" t="s">
        <v>3243</v>
      </c>
      <c r="E355" t="s">
        <v>3244</v>
      </c>
      <c r="F355" t="s">
        <v>2617</v>
      </c>
    </row>
    <row r="356" spans="1:6" x14ac:dyDescent="0.2">
      <c r="A356" t="s">
        <v>2166</v>
      </c>
      <c r="C356" t="s">
        <v>787</v>
      </c>
      <c r="D356" t="s">
        <v>3245</v>
      </c>
      <c r="E356" t="s">
        <v>3246</v>
      </c>
      <c r="F356" t="s">
        <v>836</v>
      </c>
    </row>
    <row r="357" spans="1:6" x14ac:dyDescent="0.2">
      <c r="A357" t="s">
        <v>2167</v>
      </c>
      <c r="C357" t="s">
        <v>787</v>
      </c>
      <c r="D357" t="s">
        <v>3247</v>
      </c>
      <c r="E357" t="s">
        <v>3248</v>
      </c>
      <c r="F357" t="s">
        <v>952</v>
      </c>
    </row>
    <row r="358" spans="1:6" x14ac:dyDescent="0.2">
      <c r="A358" t="s">
        <v>2168</v>
      </c>
      <c r="C358" t="s">
        <v>787</v>
      </c>
      <c r="D358" t="s">
        <v>2760</v>
      </c>
      <c r="E358" t="s">
        <v>3249</v>
      </c>
      <c r="F358" t="s">
        <v>3250</v>
      </c>
    </row>
    <row r="359" spans="1:6" x14ac:dyDescent="0.2">
      <c r="A359" t="s">
        <v>2169</v>
      </c>
      <c r="C359" t="s">
        <v>787</v>
      </c>
      <c r="D359" t="s">
        <v>3251</v>
      </c>
      <c r="E359" t="s">
        <v>2962</v>
      </c>
      <c r="F359" t="s">
        <v>2993</v>
      </c>
    </row>
    <row r="360" spans="1:6" x14ac:dyDescent="0.2">
      <c r="A360" t="s">
        <v>2170</v>
      </c>
      <c r="C360" t="s">
        <v>787</v>
      </c>
      <c r="D360" t="s">
        <v>1880</v>
      </c>
      <c r="E360" t="s">
        <v>3252</v>
      </c>
      <c r="F360" t="s">
        <v>1054</v>
      </c>
    </row>
    <row r="361" spans="1:6" x14ac:dyDescent="0.2">
      <c r="A361" t="s">
        <v>2171</v>
      </c>
      <c r="C361" t="s">
        <v>787</v>
      </c>
      <c r="D361" t="s">
        <v>3253</v>
      </c>
      <c r="E361" t="s">
        <v>3254</v>
      </c>
      <c r="F361" t="s">
        <v>1251</v>
      </c>
    </row>
    <row r="362" spans="1:6" x14ac:dyDescent="0.2">
      <c r="A362" t="s">
        <v>2172</v>
      </c>
      <c r="C362" t="s">
        <v>787</v>
      </c>
      <c r="D362" t="s">
        <v>3255</v>
      </c>
      <c r="E362" t="s">
        <v>3256</v>
      </c>
      <c r="F362" t="s">
        <v>838</v>
      </c>
    </row>
    <row r="363" spans="1:6" x14ac:dyDescent="0.2">
      <c r="A363" t="s">
        <v>2173</v>
      </c>
      <c r="C363" t="s">
        <v>787</v>
      </c>
      <c r="D363" t="s">
        <v>3257</v>
      </c>
      <c r="E363" t="s">
        <v>3258</v>
      </c>
      <c r="F363" t="s">
        <v>2617</v>
      </c>
    </row>
    <row r="364" spans="1:6" x14ac:dyDescent="0.2">
      <c r="A364" t="s">
        <v>2174</v>
      </c>
      <c r="C364" t="s">
        <v>1482</v>
      </c>
      <c r="D364" t="s">
        <v>3259</v>
      </c>
      <c r="E364" t="s">
        <v>3260</v>
      </c>
      <c r="F364" t="s">
        <v>3261</v>
      </c>
    </row>
    <row r="365" spans="1:6" x14ac:dyDescent="0.2">
      <c r="A365" t="s">
        <v>2175</v>
      </c>
      <c r="C365" t="s">
        <v>1482</v>
      </c>
      <c r="D365" t="s">
        <v>1390</v>
      </c>
      <c r="E365" t="s">
        <v>3262</v>
      </c>
      <c r="F365" t="s">
        <v>3263</v>
      </c>
    </row>
    <row r="366" spans="1:6" x14ac:dyDescent="0.2">
      <c r="A366" t="s">
        <v>2176</v>
      </c>
      <c r="C366" t="s">
        <v>787</v>
      </c>
      <c r="D366" t="s">
        <v>3264</v>
      </c>
      <c r="E366" t="s">
        <v>3265</v>
      </c>
      <c r="F366" t="s">
        <v>2617</v>
      </c>
    </row>
    <row r="367" spans="1:6" x14ac:dyDescent="0.2">
      <c r="A367" t="s">
        <v>2177</v>
      </c>
      <c r="C367" t="s">
        <v>787</v>
      </c>
      <c r="D367" t="s">
        <v>3266</v>
      </c>
      <c r="E367" t="s">
        <v>3267</v>
      </c>
      <c r="F367" t="s">
        <v>2617</v>
      </c>
    </row>
    <row r="368" spans="1:6" x14ac:dyDescent="0.2">
      <c r="A368" t="s">
        <v>1137</v>
      </c>
      <c r="C368" t="s">
        <v>787</v>
      </c>
      <c r="D368" t="s">
        <v>3268</v>
      </c>
      <c r="E368" t="s">
        <v>1315</v>
      </c>
      <c r="F368" t="s">
        <v>1316</v>
      </c>
    </row>
    <row r="369" spans="1:6" x14ac:dyDescent="0.2">
      <c r="A369" t="s">
        <v>2178</v>
      </c>
      <c r="C369" t="s">
        <v>787</v>
      </c>
      <c r="D369" t="s">
        <v>3269</v>
      </c>
      <c r="E369" t="s">
        <v>3270</v>
      </c>
      <c r="F369" t="s">
        <v>2617</v>
      </c>
    </row>
    <row r="370" spans="1:6" x14ac:dyDescent="0.2">
      <c r="A370" t="s">
        <v>1138</v>
      </c>
      <c r="C370" t="s">
        <v>787</v>
      </c>
      <c r="D370" t="s">
        <v>1317</v>
      </c>
      <c r="E370" t="s">
        <v>1318</v>
      </c>
      <c r="F370" t="s">
        <v>903</v>
      </c>
    </row>
    <row r="371" spans="1:6" x14ac:dyDescent="0.2">
      <c r="A371" t="s">
        <v>904</v>
      </c>
      <c r="C371" t="s">
        <v>787</v>
      </c>
      <c r="D371" t="s">
        <v>3271</v>
      </c>
      <c r="E371" t="s">
        <v>3272</v>
      </c>
      <c r="F371" t="s">
        <v>2617</v>
      </c>
    </row>
    <row r="372" spans="1:6" x14ac:dyDescent="0.2">
      <c r="A372" t="s">
        <v>1139</v>
      </c>
      <c r="C372" t="s">
        <v>787</v>
      </c>
      <c r="D372" t="s">
        <v>3273</v>
      </c>
      <c r="E372" t="s">
        <v>3274</v>
      </c>
      <c r="F372" t="s">
        <v>3275</v>
      </c>
    </row>
    <row r="373" spans="1:6" x14ac:dyDescent="0.2">
      <c r="A373" t="s">
        <v>2179</v>
      </c>
      <c r="C373" t="s">
        <v>787</v>
      </c>
      <c r="D373" t="s">
        <v>2976</v>
      </c>
      <c r="E373" t="s">
        <v>3276</v>
      </c>
      <c r="F373" t="s">
        <v>2617</v>
      </c>
    </row>
    <row r="374" spans="1:6" x14ac:dyDescent="0.2">
      <c r="A374" t="s">
        <v>2180</v>
      </c>
      <c r="C374" t="s">
        <v>787</v>
      </c>
      <c r="D374" t="s">
        <v>3277</v>
      </c>
      <c r="E374" t="s">
        <v>3278</v>
      </c>
      <c r="F374" t="s">
        <v>2617</v>
      </c>
    </row>
    <row r="375" spans="1:6" x14ac:dyDescent="0.2">
      <c r="A375" t="s">
        <v>2181</v>
      </c>
      <c r="C375" t="s">
        <v>787</v>
      </c>
      <c r="D375" t="s">
        <v>3279</v>
      </c>
      <c r="E375" t="s">
        <v>3280</v>
      </c>
      <c r="F375" t="s">
        <v>2617</v>
      </c>
    </row>
    <row r="376" spans="1:6" x14ac:dyDescent="0.2">
      <c r="A376" t="s">
        <v>2182</v>
      </c>
      <c r="C376" t="s">
        <v>787</v>
      </c>
      <c r="D376" t="s">
        <v>3281</v>
      </c>
      <c r="E376" t="s">
        <v>3180</v>
      </c>
      <c r="F376" t="s">
        <v>2617</v>
      </c>
    </row>
    <row r="377" spans="1:6" x14ac:dyDescent="0.2">
      <c r="A377" t="s">
        <v>2183</v>
      </c>
      <c r="C377" t="s">
        <v>783</v>
      </c>
      <c r="D377" t="s">
        <v>3257</v>
      </c>
      <c r="E377" t="s">
        <v>3282</v>
      </c>
      <c r="F377" t="s">
        <v>3049</v>
      </c>
    </row>
    <row r="378" spans="1:6" x14ac:dyDescent="0.2">
      <c r="A378" t="s">
        <v>2184</v>
      </c>
      <c r="C378" t="s">
        <v>787</v>
      </c>
      <c r="D378" t="s">
        <v>3283</v>
      </c>
      <c r="E378" t="s">
        <v>2646</v>
      </c>
      <c r="F378" t="s">
        <v>2617</v>
      </c>
    </row>
    <row r="379" spans="1:6" x14ac:dyDescent="0.2">
      <c r="A379" t="s">
        <v>1140</v>
      </c>
      <c r="C379" t="s">
        <v>787</v>
      </c>
      <c r="D379" t="s">
        <v>1320</v>
      </c>
      <c r="E379" t="s">
        <v>1321</v>
      </c>
      <c r="F379" t="s">
        <v>1322</v>
      </c>
    </row>
    <row r="380" spans="1:6" x14ac:dyDescent="0.2">
      <c r="A380" t="s">
        <v>1685</v>
      </c>
      <c r="C380" t="s">
        <v>787</v>
      </c>
      <c r="D380" t="s">
        <v>3284</v>
      </c>
      <c r="E380" t="s">
        <v>3285</v>
      </c>
      <c r="F380" t="s">
        <v>1251</v>
      </c>
    </row>
    <row r="381" spans="1:6" x14ac:dyDescent="0.2">
      <c r="A381" t="s">
        <v>2185</v>
      </c>
      <c r="C381" t="s">
        <v>787</v>
      </c>
      <c r="D381" t="s">
        <v>3286</v>
      </c>
      <c r="E381" t="s">
        <v>3287</v>
      </c>
      <c r="F381" t="s">
        <v>2617</v>
      </c>
    </row>
    <row r="382" spans="1:6" x14ac:dyDescent="0.2">
      <c r="A382" t="s">
        <v>2186</v>
      </c>
      <c r="C382" t="s">
        <v>787</v>
      </c>
      <c r="D382" t="s">
        <v>3288</v>
      </c>
      <c r="E382" t="s">
        <v>3289</v>
      </c>
      <c r="F382" t="s">
        <v>2617</v>
      </c>
    </row>
    <row r="383" spans="1:6" x14ac:dyDescent="0.2">
      <c r="A383" t="s">
        <v>2187</v>
      </c>
      <c r="C383" t="s">
        <v>787</v>
      </c>
      <c r="D383" t="s">
        <v>3290</v>
      </c>
      <c r="E383" t="s">
        <v>3291</v>
      </c>
      <c r="F383" t="s">
        <v>1363</v>
      </c>
    </row>
    <row r="384" spans="1:6" x14ac:dyDescent="0.2">
      <c r="A384" t="s">
        <v>2188</v>
      </c>
      <c r="C384" t="s">
        <v>787</v>
      </c>
      <c r="D384" t="s">
        <v>3292</v>
      </c>
      <c r="E384" t="s">
        <v>3293</v>
      </c>
      <c r="F384" t="s">
        <v>2617</v>
      </c>
    </row>
    <row r="385" spans="1:6" x14ac:dyDescent="0.2">
      <c r="A385" t="s">
        <v>2189</v>
      </c>
      <c r="C385" t="s">
        <v>787</v>
      </c>
      <c r="D385" t="s">
        <v>3294</v>
      </c>
      <c r="E385" t="s">
        <v>3295</v>
      </c>
      <c r="F385" t="s">
        <v>2617</v>
      </c>
    </row>
    <row r="386" spans="1:6" x14ac:dyDescent="0.2">
      <c r="A386" t="s">
        <v>2190</v>
      </c>
      <c r="C386" t="s">
        <v>1482</v>
      </c>
      <c r="D386" t="s">
        <v>3296</v>
      </c>
      <c r="E386" t="s">
        <v>3297</v>
      </c>
      <c r="F386" t="s">
        <v>3156</v>
      </c>
    </row>
    <row r="387" spans="1:6" x14ac:dyDescent="0.2">
      <c r="A387" t="s">
        <v>2191</v>
      </c>
      <c r="C387" t="s">
        <v>787</v>
      </c>
      <c r="D387" t="s">
        <v>3298</v>
      </c>
      <c r="E387" t="s">
        <v>3299</v>
      </c>
      <c r="F387" t="s">
        <v>2617</v>
      </c>
    </row>
    <row r="388" spans="1:6" x14ac:dyDescent="0.2">
      <c r="A388" t="s">
        <v>2192</v>
      </c>
      <c r="C388" t="s">
        <v>787</v>
      </c>
      <c r="D388" t="s">
        <v>2867</v>
      </c>
      <c r="E388" t="s">
        <v>3300</v>
      </c>
      <c r="F388" t="s">
        <v>799</v>
      </c>
    </row>
    <row r="389" spans="1:6" x14ac:dyDescent="0.2">
      <c r="A389" t="s">
        <v>2193</v>
      </c>
      <c r="C389" t="s">
        <v>787</v>
      </c>
      <c r="D389" t="s">
        <v>1381</v>
      </c>
      <c r="E389" t="s">
        <v>1027</v>
      </c>
      <c r="F389" t="s">
        <v>1391</v>
      </c>
    </row>
    <row r="390" spans="1:6" x14ac:dyDescent="0.2">
      <c r="A390" t="s">
        <v>1076</v>
      </c>
      <c r="C390" t="s">
        <v>787</v>
      </c>
      <c r="D390" t="s">
        <v>3301</v>
      </c>
      <c r="E390" t="s">
        <v>3302</v>
      </c>
      <c r="F390" t="s">
        <v>2617</v>
      </c>
    </row>
    <row r="391" spans="1:6" x14ac:dyDescent="0.2">
      <c r="A391" t="s">
        <v>988</v>
      </c>
      <c r="C391" t="s">
        <v>787</v>
      </c>
      <c r="D391" t="s">
        <v>821</v>
      </c>
      <c r="E391" t="s">
        <v>3303</v>
      </c>
      <c r="F391" t="s">
        <v>1410</v>
      </c>
    </row>
    <row r="392" spans="1:6" x14ac:dyDescent="0.2">
      <c r="A392" t="s">
        <v>2194</v>
      </c>
      <c r="C392" t="s">
        <v>787</v>
      </c>
      <c r="D392" t="s">
        <v>3304</v>
      </c>
      <c r="E392" t="s">
        <v>3305</v>
      </c>
      <c r="F392" t="s">
        <v>1361</v>
      </c>
    </row>
    <row r="393" spans="1:6" x14ac:dyDescent="0.2">
      <c r="A393" t="s">
        <v>2195</v>
      </c>
      <c r="C393" t="s">
        <v>787</v>
      </c>
      <c r="D393" t="s">
        <v>3306</v>
      </c>
      <c r="E393" t="s">
        <v>3307</v>
      </c>
      <c r="F393" t="s">
        <v>2617</v>
      </c>
    </row>
    <row r="394" spans="1:6" x14ac:dyDescent="0.2">
      <c r="A394" t="s">
        <v>2196</v>
      </c>
      <c r="C394" t="s">
        <v>787</v>
      </c>
      <c r="D394" t="s">
        <v>3308</v>
      </c>
      <c r="E394" t="s">
        <v>3309</v>
      </c>
      <c r="F394" t="s">
        <v>2617</v>
      </c>
    </row>
    <row r="395" spans="1:6" x14ac:dyDescent="0.2">
      <c r="A395" t="s">
        <v>1141</v>
      </c>
      <c r="C395" t="s">
        <v>787</v>
      </c>
      <c r="D395" t="s">
        <v>3310</v>
      </c>
      <c r="E395" t="s">
        <v>1275</v>
      </c>
      <c r="F395" t="s">
        <v>1324</v>
      </c>
    </row>
    <row r="396" spans="1:6" x14ac:dyDescent="0.2">
      <c r="A396" t="s">
        <v>2197</v>
      </c>
      <c r="C396" t="s">
        <v>787</v>
      </c>
      <c r="D396" t="s">
        <v>3311</v>
      </c>
      <c r="E396" t="s">
        <v>893</v>
      </c>
      <c r="F396" t="s">
        <v>961</v>
      </c>
    </row>
    <row r="397" spans="1:6" x14ac:dyDescent="0.2">
      <c r="A397" t="s">
        <v>2198</v>
      </c>
      <c r="C397" t="s">
        <v>787</v>
      </c>
      <c r="D397" t="s">
        <v>3312</v>
      </c>
      <c r="E397" t="s">
        <v>3313</v>
      </c>
      <c r="F397" t="s">
        <v>2807</v>
      </c>
    </row>
    <row r="398" spans="1:6" x14ac:dyDescent="0.2">
      <c r="A398" t="s">
        <v>1512</v>
      </c>
      <c r="C398" t="s">
        <v>787</v>
      </c>
      <c r="D398" t="s">
        <v>3314</v>
      </c>
      <c r="E398" t="s">
        <v>3315</v>
      </c>
      <c r="F398" t="s">
        <v>3316</v>
      </c>
    </row>
    <row r="399" spans="1:6" x14ac:dyDescent="0.2">
      <c r="A399" t="s">
        <v>2199</v>
      </c>
      <c r="C399" t="s">
        <v>1482</v>
      </c>
      <c r="D399" t="s">
        <v>3317</v>
      </c>
      <c r="E399" t="s">
        <v>3318</v>
      </c>
      <c r="F399" t="s">
        <v>3319</v>
      </c>
    </row>
    <row r="400" spans="1:6" x14ac:dyDescent="0.2">
      <c r="A400" t="s">
        <v>2200</v>
      </c>
      <c r="C400" t="s">
        <v>787</v>
      </c>
      <c r="D400" t="s">
        <v>3320</v>
      </c>
      <c r="E400" t="s">
        <v>3321</v>
      </c>
      <c r="F400" t="s">
        <v>2617</v>
      </c>
    </row>
    <row r="401" spans="1:6" x14ac:dyDescent="0.2">
      <c r="A401" t="s">
        <v>2201</v>
      </c>
      <c r="C401" t="s">
        <v>787</v>
      </c>
      <c r="D401" t="s">
        <v>3322</v>
      </c>
      <c r="E401" t="s">
        <v>829</v>
      </c>
      <c r="F401" t="s">
        <v>2617</v>
      </c>
    </row>
    <row r="402" spans="1:6" x14ac:dyDescent="0.2">
      <c r="A402" t="s">
        <v>1049</v>
      </c>
      <c r="C402" t="s">
        <v>787</v>
      </c>
      <c r="D402" t="s">
        <v>2780</v>
      </c>
      <c r="E402" t="s">
        <v>842</v>
      </c>
      <c r="F402" t="s">
        <v>1353</v>
      </c>
    </row>
    <row r="403" spans="1:6" x14ac:dyDescent="0.2">
      <c r="A403" t="s">
        <v>980</v>
      </c>
      <c r="C403" t="s">
        <v>1482</v>
      </c>
      <c r="D403" t="s">
        <v>2780</v>
      </c>
      <c r="E403" t="s">
        <v>3162</v>
      </c>
      <c r="F403" t="s">
        <v>3323</v>
      </c>
    </row>
    <row r="404" spans="1:6" x14ac:dyDescent="0.2">
      <c r="A404" t="s">
        <v>1686</v>
      </c>
      <c r="C404" t="s">
        <v>787</v>
      </c>
      <c r="D404" t="s">
        <v>3324</v>
      </c>
      <c r="E404" t="s">
        <v>3325</v>
      </c>
      <c r="F404" t="s">
        <v>2617</v>
      </c>
    </row>
    <row r="405" spans="1:6" x14ac:dyDescent="0.2">
      <c r="A405" t="s">
        <v>981</v>
      </c>
      <c r="C405" t="s">
        <v>787</v>
      </c>
      <c r="D405" t="s">
        <v>1383</v>
      </c>
      <c r="E405" t="s">
        <v>3326</v>
      </c>
      <c r="F405" t="s">
        <v>891</v>
      </c>
    </row>
    <row r="406" spans="1:6" x14ac:dyDescent="0.2">
      <c r="A406" t="s">
        <v>2202</v>
      </c>
      <c r="C406" t="s">
        <v>787</v>
      </c>
      <c r="D406" t="s">
        <v>3327</v>
      </c>
      <c r="E406" t="s">
        <v>1449</v>
      </c>
      <c r="F406" t="s">
        <v>3069</v>
      </c>
    </row>
    <row r="407" spans="1:6" x14ac:dyDescent="0.2">
      <c r="A407" t="s">
        <v>1687</v>
      </c>
      <c r="C407" t="s">
        <v>787</v>
      </c>
      <c r="D407" t="s">
        <v>2780</v>
      </c>
      <c r="E407" t="s">
        <v>3328</v>
      </c>
      <c r="F407" t="s">
        <v>3329</v>
      </c>
    </row>
    <row r="408" spans="1:6" x14ac:dyDescent="0.2">
      <c r="A408" t="s">
        <v>2203</v>
      </c>
      <c r="C408" t="s">
        <v>787</v>
      </c>
      <c r="D408" t="s">
        <v>2667</v>
      </c>
      <c r="E408" t="s">
        <v>3330</v>
      </c>
      <c r="F408" t="s">
        <v>1301</v>
      </c>
    </row>
    <row r="409" spans="1:6" x14ac:dyDescent="0.2">
      <c r="A409" t="s">
        <v>2204</v>
      </c>
      <c r="C409" t="s">
        <v>787</v>
      </c>
      <c r="D409" t="s">
        <v>2772</v>
      </c>
      <c r="E409" t="s">
        <v>3331</v>
      </c>
      <c r="F409" t="s">
        <v>1264</v>
      </c>
    </row>
    <row r="410" spans="1:6" x14ac:dyDescent="0.2">
      <c r="A410" t="s">
        <v>808</v>
      </c>
      <c r="C410" t="s">
        <v>787</v>
      </c>
      <c r="D410" t="s">
        <v>3332</v>
      </c>
      <c r="E410" t="s">
        <v>2728</v>
      </c>
      <c r="F410" t="s">
        <v>2617</v>
      </c>
    </row>
    <row r="411" spans="1:6" x14ac:dyDescent="0.2">
      <c r="A411" t="s">
        <v>983</v>
      </c>
      <c r="C411" t="s">
        <v>787</v>
      </c>
      <c r="D411" t="s">
        <v>1323</v>
      </c>
      <c r="E411" t="s">
        <v>3333</v>
      </c>
      <c r="F411" t="s">
        <v>1804</v>
      </c>
    </row>
    <row r="412" spans="1:6" x14ac:dyDescent="0.2">
      <c r="A412" t="s">
        <v>2205</v>
      </c>
      <c r="C412" t="s">
        <v>787</v>
      </c>
      <c r="D412" t="s">
        <v>3334</v>
      </c>
      <c r="E412" t="s">
        <v>3335</v>
      </c>
      <c r="F412" t="s">
        <v>2827</v>
      </c>
    </row>
    <row r="413" spans="1:6" x14ac:dyDescent="0.2">
      <c r="A413" t="s">
        <v>2206</v>
      </c>
      <c r="C413" t="s">
        <v>787</v>
      </c>
      <c r="D413" t="s">
        <v>1262</v>
      </c>
      <c r="E413" t="s">
        <v>3336</v>
      </c>
      <c r="F413" t="s">
        <v>1289</v>
      </c>
    </row>
    <row r="414" spans="1:6" x14ac:dyDescent="0.2">
      <c r="A414" t="s">
        <v>2207</v>
      </c>
      <c r="C414" t="s">
        <v>787</v>
      </c>
      <c r="D414" t="s">
        <v>3337</v>
      </c>
      <c r="E414" t="s">
        <v>3338</v>
      </c>
      <c r="F414" t="s">
        <v>3339</v>
      </c>
    </row>
    <row r="415" spans="1:6" x14ac:dyDescent="0.2">
      <c r="A415" t="s">
        <v>801</v>
      </c>
      <c r="C415" t="s">
        <v>787</v>
      </c>
      <c r="D415" t="s">
        <v>3340</v>
      </c>
      <c r="E415" t="s">
        <v>3341</v>
      </c>
      <c r="F415" t="s">
        <v>2617</v>
      </c>
    </row>
    <row r="416" spans="1:6" x14ac:dyDescent="0.2">
      <c r="A416" t="s">
        <v>985</v>
      </c>
      <c r="C416" t="s">
        <v>787</v>
      </c>
      <c r="D416" t="s">
        <v>3342</v>
      </c>
      <c r="E416" t="s">
        <v>2978</v>
      </c>
      <c r="F416" t="s">
        <v>952</v>
      </c>
    </row>
    <row r="417" spans="1:6" x14ac:dyDescent="0.2">
      <c r="A417" t="s">
        <v>2208</v>
      </c>
      <c r="C417" t="s">
        <v>787</v>
      </c>
      <c r="D417" t="s">
        <v>3343</v>
      </c>
      <c r="E417" t="s">
        <v>3344</v>
      </c>
      <c r="F417" t="s">
        <v>2617</v>
      </c>
    </row>
    <row r="418" spans="1:6" x14ac:dyDescent="0.2">
      <c r="A418" t="s">
        <v>2209</v>
      </c>
      <c r="C418" t="s">
        <v>787</v>
      </c>
      <c r="D418" t="s">
        <v>3345</v>
      </c>
      <c r="E418" t="s">
        <v>3346</v>
      </c>
      <c r="F418" t="s">
        <v>2617</v>
      </c>
    </row>
    <row r="419" spans="1:6" x14ac:dyDescent="0.2">
      <c r="A419" t="s">
        <v>1142</v>
      </c>
      <c r="C419" t="s">
        <v>787</v>
      </c>
      <c r="D419" t="s">
        <v>1325</v>
      </c>
      <c r="E419" t="s">
        <v>1326</v>
      </c>
      <c r="F419" t="s">
        <v>1327</v>
      </c>
    </row>
    <row r="420" spans="1:6" x14ac:dyDescent="0.2">
      <c r="A420" t="s">
        <v>2210</v>
      </c>
      <c r="C420" t="s">
        <v>787</v>
      </c>
      <c r="D420" t="s">
        <v>3347</v>
      </c>
      <c r="E420" t="s">
        <v>3348</v>
      </c>
      <c r="F420" t="s">
        <v>2617</v>
      </c>
    </row>
    <row r="421" spans="1:6" x14ac:dyDescent="0.2">
      <c r="A421" t="s">
        <v>2211</v>
      </c>
      <c r="C421" t="s">
        <v>787</v>
      </c>
      <c r="D421" t="s">
        <v>3349</v>
      </c>
      <c r="E421" t="s">
        <v>3350</v>
      </c>
      <c r="F421" t="s">
        <v>799</v>
      </c>
    </row>
    <row r="422" spans="1:6" x14ac:dyDescent="0.2">
      <c r="A422" t="s">
        <v>2212</v>
      </c>
      <c r="C422" t="s">
        <v>787</v>
      </c>
      <c r="D422" t="s">
        <v>3351</v>
      </c>
      <c r="E422" t="s">
        <v>1378</v>
      </c>
      <c r="F422" t="s">
        <v>1309</v>
      </c>
    </row>
    <row r="423" spans="1:6" x14ac:dyDescent="0.2">
      <c r="A423" t="s">
        <v>2213</v>
      </c>
      <c r="C423" t="s">
        <v>787</v>
      </c>
      <c r="D423" t="s">
        <v>3352</v>
      </c>
      <c r="E423" t="s">
        <v>3353</v>
      </c>
      <c r="F423" t="s">
        <v>2617</v>
      </c>
    </row>
    <row r="424" spans="1:6" x14ac:dyDescent="0.2">
      <c r="A424" t="s">
        <v>2214</v>
      </c>
      <c r="C424" t="s">
        <v>787</v>
      </c>
      <c r="D424" t="s">
        <v>3354</v>
      </c>
      <c r="E424" t="s">
        <v>3355</v>
      </c>
      <c r="F424" t="s">
        <v>796</v>
      </c>
    </row>
    <row r="425" spans="1:6" x14ac:dyDescent="0.2">
      <c r="A425" t="s">
        <v>2215</v>
      </c>
      <c r="C425" t="s">
        <v>787</v>
      </c>
      <c r="D425" t="s">
        <v>1632</v>
      </c>
      <c r="E425" t="s">
        <v>3356</v>
      </c>
      <c r="F425" t="s">
        <v>2617</v>
      </c>
    </row>
    <row r="426" spans="1:6" x14ac:dyDescent="0.2">
      <c r="A426" t="s">
        <v>1143</v>
      </c>
      <c r="C426" t="s">
        <v>787</v>
      </c>
      <c r="D426" t="s">
        <v>3357</v>
      </c>
      <c r="E426" t="s">
        <v>3358</v>
      </c>
      <c r="F426" t="s">
        <v>1649</v>
      </c>
    </row>
    <row r="427" spans="1:6" x14ac:dyDescent="0.2">
      <c r="A427" t="s">
        <v>2216</v>
      </c>
      <c r="C427" t="s">
        <v>787</v>
      </c>
      <c r="D427" t="s">
        <v>3359</v>
      </c>
      <c r="E427" t="s">
        <v>3360</v>
      </c>
      <c r="F427" t="s">
        <v>2617</v>
      </c>
    </row>
    <row r="428" spans="1:6" x14ac:dyDescent="0.2">
      <c r="A428" t="s">
        <v>2217</v>
      </c>
      <c r="C428" t="s">
        <v>787</v>
      </c>
      <c r="D428" t="s">
        <v>1032</v>
      </c>
      <c r="E428" t="s">
        <v>3361</v>
      </c>
      <c r="F428" t="s">
        <v>3362</v>
      </c>
    </row>
    <row r="429" spans="1:6" x14ac:dyDescent="0.2">
      <c r="A429" t="s">
        <v>2218</v>
      </c>
      <c r="C429" t="s">
        <v>787</v>
      </c>
      <c r="D429" t="s">
        <v>3363</v>
      </c>
      <c r="E429" t="s">
        <v>3364</v>
      </c>
      <c r="F429" t="s">
        <v>799</v>
      </c>
    </row>
    <row r="430" spans="1:6" x14ac:dyDescent="0.2">
      <c r="A430" t="s">
        <v>2219</v>
      </c>
      <c r="C430" t="s">
        <v>787</v>
      </c>
      <c r="D430" t="s">
        <v>3365</v>
      </c>
      <c r="E430" t="s">
        <v>3366</v>
      </c>
      <c r="F430" t="s">
        <v>2617</v>
      </c>
    </row>
    <row r="431" spans="1:6" x14ac:dyDescent="0.2">
      <c r="A431" t="s">
        <v>2220</v>
      </c>
      <c r="C431" t="s">
        <v>787</v>
      </c>
      <c r="D431" t="s">
        <v>3367</v>
      </c>
      <c r="E431" t="s">
        <v>3368</v>
      </c>
      <c r="F431" t="s">
        <v>2617</v>
      </c>
    </row>
    <row r="432" spans="1:6" x14ac:dyDescent="0.2">
      <c r="A432" t="s">
        <v>2221</v>
      </c>
      <c r="C432" t="s">
        <v>787</v>
      </c>
      <c r="D432" t="s">
        <v>3369</v>
      </c>
      <c r="E432" t="s">
        <v>3370</v>
      </c>
      <c r="F432" t="s">
        <v>959</v>
      </c>
    </row>
    <row r="433" spans="1:6" x14ac:dyDescent="0.2">
      <c r="A433" t="s">
        <v>1516</v>
      </c>
      <c r="C433" t="s">
        <v>787</v>
      </c>
      <c r="D433" t="s">
        <v>856</v>
      </c>
      <c r="E433" t="s">
        <v>3371</v>
      </c>
      <c r="F433" t="s">
        <v>1761</v>
      </c>
    </row>
    <row r="434" spans="1:6" x14ac:dyDescent="0.2">
      <c r="A434" t="s">
        <v>1144</v>
      </c>
      <c r="C434" t="s">
        <v>787</v>
      </c>
      <c r="D434" t="s">
        <v>1329</v>
      </c>
      <c r="E434" t="s">
        <v>3372</v>
      </c>
      <c r="F434" t="s">
        <v>954</v>
      </c>
    </row>
    <row r="435" spans="1:6" x14ac:dyDescent="0.2">
      <c r="A435" t="s">
        <v>2222</v>
      </c>
      <c r="C435" t="s">
        <v>787</v>
      </c>
      <c r="D435" t="s">
        <v>3373</v>
      </c>
      <c r="E435" t="s">
        <v>3374</v>
      </c>
      <c r="F435" t="s">
        <v>3066</v>
      </c>
    </row>
    <row r="436" spans="1:6" x14ac:dyDescent="0.2">
      <c r="A436" t="s">
        <v>2223</v>
      </c>
      <c r="C436" t="s">
        <v>787</v>
      </c>
      <c r="D436" t="s">
        <v>3375</v>
      </c>
      <c r="E436" t="s">
        <v>3376</v>
      </c>
      <c r="F436" t="s">
        <v>2617</v>
      </c>
    </row>
    <row r="437" spans="1:6" x14ac:dyDescent="0.2">
      <c r="A437" t="s">
        <v>2224</v>
      </c>
      <c r="C437" t="s">
        <v>787</v>
      </c>
      <c r="D437" t="s">
        <v>3377</v>
      </c>
      <c r="E437" t="s">
        <v>3378</v>
      </c>
      <c r="F437" t="s">
        <v>2617</v>
      </c>
    </row>
    <row r="438" spans="1:6" x14ac:dyDescent="0.2">
      <c r="A438" t="s">
        <v>2225</v>
      </c>
      <c r="C438" t="s">
        <v>787</v>
      </c>
      <c r="D438" t="s">
        <v>3379</v>
      </c>
      <c r="E438" t="s">
        <v>2901</v>
      </c>
      <c r="F438" t="s">
        <v>2617</v>
      </c>
    </row>
    <row r="439" spans="1:6" x14ac:dyDescent="0.2">
      <c r="A439" t="s">
        <v>2226</v>
      </c>
      <c r="C439" t="s">
        <v>787</v>
      </c>
      <c r="D439" t="s">
        <v>3380</v>
      </c>
      <c r="E439" t="s">
        <v>3381</v>
      </c>
      <c r="F439" t="s">
        <v>3382</v>
      </c>
    </row>
    <row r="440" spans="1:6" x14ac:dyDescent="0.2">
      <c r="A440" t="s">
        <v>2227</v>
      </c>
      <c r="C440" t="s">
        <v>787</v>
      </c>
      <c r="D440" t="s">
        <v>3383</v>
      </c>
      <c r="E440" t="s">
        <v>1292</v>
      </c>
      <c r="F440" t="s">
        <v>2617</v>
      </c>
    </row>
    <row r="441" spans="1:6" x14ac:dyDescent="0.2">
      <c r="A441" t="s">
        <v>2228</v>
      </c>
      <c r="C441" t="s">
        <v>787</v>
      </c>
      <c r="D441" t="s">
        <v>3384</v>
      </c>
      <c r="E441" t="s">
        <v>3281</v>
      </c>
      <c r="F441" t="s">
        <v>2617</v>
      </c>
    </row>
    <row r="442" spans="1:6" x14ac:dyDescent="0.2">
      <c r="A442" t="s">
        <v>2229</v>
      </c>
      <c r="C442" t="s">
        <v>787</v>
      </c>
      <c r="D442" t="s">
        <v>3385</v>
      </c>
      <c r="E442" t="s">
        <v>3213</v>
      </c>
      <c r="F442" t="s">
        <v>2617</v>
      </c>
    </row>
    <row r="443" spans="1:6" x14ac:dyDescent="0.2">
      <c r="A443" t="s">
        <v>2230</v>
      </c>
      <c r="C443" t="s">
        <v>787</v>
      </c>
      <c r="D443" t="s">
        <v>3386</v>
      </c>
      <c r="E443" t="s">
        <v>3387</v>
      </c>
      <c r="F443" t="s">
        <v>2617</v>
      </c>
    </row>
    <row r="444" spans="1:6" x14ac:dyDescent="0.2">
      <c r="A444" t="s">
        <v>2231</v>
      </c>
      <c r="C444" t="s">
        <v>787</v>
      </c>
      <c r="D444" t="s">
        <v>3388</v>
      </c>
      <c r="E444" t="s">
        <v>3389</v>
      </c>
      <c r="F444" t="s">
        <v>1584</v>
      </c>
    </row>
    <row r="445" spans="1:6" x14ac:dyDescent="0.2">
      <c r="A445" t="s">
        <v>2232</v>
      </c>
      <c r="C445" t="s">
        <v>787</v>
      </c>
      <c r="D445" t="s">
        <v>3390</v>
      </c>
      <c r="E445" t="s">
        <v>3391</v>
      </c>
      <c r="F445" t="s">
        <v>2617</v>
      </c>
    </row>
    <row r="446" spans="1:6" x14ac:dyDescent="0.2">
      <c r="A446" t="s">
        <v>2233</v>
      </c>
      <c r="C446" t="s">
        <v>787</v>
      </c>
      <c r="D446" t="s">
        <v>3392</v>
      </c>
      <c r="E446" t="s">
        <v>3393</v>
      </c>
      <c r="F446" t="s">
        <v>2617</v>
      </c>
    </row>
    <row r="447" spans="1:6" x14ac:dyDescent="0.2">
      <c r="A447" t="s">
        <v>2234</v>
      </c>
      <c r="C447" t="s">
        <v>787</v>
      </c>
      <c r="D447" t="s">
        <v>3394</v>
      </c>
      <c r="E447" t="s">
        <v>3395</v>
      </c>
      <c r="F447" t="s">
        <v>2617</v>
      </c>
    </row>
    <row r="448" spans="1:6" x14ac:dyDescent="0.2">
      <c r="A448" t="s">
        <v>1688</v>
      </c>
      <c r="C448" t="s">
        <v>787</v>
      </c>
      <c r="D448" t="s">
        <v>3396</v>
      </c>
      <c r="E448" t="s">
        <v>3397</v>
      </c>
      <c r="F448" t="s">
        <v>2617</v>
      </c>
    </row>
    <row r="449" spans="1:6" x14ac:dyDescent="0.2">
      <c r="A449" t="s">
        <v>2235</v>
      </c>
      <c r="C449" t="s">
        <v>787</v>
      </c>
      <c r="D449" t="s">
        <v>3398</v>
      </c>
      <c r="E449" t="s">
        <v>1850</v>
      </c>
      <c r="F449" t="s">
        <v>810</v>
      </c>
    </row>
    <row r="450" spans="1:6" x14ac:dyDescent="0.2">
      <c r="A450" t="s">
        <v>2236</v>
      </c>
      <c r="C450" t="s">
        <v>787</v>
      </c>
      <c r="D450" t="s">
        <v>3399</v>
      </c>
      <c r="E450" t="s">
        <v>3400</v>
      </c>
      <c r="F450" t="s">
        <v>2617</v>
      </c>
    </row>
    <row r="451" spans="1:6" x14ac:dyDescent="0.2">
      <c r="A451" t="s">
        <v>1145</v>
      </c>
      <c r="C451" t="s">
        <v>787</v>
      </c>
      <c r="D451" t="s">
        <v>3401</v>
      </c>
      <c r="E451" t="s">
        <v>1330</v>
      </c>
      <c r="F451" t="s">
        <v>3382</v>
      </c>
    </row>
    <row r="452" spans="1:6" x14ac:dyDescent="0.2">
      <c r="A452" t="s">
        <v>2237</v>
      </c>
      <c r="C452" t="s">
        <v>787</v>
      </c>
      <c r="D452" t="s">
        <v>3402</v>
      </c>
      <c r="E452" t="s">
        <v>3403</v>
      </c>
      <c r="F452" t="s">
        <v>2617</v>
      </c>
    </row>
    <row r="453" spans="1:6" x14ac:dyDescent="0.2">
      <c r="A453" t="s">
        <v>1146</v>
      </c>
      <c r="C453" t="s">
        <v>787</v>
      </c>
      <c r="D453" t="s">
        <v>1778</v>
      </c>
      <c r="E453" t="s">
        <v>3404</v>
      </c>
      <c r="F453" t="s">
        <v>1383</v>
      </c>
    </row>
    <row r="454" spans="1:6" x14ac:dyDescent="0.2">
      <c r="A454" t="s">
        <v>2238</v>
      </c>
      <c r="C454" t="s">
        <v>787</v>
      </c>
      <c r="D454" t="s">
        <v>3405</v>
      </c>
      <c r="E454" t="s">
        <v>3406</v>
      </c>
      <c r="F454" t="s">
        <v>2617</v>
      </c>
    </row>
    <row r="455" spans="1:6" x14ac:dyDescent="0.2">
      <c r="A455" t="s">
        <v>2239</v>
      </c>
      <c r="C455" t="s">
        <v>787</v>
      </c>
      <c r="D455" t="s">
        <v>1398</v>
      </c>
      <c r="E455" t="s">
        <v>3407</v>
      </c>
      <c r="F455" t="s">
        <v>2617</v>
      </c>
    </row>
    <row r="456" spans="1:6" x14ac:dyDescent="0.2">
      <c r="A456" t="s">
        <v>2240</v>
      </c>
      <c r="C456" t="s">
        <v>1482</v>
      </c>
      <c r="D456" t="s">
        <v>3408</v>
      </c>
      <c r="E456" t="s">
        <v>3409</v>
      </c>
      <c r="F456" t="s">
        <v>3410</v>
      </c>
    </row>
    <row r="457" spans="1:6" x14ac:dyDescent="0.2">
      <c r="A457" t="s">
        <v>1689</v>
      </c>
      <c r="C457" t="s">
        <v>787</v>
      </c>
      <c r="D457" t="s">
        <v>3411</v>
      </c>
      <c r="E457" t="s">
        <v>3412</v>
      </c>
      <c r="F457" t="s">
        <v>2617</v>
      </c>
    </row>
    <row r="458" spans="1:6" x14ac:dyDescent="0.2">
      <c r="A458" t="s">
        <v>1690</v>
      </c>
      <c r="C458" t="s">
        <v>787</v>
      </c>
      <c r="D458" t="s">
        <v>1417</v>
      </c>
      <c r="E458" t="s">
        <v>3413</v>
      </c>
      <c r="F458" t="s">
        <v>2617</v>
      </c>
    </row>
    <row r="459" spans="1:6" x14ac:dyDescent="0.2">
      <c r="A459" t="s">
        <v>1147</v>
      </c>
      <c r="C459" t="s">
        <v>787</v>
      </c>
      <c r="D459" t="s">
        <v>3414</v>
      </c>
      <c r="E459" t="s">
        <v>1334</v>
      </c>
      <c r="F459" t="s">
        <v>897</v>
      </c>
    </row>
    <row r="460" spans="1:6" x14ac:dyDescent="0.2">
      <c r="A460" t="s">
        <v>1691</v>
      </c>
      <c r="C460" t="s">
        <v>787</v>
      </c>
      <c r="D460" t="s">
        <v>3415</v>
      </c>
      <c r="E460" t="s">
        <v>3416</v>
      </c>
      <c r="F460" t="s">
        <v>2617</v>
      </c>
    </row>
    <row r="461" spans="1:6" x14ac:dyDescent="0.2">
      <c r="A461" t="s">
        <v>2241</v>
      </c>
      <c r="C461" t="s">
        <v>787</v>
      </c>
      <c r="D461" t="s">
        <v>3417</v>
      </c>
      <c r="E461" t="s">
        <v>3418</v>
      </c>
      <c r="F461" t="s">
        <v>2617</v>
      </c>
    </row>
    <row r="462" spans="1:6" x14ac:dyDescent="0.2">
      <c r="A462" t="s">
        <v>1148</v>
      </c>
      <c r="C462" t="s">
        <v>787</v>
      </c>
      <c r="D462" t="s">
        <v>1335</v>
      </c>
      <c r="E462" t="s">
        <v>3419</v>
      </c>
      <c r="F462" t="s">
        <v>1336</v>
      </c>
    </row>
    <row r="463" spans="1:6" x14ac:dyDescent="0.2">
      <c r="A463" t="s">
        <v>2242</v>
      </c>
      <c r="C463" t="s">
        <v>787</v>
      </c>
      <c r="D463" t="s">
        <v>3420</v>
      </c>
      <c r="E463" t="s">
        <v>3421</v>
      </c>
      <c r="F463" t="s">
        <v>2617</v>
      </c>
    </row>
    <row r="464" spans="1:6" x14ac:dyDescent="0.2">
      <c r="A464" t="s">
        <v>1149</v>
      </c>
      <c r="C464" t="s">
        <v>787</v>
      </c>
      <c r="D464" t="s">
        <v>3422</v>
      </c>
      <c r="E464" t="s">
        <v>3423</v>
      </c>
      <c r="F464" t="s">
        <v>1251</v>
      </c>
    </row>
    <row r="465" spans="1:6" x14ac:dyDescent="0.2">
      <c r="A465" t="s">
        <v>2243</v>
      </c>
      <c r="C465" t="s">
        <v>787</v>
      </c>
      <c r="D465" t="s">
        <v>3424</v>
      </c>
      <c r="E465" t="s">
        <v>3425</v>
      </c>
      <c r="F465" t="s">
        <v>2617</v>
      </c>
    </row>
    <row r="466" spans="1:6" x14ac:dyDescent="0.2">
      <c r="A466" t="s">
        <v>870</v>
      </c>
      <c r="C466" t="s">
        <v>787</v>
      </c>
      <c r="D466" t="s">
        <v>1275</v>
      </c>
      <c r="E466" t="s">
        <v>3426</v>
      </c>
      <c r="F466" t="s">
        <v>2617</v>
      </c>
    </row>
    <row r="467" spans="1:6" x14ac:dyDescent="0.2">
      <c r="A467" t="s">
        <v>2244</v>
      </c>
      <c r="C467" t="s">
        <v>787</v>
      </c>
      <c r="D467" t="s">
        <v>3427</v>
      </c>
      <c r="E467" t="s">
        <v>3428</v>
      </c>
      <c r="F467" t="s">
        <v>2662</v>
      </c>
    </row>
    <row r="468" spans="1:6" x14ac:dyDescent="0.2">
      <c r="A468" t="s">
        <v>1150</v>
      </c>
      <c r="C468" t="s">
        <v>787</v>
      </c>
      <c r="D468" t="s">
        <v>1859</v>
      </c>
      <c r="E468" t="s">
        <v>1337</v>
      </c>
      <c r="F468" t="s">
        <v>3429</v>
      </c>
    </row>
    <row r="469" spans="1:6" x14ac:dyDescent="0.2">
      <c r="A469" t="s">
        <v>1692</v>
      </c>
      <c r="C469" t="s">
        <v>787</v>
      </c>
      <c r="D469" t="s">
        <v>3430</v>
      </c>
      <c r="E469" t="s">
        <v>3431</v>
      </c>
      <c r="F469" t="s">
        <v>2617</v>
      </c>
    </row>
    <row r="470" spans="1:6" x14ac:dyDescent="0.2">
      <c r="A470" t="s">
        <v>2245</v>
      </c>
      <c r="C470" t="s">
        <v>787</v>
      </c>
      <c r="D470" t="s">
        <v>3432</v>
      </c>
      <c r="E470" t="s">
        <v>1300</v>
      </c>
      <c r="F470" t="s">
        <v>2617</v>
      </c>
    </row>
    <row r="471" spans="1:6" x14ac:dyDescent="0.2">
      <c r="A471" t="s">
        <v>1151</v>
      </c>
      <c r="C471" t="s">
        <v>787</v>
      </c>
      <c r="D471" t="s">
        <v>1338</v>
      </c>
      <c r="E471" t="s">
        <v>3433</v>
      </c>
      <c r="F471" t="s">
        <v>2951</v>
      </c>
    </row>
    <row r="472" spans="1:6" x14ac:dyDescent="0.2">
      <c r="A472" t="s">
        <v>2246</v>
      </c>
      <c r="C472" t="s">
        <v>787</v>
      </c>
      <c r="D472" t="s">
        <v>2610</v>
      </c>
      <c r="E472" t="s">
        <v>3434</v>
      </c>
      <c r="F472" t="s">
        <v>2617</v>
      </c>
    </row>
    <row r="473" spans="1:6" x14ac:dyDescent="0.2">
      <c r="A473" t="s">
        <v>2247</v>
      </c>
      <c r="C473" t="s">
        <v>787</v>
      </c>
      <c r="D473" t="s">
        <v>3435</v>
      </c>
      <c r="E473" t="s">
        <v>3436</v>
      </c>
      <c r="F473" t="s">
        <v>2617</v>
      </c>
    </row>
    <row r="474" spans="1:6" x14ac:dyDescent="0.2">
      <c r="A474" t="s">
        <v>1152</v>
      </c>
      <c r="C474" t="s">
        <v>787</v>
      </c>
      <c r="D474" t="s">
        <v>3159</v>
      </c>
      <c r="E474" t="s">
        <v>1339</v>
      </c>
      <c r="F474" t="s">
        <v>1269</v>
      </c>
    </row>
    <row r="475" spans="1:6" x14ac:dyDescent="0.2">
      <c r="A475" t="s">
        <v>2248</v>
      </c>
      <c r="C475" t="s">
        <v>787</v>
      </c>
      <c r="D475" t="s">
        <v>3437</v>
      </c>
      <c r="E475" t="s">
        <v>917</v>
      </c>
      <c r="F475" t="s">
        <v>2617</v>
      </c>
    </row>
    <row r="476" spans="1:6" x14ac:dyDescent="0.2">
      <c r="A476" t="s">
        <v>2249</v>
      </c>
      <c r="C476" t="s">
        <v>787</v>
      </c>
      <c r="D476" t="s">
        <v>3438</v>
      </c>
      <c r="E476" t="s">
        <v>3439</v>
      </c>
      <c r="F476" t="s">
        <v>2617</v>
      </c>
    </row>
    <row r="477" spans="1:6" x14ac:dyDescent="0.2">
      <c r="A477" t="s">
        <v>2250</v>
      </c>
      <c r="C477" t="s">
        <v>787</v>
      </c>
      <c r="D477" t="s">
        <v>3440</v>
      </c>
      <c r="E477" t="s">
        <v>3441</v>
      </c>
      <c r="F477" t="s">
        <v>2617</v>
      </c>
    </row>
    <row r="478" spans="1:6" x14ac:dyDescent="0.2">
      <c r="A478" t="s">
        <v>2251</v>
      </c>
      <c r="C478" t="s">
        <v>787</v>
      </c>
      <c r="D478" t="s">
        <v>878</v>
      </c>
      <c r="E478" t="s">
        <v>3442</v>
      </c>
      <c r="F478" t="s">
        <v>2617</v>
      </c>
    </row>
    <row r="479" spans="1:6" x14ac:dyDescent="0.2">
      <c r="A479" t="s">
        <v>2252</v>
      </c>
      <c r="C479" t="s">
        <v>787</v>
      </c>
      <c r="D479" t="s">
        <v>3443</v>
      </c>
      <c r="E479" t="s">
        <v>1873</v>
      </c>
      <c r="F479" t="s">
        <v>2617</v>
      </c>
    </row>
    <row r="480" spans="1:6" x14ac:dyDescent="0.2">
      <c r="A480" t="s">
        <v>2253</v>
      </c>
      <c r="C480" t="s">
        <v>787</v>
      </c>
      <c r="D480" t="s">
        <v>3444</v>
      </c>
      <c r="E480" t="s">
        <v>3201</v>
      </c>
      <c r="F480" t="s">
        <v>2617</v>
      </c>
    </row>
    <row r="481" spans="1:6" x14ac:dyDescent="0.2">
      <c r="A481" t="s">
        <v>1693</v>
      </c>
      <c r="C481" t="s">
        <v>787</v>
      </c>
      <c r="D481" t="s">
        <v>3445</v>
      </c>
      <c r="E481" t="s">
        <v>3446</v>
      </c>
      <c r="F481" t="s">
        <v>2617</v>
      </c>
    </row>
    <row r="482" spans="1:6" x14ac:dyDescent="0.2">
      <c r="A482" t="s">
        <v>1694</v>
      </c>
      <c r="C482" t="s">
        <v>787</v>
      </c>
      <c r="D482" t="s">
        <v>3447</v>
      </c>
      <c r="E482" t="s">
        <v>921</v>
      </c>
      <c r="F482" t="s">
        <v>871</v>
      </c>
    </row>
    <row r="483" spans="1:6" x14ac:dyDescent="0.2">
      <c r="A483" t="s">
        <v>2254</v>
      </c>
      <c r="C483" t="s">
        <v>787</v>
      </c>
      <c r="D483" t="s">
        <v>2629</v>
      </c>
      <c r="E483" t="s">
        <v>3448</v>
      </c>
      <c r="F483" t="s">
        <v>1025</v>
      </c>
    </row>
    <row r="484" spans="1:6" x14ac:dyDescent="0.2">
      <c r="A484" t="s">
        <v>2255</v>
      </c>
      <c r="C484" t="s">
        <v>787</v>
      </c>
      <c r="D484" t="s">
        <v>3449</v>
      </c>
      <c r="E484" t="s">
        <v>3450</v>
      </c>
      <c r="F484" t="s">
        <v>2617</v>
      </c>
    </row>
    <row r="485" spans="1:6" x14ac:dyDescent="0.2">
      <c r="A485" t="s">
        <v>2256</v>
      </c>
      <c r="C485" t="s">
        <v>787</v>
      </c>
      <c r="D485" t="s">
        <v>3451</v>
      </c>
      <c r="E485" t="s">
        <v>3452</v>
      </c>
      <c r="F485" t="s">
        <v>2617</v>
      </c>
    </row>
    <row r="486" spans="1:6" x14ac:dyDescent="0.2">
      <c r="A486" t="s">
        <v>2257</v>
      </c>
      <c r="C486" t="s">
        <v>787</v>
      </c>
      <c r="D486" t="s">
        <v>1861</v>
      </c>
      <c r="E486" t="s">
        <v>1352</v>
      </c>
      <c r="F486" t="s">
        <v>2617</v>
      </c>
    </row>
    <row r="487" spans="1:6" x14ac:dyDescent="0.2">
      <c r="A487" t="s">
        <v>2258</v>
      </c>
      <c r="C487" t="s">
        <v>1482</v>
      </c>
      <c r="D487" t="s">
        <v>3453</v>
      </c>
      <c r="E487" t="s">
        <v>3454</v>
      </c>
      <c r="F487" t="s">
        <v>3455</v>
      </c>
    </row>
    <row r="488" spans="1:6" x14ac:dyDescent="0.2">
      <c r="A488" t="s">
        <v>922</v>
      </c>
      <c r="C488" t="s">
        <v>787</v>
      </c>
      <c r="D488" t="s">
        <v>3456</v>
      </c>
      <c r="E488" t="s">
        <v>3457</v>
      </c>
      <c r="F488" t="s">
        <v>2617</v>
      </c>
    </row>
    <row r="489" spans="1:6" x14ac:dyDescent="0.2">
      <c r="A489" t="s">
        <v>2259</v>
      </c>
      <c r="C489" t="s">
        <v>787</v>
      </c>
      <c r="D489" t="s">
        <v>3458</v>
      </c>
      <c r="E489" t="s">
        <v>3459</v>
      </c>
      <c r="F489" t="s">
        <v>2617</v>
      </c>
    </row>
    <row r="490" spans="1:6" x14ac:dyDescent="0.2">
      <c r="A490" t="s">
        <v>2260</v>
      </c>
      <c r="C490" t="s">
        <v>787</v>
      </c>
      <c r="D490" t="s">
        <v>1468</v>
      </c>
      <c r="E490" t="s">
        <v>3460</v>
      </c>
      <c r="F490" t="s">
        <v>3461</v>
      </c>
    </row>
    <row r="491" spans="1:6" x14ac:dyDescent="0.2">
      <c r="A491" t="s">
        <v>2261</v>
      </c>
      <c r="C491" t="s">
        <v>787</v>
      </c>
      <c r="D491" t="s">
        <v>3462</v>
      </c>
      <c r="E491" t="s">
        <v>3463</v>
      </c>
      <c r="F491" t="s">
        <v>2617</v>
      </c>
    </row>
    <row r="492" spans="1:6" x14ac:dyDescent="0.2">
      <c r="A492" t="s">
        <v>2262</v>
      </c>
      <c r="C492" t="s">
        <v>787</v>
      </c>
      <c r="D492" t="s">
        <v>3464</v>
      </c>
      <c r="E492" t="s">
        <v>3070</v>
      </c>
      <c r="F492" t="s">
        <v>854</v>
      </c>
    </row>
    <row r="493" spans="1:6" x14ac:dyDescent="0.2">
      <c r="A493" t="s">
        <v>1695</v>
      </c>
      <c r="C493" t="s">
        <v>787</v>
      </c>
      <c r="D493" t="s">
        <v>791</v>
      </c>
      <c r="E493" t="s">
        <v>3465</v>
      </c>
      <c r="F493" t="s">
        <v>1262</v>
      </c>
    </row>
    <row r="494" spans="1:6" x14ac:dyDescent="0.2">
      <c r="A494" t="s">
        <v>1153</v>
      </c>
      <c r="C494" t="s">
        <v>787</v>
      </c>
      <c r="D494" t="s">
        <v>3356</v>
      </c>
      <c r="E494" t="s">
        <v>3466</v>
      </c>
      <c r="F494" t="s">
        <v>3467</v>
      </c>
    </row>
    <row r="495" spans="1:6" x14ac:dyDescent="0.2">
      <c r="A495" t="s">
        <v>1154</v>
      </c>
      <c r="C495" t="s">
        <v>787</v>
      </c>
      <c r="D495" t="s">
        <v>1341</v>
      </c>
      <c r="E495" t="s">
        <v>3468</v>
      </c>
      <c r="F495" t="s">
        <v>914</v>
      </c>
    </row>
    <row r="496" spans="1:6" x14ac:dyDescent="0.2">
      <c r="A496" t="s">
        <v>923</v>
      </c>
      <c r="C496" t="s">
        <v>787</v>
      </c>
      <c r="D496" t="s">
        <v>1639</v>
      </c>
      <c r="E496" t="s">
        <v>1356</v>
      </c>
      <c r="F496" t="s">
        <v>2617</v>
      </c>
    </row>
    <row r="497" spans="1:6" x14ac:dyDescent="0.2">
      <c r="A497" t="s">
        <v>2263</v>
      </c>
      <c r="C497" t="s">
        <v>783</v>
      </c>
      <c r="D497" t="s">
        <v>3449</v>
      </c>
      <c r="E497" t="s">
        <v>3469</v>
      </c>
      <c r="F497" t="s">
        <v>2647</v>
      </c>
    </row>
    <row r="498" spans="1:6" x14ac:dyDescent="0.2">
      <c r="A498" t="s">
        <v>1520</v>
      </c>
      <c r="C498" t="s">
        <v>783</v>
      </c>
      <c r="D498" t="s">
        <v>3470</v>
      </c>
      <c r="E498" t="s">
        <v>3471</v>
      </c>
      <c r="F498" t="s">
        <v>2647</v>
      </c>
    </row>
    <row r="499" spans="1:6" x14ac:dyDescent="0.2">
      <c r="A499" t="s">
        <v>926</v>
      </c>
      <c r="C499" t="s">
        <v>787</v>
      </c>
      <c r="D499" t="s">
        <v>3472</v>
      </c>
      <c r="E499" t="s">
        <v>3473</v>
      </c>
      <c r="F499" t="s">
        <v>2617</v>
      </c>
    </row>
    <row r="500" spans="1:6" x14ac:dyDescent="0.2">
      <c r="A500" t="s">
        <v>2264</v>
      </c>
      <c r="C500" t="s">
        <v>787</v>
      </c>
      <c r="D500" t="s">
        <v>3474</v>
      </c>
      <c r="E500" t="s">
        <v>3475</v>
      </c>
      <c r="F500" t="s">
        <v>2893</v>
      </c>
    </row>
    <row r="501" spans="1:6" x14ac:dyDescent="0.2">
      <c r="A501" t="s">
        <v>2265</v>
      </c>
      <c r="C501" t="s">
        <v>787</v>
      </c>
      <c r="D501" t="s">
        <v>3476</v>
      </c>
      <c r="E501" t="s">
        <v>3477</v>
      </c>
      <c r="F501" t="s">
        <v>2893</v>
      </c>
    </row>
    <row r="502" spans="1:6" x14ac:dyDescent="0.2">
      <c r="A502" t="s">
        <v>2266</v>
      </c>
      <c r="C502" t="s">
        <v>787</v>
      </c>
      <c r="D502" t="s">
        <v>3478</v>
      </c>
      <c r="E502" t="s">
        <v>924</v>
      </c>
      <c r="F502" t="s">
        <v>2617</v>
      </c>
    </row>
    <row r="503" spans="1:6" x14ac:dyDescent="0.2">
      <c r="A503" t="s">
        <v>2267</v>
      </c>
      <c r="C503" t="s">
        <v>787</v>
      </c>
      <c r="D503" t="s">
        <v>1276</v>
      </c>
      <c r="E503" t="s">
        <v>3479</v>
      </c>
      <c r="F503" t="s">
        <v>2617</v>
      </c>
    </row>
    <row r="504" spans="1:6" x14ac:dyDescent="0.2">
      <c r="A504" t="s">
        <v>2268</v>
      </c>
      <c r="C504" t="s">
        <v>787</v>
      </c>
      <c r="D504" t="s">
        <v>3388</v>
      </c>
      <c r="E504" t="s">
        <v>3349</v>
      </c>
      <c r="F504" t="s">
        <v>2617</v>
      </c>
    </row>
    <row r="505" spans="1:6" x14ac:dyDescent="0.2">
      <c r="A505" t="s">
        <v>2269</v>
      </c>
      <c r="C505" t="s">
        <v>1482</v>
      </c>
      <c r="D505" t="s">
        <v>3480</v>
      </c>
      <c r="E505" t="s">
        <v>3481</v>
      </c>
      <c r="F505" t="s">
        <v>3482</v>
      </c>
    </row>
    <row r="506" spans="1:6" x14ac:dyDescent="0.2">
      <c r="A506" t="s">
        <v>1524</v>
      </c>
      <c r="C506" t="s">
        <v>1482</v>
      </c>
      <c r="D506" t="s">
        <v>3483</v>
      </c>
      <c r="E506" t="s">
        <v>3484</v>
      </c>
      <c r="F506" t="s">
        <v>3485</v>
      </c>
    </row>
    <row r="507" spans="1:6" x14ac:dyDescent="0.2">
      <c r="A507" t="s">
        <v>2270</v>
      </c>
      <c r="C507" t="s">
        <v>787</v>
      </c>
      <c r="D507" t="s">
        <v>3486</v>
      </c>
      <c r="E507" t="s">
        <v>3487</v>
      </c>
      <c r="F507" t="s">
        <v>1882</v>
      </c>
    </row>
    <row r="508" spans="1:6" x14ac:dyDescent="0.2">
      <c r="A508" t="s">
        <v>1527</v>
      </c>
      <c r="C508" t="s">
        <v>783</v>
      </c>
      <c r="D508" t="s">
        <v>3488</v>
      </c>
      <c r="E508" t="s">
        <v>3489</v>
      </c>
      <c r="F508" t="s">
        <v>2647</v>
      </c>
    </row>
    <row r="509" spans="1:6" x14ac:dyDescent="0.2">
      <c r="A509" t="s">
        <v>2271</v>
      </c>
      <c r="C509" t="s">
        <v>1482</v>
      </c>
      <c r="D509" t="s">
        <v>3490</v>
      </c>
      <c r="E509" t="s">
        <v>2837</v>
      </c>
      <c r="F509" t="s">
        <v>3491</v>
      </c>
    </row>
    <row r="510" spans="1:6" x14ac:dyDescent="0.2">
      <c r="A510" t="s">
        <v>2272</v>
      </c>
      <c r="C510" t="s">
        <v>787</v>
      </c>
      <c r="D510" t="s">
        <v>3492</v>
      </c>
      <c r="E510" t="s">
        <v>3493</v>
      </c>
      <c r="F510" t="s">
        <v>2617</v>
      </c>
    </row>
    <row r="511" spans="1:6" x14ac:dyDescent="0.2">
      <c r="A511" t="s">
        <v>1155</v>
      </c>
      <c r="C511" t="s">
        <v>787</v>
      </c>
      <c r="D511" t="s">
        <v>3494</v>
      </c>
      <c r="E511" t="s">
        <v>3495</v>
      </c>
      <c r="F511" t="s">
        <v>795</v>
      </c>
    </row>
    <row r="512" spans="1:6" x14ac:dyDescent="0.2">
      <c r="A512" t="s">
        <v>2273</v>
      </c>
      <c r="C512" t="s">
        <v>787</v>
      </c>
      <c r="D512" t="s">
        <v>3496</v>
      </c>
      <c r="E512" t="s">
        <v>862</v>
      </c>
      <c r="F512" t="s">
        <v>3497</v>
      </c>
    </row>
    <row r="513" spans="1:6" x14ac:dyDescent="0.2">
      <c r="A513" t="s">
        <v>2274</v>
      </c>
      <c r="C513" t="s">
        <v>787</v>
      </c>
      <c r="D513" t="s">
        <v>3498</v>
      </c>
      <c r="E513" t="s">
        <v>3225</v>
      </c>
      <c r="F513" t="s">
        <v>2617</v>
      </c>
    </row>
    <row r="514" spans="1:6" x14ac:dyDescent="0.2">
      <c r="A514" t="s">
        <v>2275</v>
      </c>
      <c r="C514" t="s">
        <v>787</v>
      </c>
      <c r="D514" t="s">
        <v>3499</v>
      </c>
      <c r="E514" t="s">
        <v>3500</v>
      </c>
      <c r="F514" t="s">
        <v>1399</v>
      </c>
    </row>
    <row r="515" spans="1:6" x14ac:dyDescent="0.2">
      <c r="A515" t="s">
        <v>2276</v>
      </c>
      <c r="C515" t="s">
        <v>787</v>
      </c>
      <c r="D515" t="s">
        <v>3501</v>
      </c>
      <c r="E515" t="s">
        <v>3502</v>
      </c>
      <c r="F515" t="s">
        <v>1033</v>
      </c>
    </row>
    <row r="516" spans="1:6" x14ac:dyDescent="0.2">
      <c r="A516" t="s">
        <v>1156</v>
      </c>
      <c r="C516" t="s">
        <v>787</v>
      </c>
      <c r="D516" t="s">
        <v>1343</v>
      </c>
      <c r="E516" t="s">
        <v>1344</v>
      </c>
      <c r="F516" t="s">
        <v>1345</v>
      </c>
    </row>
    <row r="517" spans="1:6" x14ac:dyDescent="0.2">
      <c r="A517" t="s">
        <v>2277</v>
      </c>
      <c r="C517" t="s">
        <v>787</v>
      </c>
      <c r="D517" t="s">
        <v>3503</v>
      </c>
      <c r="E517" t="s">
        <v>842</v>
      </c>
      <c r="F517" t="s">
        <v>930</v>
      </c>
    </row>
    <row r="518" spans="1:6" x14ac:dyDescent="0.2">
      <c r="A518" t="s">
        <v>1696</v>
      </c>
      <c r="C518" t="s">
        <v>787</v>
      </c>
      <c r="D518" t="s">
        <v>3504</v>
      </c>
      <c r="E518" t="s">
        <v>3505</v>
      </c>
      <c r="F518" t="s">
        <v>2617</v>
      </c>
    </row>
    <row r="519" spans="1:6" x14ac:dyDescent="0.2">
      <c r="A519" t="s">
        <v>2278</v>
      </c>
      <c r="C519" t="s">
        <v>1482</v>
      </c>
      <c r="D519" t="s">
        <v>3506</v>
      </c>
      <c r="E519" t="s">
        <v>3507</v>
      </c>
      <c r="F519" t="s">
        <v>3508</v>
      </c>
    </row>
    <row r="520" spans="1:6" x14ac:dyDescent="0.2">
      <c r="A520" t="s">
        <v>992</v>
      </c>
      <c r="C520" t="s">
        <v>787</v>
      </c>
      <c r="D520" t="s">
        <v>786</v>
      </c>
      <c r="E520" t="s">
        <v>1089</v>
      </c>
      <c r="F520" t="s">
        <v>822</v>
      </c>
    </row>
    <row r="521" spans="1:6" x14ac:dyDescent="0.2">
      <c r="A521" t="s">
        <v>2279</v>
      </c>
      <c r="C521" t="s">
        <v>787</v>
      </c>
      <c r="D521" t="s">
        <v>786</v>
      </c>
      <c r="E521" t="s">
        <v>3509</v>
      </c>
      <c r="F521" t="s">
        <v>3510</v>
      </c>
    </row>
    <row r="522" spans="1:6" x14ac:dyDescent="0.2">
      <c r="A522" t="s">
        <v>2280</v>
      </c>
      <c r="C522" t="s">
        <v>783</v>
      </c>
      <c r="D522" t="s">
        <v>3511</v>
      </c>
      <c r="E522" t="s">
        <v>3512</v>
      </c>
      <c r="F522" t="s">
        <v>804</v>
      </c>
    </row>
    <row r="523" spans="1:6" x14ac:dyDescent="0.2">
      <c r="A523" t="s">
        <v>2281</v>
      </c>
      <c r="C523" t="s">
        <v>1482</v>
      </c>
      <c r="D523" t="s">
        <v>3513</v>
      </c>
      <c r="E523" t="s">
        <v>2852</v>
      </c>
      <c r="F523" t="s">
        <v>3514</v>
      </c>
    </row>
    <row r="524" spans="1:6" x14ac:dyDescent="0.2">
      <c r="A524" t="s">
        <v>2282</v>
      </c>
      <c r="C524" t="s">
        <v>787</v>
      </c>
      <c r="D524" t="s">
        <v>2780</v>
      </c>
      <c r="E524" t="s">
        <v>3515</v>
      </c>
      <c r="F524" t="s">
        <v>816</v>
      </c>
    </row>
    <row r="525" spans="1:6" x14ac:dyDescent="0.2">
      <c r="A525" t="s">
        <v>2283</v>
      </c>
      <c r="C525" t="s">
        <v>787</v>
      </c>
      <c r="D525" t="s">
        <v>3516</v>
      </c>
      <c r="E525" t="s">
        <v>840</v>
      </c>
      <c r="F525" t="s">
        <v>816</v>
      </c>
    </row>
    <row r="526" spans="1:6" x14ac:dyDescent="0.2">
      <c r="A526" t="s">
        <v>2284</v>
      </c>
      <c r="C526" t="s">
        <v>787</v>
      </c>
      <c r="D526" t="s">
        <v>3517</v>
      </c>
      <c r="E526" t="s">
        <v>3518</v>
      </c>
      <c r="F526" t="s">
        <v>2723</v>
      </c>
    </row>
    <row r="527" spans="1:6" x14ac:dyDescent="0.2">
      <c r="A527" t="s">
        <v>2285</v>
      </c>
      <c r="C527" t="s">
        <v>787</v>
      </c>
      <c r="D527" t="s">
        <v>3519</v>
      </c>
      <c r="E527" t="s">
        <v>3520</v>
      </c>
      <c r="F527" t="s">
        <v>2617</v>
      </c>
    </row>
    <row r="528" spans="1:6" x14ac:dyDescent="0.2">
      <c r="A528" t="s">
        <v>2286</v>
      </c>
      <c r="C528" t="s">
        <v>1482</v>
      </c>
      <c r="D528" t="s">
        <v>2632</v>
      </c>
      <c r="E528" t="s">
        <v>3521</v>
      </c>
      <c r="F528" t="s">
        <v>3522</v>
      </c>
    </row>
    <row r="529" spans="1:6" x14ac:dyDescent="0.2">
      <c r="A529" t="s">
        <v>1157</v>
      </c>
      <c r="C529" t="s">
        <v>787</v>
      </c>
      <c r="D529" t="s">
        <v>1346</v>
      </c>
      <c r="E529" t="s">
        <v>1347</v>
      </c>
      <c r="F529" t="s">
        <v>1348</v>
      </c>
    </row>
    <row r="530" spans="1:6" x14ac:dyDescent="0.2">
      <c r="A530" t="s">
        <v>2287</v>
      </c>
      <c r="C530" t="s">
        <v>787</v>
      </c>
      <c r="D530" t="s">
        <v>1894</v>
      </c>
      <c r="E530" t="s">
        <v>3523</v>
      </c>
      <c r="F530" t="s">
        <v>2785</v>
      </c>
    </row>
    <row r="531" spans="1:6" x14ac:dyDescent="0.2">
      <c r="A531" t="s">
        <v>2288</v>
      </c>
      <c r="C531" t="s">
        <v>787</v>
      </c>
      <c r="D531" t="s">
        <v>3524</v>
      </c>
      <c r="E531" t="s">
        <v>3525</v>
      </c>
      <c r="F531" t="s">
        <v>1361</v>
      </c>
    </row>
    <row r="532" spans="1:6" x14ac:dyDescent="0.2">
      <c r="A532" t="s">
        <v>1697</v>
      </c>
      <c r="C532" t="s">
        <v>787</v>
      </c>
      <c r="D532" t="s">
        <v>3526</v>
      </c>
      <c r="E532" t="s">
        <v>1396</v>
      </c>
      <c r="F532" t="s">
        <v>2617</v>
      </c>
    </row>
    <row r="533" spans="1:6" x14ac:dyDescent="0.2">
      <c r="A533" t="s">
        <v>2289</v>
      </c>
      <c r="C533" t="s">
        <v>787</v>
      </c>
      <c r="D533" t="s">
        <v>3527</v>
      </c>
      <c r="E533" t="s">
        <v>3528</v>
      </c>
      <c r="F533" t="s">
        <v>2617</v>
      </c>
    </row>
    <row r="534" spans="1:6" x14ac:dyDescent="0.2">
      <c r="A534" t="s">
        <v>2290</v>
      </c>
      <c r="C534" t="s">
        <v>787</v>
      </c>
      <c r="D534" t="s">
        <v>3529</v>
      </c>
      <c r="E534" t="s">
        <v>3530</v>
      </c>
      <c r="F534" t="s">
        <v>1256</v>
      </c>
    </row>
    <row r="535" spans="1:6" x14ac:dyDescent="0.2">
      <c r="A535" t="s">
        <v>2291</v>
      </c>
      <c r="C535" t="s">
        <v>787</v>
      </c>
      <c r="D535" t="s">
        <v>3405</v>
      </c>
      <c r="E535" t="s">
        <v>3525</v>
      </c>
      <c r="F535" t="s">
        <v>1371</v>
      </c>
    </row>
    <row r="536" spans="1:6" x14ac:dyDescent="0.2">
      <c r="A536" t="s">
        <v>2292</v>
      </c>
      <c r="C536" t="s">
        <v>787</v>
      </c>
      <c r="D536" t="s">
        <v>3531</v>
      </c>
      <c r="E536" t="s">
        <v>3532</v>
      </c>
      <c r="F536" t="s">
        <v>798</v>
      </c>
    </row>
    <row r="537" spans="1:6" x14ac:dyDescent="0.2">
      <c r="A537" t="s">
        <v>2293</v>
      </c>
      <c r="C537" t="s">
        <v>787</v>
      </c>
      <c r="D537" t="s">
        <v>3533</v>
      </c>
      <c r="E537" t="s">
        <v>3534</v>
      </c>
      <c r="F537" t="s">
        <v>3535</v>
      </c>
    </row>
    <row r="538" spans="1:6" x14ac:dyDescent="0.2">
      <c r="A538" t="s">
        <v>1158</v>
      </c>
      <c r="C538" t="s">
        <v>787</v>
      </c>
      <c r="D538" t="s">
        <v>1349</v>
      </c>
      <c r="E538" t="s">
        <v>1247</v>
      </c>
      <c r="F538" t="s">
        <v>943</v>
      </c>
    </row>
    <row r="539" spans="1:6" x14ac:dyDescent="0.2">
      <c r="A539" t="s">
        <v>2294</v>
      </c>
      <c r="C539" t="s">
        <v>787</v>
      </c>
      <c r="D539" t="s">
        <v>3536</v>
      </c>
      <c r="E539" t="s">
        <v>3537</v>
      </c>
      <c r="F539" t="s">
        <v>954</v>
      </c>
    </row>
    <row r="540" spans="1:6" x14ac:dyDescent="0.2">
      <c r="A540" t="s">
        <v>1698</v>
      </c>
      <c r="C540" t="s">
        <v>787</v>
      </c>
      <c r="D540" t="s">
        <v>1054</v>
      </c>
      <c r="E540" t="s">
        <v>3538</v>
      </c>
      <c r="F540" t="s">
        <v>2617</v>
      </c>
    </row>
    <row r="541" spans="1:6" x14ac:dyDescent="0.2">
      <c r="A541" t="s">
        <v>2295</v>
      </c>
      <c r="C541" t="s">
        <v>787</v>
      </c>
      <c r="D541" t="s">
        <v>1420</v>
      </c>
      <c r="E541" t="s">
        <v>3539</v>
      </c>
      <c r="F541" t="s">
        <v>2617</v>
      </c>
    </row>
    <row r="542" spans="1:6" x14ac:dyDescent="0.2">
      <c r="A542" t="s">
        <v>2296</v>
      </c>
      <c r="C542" t="s">
        <v>787</v>
      </c>
      <c r="D542" t="s">
        <v>3050</v>
      </c>
      <c r="E542" t="s">
        <v>3540</v>
      </c>
      <c r="F542" t="s">
        <v>1056</v>
      </c>
    </row>
    <row r="543" spans="1:6" x14ac:dyDescent="0.2">
      <c r="A543" t="s">
        <v>2297</v>
      </c>
      <c r="C543" t="s">
        <v>787</v>
      </c>
      <c r="D543" t="s">
        <v>3541</v>
      </c>
      <c r="E543" t="s">
        <v>3542</v>
      </c>
      <c r="F543" t="s">
        <v>2617</v>
      </c>
    </row>
    <row r="544" spans="1:6" x14ac:dyDescent="0.2">
      <c r="A544" t="s">
        <v>2298</v>
      </c>
      <c r="C544" t="s">
        <v>1482</v>
      </c>
      <c r="D544" t="s">
        <v>3543</v>
      </c>
      <c r="E544" t="s">
        <v>3544</v>
      </c>
      <c r="F544" t="s">
        <v>3545</v>
      </c>
    </row>
    <row r="545" spans="1:6" x14ac:dyDescent="0.2">
      <c r="A545" t="s">
        <v>2299</v>
      </c>
      <c r="C545" t="s">
        <v>787</v>
      </c>
      <c r="D545" t="s">
        <v>3546</v>
      </c>
      <c r="E545" t="s">
        <v>1304</v>
      </c>
      <c r="F545" t="s">
        <v>2617</v>
      </c>
    </row>
    <row r="546" spans="1:6" x14ac:dyDescent="0.2">
      <c r="A546" t="s">
        <v>2300</v>
      </c>
      <c r="C546" t="s">
        <v>787</v>
      </c>
      <c r="D546" t="s">
        <v>1903</v>
      </c>
      <c r="E546" t="s">
        <v>3547</v>
      </c>
      <c r="F546" t="s">
        <v>1800</v>
      </c>
    </row>
    <row r="547" spans="1:6" x14ac:dyDescent="0.2">
      <c r="A547" t="s">
        <v>2301</v>
      </c>
      <c r="C547" t="s">
        <v>787</v>
      </c>
      <c r="D547" t="s">
        <v>3548</v>
      </c>
      <c r="E547" t="s">
        <v>3549</v>
      </c>
      <c r="F547" t="s">
        <v>2617</v>
      </c>
    </row>
    <row r="548" spans="1:6" x14ac:dyDescent="0.2">
      <c r="A548" t="s">
        <v>1699</v>
      </c>
      <c r="C548" t="s">
        <v>787</v>
      </c>
      <c r="D548" t="s">
        <v>3550</v>
      </c>
      <c r="E548" t="s">
        <v>3551</v>
      </c>
      <c r="F548" t="s">
        <v>3552</v>
      </c>
    </row>
    <row r="549" spans="1:6" x14ac:dyDescent="0.2">
      <c r="A549" t="s">
        <v>1700</v>
      </c>
      <c r="C549" t="s">
        <v>787</v>
      </c>
      <c r="D549" t="s">
        <v>797</v>
      </c>
      <c r="E549" t="s">
        <v>3553</v>
      </c>
      <c r="F549" t="s">
        <v>2617</v>
      </c>
    </row>
    <row r="550" spans="1:6" x14ac:dyDescent="0.2">
      <c r="A550" t="s">
        <v>1159</v>
      </c>
      <c r="C550" t="s">
        <v>787</v>
      </c>
      <c r="D550" t="s">
        <v>1350</v>
      </c>
      <c r="E550" t="s">
        <v>1351</v>
      </c>
      <c r="F550" t="s">
        <v>1804</v>
      </c>
    </row>
    <row r="551" spans="1:6" x14ac:dyDescent="0.2">
      <c r="A551" t="s">
        <v>2302</v>
      </c>
      <c r="C551" t="s">
        <v>787</v>
      </c>
      <c r="D551" t="s">
        <v>3554</v>
      </c>
      <c r="E551" t="s">
        <v>3555</v>
      </c>
      <c r="F551" t="s">
        <v>2617</v>
      </c>
    </row>
    <row r="552" spans="1:6" x14ac:dyDescent="0.2">
      <c r="A552" t="s">
        <v>2303</v>
      </c>
      <c r="C552" t="s">
        <v>787</v>
      </c>
      <c r="D552" t="s">
        <v>2950</v>
      </c>
      <c r="E552" t="s">
        <v>3556</v>
      </c>
      <c r="F552" t="s">
        <v>799</v>
      </c>
    </row>
    <row r="553" spans="1:6" x14ac:dyDescent="0.2">
      <c r="A553" t="s">
        <v>2304</v>
      </c>
      <c r="C553" t="s">
        <v>787</v>
      </c>
      <c r="D553" t="s">
        <v>3557</v>
      </c>
      <c r="E553" t="s">
        <v>3558</v>
      </c>
      <c r="F553" t="s">
        <v>1340</v>
      </c>
    </row>
    <row r="554" spans="1:6" x14ac:dyDescent="0.2">
      <c r="A554" t="s">
        <v>2305</v>
      </c>
      <c r="C554" t="s">
        <v>787</v>
      </c>
      <c r="D554" t="s">
        <v>3559</v>
      </c>
      <c r="E554" t="s">
        <v>3560</v>
      </c>
      <c r="F554" t="s">
        <v>2617</v>
      </c>
    </row>
    <row r="555" spans="1:6" x14ac:dyDescent="0.2">
      <c r="A555" t="s">
        <v>2306</v>
      </c>
      <c r="C555" t="s">
        <v>787</v>
      </c>
      <c r="D555" t="s">
        <v>3561</v>
      </c>
      <c r="E555" t="s">
        <v>1658</v>
      </c>
      <c r="F555" t="s">
        <v>892</v>
      </c>
    </row>
    <row r="556" spans="1:6" x14ac:dyDescent="0.2">
      <c r="A556" t="s">
        <v>1701</v>
      </c>
      <c r="C556" t="s">
        <v>787</v>
      </c>
      <c r="D556" t="s">
        <v>3562</v>
      </c>
      <c r="E556" t="s">
        <v>3563</v>
      </c>
      <c r="F556" t="s">
        <v>2617</v>
      </c>
    </row>
    <row r="557" spans="1:6" x14ac:dyDescent="0.2">
      <c r="A557" t="s">
        <v>1160</v>
      </c>
      <c r="C557" t="s">
        <v>787</v>
      </c>
      <c r="D557" t="s">
        <v>3564</v>
      </c>
      <c r="E557" t="s">
        <v>1352</v>
      </c>
      <c r="F557" t="s">
        <v>3565</v>
      </c>
    </row>
    <row r="558" spans="1:6" x14ac:dyDescent="0.2">
      <c r="A558" t="s">
        <v>2307</v>
      </c>
      <c r="C558" t="s">
        <v>1482</v>
      </c>
      <c r="D558" t="s">
        <v>3566</v>
      </c>
      <c r="E558" t="s">
        <v>3567</v>
      </c>
      <c r="F558" t="s">
        <v>3568</v>
      </c>
    </row>
    <row r="559" spans="1:6" x14ac:dyDescent="0.2">
      <c r="A559" t="s">
        <v>2308</v>
      </c>
      <c r="C559" t="s">
        <v>1482</v>
      </c>
      <c r="D559" t="s">
        <v>3569</v>
      </c>
      <c r="E559" t="s">
        <v>3570</v>
      </c>
      <c r="F559" t="s">
        <v>3571</v>
      </c>
    </row>
    <row r="560" spans="1:6" x14ac:dyDescent="0.2">
      <c r="A560" t="s">
        <v>2309</v>
      </c>
      <c r="C560" t="s">
        <v>787</v>
      </c>
      <c r="D560" t="s">
        <v>3572</v>
      </c>
      <c r="E560" t="s">
        <v>3573</v>
      </c>
      <c r="F560" t="s">
        <v>2617</v>
      </c>
    </row>
    <row r="561" spans="1:6" x14ac:dyDescent="0.2">
      <c r="A561" t="s">
        <v>2310</v>
      </c>
      <c r="C561" t="s">
        <v>787</v>
      </c>
      <c r="D561" t="s">
        <v>3574</v>
      </c>
      <c r="E561" t="s">
        <v>3575</v>
      </c>
      <c r="F561" t="s">
        <v>800</v>
      </c>
    </row>
    <row r="562" spans="1:6" x14ac:dyDescent="0.2">
      <c r="A562" t="s">
        <v>2311</v>
      </c>
      <c r="C562" t="s">
        <v>787</v>
      </c>
      <c r="D562" t="s">
        <v>3576</v>
      </c>
      <c r="E562" t="s">
        <v>2696</v>
      </c>
      <c r="F562" t="s">
        <v>2617</v>
      </c>
    </row>
    <row r="563" spans="1:6" x14ac:dyDescent="0.2">
      <c r="A563" t="s">
        <v>2312</v>
      </c>
      <c r="C563" t="s">
        <v>787</v>
      </c>
      <c r="D563" t="s">
        <v>3577</v>
      </c>
      <c r="E563" t="s">
        <v>3578</v>
      </c>
      <c r="F563" t="s">
        <v>2617</v>
      </c>
    </row>
    <row r="564" spans="1:6" x14ac:dyDescent="0.2">
      <c r="A564" t="s">
        <v>2313</v>
      </c>
      <c r="C564" t="s">
        <v>787</v>
      </c>
      <c r="D564" t="s">
        <v>3348</v>
      </c>
      <c r="E564" t="s">
        <v>3579</v>
      </c>
      <c r="F564" t="s">
        <v>2617</v>
      </c>
    </row>
    <row r="565" spans="1:6" x14ac:dyDescent="0.2">
      <c r="A565" t="s">
        <v>1702</v>
      </c>
      <c r="C565" t="s">
        <v>787</v>
      </c>
      <c r="D565" t="s">
        <v>1467</v>
      </c>
      <c r="E565" t="s">
        <v>800</v>
      </c>
      <c r="F565" t="s">
        <v>2617</v>
      </c>
    </row>
    <row r="566" spans="1:6" x14ac:dyDescent="0.2">
      <c r="A566" t="s">
        <v>2314</v>
      </c>
      <c r="C566" t="s">
        <v>1482</v>
      </c>
      <c r="D566" t="s">
        <v>3580</v>
      </c>
      <c r="E566" t="s">
        <v>3581</v>
      </c>
      <c r="F566" t="s">
        <v>3582</v>
      </c>
    </row>
    <row r="567" spans="1:6" x14ac:dyDescent="0.2">
      <c r="A567" t="s">
        <v>1703</v>
      </c>
      <c r="C567" t="s">
        <v>787</v>
      </c>
      <c r="D567" t="s">
        <v>3583</v>
      </c>
      <c r="E567" t="s">
        <v>3584</v>
      </c>
      <c r="F567" t="s">
        <v>2617</v>
      </c>
    </row>
    <row r="568" spans="1:6" x14ac:dyDescent="0.2">
      <c r="A568" t="s">
        <v>2315</v>
      </c>
      <c r="C568" t="s">
        <v>787</v>
      </c>
      <c r="D568" t="s">
        <v>3585</v>
      </c>
      <c r="E568" t="s">
        <v>3586</v>
      </c>
      <c r="F568" t="s">
        <v>2617</v>
      </c>
    </row>
    <row r="569" spans="1:6" x14ac:dyDescent="0.2">
      <c r="A569" t="s">
        <v>2316</v>
      </c>
      <c r="C569" t="s">
        <v>787</v>
      </c>
      <c r="D569" t="s">
        <v>1785</v>
      </c>
      <c r="E569" t="s">
        <v>3587</v>
      </c>
      <c r="F569" t="s">
        <v>2617</v>
      </c>
    </row>
    <row r="570" spans="1:6" x14ac:dyDescent="0.2">
      <c r="A570" t="s">
        <v>2317</v>
      </c>
      <c r="C570" t="s">
        <v>787</v>
      </c>
      <c r="D570" t="s">
        <v>3588</v>
      </c>
      <c r="E570" t="s">
        <v>3589</v>
      </c>
      <c r="F570" t="s">
        <v>1340</v>
      </c>
    </row>
    <row r="571" spans="1:6" x14ac:dyDescent="0.2">
      <c r="A571" t="s">
        <v>2318</v>
      </c>
      <c r="C571" t="s">
        <v>787</v>
      </c>
      <c r="D571" t="s">
        <v>3590</v>
      </c>
      <c r="E571" t="s">
        <v>3591</v>
      </c>
      <c r="F571" t="s">
        <v>2617</v>
      </c>
    </row>
    <row r="572" spans="1:6" x14ac:dyDescent="0.2">
      <c r="A572" t="s">
        <v>2319</v>
      </c>
      <c r="C572" t="s">
        <v>787</v>
      </c>
      <c r="D572" t="s">
        <v>3592</v>
      </c>
      <c r="E572" t="s">
        <v>3593</v>
      </c>
      <c r="F572" t="s">
        <v>3087</v>
      </c>
    </row>
    <row r="573" spans="1:6" x14ac:dyDescent="0.2">
      <c r="A573" t="s">
        <v>1161</v>
      </c>
      <c r="C573" t="s">
        <v>783</v>
      </c>
      <c r="D573" t="s">
        <v>1353</v>
      </c>
      <c r="E573" t="s">
        <v>913</v>
      </c>
      <c r="F573" t="s">
        <v>1354</v>
      </c>
    </row>
    <row r="574" spans="1:6" x14ac:dyDescent="0.2">
      <c r="A574" t="s">
        <v>2320</v>
      </c>
      <c r="C574" t="s">
        <v>1482</v>
      </c>
      <c r="D574" t="s">
        <v>3594</v>
      </c>
      <c r="E574" t="s">
        <v>3595</v>
      </c>
      <c r="F574" t="s">
        <v>3093</v>
      </c>
    </row>
    <row r="575" spans="1:6" x14ac:dyDescent="0.2">
      <c r="A575" t="s">
        <v>2321</v>
      </c>
      <c r="C575" t="s">
        <v>787</v>
      </c>
      <c r="D575" t="s">
        <v>3483</v>
      </c>
      <c r="E575" t="s">
        <v>1431</v>
      </c>
      <c r="F575" t="s">
        <v>2617</v>
      </c>
    </row>
    <row r="576" spans="1:6" x14ac:dyDescent="0.2">
      <c r="A576" t="s">
        <v>2322</v>
      </c>
      <c r="C576" t="s">
        <v>787</v>
      </c>
      <c r="D576" t="s">
        <v>3596</v>
      </c>
      <c r="E576" t="s">
        <v>3597</v>
      </c>
      <c r="F576" t="s">
        <v>1800</v>
      </c>
    </row>
    <row r="577" spans="1:6" x14ac:dyDescent="0.2">
      <c r="A577" t="s">
        <v>2323</v>
      </c>
      <c r="C577" t="s">
        <v>787</v>
      </c>
      <c r="D577" t="s">
        <v>3598</v>
      </c>
      <c r="E577" t="s">
        <v>3599</v>
      </c>
      <c r="F577" t="s">
        <v>3600</v>
      </c>
    </row>
    <row r="578" spans="1:6" x14ac:dyDescent="0.2">
      <c r="A578" t="s">
        <v>2324</v>
      </c>
      <c r="C578" t="s">
        <v>787</v>
      </c>
      <c r="D578" t="s">
        <v>3601</v>
      </c>
      <c r="E578" t="s">
        <v>1449</v>
      </c>
      <c r="F578" t="s">
        <v>3552</v>
      </c>
    </row>
    <row r="579" spans="1:6" x14ac:dyDescent="0.2">
      <c r="A579" t="s">
        <v>2325</v>
      </c>
      <c r="C579" t="s">
        <v>787</v>
      </c>
      <c r="D579" t="s">
        <v>3189</v>
      </c>
      <c r="E579" t="s">
        <v>3602</v>
      </c>
      <c r="F579" t="s">
        <v>2617</v>
      </c>
    </row>
    <row r="580" spans="1:6" x14ac:dyDescent="0.2">
      <c r="A580" t="s">
        <v>2326</v>
      </c>
      <c r="C580" t="s">
        <v>787</v>
      </c>
      <c r="D580" t="s">
        <v>3603</v>
      </c>
      <c r="E580" t="s">
        <v>3604</v>
      </c>
      <c r="F580" t="s">
        <v>875</v>
      </c>
    </row>
    <row r="581" spans="1:6" x14ac:dyDescent="0.2">
      <c r="A581" t="s">
        <v>2327</v>
      </c>
      <c r="C581" t="s">
        <v>787</v>
      </c>
      <c r="D581" t="s">
        <v>3605</v>
      </c>
      <c r="E581" t="s">
        <v>1882</v>
      </c>
      <c r="F581" t="s">
        <v>3606</v>
      </c>
    </row>
    <row r="582" spans="1:6" x14ac:dyDescent="0.2">
      <c r="A582" t="s">
        <v>2328</v>
      </c>
      <c r="C582" t="s">
        <v>787</v>
      </c>
      <c r="D582" t="s">
        <v>3595</v>
      </c>
      <c r="E582" t="s">
        <v>1383</v>
      </c>
      <c r="F582" t="s">
        <v>959</v>
      </c>
    </row>
    <row r="583" spans="1:6" x14ac:dyDescent="0.2">
      <c r="A583" t="s">
        <v>2329</v>
      </c>
      <c r="C583" t="s">
        <v>787</v>
      </c>
      <c r="D583" t="s">
        <v>3607</v>
      </c>
      <c r="E583" t="s">
        <v>3608</v>
      </c>
      <c r="F583" t="s">
        <v>2617</v>
      </c>
    </row>
    <row r="584" spans="1:6" x14ac:dyDescent="0.2">
      <c r="A584" t="s">
        <v>1063</v>
      </c>
      <c r="C584" t="s">
        <v>787</v>
      </c>
      <c r="D584" t="s">
        <v>3609</v>
      </c>
      <c r="E584" t="s">
        <v>3571</v>
      </c>
      <c r="F584" t="s">
        <v>2617</v>
      </c>
    </row>
    <row r="585" spans="1:6" x14ac:dyDescent="0.2">
      <c r="A585" t="s">
        <v>2330</v>
      </c>
      <c r="C585" t="s">
        <v>787</v>
      </c>
      <c r="D585" t="s">
        <v>1342</v>
      </c>
      <c r="E585" t="s">
        <v>3610</v>
      </c>
      <c r="F585" t="s">
        <v>1264</v>
      </c>
    </row>
    <row r="586" spans="1:6" x14ac:dyDescent="0.2">
      <c r="A586" t="s">
        <v>1704</v>
      </c>
      <c r="C586" t="s">
        <v>787</v>
      </c>
      <c r="D586" t="s">
        <v>2936</v>
      </c>
      <c r="E586" t="s">
        <v>3611</v>
      </c>
      <c r="F586" t="s">
        <v>2617</v>
      </c>
    </row>
    <row r="587" spans="1:6" x14ac:dyDescent="0.2">
      <c r="A587" t="s">
        <v>1162</v>
      </c>
      <c r="C587" t="s">
        <v>787</v>
      </c>
      <c r="D587" t="s">
        <v>1355</v>
      </c>
      <c r="E587" t="s">
        <v>1339</v>
      </c>
      <c r="F587" t="s">
        <v>1282</v>
      </c>
    </row>
    <row r="588" spans="1:6" x14ac:dyDescent="0.2">
      <c r="A588" t="s">
        <v>2331</v>
      </c>
      <c r="C588" t="s">
        <v>787</v>
      </c>
      <c r="D588" t="s">
        <v>3612</v>
      </c>
      <c r="E588" t="s">
        <v>2604</v>
      </c>
      <c r="F588" t="s">
        <v>2617</v>
      </c>
    </row>
    <row r="589" spans="1:6" x14ac:dyDescent="0.2">
      <c r="A589" t="s">
        <v>1163</v>
      </c>
      <c r="C589" t="s">
        <v>787</v>
      </c>
      <c r="D589" t="s">
        <v>1357</v>
      </c>
      <c r="E589" t="s">
        <v>3613</v>
      </c>
      <c r="F589" t="s">
        <v>1358</v>
      </c>
    </row>
    <row r="590" spans="1:6" x14ac:dyDescent="0.2">
      <c r="A590" t="s">
        <v>2332</v>
      </c>
      <c r="C590" t="s">
        <v>787</v>
      </c>
      <c r="D590" t="s">
        <v>3614</v>
      </c>
      <c r="E590" t="s">
        <v>3615</v>
      </c>
      <c r="F590" t="s">
        <v>2617</v>
      </c>
    </row>
    <row r="591" spans="1:6" x14ac:dyDescent="0.2">
      <c r="A591" t="s">
        <v>2333</v>
      </c>
      <c r="C591" t="s">
        <v>787</v>
      </c>
      <c r="D591" t="s">
        <v>3616</v>
      </c>
      <c r="E591" t="s">
        <v>3617</v>
      </c>
      <c r="F591" t="s">
        <v>2617</v>
      </c>
    </row>
    <row r="592" spans="1:6" x14ac:dyDescent="0.2">
      <c r="A592" t="s">
        <v>1164</v>
      </c>
      <c r="C592" t="s">
        <v>787</v>
      </c>
      <c r="D592" t="s">
        <v>3618</v>
      </c>
      <c r="E592" t="s">
        <v>3619</v>
      </c>
      <c r="F592" t="s">
        <v>1037</v>
      </c>
    </row>
    <row r="593" spans="1:6" x14ac:dyDescent="0.2">
      <c r="A593" t="s">
        <v>1705</v>
      </c>
      <c r="C593" t="s">
        <v>787</v>
      </c>
      <c r="D593" t="s">
        <v>3620</v>
      </c>
      <c r="E593" t="s">
        <v>3621</v>
      </c>
      <c r="F593" t="s">
        <v>2617</v>
      </c>
    </row>
    <row r="594" spans="1:6" x14ac:dyDescent="0.2">
      <c r="A594" t="s">
        <v>1706</v>
      </c>
      <c r="C594" t="s">
        <v>787</v>
      </c>
      <c r="D594" t="s">
        <v>3622</v>
      </c>
      <c r="E594" t="s">
        <v>3623</v>
      </c>
      <c r="F594" t="s">
        <v>2617</v>
      </c>
    </row>
    <row r="595" spans="1:6" x14ac:dyDescent="0.2">
      <c r="A595" t="s">
        <v>2334</v>
      </c>
      <c r="C595" t="s">
        <v>787</v>
      </c>
      <c r="D595" t="s">
        <v>3624</v>
      </c>
      <c r="E595" t="s">
        <v>3165</v>
      </c>
      <c r="F595" t="s">
        <v>2723</v>
      </c>
    </row>
    <row r="596" spans="1:6" x14ac:dyDescent="0.2">
      <c r="A596" t="s">
        <v>2335</v>
      </c>
      <c r="C596" t="s">
        <v>787</v>
      </c>
      <c r="D596" t="s">
        <v>3625</v>
      </c>
      <c r="E596" t="s">
        <v>957</v>
      </c>
      <c r="F596" t="s">
        <v>2617</v>
      </c>
    </row>
    <row r="597" spans="1:6" x14ac:dyDescent="0.2">
      <c r="A597" t="s">
        <v>934</v>
      </c>
      <c r="C597" t="s">
        <v>787</v>
      </c>
      <c r="D597" t="s">
        <v>3626</v>
      </c>
      <c r="E597" t="s">
        <v>3627</v>
      </c>
      <c r="F597" t="s">
        <v>2617</v>
      </c>
    </row>
    <row r="598" spans="1:6" x14ac:dyDescent="0.2">
      <c r="A598" t="s">
        <v>2336</v>
      </c>
      <c r="C598" t="s">
        <v>787</v>
      </c>
      <c r="D598" t="s">
        <v>3628</v>
      </c>
      <c r="E598" t="s">
        <v>3468</v>
      </c>
      <c r="F598" t="s">
        <v>3629</v>
      </c>
    </row>
    <row r="599" spans="1:6" x14ac:dyDescent="0.2">
      <c r="A599" t="s">
        <v>2337</v>
      </c>
      <c r="C599" t="s">
        <v>787</v>
      </c>
      <c r="D599" t="s">
        <v>3630</v>
      </c>
      <c r="E599" t="s">
        <v>3631</v>
      </c>
      <c r="F599" t="s">
        <v>2617</v>
      </c>
    </row>
    <row r="600" spans="1:6" x14ac:dyDescent="0.2">
      <c r="A600" t="s">
        <v>1165</v>
      </c>
      <c r="C600" t="s">
        <v>787</v>
      </c>
      <c r="D600" t="s">
        <v>1360</v>
      </c>
      <c r="E600" t="s">
        <v>3632</v>
      </c>
      <c r="F600" t="s">
        <v>1361</v>
      </c>
    </row>
    <row r="601" spans="1:6" x14ac:dyDescent="0.2">
      <c r="A601" t="s">
        <v>1166</v>
      </c>
      <c r="C601" t="s">
        <v>787</v>
      </c>
      <c r="D601" t="s">
        <v>3633</v>
      </c>
      <c r="E601" t="s">
        <v>1362</v>
      </c>
      <c r="F601" t="s">
        <v>1363</v>
      </c>
    </row>
    <row r="602" spans="1:6" x14ac:dyDescent="0.2">
      <c r="A602" t="s">
        <v>2338</v>
      </c>
      <c r="C602" t="s">
        <v>787</v>
      </c>
      <c r="D602" t="s">
        <v>3634</v>
      </c>
      <c r="E602" t="s">
        <v>887</v>
      </c>
      <c r="F602" t="s">
        <v>1374</v>
      </c>
    </row>
    <row r="603" spans="1:6" x14ac:dyDescent="0.2">
      <c r="A603" t="s">
        <v>1707</v>
      </c>
      <c r="C603" t="s">
        <v>787</v>
      </c>
      <c r="D603" t="s">
        <v>3635</v>
      </c>
      <c r="E603" t="s">
        <v>3636</v>
      </c>
      <c r="F603" t="s">
        <v>2617</v>
      </c>
    </row>
    <row r="604" spans="1:6" x14ac:dyDescent="0.2">
      <c r="A604" t="s">
        <v>2339</v>
      </c>
      <c r="C604" t="s">
        <v>787</v>
      </c>
      <c r="D604" t="s">
        <v>3637</v>
      </c>
      <c r="E604" t="s">
        <v>3638</v>
      </c>
      <c r="F604" t="s">
        <v>2617</v>
      </c>
    </row>
    <row r="605" spans="1:6" x14ac:dyDescent="0.2">
      <c r="A605" t="s">
        <v>2340</v>
      </c>
      <c r="C605" t="s">
        <v>787</v>
      </c>
      <c r="D605" t="s">
        <v>3639</v>
      </c>
      <c r="E605" t="s">
        <v>1896</v>
      </c>
      <c r="F605" t="s">
        <v>2617</v>
      </c>
    </row>
    <row r="606" spans="1:6" x14ac:dyDescent="0.2">
      <c r="A606" t="s">
        <v>2341</v>
      </c>
      <c r="C606" t="s">
        <v>787</v>
      </c>
      <c r="D606" t="s">
        <v>3640</v>
      </c>
      <c r="E606" t="s">
        <v>3641</v>
      </c>
      <c r="F606" t="s">
        <v>2617</v>
      </c>
    </row>
    <row r="607" spans="1:6" x14ac:dyDescent="0.2">
      <c r="A607" t="s">
        <v>1167</v>
      </c>
      <c r="C607" t="s">
        <v>787</v>
      </c>
      <c r="D607" t="s">
        <v>3642</v>
      </c>
      <c r="E607" t="s">
        <v>3643</v>
      </c>
      <c r="F607" t="s">
        <v>3644</v>
      </c>
    </row>
    <row r="608" spans="1:6" x14ac:dyDescent="0.2">
      <c r="A608" t="s">
        <v>2342</v>
      </c>
      <c r="C608" t="s">
        <v>787</v>
      </c>
      <c r="D608" t="s">
        <v>3645</v>
      </c>
      <c r="E608" t="s">
        <v>917</v>
      </c>
      <c r="F608" t="s">
        <v>2617</v>
      </c>
    </row>
    <row r="609" spans="1:6" x14ac:dyDescent="0.2">
      <c r="A609" t="s">
        <v>2343</v>
      </c>
      <c r="C609" t="s">
        <v>1482</v>
      </c>
      <c r="D609" t="s">
        <v>3646</v>
      </c>
      <c r="E609" t="s">
        <v>3647</v>
      </c>
      <c r="F609" t="s">
        <v>3648</v>
      </c>
    </row>
    <row r="610" spans="1:6" x14ac:dyDescent="0.2">
      <c r="A610" t="s">
        <v>2344</v>
      </c>
      <c r="C610" t="s">
        <v>787</v>
      </c>
      <c r="D610" t="s">
        <v>2660</v>
      </c>
      <c r="E610" t="s">
        <v>3649</v>
      </c>
      <c r="F610" t="s">
        <v>2617</v>
      </c>
    </row>
    <row r="611" spans="1:6" x14ac:dyDescent="0.2">
      <c r="A611" t="s">
        <v>1069</v>
      </c>
      <c r="C611" t="s">
        <v>787</v>
      </c>
      <c r="D611" t="s">
        <v>3650</v>
      </c>
      <c r="E611" t="s">
        <v>3651</v>
      </c>
      <c r="F611" t="s">
        <v>2617</v>
      </c>
    </row>
    <row r="612" spans="1:6" x14ac:dyDescent="0.2">
      <c r="A612" t="s">
        <v>986</v>
      </c>
      <c r="C612" t="s">
        <v>787</v>
      </c>
      <c r="D612" t="s">
        <v>3652</v>
      </c>
      <c r="E612" t="s">
        <v>3653</v>
      </c>
      <c r="F612" t="s">
        <v>1395</v>
      </c>
    </row>
    <row r="613" spans="1:6" x14ac:dyDescent="0.2">
      <c r="A613" t="s">
        <v>2345</v>
      </c>
      <c r="C613" t="s">
        <v>787</v>
      </c>
      <c r="D613" t="s">
        <v>3654</v>
      </c>
      <c r="E613" t="s">
        <v>3655</v>
      </c>
      <c r="F613" t="s">
        <v>2617</v>
      </c>
    </row>
    <row r="614" spans="1:6" x14ac:dyDescent="0.2">
      <c r="A614" t="s">
        <v>956</v>
      </c>
      <c r="C614" t="s">
        <v>787</v>
      </c>
      <c r="D614" t="s">
        <v>3656</v>
      </c>
      <c r="E614" t="s">
        <v>3657</v>
      </c>
      <c r="F614" t="s">
        <v>2617</v>
      </c>
    </row>
    <row r="615" spans="1:6" x14ac:dyDescent="0.2">
      <c r="A615" t="s">
        <v>2346</v>
      </c>
      <c r="C615" t="s">
        <v>783</v>
      </c>
      <c r="D615" t="s">
        <v>3658</v>
      </c>
      <c r="E615" t="s">
        <v>3659</v>
      </c>
      <c r="F615" t="s">
        <v>2647</v>
      </c>
    </row>
    <row r="616" spans="1:6" x14ac:dyDescent="0.2">
      <c r="A616" t="s">
        <v>2347</v>
      </c>
      <c r="C616" t="s">
        <v>783</v>
      </c>
      <c r="D616" t="s">
        <v>3660</v>
      </c>
      <c r="E616" t="s">
        <v>3661</v>
      </c>
      <c r="F616" t="s">
        <v>2647</v>
      </c>
    </row>
    <row r="617" spans="1:6" x14ac:dyDescent="0.2">
      <c r="A617" t="s">
        <v>2348</v>
      </c>
      <c r="C617" t="s">
        <v>787</v>
      </c>
      <c r="D617" t="s">
        <v>3662</v>
      </c>
      <c r="E617" t="s">
        <v>3663</v>
      </c>
      <c r="F617" t="s">
        <v>2617</v>
      </c>
    </row>
    <row r="618" spans="1:6" x14ac:dyDescent="0.2">
      <c r="A618" t="s">
        <v>2349</v>
      </c>
      <c r="C618" t="s">
        <v>787</v>
      </c>
      <c r="D618" t="s">
        <v>3664</v>
      </c>
      <c r="E618" t="s">
        <v>905</v>
      </c>
      <c r="F618" t="s">
        <v>2617</v>
      </c>
    </row>
    <row r="619" spans="1:6" x14ac:dyDescent="0.2">
      <c r="A619" t="s">
        <v>2350</v>
      </c>
      <c r="C619" t="s">
        <v>787</v>
      </c>
      <c r="D619" t="s">
        <v>3665</v>
      </c>
      <c r="E619" t="s">
        <v>3666</v>
      </c>
      <c r="F619" t="s">
        <v>2617</v>
      </c>
    </row>
    <row r="620" spans="1:6" x14ac:dyDescent="0.2">
      <c r="A620" t="s">
        <v>2351</v>
      </c>
      <c r="C620" t="s">
        <v>787</v>
      </c>
      <c r="D620" t="s">
        <v>3667</v>
      </c>
      <c r="E620" t="s">
        <v>3668</v>
      </c>
      <c r="F620" t="s">
        <v>3669</v>
      </c>
    </row>
    <row r="621" spans="1:6" x14ac:dyDescent="0.2">
      <c r="A621" t="s">
        <v>2352</v>
      </c>
      <c r="C621" t="s">
        <v>787</v>
      </c>
      <c r="D621" t="s">
        <v>3670</v>
      </c>
      <c r="E621" t="s">
        <v>3671</v>
      </c>
      <c r="F621" t="s">
        <v>3672</v>
      </c>
    </row>
    <row r="622" spans="1:6" x14ac:dyDescent="0.2">
      <c r="A622" t="s">
        <v>1708</v>
      </c>
      <c r="C622" t="s">
        <v>787</v>
      </c>
      <c r="D622" t="s">
        <v>3673</v>
      </c>
      <c r="E622" t="s">
        <v>2841</v>
      </c>
      <c r="F622" t="s">
        <v>2617</v>
      </c>
    </row>
    <row r="623" spans="1:6" x14ac:dyDescent="0.2">
      <c r="A623" t="s">
        <v>1709</v>
      </c>
      <c r="C623" t="s">
        <v>787</v>
      </c>
      <c r="D623" t="s">
        <v>3674</v>
      </c>
      <c r="E623" t="s">
        <v>3675</v>
      </c>
      <c r="F623" t="s">
        <v>2617</v>
      </c>
    </row>
    <row r="624" spans="1:6" x14ac:dyDescent="0.2">
      <c r="A624" t="s">
        <v>2353</v>
      </c>
      <c r="C624" t="s">
        <v>787</v>
      </c>
      <c r="D624" t="s">
        <v>3676</v>
      </c>
      <c r="E624" t="s">
        <v>3677</v>
      </c>
      <c r="F624" t="s">
        <v>2617</v>
      </c>
    </row>
    <row r="625" spans="1:6" x14ac:dyDescent="0.2">
      <c r="A625" t="s">
        <v>2354</v>
      </c>
      <c r="C625" t="s">
        <v>787</v>
      </c>
      <c r="D625" t="s">
        <v>3678</v>
      </c>
      <c r="E625" t="s">
        <v>3679</v>
      </c>
      <c r="F625" t="s">
        <v>2617</v>
      </c>
    </row>
    <row r="626" spans="1:6" x14ac:dyDescent="0.2">
      <c r="A626" t="s">
        <v>1168</v>
      </c>
      <c r="C626" t="s">
        <v>787</v>
      </c>
      <c r="D626" t="s">
        <v>1820</v>
      </c>
      <c r="E626" t="s">
        <v>3680</v>
      </c>
      <c r="F626" t="s">
        <v>1247</v>
      </c>
    </row>
    <row r="627" spans="1:6" x14ac:dyDescent="0.2">
      <c r="A627" t="s">
        <v>2355</v>
      </c>
      <c r="C627" t="s">
        <v>787</v>
      </c>
      <c r="D627" t="s">
        <v>3681</v>
      </c>
      <c r="E627" t="s">
        <v>1613</v>
      </c>
      <c r="F627" t="s">
        <v>2617</v>
      </c>
    </row>
    <row r="628" spans="1:6" x14ac:dyDescent="0.2">
      <c r="A628" t="s">
        <v>2356</v>
      </c>
      <c r="C628" t="s">
        <v>783</v>
      </c>
      <c r="D628" t="s">
        <v>3682</v>
      </c>
      <c r="E628" t="s">
        <v>3683</v>
      </c>
      <c r="F628" t="s">
        <v>3446</v>
      </c>
    </row>
    <row r="629" spans="1:6" x14ac:dyDescent="0.2">
      <c r="A629" t="s">
        <v>2357</v>
      </c>
      <c r="C629" t="s">
        <v>787</v>
      </c>
      <c r="D629" t="s">
        <v>3684</v>
      </c>
      <c r="E629" t="s">
        <v>3685</v>
      </c>
      <c r="F629" t="s">
        <v>2617</v>
      </c>
    </row>
    <row r="630" spans="1:6" x14ac:dyDescent="0.2">
      <c r="A630" t="s">
        <v>1169</v>
      </c>
      <c r="C630" t="s">
        <v>787</v>
      </c>
      <c r="D630" t="s">
        <v>1366</v>
      </c>
      <c r="E630" t="s">
        <v>1006</v>
      </c>
      <c r="F630" t="s">
        <v>2926</v>
      </c>
    </row>
    <row r="631" spans="1:6" x14ac:dyDescent="0.2">
      <c r="A631" t="s">
        <v>2358</v>
      </c>
      <c r="C631" t="s">
        <v>787</v>
      </c>
      <c r="D631" t="s">
        <v>1308</v>
      </c>
      <c r="E631" t="s">
        <v>3686</v>
      </c>
      <c r="F631" t="s">
        <v>844</v>
      </c>
    </row>
    <row r="632" spans="1:6" x14ac:dyDescent="0.2">
      <c r="A632" t="s">
        <v>2359</v>
      </c>
      <c r="C632" t="s">
        <v>783</v>
      </c>
      <c r="D632" t="s">
        <v>3687</v>
      </c>
      <c r="E632" t="s">
        <v>3688</v>
      </c>
      <c r="F632" t="s">
        <v>2647</v>
      </c>
    </row>
    <row r="633" spans="1:6" x14ac:dyDescent="0.2">
      <c r="A633" t="s">
        <v>2360</v>
      </c>
      <c r="C633" t="s">
        <v>787</v>
      </c>
      <c r="D633" t="s">
        <v>1342</v>
      </c>
      <c r="E633" t="s">
        <v>3689</v>
      </c>
      <c r="F633" t="s">
        <v>2617</v>
      </c>
    </row>
    <row r="634" spans="1:6" x14ac:dyDescent="0.2">
      <c r="A634" t="s">
        <v>1170</v>
      </c>
      <c r="C634" t="s">
        <v>787</v>
      </c>
      <c r="D634" t="s">
        <v>1367</v>
      </c>
      <c r="E634" t="s">
        <v>1368</v>
      </c>
      <c r="F634" t="s">
        <v>1369</v>
      </c>
    </row>
    <row r="635" spans="1:6" x14ac:dyDescent="0.2">
      <c r="A635" t="s">
        <v>1531</v>
      </c>
      <c r="C635" t="s">
        <v>783</v>
      </c>
      <c r="D635" t="s">
        <v>3690</v>
      </c>
      <c r="E635" t="s">
        <v>3586</v>
      </c>
      <c r="F635" t="s">
        <v>2647</v>
      </c>
    </row>
    <row r="636" spans="1:6" x14ac:dyDescent="0.2">
      <c r="A636" t="s">
        <v>2361</v>
      </c>
      <c r="C636" t="s">
        <v>783</v>
      </c>
      <c r="D636" t="s">
        <v>3691</v>
      </c>
      <c r="E636" t="s">
        <v>3692</v>
      </c>
      <c r="F636" t="s">
        <v>3693</v>
      </c>
    </row>
    <row r="637" spans="1:6" x14ac:dyDescent="0.2">
      <c r="A637" t="s">
        <v>989</v>
      </c>
      <c r="C637" t="s">
        <v>787</v>
      </c>
      <c r="D637" t="s">
        <v>3694</v>
      </c>
      <c r="E637" t="s">
        <v>910</v>
      </c>
      <c r="F637" t="s">
        <v>3665</v>
      </c>
    </row>
    <row r="638" spans="1:6" x14ac:dyDescent="0.2">
      <c r="A638" t="s">
        <v>2362</v>
      </c>
      <c r="C638" t="s">
        <v>1482</v>
      </c>
      <c r="D638" t="s">
        <v>3695</v>
      </c>
      <c r="E638" t="s">
        <v>3696</v>
      </c>
      <c r="F638" t="s">
        <v>3043</v>
      </c>
    </row>
    <row r="639" spans="1:6" x14ac:dyDescent="0.2">
      <c r="A639" t="s">
        <v>2363</v>
      </c>
      <c r="C639" t="s">
        <v>787</v>
      </c>
      <c r="D639" t="s">
        <v>3697</v>
      </c>
      <c r="E639" t="s">
        <v>3698</v>
      </c>
      <c r="F639" t="s">
        <v>2926</v>
      </c>
    </row>
    <row r="640" spans="1:6" x14ac:dyDescent="0.2">
      <c r="A640" t="s">
        <v>1535</v>
      </c>
      <c r="C640" t="s">
        <v>783</v>
      </c>
      <c r="D640" t="s">
        <v>2954</v>
      </c>
      <c r="E640" t="s">
        <v>1773</v>
      </c>
      <c r="F640" t="s">
        <v>2647</v>
      </c>
    </row>
    <row r="641" spans="1:6" x14ac:dyDescent="0.2">
      <c r="A641" t="s">
        <v>2364</v>
      </c>
      <c r="C641" t="s">
        <v>783</v>
      </c>
      <c r="D641" t="s">
        <v>3699</v>
      </c>
      <c r="E641" t="s">
        <v>3700</v>
      </c>
      <c r="F641" t="s">
        <v>3701</v>
      </c>
    </row>
    <row r="642" spans="1:6" x14ac:dyDescent="0.2">
      <c r="A642" t="s">
        <v>1710</v>
      </c>
      <c r="C642" t="s">
        <v>787</v>
      </c>
      <c r="D642" t="s">
        <v>3702</v>
      </c>
      <c r="E642" t="s">
        <v>3703</v>
      </c>
      <c r="F642" t="s">
        <v>2617</v>
      </c>
    </row>
    <row r="643" spans="1:6" x14ac:dyDescent="0.2">
      <c r="A643" t="s">
        <v>2365</v>
      </c>
      <c r="C643" t="s">
        <v>787</v>
      </c>
      <c r="D643" t="s">
        <v>3704</v>
      </c>
      <c r="E643" t="s">
        <v>3705</v>
      </c>
      <c r="F643" t="s">
        <v>822</v>
      </c>
    </row>
    <row r="644" spans="1:6" x14ac:dyDescent="0.2">
      <c r="A644" t="s">
        <v>2366</v>
      </c>
      <c r="C644" t="s">
        <v>787</v>
      </c>
      <c r="D644" t="s">
        <v>1009</v>
      </c>
      <c r="E644" t="s">
        <v>3706</v>
      </c>
      <c r="F644" t="s">
        <v>2617</v>
      </c>
    </row>
    <row r="645" spans="1:6" x14ac:dyDescent="0.2">
      <c r="A645" t="s">
        <v>1171</v>
      </c>
      <c r="C645" t="s">
        <v>787</v>
      </c>
      <c r="D645" t="s">
        <v>1370</v>
      </c>
      <c r="E645" t="s">
        <v>3707</v>
      </c>
      <c r="F645" t="s">
        <v>815</v>
      </c>
    </row>
    <row r="646" spans="1:6" x14ac:dyDescent="0.2">
      <c r="A646" t="s">
        <v>1172</v>
      </c>
      <c r="C646" t="s">
        <v>787</v>
      </c>
      <c r="D646" t="s">
        <v>3708</v>
      </c>
      <c r="E646" t="s">
        <v>3709</v>
      </c>
      <c r="F646" t="s">
        <v>1371</v>
      </c>
    </row>
    <row r="647" spans="1:6" x14ac:dyDescent="0.2">
      <c r="A647" t="s">
        <v>2367</v>
      </c>
      <c r="C647" t="s">
        <v>787</v>
      </c>
      <c r="D647" t="s">
        <v>2780</v>
      </c>
      <c r="E647" t="s">
        <v>3710</v>
      </c>
      <c r="F647" t="s">
        <v>2985</v>
      </c>
    </row>
    <row r="648" spans="1:6" x14ac:dyDescent="0.2">
      <c r="A648" t="s">
        <v>1711</v>
      </c>
      <c r="C648" t="s">
        <v>787</v>
      </c>
      <c r="D648" t="s">
        <v>3711</v>
      </c>
      <c r="E648" t="s">
        <v>3712</v>
      </c>
      <c r="F648" t="s">
        <v>3713</v>
      </c>
    </row>
    <row r="649" spans="1:6" x14ac:dyDescent="0.2">
      <c r="A649" t="s">
        <v>2368</v>
      </c>
      <c r="C649" t="s">
        <v>787</v>
      </c>
      <c r="D649" t="s">
        <v>3714</v>
      </c>
      <c r="E649" t="s">
        <v>3715</v>
      </c>
      <c r="F649" t="s">
        <v>2617</v>
      </c>
    </row>
    <row r="650" spans="1:6" x14ac:dyDescent="0.2">
      <c r="A650" t="s">
        <v>2369</v>
      </c>
      <c r="C650" t="s">
        <v>787</v>
      </c>
      <c r="D650" t="s">
        <v>3716</v>
      </c>
      <c r="E650" t="s">
        <v>1425</v>
      </c>
      <c r="F650" t="s">
        <v>3717</v>
      </c>
    </row>
    <row r="651" spans="1:6" x14ac:dyDescent="0.2">
      <c r="A651" t="s">
        <v>1173</v>
      </c>
      <c r="C651" t="s">
        <v>787</v>
      </c>
      <c r="D651" t="s">
        <v>3718</v>
      </c>
      <c r="E651" t="s">
        <v>3719</v>
      </c>
      <c r="F651" t="s">
        <v>3717</v>
      </c>
    </row>
    <row r="652" spans="1:6" x14ac:dyDescent="0.2">
      <c r="A652" t="s">
        <v>2370</v>
      </c>
      <c r="C652" t="s">
        <v>787</v>
      </c>
      <c r="D652" t="s">
        <v>1451</v>
      </c>
      <c r="E652" t="s">
        <v>3720</v>
      </c>
      <c r="F652" t="s">
        <v>3348</v>
      </c>
    </row>
    <row r="653" spans="1:6" x14ac:dyDescent="0.2">
      <c r="A653" t="s">
        <v>2371</v>
      </c>
      <c r="C653" t="s">
        <v>787</v>
      </c>
      <c r="D653" t="s">
        <v>3721</v>
      </c>
      <c r="E653" t="s">
        <v>3722</v>
      </c>
      <c r="F653" t="s">
        <v>2617</v>
      </c>
    </row>
    <row r="654" spans="1:6" x14ac:dyDescent="0.2">
      <c r="A654" t="s">
        <v>2372</v>
      </c>
      <c r="C654" t="s">
        <v>787</v>
      </c>
      <c r="D654" t="s">
        <v>2777</v>
      </c>
      <c r="E654" t="s">
        <v>3723</v>
      </c>
      <c r="F654" t="s">
        <v>2617</v>
      </c>
    </row>
    <row r="655" spans="1:6" x14ac:dyDescent="0.2">
      <c r="A655" t="s">
        <v>2373</v>
      </c>
      <c r="C655" t="s">
        <v>787</v>
      </c>
      <c r="D655" t="s">
        <v>3724</v>
      </c>
      <c r="E655" t="s">
        <v>820</v>
      </c>
      <c r="F655" t="s">
        <v>859</v>
      </c>
    </row>
    <row r="656" spans="1:6" x14ac:dyDescent="0.2">
      <c r="A656" t="s">
        <v>2374</v>
      </c>
      <c r="C656" t="s">
        <v>787</v>
      </c>
      <c r="D656" t="s">
        <v>1258</v>
      </c>
      <c r="E656" t="s">
        <v>3725</v>
      </c>
      <c r="F656" t="s">
        <v>1015</v>
      </c>
    </row>
    <row r="657" spans="1:6" x14ac:dyDescent="0.2">
      <c r="A657" t="s">
        <v>2375</v>
      </c>
      <c r="C657" t="s">
        <v>787</v>
      </c>
      <c r="D657" t="s">
        <v>3726</v>
      </c>
      <c r="E657" t="s">
        <v>3727</v>
      </c>
      <c r="F657" t="s">
        <v>1087</v>
      </c>
    </row>
    <row r="658" spans="1:6" x14ac:dyDescent="0.2">
      <c r="A658" t="s">
        <v>2376</v>
      </c>
      <c r="C658" t="s">
        <v>787</v>
      </c>
      <c r="D658" t="s">
        <v>3728</v>
      </c>
      <c r="E658" t="s">
        <v>2883</v>
      </c>
      <c r="F658" t="s">
        <v>2617</v>
      </c>
    </row>
    <row r="659" spans="1:6" x14ac:dyDescent="0.2">
      <c r="A659" t="s">
        <v>1712</v>
      </c>
      <c r="C659" t="s">
        <v>787</v>
      </c>
      <c r="D659" t="s">
        <v>1836</v>
      </c>
      <c r="E659" t="s">
        <v>1850</v>
      </c>
      <c r="F659" t="s">
        <v>3729</v>
      </c>
    </row>
    <row r="660" spans="1:6" x14ac:dyDescent="0.2">
      <c r="A660" t="s">
        <v>2377</v>
      </c>
      <c r="C660" t="s">
        <v>787</v>
      </c>
      <c r="D660" t="s">
        <v>3730</v>
      </c>
      <c r="E660" t="s">
        <v>3731</v>
      </c>
      <c r="F660" t="s">
        <v>2617</v>
      </c>
    </row>
    <row r="661" spans="1:6" x14ac:dyDescent="0.2">
      <c r="A661" t="s">
        <v>1174</v>
      </c>
      <c r="C661" t="s">
        <v>787</v>
      </c>
      <c r="D661" t="s">
        <v>3732</v>
      </c>
      <c r="E661" t="s">
        <v>1372</v>
      </c>
      <c r="F661" t="s">
        <v>3104</v>
      </c>
    </row>
    <row r="662" spans="1:6" x14ac:dyDescent="0.2">
      <c r="A662" t="s">
        <v>1713</v>
      </c>
      <c r="C662" t="s">
        <v>787</v>
      </c>
      <c r="D662" t="s">
        <v>3733</v>
      </c>
      <c r="E662" t="s">
        <v>3734</v>
      </c>
      <c r="F662" t="s">
        <v>2617</v>
      </c>
    </row>
    <row r="663" spans="1:6" x14ac:dyDescent="0.2">
      <c r="A663" t="s">
        <v>2378</v>
      </c>
      <c r="C663" t="s">
        <v>787</v>
      </c>
      <c r="D663" t="s">
        <v>3735</v>
      </c>
      <c r="E663" t="s">
        <v>3736</v>
      </c>
      <c r="F663" t="s">
        <v>3737</v>
      </c>
    </row>
    <row r="664" spans="1:6" x14ac:dyDescent="0.2">
      <c r="A664" t="s">
        <v>1714</v>
      </c>
      <c r="C664" t="s">
        <v>787</v>
      </c>
      <c r="D664" t="s">
        <v>3738</v>
      </c>
      <c r="E664" t="s">
        <v>3058</v>
      </c>
      <c r="F664" t="s">
        <v>2617</v>
      </c>
    </row>
    <row r="665" spans="1:6" x14ac:dyDescent="0.2">
      <c r="A665" t="s">
        <v>1715</v>
      </c>
      <c r="C665" t="s">
        <v>787</v>
      </c>
      <c r="D665" t="s">
        <v>3739</v>
      </c>
      <c r="E665" t="s">
        <v>3740</v>
      </c>
      <c r="F665" t="s">
        <v>2617</v>
      </c>
    </row>
    <row r="666" spans="1:6" x14ac:dyDescent="0.2">
      <c r="A666" t="s">
        <v>2379</v>
      </c>
      <c r="C666" t="s">
        <v>787</v>
      </c>
      <c r="D666" t="s">
        <v>3741</v>
      </c>
      <c r="E666" t="s">
        <v>3742</v>
      </c>
      <c r="F666" t="s">
        <v>2617</v>
      </c>
    </row>
    <row r="667" spans="1:6" x14ac:dyDescent="0.2">
      <c r="A667" t="s">
        <v>2380</v>
      </c>
      <c r="C667" t="s">
        <v>787</v>
      </c>
      <c r="D667" t="s">
        <v>3743</v>
      </c>
      <c r="E667" t="s">
        <v>3744</v>
      </c>
      <c r="F667" t="s">
        <v>2617</v>
      </c>
    </row>
    <row r="668" spans="1:6" x14ac:dyDescent="0.2">
      <c r="A668" t="s">
        <v>2381</v>
      </c>
      <c r="C668" t="s">
        <v>787</v>
      </c>
      <c r="D668" t="s">
        <v>3745</v>
      </c>
      <c r="E668" t="s">
        <v>812</v>
      </c>
      <c r="F668" t="s">
        <v>2617</v>
      </c>
    </row>
    <row r="669" spans="1:6" x14ac:dyDescent="0.2">
      <c r="A669" t="s">
        <v>1175</v>
      </c>
      <c r="C669" t="s">
        <v>787</v>
      </c>
      <c r="D669" t="s">
        <v>1373</v>
      </c>
      <c r="E669" t="s">
        <v>829</v>
      </c>
      <c r="F669" t="s">
        <v>1374</v>
      </c>
    </row>
    <row r="670" spans="1:6" x14ac:dyDescent="0.2">
      <c r="A670" t="s">
        <v>2382</v>
      </c>
      <c r="C670" t="s">
        <v>787</v>
      </c>
      <c r="D670" t="s">
        <v>3746</v>
      </c>
      <c r="E670" t="s">
        <v>3747</v>
      </c>
      <c r="F670" t="s">
        <v>2617</v>
      </c>
    </row>
    <row r="671" spans="1:6" x14ac:dyDescent="0.2">
      <c r="A671" t="s">
        <v>2383</v>
      </c>
      <c r="C671" t="s">
        <v>787</v>
      </c>
      <c r="D671" t="s">
        <v>3403</v>
      </c>
      <c r="E671" t="s">
        <v>3748</v>
      </c>
      <c r="F671" t="s">
        <v>2617</v>
      </c>
    </row>
    <row r="672" spans="1:6" x14ac:dyDescent="0.2">
      <c r="A672" t="s">
        <v>1716</v>
      </c>
      <c r="C672" t="s">
        <v>787</v>
      </c>
      <c r="D672" t="s">
        <v>828</v>
      </c>
      <c r="E672" t="s">
        <v>1278</v>
      </c>
      <c r="F672" t="s">
        <v>2617</v>
      </c>
    </row>
    <row r="673" spans="1:6" x14ac:dyDescent="0.2">
      <c r="A673" t="s">
        <v>1176</v>
      </c>
      <c r="C673" t="s">
        <v>787</v>
      </c>
      <c r="D673" t="s">
        <v>1375</v>
      </c>
      <c r="E673" t="s">
        <v>2649</v>
      </c>
      <c r="F673" t="s">
        <v>822</v>
      </c>
    </row>
    <row r="674" spans="1:6" x14ac:dyDescent="0.2">
      <c r="A674" t="s">
        <v>2384</v>
      </c>
      <c r="C674" t="s">
        <v>787</v>
      </c>
      <c r="D674" t="s">
        <v>3576</v>
      </c>
      <c r="E674" t="s">
        <v>3749</v>
      </c>
      <c r="F674" t="s">
        <v>2617</v>
      </c>
    </row>
    <row r="675" spans="1:6" x14ac:dyDescent="0.2">
      <c r="A675" t="s">
        <v>1717</v>
      </c>
      <c r="C675" t="s">
        <v>787</v>
      </c>
      <c r="D675" t="s">
        <v>1417</v>
      </c>
      <c r="E675" t="s">
        <v>3750</v>
      </c>
      <c r="F675" t="s">
        <v>2617</v>
      </c>
    </row>
    <row r="676" spans="1:6" x14ac:dyDescent="0.2">
      <c r="A676" t="s">
        <v>1177</v>
      </c>
      <c r="C676" t="s">
        <v>787</v>
      </c>
      <c r="D676" t="s">
        <v>1376</v>
      </c>
      <c r="E676" t="s">
        <v>1377</v>
      </c>
      <c r="F676" t="s">
        <v>1378</v>
      </c>
    </row>
    <row r="677" spans="1:6" x14ac:dyDescent="0.2">
      <c r="A677" t="s">
        <v>2385</v>
      </c>
      <c r="C677" t="s">
        <v>787</v>
      </c>
      <c r="D677" t="s">
        <v>2605</v>
      </c>
      <c r="E677" t="s">
        <v>855</v>
      </c>
      <c r="F677" t="s">
        <v>849</v>
      </c>
    </row>
    <row r="678" spans="1:6" x14ac:dyDescent="0.2">
      <c r="A678" t="s">
        <v>1718</v>
      </c>
      <c r="C678" t="s">
        <v>787</v>
      </c>
      <c r="D678" t="s">
        <v>3751</v>
      </c>
      <c r="E678" t="s">
        <v>3752</v>
      </c>
      <c r="F678" t="s">
        <v>2617</v>
      </c>
    </row>
    <row r="679" spans="1:6" x14ac:dyDescent="0.2">
      <c r="A679" t="s">
        <v>2386</v>
      </c>
      <c r="C679" t="s">
        <v>787</v>
      </c>
      <c r="D679" t="s">
        <v>3233</v>
      </c>
      <c r="E679" t="s">
        <v>3668</v>
      </c>
      <c r="F679" t="s">
        <v>2617</v>
      </c>
    </row>
    <row r="680" spans="1:6" x14ac:dyDescent="0.2">
      <c r="A680" t="s">
        <v>1178</v>
      </c>
      <c r="C680" t="s">
        <v>783</v>
      </c>
      <c r="D680" t="s">
        <v>1379</v>
      </c>
      <c r="E680" t="s">
        <v>3753</v>
      </c>
      <c r="F680" t="s">
        <v>1380</v>
      </c>
    </row>
    <row r="681" spans="1:6" x14ac:dyDescent="0.2">
      <c r="A681" t="s">
        <v>2387</v>
      </c>
      <c r="C681" t="s">
        <v>1482</v>
      </c>
      <c r="D681" t="s">
        <v>3754</v>
      </c>
      <c r="E681" t="s">
        <v>3755</v>
      </c>
      <c r="F681" t="s">
        <v>3028</v>
      </c>
    </row>
    <row r="682" spans="1:6" x14ac:dyDescent="0.2">
      <c r="A682" t="s">
        <v>2388</v>
      </c>
      <c r="C682" t="s">
        <v>1482</v>
      </c>
      <c r="D682" t="s">
        <v>3756</v>
      </c>
      <c r="E682" t="s">
        <v>3757</v>
      </c>
      <c r="F682" t="s">
        <v>3758</v>
      </c>
    </row>
    <row r="683" spans="1:6" x14ac:dyDescent="0.2">
      <c r="A683" t="s">
        <v>2389</v>
      </c>
      <c r="C683" t="s">
        <v>787</v>
      </c>
      <c r="D683" t="s">
        <v>3759</v>
      </c>
      <c r="E683" t="s">
        <v>1814</v>
      </c>
      <c r="F683" t="s">
        <v>823</v>
      </c>
    </row>
    <row r="684" spans="1:6" x14ac:dyDescent="0.2">
      <c r="A684" t="s">
        <v>1179</v>
      </c>
      <c r="C684" t="s">
        <v>787</v>
      </c>
      <c r="D684" t="s">
        <v>3760</v>
      </c>
      <c r="E684" t="s">
        <v>1319</v>
      </c>
      <c r="F684" t="s">
        <v>3761</v>
      </c>
    </row>
    <row r="685" spans="1:6" x14ac:dyDescent="0.2">
      <c r="A685" t="s">
        <v>1180</v>
      </c>
      <c r="C685" t="s">
        <v>783</v>
      </c>
      <c r="D685" t="s">
        <v>1419</v>
      </c>
      <c r="E685" t="s">
        <v>3762</v>
      </c>
      <c r="F685" t="s">
        <v>1384</v>
      </c>
    </row>
    <row r="686" spans="1:6" x14ac:dyDescent="0.2">
      <c r="A686" t="s">
        <v>2390</v>
      </c>
      <c r="C686" t="s">
        <v>787</v>
      </c>
      <c r="D686" t="s">
        <v>3763</v>
      </c>
      <c r="E686" t="s">
        <v>3764</v>
      </c>
      <c r="F686" t="s">
        <v>2617</v>
      </c>
    </row>
    <row r="687" spans="1:6" x14ac:dyDescent="0.2">
      <c r="A687" t="s">
        <v>1181</v>
      </c>
      <c r="C687" t="s">
        <v>787</v>
      </c>
      <c r="D687" t="s">
        <v>3765</v>
      </c>
      <c r="E687" t="s">
        <v>1386</v>
      </c>
      <c r="F687" t="s">
        <v>3510</v>
      </c>
    </row>
    <row r="688" spans="1:6" x14ac:dyDescent="0.2">
      <c r="A688" t="s">
        <v>2391</v>
      </c>
      <c r="C688" t="s">
        <v>787</v>
      </c>
      <c r="D688" t="s">
        <v>3766</v>
      </c>
      <c r="E688" t="s">
        <v>3767</v>
      </c>
      <c r="F688" t="s">
        <v>955</v>
      </c>
    </row>
    <row r="689" spans="1:6" x14ac:dyDescent="0.2">
      <c r="A689" t="s">
        <v>2392</v>
      </c>
      <c r="C689" t="s">
        <v>787</v>
      </c>
      <c r="D689" t="s">
        <v>3768</v>
      </c>
      <c r="E689" t="s">
        <v>3239</v>
      </c>
      <c r="F689" t="s">
        <v>3467</v>
      </c>
    </row>
    <row r="690" spans="1:6" x14ac:dyDescent="0.2">
      <c r="A690" t="s">
        <v>2393</v>
      </c>
      <c r="C690" t="s">
        <v>787</v>
      </c>
      <c r="D690" t="s">
        <v>3769</v>
      </c>
      <c r="E690" t="s">
        <v>3770</v>
      </c>
      <c r="F690" t="s">
        <v>898</v>
      </c>
    </row>
    <row r="691" spans="1:6" x14ac:dyDescent="0.2">
      <c r="A691" t="s">
        <v>2394</v>
      </c>
      <c r="C691" t="s">
        <v>787</v>
      </c>
      <c r="D691" t="s">
        <v>3771</v>
      </c>
      <c r="E691" t="s">
        <v>3772</v>
      </c>
      <c r="F691" t="s">
        <v>3773</v>
      </c>
    </row>
    <row r="692" spans="1:6" x14ac:dyDescent="0.2">
      <c r="A692" t="s">
        <v>2395</v>
      </c>
      <c r="C692" t="s">
        <v>787</v>
      </c>
      <c r="D692" t="s">
        <v>2697</v>
      </c>
      <c r="E692" t="s">
        <v>3774</v>
      </c>
      <c r="F692" t="s">
        <v>3211</v>
      </c>
    </row>
    <row r="693" spans="1:6" x14ac:dyDescent="0.2">
      <c r="A693" t="s">
        <v>1182</v>
      </c>
      <c r="C693" t="s">
        <v>787</v>
      </c>
      <c r="D693" t="s">
        <v>1387</v>
      </c>
      <c r="E693" t="s">
        <v>3765</v>
      </c>
      <c r="F693" t="s">
        <v>1388</v>
      </c>
    </row>
    <row r="694" spans="1:6" x14ac:dyDescent="0.2">
      <c r="A694" t="s">
        <v>2396</v>
      </c>
      <c r="C694" t="s">
        <v>787</v>
      </c>
      <c r="D694" t="s">
        <v>2731</v>
      </c>
      <c r="E694" t="s">
        <v>3775</v>
      </c>
      <c r="F694" t="s">
        <v>3729</v>
      </c>
    </row>
    <row r="695" spans="1:6" x14ac:dyDescent="0.2">
      <c r="A695" t="s">
        <v>2397</v>
      </c>
      <c r="C695" t="s">
        <v>787</v>
      </c>
      <c r="D695" t="s">
        <v>3250</v>
      </c>
      <c r="E695" t="s">
        <v>2791</v>
      </c>
      <c r="F695" t="s">
        <v>2617</v>
      </c>
    </row>
    <row r="696" spans="1:6" x14ac:dyDescent="0.2">
      <c r="A696" t="s">
        <v>1183</v>
      </c>
      <c r="C696" t="s">
        <v>787</v>
      </c>
      <c r="D696" t="s">
        <v>1312</v>
      </c>
      <c r="E696" t="s">
        <v>1390</v>
      </c>
      <c r="F696" t="s">
        <v>1391</v>
      </c>
    </row>
    <row r="697" spans="1:6" x14ac:dyDescent="0.2">
      <c r="A697" t="s">
        <v>2398</v>
      </c>
      <c r="C697" t="s">
        <v>787</v>
      </c>
      <c r="D697" t="s">
        <v>3776</v>
      </c>
      <c r="E697" t="s">
        <v>1342</v>
      </c>
      <c r="F697" t="s">
        <v>2617</v>
      </c>
    </row>
    <row r="698" spans="1:6" x14ac:dyDescent="0.2">
      <c r="A698" t="s">
        <v>2399</v>
      </c>
      <c r="C698" t="s">
        <v>787</v>
      </c>
      <c r="D698" t="s">
        <v>1364</v>
      </c>
      <c r="E698" t="s">
        <v>3052</v>
      </c>
      <c r="F698" t="s">
        <v>2617</v>
      </c>
    </row>
    <row r="699" spans="1:6" x14ac:dyDescent="0.2">
      <c r="A699" t="s">
        <v>2400</v>
      </c>
      <c r="C699" t="s">
        <v>787</v>
      </c>
      <c r="D699" t="s">
        <v>3777</v>
      </c>
      <c r="E699" t="s">
        <v>3778</v>
      </c>
      <c r="F699" t="s">
        <v>2617</v>
      </c>
    </row>
    <row r="700" spans="1:6" x14ac:dyDescent="0.2">
      <c r="A700" t="s">
        <v>1184</v>
      </c>
      <c r="C700" t="s">
        <v>787</v>
      </c>
      <c r="D700" t="s">
        <v>1593</v>
      </c>
      <c r="E700" t="s">
        <v>1276</v>
      </c>
      <c r="F700" t="s">
        <v>3719</v>
      </c>
    </row>
    <row r="701" spans="1:6" x14ac:dyDescent="0.2">
      <c r="A701" t="s">
        <v>2401</v>
      </c>
      <c r="C701" t="s">
        <v>787</v>
      </c>
      <c r="D701" t="s">
        <v>3779</v>
      </c>
      <c r="E701" t="s">
        <v>3780</v>
      </c>
      <c r="F701" t="s">
        <v>2617</v>
      </c>
    </row>
    <row r="702" spans="1:6" x14ac:dyDescent="0.2">
      <c r="A702" t="s">
        <v>2402</v>
      </c>
      <c r="C702" t="s">
        <v>787</v>
      </c>
      <c r="D702" t="s">
        <v>3779</v>
      </c>
      <c r="E702" t="s">
        <v>3781</v>
      </c>
      <c r="F702" t="s">
        <v>857</v>
      </c>
    </row>
    <row r="703" spans="1:6" x14ac:dyDescent="0.2">
      <c r="A703" t="s">
        <v>2403</v>
      </c>
      <c r="C703" t="s">
        <v>787</v>
      </c>
      <c r="D703" t="s">
        <v>3782</v>
      </c>
      <c r="E703" t="s">
        <v>3783</v>
      </c>
      <c r="F703" t="s">
        <v>2617</v>
      </c>
    </row>
    <row r="704" spans="1:6" x14ac:dyDescent="0.2">
      <c r="A704" t="s">
        <v>1185</v>
      </c>
      <c r="C704" t="s">
        <v>787</v>
      </c>
      <c r="D704" t="s">
        <v>3784</v>
      </c>
      <c r="E704" t="s">
        <v>1245</v>
      </c>
      <c r="F704" t="s">
        <v>3785</v>
      </c>
    </row>
    <row r="705" spans="1:6" x14ac:dyDescent="0.2">
      <c r="A705" t="s">
        <v>2404</v>
      </c>
      <c r="C705" t="s">
        <v>787</v>
      </c>
      <c r="D705" t="s">
        <v>3786</v>
      </c>
      <c r="E705" t="s">
        <v>3787</v>
      </c>
      <c r="F705" t="s">
        <v>2617</v>
      </c>
    </row>
    <row r="706" spans="1:6" x14ac:dyDescent="0.2">
      <c r="A706" t="s">
        <v>2405</v>
      </c>
      <c r="C706" t="s">
        <v>787</v>
      </c>
      <c r="D706" t="s">
        <v>3788</v>
      </c>
      <c r="E706" t="s">
        <v>3789</v>
      </c>
      <c r="F706" t="s">
        <v>2617</v>
      </c>
    </row>
    <row r="707" spans="1:6" x14ac:dyDescent="0.2">
      <c r="A707" t="s">
        <v>1186</v>
      </c>
      <c r="C707" t="s">
        <v>787</v>
      </c>
      <c r="D707" t="s">
        <v>1256</v>
      </c>
      <c r="E707" t="s">
        <v>3790</v>
      </c>
      <c r="F707" t="s">
        <v>2769</v>
      </c>
    </row>
    <row r="708" spans="1:6" x14ac:dyDescent="0.2">
      <c r="A708" t="s">
        <v>2406</v>
      </c>
      <c r="C708" t="s">
        <v>787</v>
      </c>
      <c r="D708" t="s">
        <v>3791</v>
      </c>
      <c r="E708" t="s">
        <v>3792</v>
      </c>
      <c r="F708" t="s">
        <v>2617</v>
      </c>
    </row>
    <row r="709" spans="1:6" x14ac:dyDescent="0.2">
      <c r="A709" t="s">
        <v>1187</v>
      </c>
      <c r="C709" t="s">
        <v>787</v>
      </c>
      <c r="D709" t="s">
        <v>3793</v>
      </c>
      <c r="E709" t="s">
        <v>1394</v>
      </c>
      <c r="F709" t="s">
        <v>1761</v>
      </c>
    </row>
    <row r="710" spans="1:6" x14ac:dyDescent="0.2">
      <c r="A710" t="s">
        <v>2407</v>
      </c>
      <c r="C710" t="s">
        <v>787</v>
      </c>
      <c r="D710" t="s">
        <v>3794</v>
      </c>
      <c r="E710" t="s">
        <v>1273</v>
      </c>
      <c r="F710" t="s">
        <v>2617</v>
      </c>
    </row>
    <row r="711" spans="1:6" x14ac:dyDescent="0.2">
      <c r="A711" t="s">
        <v>1188</v>
      </c>
      <c r="C711" t="s">
        <v>787</v>
      </c>
      <c r="D711" t="s">
        <v>1396</v>
      </c>
      <c r="E711" t="s">
        <v>1592</v>
      </c>
      <c r="F711" t="s">
        <v>844</v>
      </c>
    </row>
    <row r="712" spans="1:6" x14ac:dyDescent="0.2">
      <c r="A712" t="s">
        <v>2408</v>
      </c>
      <c r="C712" t="s">
        <v>787</v>
      </c>
      <c r="D712" t="s">
        <v>1396</v>
      </c>
      <c r="E712" t="s">
        <v>3795</v>
      </c>
      <c r="F712" t="s">
        <v>920</v>
      </c>
    </row>
    <row r="713" spans="1:6" x14ac:dyDescent="0.2">
      <c r="A713" t="s">
        <v>2409</v>
      </c>
      <c r="C713" t="s">
        <v>787</v>
      </c>
      <c r="D713" t="s">
        <v>1445</v>
      </c>
      <c r="E713" t="s">
        <v>3796</v>
      </c>
      <c r="F713" t="s">
        <v>3104</v>
      </c>
    </row>
    <row r="714" spans="1:6" x14ac:dyDescent="0.2">
      <c r="A714" t="s">
        <v>2410</v>
      </c>
      <c r="C714" t="s">
        <v>787</v>
      </c>
      <c r="D714" t="s">
        <v>3797</v>
      </c>
      <c r="E714" t="s">
        <v>823</v>
      </c>
      <c r="F714" t="s">
        <v>2617</v>
      </c>
    </row>
    <row r="715" spans="1:6" x14ac:dyDescent="0.2">
      <c r="A715" t="s">
        <v>1719</v>
      </c>
      <c r="C715" t="s">
        <v>787</v>
      </c>
      <c r="D715" t="s">
        <v>802</v>
      </c>
      <c r="E715" t="s">
        <v>2789</v>
      </c>
      <c r="F715" t="s">
        <v>1289</v>
      </c>
    </row>
    <row r="716" spans="1:6" x14ac:dyDescent="0.2">
      <c r="A716" t="s">
        <v>1189</v>
      </c>
      <c r="C716" t="s">
        <v>787</v>
      </c>
      <c r="D716" t="s">
        <v>3798</v>
      </c>
      <c r="E716" t="s">
        <v>1397</v>
      </c>
      <c r="F716" t="s">
        <v>826</v>
      </c>
    </row>
    <row r="717" spans="1:6" x14ac:dyDescent="0.2">
      <c r="A717" t="s">
        <v>2411</v>
      </c>
      <c r="C717" t="s">
        <v>787</v>
      </c>
      <c r="D717" t="s">
        <v>3799</v>
      </c>
      <c r="E717" t="s">
        <v>3800</v>
      </c>
      <c r="F717" t="s">
        <v>929</v>
      </c>
    </row>
    <row r="718" spans="1:6" x14ac:dyDescent="0.2">
      <c r="A718" t="s">
        <v>2412</v>
      </c>
      <c r="C718" t="s">
        <v>787</v>
      </c>
      <c r="D718" t="s">
        <v>3801</v>
      </c>
      <c r="E718" t="s">
        <v>3802</v>
      </c>
      <c r="F718" t="s">
        <v>2617</v>
      </c>
    </row>
    <row r="719" spans="1:6" x14ac:dyDescent="0.2">
      <c r="A719" t="s">
        <v>1190</v>
      </c>
      <c r="C719" t="s">
        <v>787</v>
      </c>
      <c r="D719" t="s">
        <v>3803</v>
      </c>
      <c r="E719" t="s">
        <v>1310</v>
      </c>
      <c r="F719" t="s">
        <v>3804</v>
      </c>
    </row>
    <row r="720" spans="1:6" x14ac:dyDescent="0.2">
      <c r="A720" t="s">
        <v>2413</v>
      </c>
      <c r="C720" t="s">
        <v>787</v>
      </c>
      <c r="D720" t="s">
        <v>3805</v>
      </c>
      <c r="E720" t="s">
        <v>3806</v>
      </c>
      <c r="F720" t="s">
        <v>3087</v>
      </c>
    </row>
    <row r="721" spans="1:6" x14ac:dyDescent="0.2">
      <c r="A721" t="s">
        <v>2414</v>
      </c>
      <c r="C721" t="s">
        <v>787</v>
      </c>
      <c r="D721" t="s">
        <v>3759</v>
      </c>
      <c r="E721" t="s">
        <v>3807</v>
      </c>
      <c r="F721" t="s">
        <v>2617</v>
      </c>
    </row>
    <row r="722" spans="1:6" x14ac:dyDescent="0.2">
      <c r="A722" t="s">
        <v>1191</v>
      </c>
      <c r="C722" t="s">
        <v>787</v>
      </c>
      <c r="D722" t="s">
        <v>1400</v>
      </c>
      <c r="E722" t="s">
        <v>3808</v>
      </c>
      <c r="F722" t="s">
        <v>1401</v>
      </c>
    </row>
    <row r="723" spans="1:6" x14ac:dyDescent="0.2">
      <c r="A723" t="s">
        <v>2415</v>
      </c>
      <c r="C723" t="s">
        <v>1482</v>
      </c>
      <c r="D723" t="s">
        <v>3809</v>
      </c>
      <c r="E723" t="s">
        <v>3121</v>
      </c>
      <c r="F723" t="s">
        <v>1759</v>
      </c>
    </row>
    <row r="724" spans="1:6" x14ac:dyDescent="0.2">
      <c r="A724" t="s">
        <v>2416</v>
      </c>
      <c r="C724" t="s">
        <v>1482</v>
      </c>
      <c r="D724" t="s">
        <v>3810</v>
      </c>
      <c r="E724" t="s">
        <v>865</v>
      </c>
      <c r="F724" t="s">
        <v>3811</v>
      </c>
    </row>
    <row r="725" spans="1:6" x14ac:dyDescent="0.2">
      <c r="A725" t="s">
        <v>2417</v>
      </c>
      <c r="C725" t="s">
        <v>1482</v>
      </c>
      <c r="D725" t="s">
        <v>1365</v>
      </c>
      <c r="E725" t="s">
        <v>3812</v>
      </c>
      <c r="F725" t="s">
        <v>3813</v>
      </c>
    </row>
    <row r="726" spans="1:6" x14ac:dyDescent="0.2">
      <c r="A726" t="s">
        <v>2418</v>
      </c>
      <c r="C726" t="s">
        <v>1482</v>
      </c>
      <c r="D726" t="s">
        <v>1278</v>
      </c>
      <c r="E726" t="s">
        <v>3814</v>
      </c>
      <c r="F726" t="s">
        <v>3815</v>
      </c>
    </row>
    <row r="727" spans="1:6" x14ac:dyDescent="0.2">
      <c r="A727" t="s">
        <v>2419</v>
      </c>
      <c r="C727" t="s">
        <v>787</v>
      </c>
      <c r="D727" t="s">
        <v>3816</v>
      </c>
      <c r="E727" t="s">
        <v>3817</v>
      </c>
      <c r="F727" t="s">
        <v>2617</v>
      </c>
    </row>
    <row r="728" spans="1:6" x14ac:dyDescent="0.2">
      <c r="A728" t="s">
        <v>2420</v>
      </c>
      <c r="C728" t="s">
        <v>787</v>
      </c>
      <c r="D728" t="s">
        <v>2672</v>
      </c>
      <c r="E728" t="s">
        <v>3818</v>
      </c>
      <c r="F728" t="s">
        <v>3382</v>
      </c>
    </row>
    <row r="729" spans="1:6" x14ac:dyDescent="0.2">
      <c r="A729" t="s">
        <v>2421</v>
      </c>
      <c r="C729" t="s">
        <v>787</v>
      </c>
      <c r="D729" t="s">
        <v>2624</v>
      </c>
      <c r="E729" t="s">
        <v>3819</v>
      </c>
      <c r="F729" t="s">
        <v>2617</v>
      </c>
    </row>
    <row r="730" spans="1:6" x14ac:dyDescent="0.2">
      <c r="A730" t="s">
        <v>2422</v>
      </c>
      <c r="C730" t="s">
        <v>787</v>
      </c>
      <c r="D730" t="s">
        <v>3820</v>
      </c>
      <c r="E730" t="s">
        <v>3821</v>
      </c>
      <c r="F730" t="s">
        <v>3822</v>
      </c>
    </row>
    <row r="731" spans="1:6" x14ac:dyDescent="0.2">
      <c r="A731" t="s">
        <v>2423</v>
      </c>
      <c r="C731" t="s">
        <v>787</v>
      </c>
      <c r="D731" t="s">
        <v>3823</v>
      </c>
      <c r="E731" t="s">
        <v>3824</v>
      </c>
      <c r="F731" t="s">
        <v>2617</v>
      </c>
    </row>
    <row r="732" spans="1:6" x14ac:dyDescent="0.2">
      <c r="A732" t="s">
        <v>2424</v>
      </c>
      <c r="C732" t="s">
        <v>787</v>
      </c>
      <c r="D732" t="s">
        <v>3825</v>
      </c>
      <c r="E732" t="s">
        <v>3826</v>
      </c>
      <c r="F732" t="s">
        <v>2617</v>
      </c>
    </row>
    <row r="733" spans="1:6" x14ac:dyDescent="0.2">
      <c r="A733" t="s">
        <v>2425</v>
      </c>
      <c r="C733" t="s">
        <v>1482</v>
      </c>
      <c r="D733" t="s">
        <v>3827</v>
      </c>
      <c r="E733" t="s">
        <v>3828</v>
      </c>
      <c r="F733" t="s">
        <v>3829</v>
      </c>
    </row>
    <row r="734" spans="1:6" x14ac:dyDescent="0.2">
      <c r="A734" t="s">
        <v>2426</v>
      </c>
      <c r="C734" t="s">
        <v>787</v>
      </c>
      <c r="D734" t="s">
        <v>3830</v>
      </c>
      <c r="E734" t="s">
        <v>1303</v>
      </c>
      <c r="F734" t="s">
        <v>2617</v>
      </c>
    </row>
    <row r="735" spans="1:6" x14ac:dyDescent="0.2">
      <c r="A735" t="s">
        <v>1083</v>
      </c>
      <c r="C735" t="s">
        <v>787</v>
      </c>
      <c r="D735" t="s">
        <v>3831</v>
      </c>
      <c r="E735" t="s">
        <v>1421</v>
      </c>
      <c r="F735" t="s">
        <v>3832</v>
      </c>
    </row>
    <row r="736" spans="1:6" x14ac:dyDescent="0.2">
      <c r="A736" t="s">
        <v>990</v>
      </c>
      <c r="C736" t="s">
        <v>787</v>
      </c>
      <c r="D736" t="s">
        <v>3687</v>
      </c>
      <c r="E736" t="s">
        <v>3833</v>
      </c>
      <c r="F736" t="s">
        <v>1761</v>
      </c>
    </row>
    <row r="737" spans="1:6" x14ac:dyDescent="0.2">
      <c r="A737" t="s">
        <v>2427</v>
      </c>
      <c r="C737" t="s">
        <v>787</v>
      </c>
      <c r="D737" t="s">
        <v>3834</v>
      </c>
      <c r="E737" t="s">
        <v>3835</v>
      </c>
      <c r="F737" t="s">
        <v>2617</v>
      </c>
    </row>
    <row r="738" spans="1:6" x14ac:dyDescent="0.2">
      <c r="A738" t="s">
        <v>1192</v>
      </c>
      <c r="C738" t="s">
        <v>787</v>
      </c>
      <c r="D738" t="s">
        <v>1402</v>
      </c>
      <c r="E738" t="s">
        <v>1078</v>
      </c>
      <c r="F738" t="s">
        <v>3836</v>
      </c>
    </row>
    <row r="739" spans="1:6" x14ac:dyDescent="0.2">
      <c r="A739" t="s">
        <v>2428</v>
      </c>
      <c r="C739" t="s">
        <v>787</v>
      </c>
      <c r="D739" t="s">
        <v>3837</v>
      </c>
      <c r="E739" t="s">
        <v>2682</v>
      </c>
      <c r="F739" t="s">
        <v>920</v>
      </c>
    </row>
    <row r="740" spans="1:6" x14ac:dyDescent="0.2">
      <c r="A740" t="s">
        <v>2429</v>
      </c>
      <c r="C740" t="s">
        <v>787</v>
      </c>
      <c r="D740" t="s">
        <v>3838</v>
      </c>
      <c r="E740" t="s">
        <v>3839</v>
      </c>
      <c r="F740" t="s">
        <v>1371</v>
      </c>
    </row>
    <row r="741" spans="1:6" x14ac:dyDescent="0.2">
      <c r="A741" t="s">
        <v>2430</v>
      </c>
      <c r="C741" t="s">
        <v>787</v>
      </c>
      <c r="D741" t="s">
        <v>3840</v>
      </c>
      <c r="E741" t="s">
        <v>3841</v>
      </c>
      <c r="F741" t="s">
        <v>2617</v>
      </c>
    </row>
    <row r="742" spans="1:6" x14ac:dyDescent="0.2">
      <c r="A742" t="s">
        <v>1193</v>
      </c>
      <c r="C742" t="s">
        <v>787</v>
      </c>
      <c r="D742" t="s">
        <v>3842</v>
      </c>
      <c r="E742" t="s">
        <v>3843</v>
      </c>
      <c r="F742" t="s">
        <v>1301</v>
      </c>
    </row>
    <row r="743" spans="1:6" x14ac:dyDescent="0.2">
      <c r="A743" t="s">
        <v>2431</v>
      </c>
      <c r="C743" t="s">
        <v>787</v>
      </c>
      <c r="D743" t="s">
        <v>3844</v>
      </c>
      <c r="E743" t="s">
        <v>3845</v>
      </c>
      <c r="F743" t="s">
        <v>2617</v>
      </c>
    </row>
    <row r="744" spans="1:6" x14ac:dyDescent="0.2">
      <c r="A744" t="s">
        <v>1194</v>
      </c>
      <c r="C744" t="s">
        <v>787</v>
      </c>
      <c r="D744" t="s">
        <v>1403</v>
      </c>
      <c r="E744" t="s">
        <v>1404</v>
      </c>
      <c r="F744" t="s">
        <v>889</v>
      </c>
    </row>
    <row r="745" spans="1:6" x14ac:dyDescent="0.2">
      <c r="A745" t="s">
        <v>2432</v>
      </c>
      <c r="C745" t="s">
        <v>1482</v>
      </c>
      <c r="D745" t="s">
        <v>1851</v>
      </c>
      <c r="E745" t="s">
        <v>3846</v>
      </c>
      <c r="F745" t="s">
        <v>3319</v>
      </c>
    </row>
    <row r="746" spans="1:6" x14ac:dyDescent="0.2">
      <c r="A746" t="s">
        <v>2433</v>
      </c>
      <c r="C746" t="s">
        <v>787</v>
      </c>
      <c r="D746" t="s">
        <v>3847</v>
      </c>
      <c r="E746" t="s">
        <v>3848</v>
      </c>
      <c r="F746" t="s">
        <v>2617</v>
      </c>
    </row>
    <row r="747" spans="1:6" x14ac:dyDescent="0.2">
      <c r="A747" t="s">
        <v>2434</v>
      </c>
      <c r="C747" t="s">
        <v>787</v>
      </c>
      <c r="D747" t="s">
        <v>3849</v>
      </c>
      <c r="E747" t="s">
        <v>3850</v>
      </c>
      <c r="F747" t="s">
        <v>2617</v>
      </c>
    </row>
    <row r="748" spans="1:6" x14ac:dyDescent="0.2">
      <c r="A748" t="s">
        <v>2435</v>
      </c>
      <c r="C748" t="s">
        <v>787</v>
      </c>
      <c r="D748" t="s">
        <v>3851</v>
      </c>
      <c r="E748" t="s">
        <v>3852</v>
      </c>
      <c r="F748" t="s">
        <v>2617</v>
      </c>
    </row>
    <row r="749" spans="1:6" x14ac:dyDescent="0.2">
      <c r="A749" t="s">
        <v>1195</v>
      </c>
      <c r="C749" t="s">
        <v>787</v>
      </c>
      <c r="D749" t="s">
        <v>3172</v>
      </c>
      <c r="E749" t="s">
        <v>1406</v>
      </c>
      <c r="F749" t="s">
        <v>1407</v>
      </c>
    </row>
    <row r="750" spans="1:6" x14ac:dyDescent="0.2">
      <c r="A750" t="s">
        <v>2436</v>
      </c>
      <c r="C750" t="s">
        <v>787</v>
      </c>
      <c r="D750" t="s">
        <v>3792</v>
      </c>
      <c r="E750" t="s">
        <v>3853</v>
      </c>
      <c r="F750" t="s">
        <v>2650</v>
      </c>
    </row>
    <row r="751" spans="1:6" x14ac:dyDescent="0.2">
      <c r="A751" t="s">
        <v>1720</v>
      </c>
      <c r="C751" t="s">
        <v>787</v>
      </c>
      <c r="D751" t="s">
        <v>3854</v>
      </c>
      <c r="E751" t="s">
        <v>3855</v>
      </c>
      <c r="F751" t="s">
        <v>2617</v>
      </c>
    </row>
    <row r="752" spans="1:6" x14ac:dyDescent="0.2">
      <c r="A752" t="s">
        <v>2437</v>
      </c>
      <c r="C752" t="s">
        <v>787</v>
      </c>
      <c r="D752" t="s">
        <v>3856</v>
      </c>
      <c r="E752" t="s">
        <v>3857</v>
      </c>
      <c r="F752" t="s">
        <v>2985</v>
      </c>
    </row>
    <row r="753" spans="1:6" x14ac:dyDescent="0.2">
      <c r="A753" t="s">
        <v>2438</v>
      </c>
      <c r="C753" t="s">
        <v>787</v>
      </c>
      <c r="D753" t="s">
        <v>3858</v>
      </c>
      <c r="E753" t="s">
        <v>3859</v>
      </c>
      <c r="F753" t="s">
        <v>799</v>
      </c>
    </row>
    <row r="754" spans="1:6" x14ac:dyDescent="0.2">
      <c r="A754" t="s">
        <v>1196</v>
      </c>
      <c r="C754" t="s">
        <v>787</v>
      </c>
      <c r="D754" t="s">
        <v>3324</v>
      </c>
      <c r="E754" t="s">
        <v>3860</v>
      </c>
      <c r="F754" t="s">
        <v>1408</v>
      </c>
    </row>
    <row r="755" spans="1:6" x14ac:dyDescent="0.2">
      <c r="A755" t="s">
        <v>2439</v>
      </c>
      <c r="C755" t="s">
        <v>1482</v>
      </c>
      <c r="D755" t="s">
        <v>3861</v>
      </c>
      <c r="E755" t="s">
        <v>3862</v>
      </c>
      <c r="F755" t="s">
        <v>3337</v>
      </c>
    </row>
    <row r="756" spans="1:6" x14ac:dyDescent="0.2">
      <c r="A756" t="s">
        <v>2440</v>
      </c>
      <c r="C756" t="s">
        <v>787</v>
      </c>
      <c r="D756" t="s">
        <v>2621</v>
      </c>
      <c r="E756" t="s">
        <v>3863</v>
      </c>
      <c r="F756" t="s">
        <v>2617</v>
      </c>
    </row>
    <row r="757" spans="1:6" x14ac:dyDescent="0.2">
      <c r="A757" t="s">
        <v>2441</v>
      </c>
      <c r="C757" t="s">
        <v>787</v>
      </c>
      <c r="D757" t="s">
        <v>3864</v>
      </c>
      <c r="E757" t="s">
        <v>3865</v>
      </c>
      <c r="F757" t="s">
        <v>2617</v>
      </c>
    </row>
    <row r="758" spans="1:6" x14ac:dyDescent="0.2">
      <c r="A758" t="s">
        <v>2442</v>
      </c>
      <c r="C758" t="s">
        <v>787</v>
      </c>
      <c r="D758" t="s">
        <v>830</v>
      </c>
      <c r="E758" t="s">
        <v>3093</v>
      </c>
      <c r="F758" t="s">
        <v>2617</v>
      </c>
    </row>
    <row r="759" spans="1:6" x14ac:dyDescent="0.2">
      <c r="A759" t="s">
        <v>2443</v>
      </c>
      <c r="C759" t="s">
        <v>787</v>
      </c>
      <c r="D759" t="s">
        <v>3866</v>
      </c>
      <c r="E759" t="s">
        <v>3867</v>
      </c>
      <c r="F759" t="s">
        <v>2617</v>
      </c>
    </row>
    <row r="760" spans="1:6" x14ac:dyDescent="0.2">
      <c r="A760" t="s">
        <v>2444</v>
      </c>
      <c r="C760" t="s">
        <v>1482</v>
      </c>
      <c r="D760" t="s">
        <v>3868</v>
      </c>
      <c r="E760" t="s">
        <v>3098</v>
      </c>
      <c r="F760" t="s">
        <v>3869</v>
      </c>
    </row>
    <row r="761" spans="1:6" x14ac:dyDescent="0.2">
      <c r="A761" t="s">
        <v>1721</v>
      </c>
      <c r="C761" t="s">
        <v>787</v>
      </c>
      <c r="D761" t="s">
        <v>2990</v>
      </c>
      <c r="E761" t="s">
        <v>807</v>
      </c>
      <c r="F761" t="s">
        <v>2617</v>
      </c>
    </row>
    <row r="762" spans="1:6" x14ac:dyDescent="0.2">
      <c r="A762" t="s">
        <v>2445</v>
      </c>
      <c r="C762" t="s">
        <v>787</v>
      </c>
      <c r="D762" t="s">
        <v>1238</v>
      </c>
      <c r="E762" t="s">
        <v>3870</v>
      </c>
      <c r="F762" t="s">
        <v>2617</v>
      </c>
    </row>
    <row r="763" spans="1:6" x14ac:dyDescent="0.2">
      <c r="A763" t="s">
        <v>2446</v>
      </c>
      <c r="C763" t="s">
        <v>787</v>
      </c>
      <c r="D763" t="s">
        <v>3871</v>
      </c>
      <c r="E763" t="s">
        <v>911</v>
      </c>
      <c r="F763" t="s">
        <v>2617</v>
      </c>
    </row>
    <row r="764" spans="1:6" x14ac:dyDescent="0.2">
      <c r="A764" t="s">
        <v>2447</v>
      </c>
      <c r="C764" t="s">
        <v>787</v>
      </c>
      <c r="D764" t="s">
        <v>3872</v>
      </c>
      <c r="E764" t="s">
        <v>3873</v>
      </c>
      <c r="F764" t="s">
        <v>2617</v>
      </c>
    </row>
    <row r="765" spans="1:6" x14ac:dyDescent="0.2">
      <c r="A765" t="s">
        <v>1197</v>
      </c>
      <c r="C765" t="s">
        <v>787</v>
      </c>
      <c r="D765" t="s">
        <v>912</v>
      </c>
      <c r="E765" t="s">
        <v>3874</v>
      </c>
      <c r="F765" t="s">
        <v>1371</v>
      </c>
    </row>
    <row r="766" spans="1:6" x14ac:dyDescent="0.2">
      <c r="A766" t="s">
        <v>2448</v>
      </c>
      <c r="C766" t="s">
        <v>787</v>
      </c>
      <c r="D766" t="s">
        <v>3875</v>
      </c>
      <c r="E766" t="s">
        <v>3876</v>
      </c>
      <c r="F766" t="s">
        <v>2617</v>
      </c>
    </row>
    <row r="767" spans="1:6" x14ac:dyDescent="0.2">
      <c r="A767" t="s">
        <v>1722</v>
      </c>
      <c r="C767" t="s">
        <v>787</v>
      </c>
      <c r="D767" t="s">
        <v>3877</v>
      </c>
      <c r="E767" t="s">
        <v>3878</v>
      </c>
      <c r="F767" t="s">
        <v>2617</v>
      </c>
    </row>
    <row r="768" spans="1:6" x14ac:dyDescent="0.2">
      <c r="A768" t="s">
        <v>1198</v>
      </c>
      <c r="C768" t="s">
        <v>787</v>
      </c>
      <c r="D768" t="s">
        <v>1411</v>
      </c>
      <c r="E768" t="s">
        <v>1412</v>
      </c>
      <c r="F768" t="s">
        <v>2737</v>
      </c>
    </row>
    <row r="769" spans="1:6" x14ac:dyDescent="0.2">
      <c r="A769" t="s">
        <v>2449</v>
      </c>
      <c r="C769" t="s">
        <v>787</v>
      </c>
      <c r="D769" t="s">
        <v>3879</v>
      </c>
      <c r="E769" t="s">
        <v>3880</v>
      </c>
      <c r="F769" t="s">
        <v>1815</v>
      </c>
    </row>
    <row r="770" spans="1:6" x14ac:dyDescent="0.2">
      <c r="A770" t="s">
        <v>1723</v>
      </c>
      <c r="C770" t="s">
        <v>787</v>
      </c>
      <c r="D770" t="s">
        <v>3881</v>
      </c>
      <c r="E770" t="s">
        <v>1662</v>
      </c>
      <c r="F770" t="s">
        <v>2617</v>
      </c>
    </row>
    <row r="771" spans="1:6" x14ac:dyDescent="0.2">
      <c r="A771" t="s">
        <v>2450</v>
      </c>
      <c r="C771" t="s">
        <v>787</v>
      </c>
      <c r="D771" t="s">
        <v>3882</v>
      </c>
      <c r="E771" t="s">
        <v>3883</v>
      </c>
      <c r="F771" t="s">
        <v>2617</v>
      </c>
    </row>
    <row r="772" spans="1:6" x14ac:dyDescent="0.2">
      <c r="A772" t="s">
        <v>1724</v>
      </c>
      <c r="C772" t="s">
        <v>787</v>
      </c>
      <c r="D772" t="s">
        <v>3884</v>
      </c>
      <c r="E772" t="s">
        <v>3885</v>
      </c>
      <c r="F772" t="s">
        <v>2617</v>
      </c>
    </row>
    <row r="773" spans="1:6" x14ac:dyDescent="0.2">
      <c r="A773" t="s">
        <v>2451</v>
      </c>
      <c r="C773" t="s">
        <v>787</v>
      </c>
      <c r="D773" t="s">
        <v>2780</v>
      </c>
      <c r="E773" t="s">
        <v>3886</v>
      </c>
      <c r="F773" t="s">
        <v>3837</v>
      </c>
    </row>
    <row r="774" spans="1:6" x14ac:dyDescent="0.2">
      <c r="A774" t="s">
        <v>2452</v>
      </c>
      <c r="C774" t="s">
        <v>787</v>
      </c>
      <c r="D774" t="s">
        <v>3887</v>
      </c>
      <c r="E774" t="s">
        <v>3888</v>
      </c>
      <c r="F774" t="s">
        <v>799</v>
      </c>
    </row>
    <row r="775" spans="1:6" x14ac:dyDescent="0.2">
      <c r="A775" t="s">
        <v>2453</v>
      </c>
      <c r="C775" t="s">
        <v>787</v>
      </c>
      <c r="D775" t="s">
        <v>3889</v>
      </c>
      <c r="E775" t="s">
        <v>3890</v>
      </c>
      <c r="F775" t="s">
        <v>868</v>
      </c>
    </row>
    <row r="776" spans="1:6" x14ac:dyDescent="0.2">
      <c r="A776" t="s">
        <v>2454</v>
      </c>
      <c r="C776" t="s">
        <v>787</v>
      </c>
      <c r="D776" t="s">
        <v>1414</v>
      </c>
      <c r="E776" t="s">
        <v>3891</v>
      </c>
      <c r="F776" t="s">
        <v>2617</v>
      </c>
    </row>
    <row r="777" spans="1:6" x14ac:dyDescent="0.2">
      <c r="A777" t="s">
        <v>2455</v>
      </c>
      <c r="C777" t="s">
        <v>787</v>
      </c>
      <c r="D777" t="s">
        <v>3892</v>
      </c>
      <c r="E777" t="s">
        <v>3380</v>
      </c>
      <c r="F777" t="s">
        <v>1374</v>
      </c>
    </row>
    <row r="778" spans="1:6" x14ac:dyDescent="0.2">
      <c r="A778" t="s">
        <v>2456</v>
      </c>
      <c r="C778" t="s">
        <v>787</v>
      </c>
      <c r="D778" t="s">
        <v>3893</v>
      </c>
      <c r="E778" t="s">
        <v>3894</v>
      </c>
      <c r="F778" t="s">
        <v>2617</v>
      </c>
    </row>
    <row r="779" spans="1:6" x14ac:dyDescent="0.2">
      <c r="A779" t="s">
        <v>1199</v>
      </c>
      <c r="C779" t="s">
        <v>787</v>
      </c>
      <c r="D779" t="s">
        <v>1413</v>
      </c>
      <c r="E779" t="s">
        <v>2604</v>
      </c>
      <c r="F779" t="s">
        <v>930</v>
      </c>
    </row>
    <row r="780" spans="1:6" x14ac:dyDescent="0.2">
      <c r="A780" t="s">
        <v>2457</v>
      </c>
      <c r="C780" t="s">
        <v>787</v>
      </c>
      <c r="D780" t="s">
        <v>3414</v>
      </c>
      <c r="E780" t="s">
        <v>3895</v>
      </c>
      <c r="F780" t="s">
        <v>2617</v>
      </c>
    </row>
    <row r="781" spans="1:6" x14ac:dyDescent="0.2">
      <c r="A781" t="s">
        <v>1200</v>
      </c>
      <c r="C781" t="s">
        <v>787</v>
      </c>
      <c r="D781" t="s">
        <v>1415</v>
      </c>
      <c r="E781" t="s">
        <v>3896</v>
      </c>
      <c r="F781" t="s">
        <v>1416</v>
      </c>
    </row>
    <row r="782" spans="1:6" x14ac:dyDescent="0.2">
      <c r="A782" t="s">
        <v>1201</v>
      </c>
      <c r="C782" t="s">
        <v>787</v>
      </c>
      <c r="D782" t="s">
        <v>3897</v>
      </c>
      <c r="E782" t="s">
        <v>3898</v>
      </c>
      <c r="F782" t="s">
        <v>1072</v>
      </c>
    </row>
    <row r="783" spans="1:6" x14ac:dyDescent="0.2">
      <c r="A783" t="s">
        <v>2458</v>
      </c>
      <c r="C783" t="s">
        <v>1482</v>
      </c>
      <c r="D783" t="s">
        <v>3828</v>
      </c>
      <c r="E783" t="s">
        <v>3899</v>
      </c>
      <c r="F783" t="s">
        <v>3900</v>
      </c>
    </row>
    <row r="784" spans="1:6" x14ac:dyDescent="0.2">
      <c r="A784" t="s">
        <v>1725</v>
      </c>
      <c r="C784" t="s">
        <v>787</v>
      </c>
      <c r="D784" t="s">
        <v>2789</v>
      </c>
      <c r="E784" t="s">
        <v>3901</v>
      </c>
      <c r="F784" t="s">
        <v>2617</v>
      </c>
    </row>
    <row r="785" spans="1:6" x14ac:dyDescent="0.2">
      <c r="A785" t="s">
        <v>2459</v>
      </c>
      <c r="C785" t="s">
        <v>1482</v>
      </c>
      <c r="D785" t="s">
        <v>3902</v>
      </c>
      <c r="E785" t="s">
        <v>3903</v>
      </c>
      <c r="F785" t="s">
        <v>3904</v>
      </c>
    </row>
    <row r="786" spans="1:6" x14ac:dyDescent="0.2">
      <c r="A786" t="s">
        <v>2460</v>
      </c>
      <c r="C786" t="s">
        <v>787</v>
      </c>
      <c r="D786" t="s">
        <v>3905</v>
      </c>
      <c r="E786" t="s">
        <v>3906</v>
      </c>
      <c r="F786" t="s">
        <v>1389</v>
      </c>
    </row>
    <row r="787" spans="1:6" x14ac:dyDescent="0.2">
      <c r="A787" t="s">
        <v>2461</v>
      </c>
      <c r="C787" t="s">
        <v>1482</v>
      </c>
      <c r="D787" t="s">
        <v>3907</v>
      </c>
      <c r="E787" t="s">
        <v>3901</v>
      </c>
      <c r="F787" t="s">
        <v>3908</v>
      </c>
    </row>
    <row r="788" spans="1:6" x14ac:dyDescent="0.2">
      <c r="A788" t="s">
        <v>2462</v>
      </c>
      <c r="C788" t="s">
        <v>787</v>
      </c>
      <c r="D788" t="s">
        <v>3909</v>
      </c>
      <c r="E788" t="s">
        <v>3910</v>
      </c>
      <c r="F788" t="s">
        <v>3911</v>
      </c>
    </row>
    <row r="789" spans="1:6" x14ac:dyDescent="0.2">
      <c r="A789" t="s">
        <v>2463</v>
      </c>
      <c r="C789" t="s">
        <v>787</v>
      </c>
      <c r="D789" t="s">
        <v>3912</v>
      </c>
      <c r="E789" t="s">
        <v>3913</v>
      </c>
      <c r="F789" t="s">
        <v>2617</v>
      </c>
    </row>
    <row r="790" spans="1:6" x14ac:dyDescent="0.2">
      <c r="A790" t="s">
        <v>2464</v>
      </c>
      <c r="C790" t="s">
        <v>787</v>
      </c>
      <c r="D790" t="s">
        <v>3914</v>
      </c>
      <c r="E790" t="s">
        <v>3915</v>
      </c>
      <c r="F790" t="s">
        <v>3837</v>
      </c>
    </row>
    <row r="791" spans="1:6" x14ac:dyDescent="0.2">
      <c r="A791" t="s">
        <v>2465</v>
      </c>
      <c r="C791" t="s">
        <v>787</v>
      </c>
      <c r="D791" t="s">
        <v>3916</v>
      </c>
      <c r="E791" t="s">
        <v>3917</v>
      </c>
      <c r="F791" t="s">
        <v>3918</v>
      </c>
    </row>
    <row r="792" spans="1:6" x14ac:dyDescent="0.2">
      <c r="A792" t="s">
        <v>2466</v>
      </c>
      <c r="C792" t="s">
        <v>787</v>
      </c>
      <c r="D792" t="s">
        <v>3919</v>
      </c>
      <c r="E792" t="s">
        <v>3920</v>
      </c>
      <c r="F792" t="s">
        <v>2617</v>
      </c>
    </row>
    <row r="793" spans="1:6" x14ac:dyDescent="0.2">
      <c r="A793" t="s">
        <v>2467</v>
      </c>
      <c r="C793" t="s">
        <v>787</v>
      </c>
      <c r="D793" t="s">
        <v>1400</v>
      </c>
      <c r="E793" t="s">
        <v>3921</v>
      </c>
      <c r="F793" t="s">
        <v>2617</v>
      </c>
    </row>
    <row r="794" spans="1:6" x14ac:dyDescent="0.2">
      <c r="A794" t="s">
        <v>2468</v>
      </c>
      <c r="C794" t="s">
        <v>1482</v>
      </c>
      <c r="D794" t="s">
        <v>3922</v>
      </c>
      <c r="E794" t="s">
        <v>3923</v>
      </c>
      <c r="F794" t="s">
        <v>3924</v>
      </c>
    </row>
    <row r="795" spans="1:6" x14ac:dyDescent="0.2">
      <c r="A795" t="s">
        <v>2469</v>
      </c>
      <c r="C795" t="s">
        <v>787</v>
      </c>
      <c r="D795" t="s">
        <v>3925</v>
      </c>
      <c r="E795" t="s">
        <v>3926</v>
      </c>
      <c r="F795" t="s">
        <v>2884</v>
      </c>
    </row>
    <row r="796" spans="1:6" x14ac:dyDescent="0.2">
      <c r="A796" t="s">
        <v>2470</v>
      </c>
      <c r="C796" t="s">
        <v>787</v>
      </c>
      <c r="D796" t="s">
        <v>3927</v>
      </c>
      <c r="E796" t="s">
        <v>3928</v>
      </c>
      <c r="F796" t="s">
        <v>2617</v>
      </c>
    </row>
    <row r="797" spans="1:6" x14ac:dyDescent="0.2">
      <c r="A797" t="s">
        <v>1202</v>
      </c>
      <c r="C797" t="s">
        <v>787</v>
      </c>
      <c r="D797" t="s">
        <v>3929</v>
      </c>
      <c r="E797" t="s">
        <v>2616</v>
      </c>
      <c r="F797" t="s">
        <v>952</v>
      </c>
    </row>
    <row r="798" spans="1:6" x14ac:dyDescent="0.2">
      <c r="A798" t="s">
        <v>1005</v>
      </c>
      <c r="C798" t="s">
        <v>787</v>
      </c>
      <c r="D798" t="s">
        <v>3930</v>
      </c>
      <c r="E798" t="s">
        <v>3931</v>
      </c>
      <c r="F798" t="s">
        <v>2617</v>
      </c>
    </row>
    <row r="799" spans="1:6" x14ac:dyDescent="0.2">
      <c r="A799" t="s">
        <v>1203</v>
      </c>
      <c r="C799" t="s">
        <v>787</v>
      </c>
      <c r="D799" t="s">
        <v>3932</v>
      </c>
      <c r="E799" t="s">
        <v>1418</v>
      </c>
      <c r="F799" t="s">
        <v>1419</v>
      </c>
    </row>
    <row r="800" spans="1:6" x14ac:dyDescent="0.2">
      <c r="A800" t="s">
        <v>968</v>
      </c>
      <c r="C800" t="s">
        <v>787</v>
      </c>
      <c r="D800" t="s">
        <v>3933</v>
      </c>
      <c r="E800" t="s">
        <v>3934</v>
      </c>
      <c r="F800" t="s">
        <v>3935</v>
      </c>
    </row>
    <row r="801" spans="1:6" x14ac:dyDescent="0.2">
      <c r="A801" t="s">
        <v>1539</v>
      </c>
      <c r="C801" t="s">
        <v>783</v>
      </c>
      <c r="D801" t="s">
        <v>2615</v>
      </c>
      <c r="E801" t="s">
        <v>839</v>
      </c>
      <c r="F801" t="s">
        <v>3936</v>
      </c>
    </row>
    <row r="802" spans="1:6" x14ac:dyDescent="0.2">
      <c r="A802" t="s">
        <v>2471</v>
      </c>
      <c r="C802" t="s">
        <v>1482</v>
      </c>
      <c r="D802" t="s">
        <v>3937</v>
      </c>
      <c r="E802" t="s">
        <v>3938</v>
      </c>
      <c r="F802" t="s">
        <v>3939</v>
      </c>
    </row>
    <row r="803" spans="1:6" x14ac:dyDescent="0.2">
      <c r="A803" t="s">
        <v>2472</v>
      </c>
      <c r="C803" t="s">
        <v>787</v>
      </c>
      <c r="D803" t="s">
        <v>3940</v>
      </c>
      <c r="E803" t="s">
        <v>1774</v>
      </c>
      <c r="F803" t="s">
        <v>2627</v>
      </c>
    </row>
    <row r="804" spans="1:6" x14ac:dyDescent="0.2">
      <c r="A804" t="s">
        <v>2473</v>
      </c>
      <c r="C804" t="s">
        <v>787</v>
      </c>
      <c r="D804" t="s">
        <v>3215</v>
      </c>
      <c r="E804" t="s">
        <v>3941</v>
      </c>
      <c r="F804" t="s">
        <v>1077</v>
      </c>
    </row>
    <row r="805" spans="1:6" x14ac:dyDescent="0.2">
      <c r="A805" t="s">
        <v>2474</v>
      </c>
      <c r="C805" t="s">
        <v>787</v>
      </c>
      <c r="D805" t="s">
        <v>3942</v>
      </c>
      <c r="E805" t="s">
        <v>3943</v>
      </c>
      <c r="F805" t="s">
        <v>2617</v>
      </c>
    </row>
    <row r="806" spans="1:6" x14ac:dyDescent="0.2">
      <c r="A806" t="s">
        <v>2475</v>
      </c>
      <c r="C806" t="s">
        <v>787</v>
      </c>
      <c r="D806" t="s">
        <v>3944</v>
      </c>
      <c r="E806" t="s">
        <v>3224</v>
      </c>
      <c r="F806" t="s">
        <v>3005</v>
      </c>
    </row>
    <row r="807" spans="1:6" x14ac:dyDescent="0.2">
      <c r="A807" t="s">
        <v>1543</v>
      </c>
      <c r="C807" t="s">
        <v>783</v>
      </c>
      <c r="D807" t="s">
        <v>3945</v>
      </c>
      <c r="E807" t="s">
        <v>3946</v>
      </c>
      <c r="F807" t="s">
        <v>2647</v>
      </c>
    </row>
    <row r="808" spans="1:6" x14ac:dyDescent="0.2">
      <c r="A808" t="s">
        <v>2476</v>
      </c>
      <c r="C808" t="s">
        <v>787</v>
      </c>
      <c r="D808" t="s">
        <v>3947</v>
      </c>
      <c r="E808" t="s">
        <v>3948</v>
      </c>
      <c r="F808" t="s">
        <v>2617</v>
      </c>
    </row>
    <row r="809" spans="1:6" x14ac:dyDescent="0.2">
      <c r="A809" t="s">
        <v>997</v>
      </c>
      <c r="C809" t="s">
        <v>787</v>
      </c>
      <c r="D809" t="s">
        <v>3949</v>
      </c>
      <c r="E809" t="s">
        <v>3031</v>
      </c>
      <c r="F809" t="s">
        <v>2617</v>
      </c>
    </row>
    <row r="810" spans="1:6" x14ac:dyDescent="0.2">
      <c r="A810" t="s">
        <v>966</v>
      </c>
      <c r="C810" t="s">
        <v>787</v>
      </c>
      <c r="D810" t="s">
        <v>3950</v>
      </c>
      <c r="E810" t="s">
        <v>3951</v>
      </c>
      <c r="F810" t="s">
        <v>1054</v>
      </c>
    </row>
    <row r="811" spans="1:6" x14ac:dyDescent="0.2">
      <c r="A811" t="s">
        <v>1726</v>
      </c>
      <c r="C811" t="s">
        <v>787</v>
      </c>
      <c r="D811" t="s">
        <v>3952</v>
      </c>
      <c r="E811" t="s">
        <v>3953</v>
      </c>
      <c r="F811" t="s">
        <v>832</v>
      </c>
    </row>
    <row r="812" spans="1:6" x14ac:dyDescent="0.2">
      <c r="A812" t="s">
        <v>2477</v>
      </c>
      <c r="C812" t="s">
        <v>787</v>
      </c>
      <c r="D812" t="s">
        <v>3954</v>
      </c>
      <c r="E812" t="s">
        <v>2672</v>
      </c>
      <c r="F812" t="s">
        <v>1446</v>
      </c>
    </row>
    <row r="813" spans="1:6" x14ac:dyDescent="0.2">
      <c r="A813" t="s">
        <v>1547</v>
      </c>
      <c r="C813" t="s">
        <v>783</v>
      </c>
      <c r="D813" t="s">
        <v>3955</v>
      </c>
      <c r="E813" t="s">
        <v>3956</v>
      </c>
      <c r="F813" t="s">
        <v>2647</v>
      </c>
    </row>
    <row r="814" spans="1:6" x14ac:dyDescent="0.2">
      <c r="A814" t="s">
        <v>1204</v>
      </c>
      <c r="C814" t="s">
        <v>787</v>
      </c>
      <c r="D814" t="s">
        <v>1392</v>
      </c>
      <c r="E814" t="s">
        <v>3957</v>
      </c>
      <c r="F814" t="s">
        <v>1420</v>
      </c>
    </row>
    <row r="815" spans="1:6" x14ac:dyDescent="0.2">
      <c r="A815" t="s">
        <v>2478</v>
      </c>
      <c r="C815" t="s">
        <v>783</v>
      </c>
      <c r="D815" t="s">
        <v>3958</v>
      </c>
      <c r="E815" t="s">
        <v>3959</v>
      </c>
      <c r="F815" t="s">
        <v>2647</v>
      </c>
    </row>
    <row r="816" spans="1:6" x14ac:dyDescent="0.2">
      <c r="A816" t="s">
        <v>1550</v>
      </c>
      <c r="C816" t="s">
        <v>783</v>
      </c>
      <c r="D816" t="s">
        <v>3960</v>
      </c>
      <c r="E816" t="s">
        <v>3961</v>
      </c>
      <c r="F816" t="s">
        <v>2647</v>
      </c>
    </row>
    <row r="817" spans="1:6" x14ac:dyDescent="0.2">
      <c r="A817" t="s">
        <v>2479</v>
      </c>
      <c r="C817" t="s">
        <v>787</v>
      </c>
      <c r="D817" t="s">
        <v>3962</v>
      </c>
      <c r="E817" t="s">
        <v>3963</v>
      </c>
      <c r="F817" t="s">
        <v>2617</v>
      </c>
    </row>
    <row r="818" spans="1:6" x14ac:dyDescent="0.2">
      <c r="A818" t="s">
        <v>1553</v>
      </c>
      <c r="C818" t="s">
        <v>783</v>
      </c>
      <c r="D818" t="s">
        <v>3964</v>
      </c>
      <c r="E818" t="s">
        <v>3965</v>
      </c>
      <c r="F818" t="s">
        <v>2647</v>
      </c>
    </row>
    <row r="819" spans="1:6" x14ac:dyDescent="0.2">
      <c r="A819" t="s">
        <v>2480</v>
      </c>
      <c r="C819" t="s">
        <v>783</v>
      </c>
      <c r="D819" t="s">
        <v>899</v>
      </c>
      <c r="E819" t="s">
        <v>2611</v>
      </c>
      <c r="F819" t="s">
        <v>3693</v>
      </c>
    </row>
    <row r="820" spans="1:6" x14ac:dyDescent="0.2">
      <c r="A820" t="s">
        <v>973</v>
      </c>
      <c r="C820" t="s">
        <v>787</v>
      </c>
      <c r="D820" t="s">
        <v>899</v>
      </c>
      <c r="E820" t="s">
        <v>3966</v>
      </c>
      <c r="F820" t="s">
        <v>3967</v>
      </c>
    </row>
    <row r="821" spans="1:6" x14ac:dyDescent="0.2">
      <c r="A821" t="s">
        <v>2481</v>
      </c>
      <c r="C821" t="s">
        <v>1482</v>
      </c>
      <c r="D821" t="s">
        <v>899</v>
      </c>
      <c r="E821" t="s">
        <v>3968</v>
      </c>
      <c r="F821" t="s">
        <v>3969</v>
      </c>
    </row>
    <row r="822" spans="1:6" x14ac:dyDescent="0.2">
      <c r="A822" t="s">
        <v>2482</v>
      </c>
      <c r="C822" t="s">
        <v>787</v>
      </c>
      <c r="D822" t="s">
        <v>899</v>
      </c>
      <c r="E822" t="s">
        <v>3970</v>
      </c>
      <c r="F822" t="s">
        <v>918</v>
      </c>
    </row>
    <row r="823" spans="1:6" x14ac:dyDescent="0.2">
      <c r="A823" t="s">
        <v>2483</v>
      </c>
      <c r="C823" t="s">
        <v>787</v>
      </c>
      <c r="D823" t="s">
        <v>3222</v>
      </c>
      <c r="E823" t="s">
        <v>3775</v>
      </c>
      <c r="F823" t="s">
        <v>2617</v>
      </c>
    </row>
    <row r="824" spans="1:6" x14ac:dyDescent="0.2">
      <c r="A824" t="s">
        <v>2484</v>
      </c>
      <c r="C824" t="s">
        <v>787</v>
      </c>
      <c r="D824" t="s">
        <v>3322</v>
      </c>
      <c r="E824" t="s">
        <v>3971</v>
      </c>
      <c r="F824" t="s">
        <v>809</v>
      </c>
    </row>
    <row r="825" spans="1:6" x14ac:dyDescent="0.2">
      <c r="A825" t="s">
        <v>1555</v>
      </c>
      <c r="C825" t="s">
        <v>783</v>
      </c>
      <c r="D825" t="s">
        <v>3972</v>
      </c>
      <c r="E825" t="s">
        <v>3973</v>
      </c>
      <c r="F825" t="s">
        <v>3049</v>
      </c>
    </row>
    <row r="826" spans="1:6" x14ac:dyDescent="0.2">
      <c r="A826" t="s">
        <v>1727</v>
      </c>
      <c r="C826" t="s">
        <v>787</v>
      </c>
      <c r="D826" t="s">
        <v>3974</v>
      </c>
      <c r="E826" t="s">
        <v>1905</v>
      </c>
      <c r="F826" t="s">
        <v>2617</v>
      </c>
    </row>
    <row r="827" spans="1:6" x14ac:dyDescent="0.2">
      <c r="A827" t="s">
        <v>1205</v>
      </c>
      <c r="C827" t="s">
        <v>787</v>
      </c>
      <c r="D827" t="s">
        <v>3187</v>
      </c>
      <c r="E827" t="s">
        <v>1422</v>
      </c>
      <c r="F827" t="s">
        <v>1423</v>
      </c>
    </row>
    <row r="828" spans="1:6" x14ac:dyDescent="0.2">
      <c r="A828" t="s">
        <v>2485</v>
      </c>
      <c r="C828" t="s">
        <v>787</v>
      </c>
      <c r="D828" t="s">
        <v>893</v>
      </c>
      <c r="E828" t="s">
        <v>3975</v>
      </c>
      <c r="F828" t="s">
        <v>2617</v>
      </c>
    </row>
    <row r="829" spans="1:6" x14ac:dyDescent="0.2">
      <c r="A829" t="s">
        <v>2486</v>
      </c>
      <c r="C829" t="s">
        <v>787</v>
      </c>
      <c r="D829" t="s">
        <v>3976</v>
      </c>
      <c r="E829" t="s">
        <v>3977</v>
      </c>
      <c r="F829" t="s">
        <v>826</v>
      </c>
    </row>
    <row r="830" spans="1:6" x14ac:dyDescent="0.2">
      <c r="A830" t="s">
        <v>2487</v>
      </c>
      <c r="C830" t="s">
        <v>787</v>
      </c>
      <c r="D830" t="s">
        <v>1424</v>
      </c>
      <c r="E830" t="s">
        <v>2975</v>
      </c>
      <c r="F830" t="s">
        <v>2617</v>
      </c>
    </row>
    <row r="831" spans="1:6" x14ac:dyDescent="0.2">
      <c r="A831" t="s">
        <v>1206</v>
      </c>
      <c r="C831" t="s">
        <v>787</v>
      </c>
      <c r="D831" t="s">
        <v>3116</v>
      </c>
      <c r="E831" t="s">
        <v>1332</v>
      </c>
      <c r="F831" t="s">
        <v>1279</v>
      </c>
    </row>
    <row r="832" spans="1:6" x14ac:dyDescent="0.2">
      <c r="A832" t="s">
        <v>2488</v>
      </c>
      <c r="C832" t="s">
        <v>787</v>
      </c>
      <c r="D832" t="s">
        <v>3947</v>
      </c>
      <c r="E832" t="s">
        <v>2698</v>
      </c>
      <c r="F832" t="s">
        <v>2617</v>
      </c>
    </row>
    <row r="833" spans="1:6" x14ac:dyDescent="0.2">
      <c r="A833" t="s">
        <v>1728</v>
      </c>
      <c r="C833" t="s">
        <v>787</v>
      </c>
      <c r="D833" t="s">
        <v>3978</v>
      </c>
      <c r="E833" t="s">
        <v>3553</v>
      </c>
      <c r="F833" t="s">
        <v>1410</v>
      </c>
    </row>
    <row r="834" spans="1:6" x14ac:dyDescent="0.2">
      <c r="A834" t="s">
        <v>2489</v>
      </c>
      <c r="C834" t="s">
        <v>787</v>
      </c>
      <c r="D834" t="s">
        <v>3979</v>
      </c>
      <c r="E834" t="s">
        <v>3980</v>
      </c>
      <c r="F834" t="s">
        <v>1371</v>
      </c>
    </row>
    <row r="835" spans="1:6" x14ac:dyDescent="0.2">
      <c r="A835" t="s">
        <v>2490</v>
      </c>
      <c r="C835" t="s">
        <v>787</v>
      </c>
      <c r="D835" t="s">
        <v>3981</v>
      </c>
      <c r="E835" t="s">
        <v>3982</v>
      </c>
      <c r="F835" t="s">
        <v>3913</v>
      </c>
    </row>
    <row r="836" spans="1:6" x14ac:dyDescent="0.2">
      <c r="A836" t="s">
        <v>2491</v>
      </c>
      <c r="C836" t="s">
        <v>787</v>
      </c>
      <c r="D836" t="s">
        <v>3720</v>
      </c>
      <c r="E836" t="s">
        <v>3983</v>
      </c>
      <c r="F836" t="s">
        <v>2617</v>
      </c>
    </row>
    <row r="837" spans="1:6" x14ac:dyDescent="0.2">
      <c r="A837" t="s">
        <v>2492</v>
      </c>
      <c r="C837" t="s">
        <v>787</v>
      </c>
      <c r="D837" t="s">
        <v>3984</v>
      </c>
      <c r="E837" t="s">
        <v>3985</v>
      </c>
      <c r="F837" t="s">
        <v>2617</v>
      </c>
    </row>
    <row r="838" spans="1:6" x14ac:dyDescent="0.2">
      <c r="A838" t="s">
        <v>1207</v>
      </c>
      <c r="C838" t="s">
        <v>787</v>
      </c>
      <c r="D838" t="s">
        <v>3986</v>
      </c>
      <c r="E838" t="s">
        <v>3987</v>
      </c>
      <c r="F838" t="s">
        <v>2789</v>
      </c>
    </row>
    <row r="839" spans="1:6" x14ac:dyDescent="0.2">
      <c r="A839" t="s">
        <v>1557</v>
      </c>
      <c r="C839" t="s">
        <v>783</v>
      </c>
      <c r="D839" t="s">
        <v>900</v>
      </c>
      <c r="E839" t="s">
        <v>3988</v>
      </c>
      <c r="F839" t="s">
        <v>3989</v>
      </c>
    </row>
    <row r="840" spans="1:6" x14ac:dyDescent="0.2">
      <c r="A840" t="s">
        <v>2493</v>
      </c>
      <c r="C840" t="s">
        <v>787</v>
      </c>
      <c r="D840" t="s">
        <v>3990</v>
      </c>
      <c r="E840" t="s">
        <v>3991</v>
      </c>
      <c r="F840" t="s">
        <v>3992</v>
      </c>
    </row>
    <row r="841" spans="1:6" x14ac:dyDescent="0.2">
      <c r="A841" t="s">
        <v>1208</v>
      </c>
      <c r="C841" t="s">
        <v>787</v>
      </c>
      <c r="D841" t="s">
        <v>3993</v>
      </c>
      <c r="E841" t="s">
        <v>3994</v>
      </c>
      <c r="F841" t="s">
        <v>3995</v>
      </c>
    </row>
    <row r="842" spans="1:6" x14ac:dyDescent="0.2">
      <c r="A842" t="s">
        <v>2494</v>
      </c>
      <c r="C842" t="s">
        <v>787</v>
      </c>
      <c r="D842" t="s">
        <v>946</v>
      </c>
      <c r="E842" t="s">
        <v>1909</v>
      </c>
      <c r="F842" t="s">
        <v>2617</v>
      </c>
    </row>
    <row r="843" spans="1:6" x14ac:dyDescent="0.2">
      <c r="A843" t="s">
        <v>2495</v>
      </c>
      <c r="C843" t="s">
        <v>787</v>
      </c>
      <c r="D843" t="s">
        <v>3996</v>
      </c>
      <c r="E843" t="s">
        <v>3997</v>
      </c>
      <c r="F843" t="s">
        <v>3998</v>
      </c>
    </row>
    <row r="844" spans="1:6" x14ac:dyDescent="0.2">
      <c r="A844" t="s">
        <v>2496</v>
      </c>
      <c r="C844" t="s">
        <v>787</v>
      </c>
      <c r="D844" t="s">
        <v>3999</v>
      </c>
      <c r="E844" t="s">
        <v>4000</v>
      </c>
      <c r="F844" t="s">
        <v>2617</v>
      </c>
    </row>
    <row r="845" spans="1:6" x14ac:dyDescent="0.2">
      <c r="A845" t="s">
        <v>2497</v>
      </c>
      <c r="C845" t="s">
        <v>787</v>
      </c>
      <c r="D845" t="s">
        <v>4001</v>
      </c>
      <c r="E845" t="s">
        <v>1642</v>
      </c>
      <c r="F845" t="s">
        <v>2617</v>
      </c>
    </row>
    <row r="846" spans="1:6" x14ac:dyDescent="0.2">
      <c r="A846" t="s">
        <v>2498</v>
      </c>
      <c r="C846" t="s">
        <v>1482</v>
      </c>
      <c r="D846" t="s">
        <v>4002</v>
      </c>
      <c r="E846" t="s">
        <v>4003</v>
      </c>
      <c r="F846" t="s">
        <v>874</v>
      </c>
    </row>
    <row r="847" spans="1:6" x14ac:dyDescent="0.2">
      <c r="A847" t="s">
        <v>1729</v>
      </c>
      <c r="C847" t="s">
        <v>787</v>
      </c>
      <c r="D847" t="s">
        <v>3134</v>
      </c>
      <c r="E847" t="s">
        <v>4004</v>
      </c>
      <c r="F847" t="s">
        <v>2705</v>
      </c>
    </row>
    <row r="848" spans="1:6" x14ac:dyDescent="0.2">
      <c r="A848" t="s">
        <v>1209</v>
      </c>
      <c r="C848" t="s">
        <v>787</v>
      </c>
      <c r="D848" t="s">
        <v>1426</v>
      </c>
      <c r="E848" t="s">
        <v>1427</v>
      </c>
      <c r="F848" t="s">
        <v>810</v>
      </c>
    </row>
    <row r="849" spans="1:6" x14ac:dyDescent="0.2">
      <c r="A849" t="s">
        <v>2499</v>
      </c>
      <c r="C849" t="s">
        <v>787</v>
      </c>
      <c r="D849" t="s">
        <v>4005</v>
      </c>
      <c r="E849" t="s">
        <v>1463</v>
      </c>
      <c r="F849" t="s">
        <v>2617</v>
      </c>
    </row>
    <row r="850" spans="1:6" x14ac:dyDescent="0.2">
      <c r="A850" t="s">
        <v>1210</v>
      </c>
      <c r="C850" t="s">
        <v>787</v>
      </c>
      <c r="D850" t="s">
        <v>1428</v>
      </c>
      <c r="E850" t="s">
        <v>4006</v>
      </c>
      <c r="F850" t="s">
        <v>1429</v>
      </c>
    </row>
    <row r="851" spans="1:6" x14ac:dyDescent="0.2">
      <c r="A851" t="s">
        <v>2500</v>
      </c>
      <c r="C851" t="s">
        <v>1482</v>
      </c>
      <c r="D851" t="s">
        <v>4007</v>
      </c>
      <c r="E851" t="s">
        <v>4008</v>
      </c>
      <c r="F851" t="s">
        <v>4009</v>
      </c>
    </row>
    <row r="852" spans="1:6" x14ac:dyDescent="0.2">
      <c r="A852" t="s">
        <v>2501</v>
      </c>
      <c r="C852" t="s">
        <v>787</v>
      </c>
      <c r="D852" t="s">
        <v>4010</v>
      </c>
      <c r="E852" t="s">
        <v>831</v>
      </c>
      <c r="F852" t="s">
        <v>2617</v>
      </c>
    </row>
    <row r="853" spans="1:6" x14ac:dyDescent="0.2">
      <c r="A853" t="s">
        <v>1211</v>
      </c>
      <c r="C853" t="s">
        <v>787</v>
      </c>
      <c r="D853" t="s">
        <v>4011</v>
      </c>
      <c r="E853" t="s">
        <v>841</v>
      </c>
      <c r="F853" t="s">
        <v>819</v>
      </c>
    </row>
    <row r="854" spans="1:6" x14ac:dyDescent="0.2">
      <c r="A854" t="s">
        <v>2502</v>
      </c>
      <c r="C854" t="s">
        <v>787</v>
      </c>
      <c r="D854" t="s">
        <v>2972</v>
      </c>
      <c r="E854" t="s">
        <v>1429</v>
      </c>
      <c r="F854" t="s">
        <v>2993</v>
      </c>
    </row>
    <row r="855" spans="1:6" x14ac:dyDescent="0.2">
      <c r="A855" t="s">
        <v>2503</v>
      </c>
      <c r="C855" t="s">
        <v>787</v>
      </c>
      <c r="D855" t="s">
        <v>4012</v>
      </c>
      <c r="E855" t="s">
        <v>3330</v>
      </c>
      <c r="F855" t="s">
        <v>1401</v>
      </c>
    </row>
    <row r="856" spans="1:6" x14ac:dyDescent="0.2">
      <c r="A856" t="s">
        <v>2504</v>
      </c>
      <c r="C856" t="s">
        <v>787</v>
      </c>
      <c r="D856" t="s">
        <v>4013</v>
      </c>
      <c r="E856" t="s">
        <v>3629</v>
      </c>
      <c r="F856" t="s">
        <v>941</v>
      </c>
    </row>
    <row r="857" spans="1:6" x14ac:dyDescent="0.2">
      <c r="A857" t="s">
        <v>883</v>
      </c>
      <c r="C857" t="s">
        <v>787</v>
      </c>
      <c r="D857" t="s">
        <v>2706</v>
      </c>
      <c r="E857" t="s">
        <v>1634</v>
      </c>
      <c r="F857" t="s">
        <v>2617</v>
      </c>
    </row>
    <row r="858" spans="1:6" x14ac:dyDescent="0.2">
      <c r="A858" t="s">
        <v>1730</v>
      </c>
      <c r="C858" t="s">
        <v>787</v>
      </c>
      <c r="D858" t="s">
        <v>1404</v>
      </c>
      <c r="E858" t="s">
        <v>1663</v>
      </c>
      <c r="F858" t="s">
        <v>4014</v>
      </c>
    </row>
    <row r="859" spans="1:6" x14ac:dyDescent="0.2">
      <c r="A859" t="s">
        <v>2505</v>
      </c>
      <c r="C859" t="s">
        <v>787</v>
      </c>
      <c r="D859" t="s">
        <v>4015</v>
      </c>
      <c r="E859" t="s">
        <v>3189</v>
      </c>
      <c r="F859" t="s">
        <v>2617</v>
      </c>
    </row>
    <row r="860" spans="1:6" x14ac:dyDescent="0.2">
      <c r="A860" t="s">
        <v>1212</v>
      </c>
      <c r="C860" t="s">
        <v>787</v>
      </c>
      <c r="D860" t="s">
        <v>4016</v>
      </c>
      <c r="E860" t="s">
        <v>4017</v>
      </c>
      <c r="F860" t="s">
        <v>1327</v>
      </c>
    </row>
    <row r="861" spans="1:6" x14ac:dyDescent="0.2">
      <c r="A861" t="s">
        <v>1561</v>
      </c>
      <c r="C861" t="s">
        <v>783</v>
      </c>
      <c r="D861" t="s">
        <v>3824</v>
      </c>
      <c r="E861" t="s">
        <v>4018</v>
      </c>
      <c r="F861" t="s">
        <v>2647</v>
      </c>
    </row>
    <row r="862" spans="1:6" x14ac:dyDescent="0.2">
      <c r="A862" t="s">
        <v>2506</v>
      </c>
      <c r="C862" t="s">
        <v>787</v>
      </c>
      <c r="D862" t="s">
        <v>4019</v>
      </c>
      <c r="E862" t="s">
        <v>4020</v>
      </c>
      <c r="F862" t="s">
        <v>2617</v>
      </c>
    </row>
    <row r="863" spans="1:6" x14ac:dyDescent="0.2">
      <c r="A863" t="s">
        <v>2507</v>
      </c>
      <c r="C863" t="s">
        <v>787</v>
      </c>
      <c r="D863" t="s">
        <v>3912</v>
      </c>
      <c r="E863" t="s">
        <v>2647</v>
      </c>
      <c r="F863" t="s">
        <v>4008</v>
      </c>
    </row>
    <row r="864" spans="1:6" x14ac:dyDescent="0.2">
      <c r="A864" t="s">
        <v>2508</v>
      </c>
      <c r="C864" t="s">
        <v>787</v>
      </c>
      <c r="D864" t="s">
        <v>4021</v>
      </c>
      <c r="E864" t="s">
        <v>4022</v>
      </c>
      <c r="F864" t="s">
        <v>919</v>
      </c>
    </row>
    <row r="865" spans="1:6" x14ac:dyDescent="0.2">
      <c r="A865" t="s">
        <v>2509</v>
      </c>
      <c r="C865" t="s">
        <v>787</v>
      </c>
      <c r="D865" t="s">
        <v>4023</v>
      </c>
      <c r="E865" t="s">
        <v>3837</v>
      </c>
      <c r="F865" t="s">
        <v>2617</v>
      </c>
    </row>
    <row r="866" spans="1:6" x14ac:dyDescent="0.2">
      <c r="A866" t="s">
        <v>1731</v>
      </c>
      <c r="C866" t="s">
        <v>787</v>
      </c>
      <c r="D866" t="s">
        <v>4024</v>
      </c>
      <c r="E866" t="s">
        <v>1287</v>
      </c>
      <c r="F866" t="s">
        <v>2617</v>
      </c>
    </row>
    <row r="867" spans="1:6" x14ac:dyDescent="0.2">
      <c r="A867" t="s">
        <v>1213</v>
      </c>
      <c r="C867" t="s">
        <v>787</v>
      </c>
      <c r="D867" t="s">
        <v>4025</v>
      </c>
      <c r="E867" t="s">
        <v>1432</v>
      </c>
      <c r="F867" t="s">
        <v>1447</v>
      </c>
    </row>
    <row r="868" spans="1:6" x14ac:dyDescent="0.2">
      <c r="A868" t="s">
        <v>2510</v>
      </c>
      <c r="C868" t="s">
        <v>787</v>
      </c>
      <c r="D868" t="s">
        <v>3504</v>
      </c>
      <c r="E868" t="s">
        <v>4026</v>
      </c>
      <c r="F868" t="s">
        <v>2617</v>
      </c>
    </row>
    <row r="869" spans="1:6" x14ac:dyDescent="0.2">
      <c r="A869" t="s">
        <v>2511</v>
      </c>
      <c r="C869" t="s">
        <v>787</v>
      </c>
      <c r="D869" t="s">
        <v>4027</v>
      </c>
      <c r="E869" t="s">
        <v>4028</v>
      </c>
      <c r="F869" t="s">
        <v>2617</v>
      </c>
    </row>
    <row r="870" spans="1:6" x14ac:dyDescent="0.2">
      <c r="A870" t="s">
        <v>1732</v>
      </c>
      <c r="C870" t="s">
        <v>787</v>
      </c>
      <c r="D870" t="s">
        <v>4015</v>
      </c>
      <c r="E870" t="s">
        <v>4029</v>
      </c>
      <c r="F870" t="s">
        <v>2617</v>
      </c>
    </row>
    <row r="871" spans="1:6" x14ac:dyDescent="0.2">
      <c r="A871" t="s">
        <v>1214</v>
      </c>
      <c r="C871" t="s">
        <v>787</v>
      </c>
      <c r="D871" t="s">
        <v>4030</v>
      </c>
      <c r="E871" t="s">
        <v>1433</v>
      </c>
      <c r="F871" t="s">
        <v>3382</v>
      </c>
    </row>
    <row r="872" spans="1:6" x14ac:dyDescent="0.2">
      <c r="A872" t="s">
        <v>2512</v>
      </c>
      <c r="C872" t="s">
        <v>787</v>
      </c>
      <c r="D872" t="s">
        <v>4031</v>
      </c>
      <c r="E872" t="s">
        <v>4032</v>
      </c>
      <c r="F872" t="s">
        <v>2617</v>
      </c>
    </row>
    <row r="873" spans="1:6" x14ac:dyDescent="0.2">
      <c r="A873" t="s">
        <v>1215</v>
      </c>
      <c r="C873" t="s">
        <v>787</v>
      </c>
      <c r="D873" t="s">
        <v>1434</v>
      </c>
      <c r="E873" t="s">
        <v>4033</v>
      </c>
      <c r="F873" t="s">
        <v>4034</v>
      </c>
    </row>
    <row r="874" spans="1:6" x14ac:dyDescent="0.2">
      <c r="A874" t="s">
        <v>1216</v>
      </c>
      <c r="C874" t="s">
        <v>787</v>
      </c>
      <c r="D874" t="s">
        <v>1436</v>
      </c>
      <c r="E874" t="s">
        <v>853</v>
      </c>
      <c r="F874" t="s">
        <v>3737</v>
      </c>
    </row>
    <row r="875" spans="1:6" x14ac:dyDescent="0.2">
      <c r="A875" t="s">
        <v>2513</v>
      </c>
      <c r="C875" t="s">
        <v>787</v>
      </c>
      <c r="D875" t="s">
        <v>3834</v>
      </c>
      <c r="E875" t="s">
        <v>4035</v>
      </c>
      <c r="F875" t="s">
        <v>2617</v>
      </c>
    </row>
    <row r="876" spans="1:6" x14ac:dyDescent="0.2">
      <c r="A876" t="s">
        <v>2514</v>
      </c>
      <c r="C876" t="s">
        <v>1482</v>
      </c>
      <c r="D876" t="s">
        <v>4036</v>
      </c>
      <c r="E876" t="s">
        <v>4037</v>
      </c>
      <c r="F876" t="s">
        <v>4038</v>
      </c>
    </row>
    <row r="877" spans="1:6" x14ac:dyDescent="0.2">
      <c r="A877" t="s">
        <v>2515</v>
      </c>
      <c r="C877" t="s">
        <v>787</v>
      </c>
      <c r="D877" t="s">
        <v>4039</v>
      </c>
      <c r="E877" t="s">
        <v>4040</v>
      </c>
      <c r="F877" t="s">
        <v>2617</v>
      </c>
    </row>
    <row r="878" spans="1:6" x14ac:dyDescent="0.2">
      <c r="A878" t="s">
        <v>2516</v>
      </c>
      <c r="C878" t="s">
        <v>787</v>
      </c>
      <c r="D878" t="s">
        <v>4041</v>
      </c>
      <c r="E878" t="s">
        <v>4042</v>
      </c>
      <c r="F878" t="s">
        <v>2617</v>
      </c>
    </row>
    <row r="879" spans="1:6" x14ac:dyDescent="0.2">
      <c r="A879" t="s">
        <v>1217</v>
      </c>
      <c r="C879" t="s">
        <v>787</v>
      </c>
      <c r="D879" t="s">
        <v>1437</v>
      </c>
      <c r="E879" t="s">
        <v>4043</v>
      </c>
      <c r="F879" t="s">
        <v>3713</v>
      </c>
    </row>
    <row r="880" spans="1:6" x14ac:dyDescent="0.2">
      <c r="A880" t="s">
        <v>2517</v>
      </c>
      <c r="C880" t="s">
        <v>787</v>
      </c>
      <c r="D880" t="s">
        <v>4044</v>
      </c>
      <c r="E880" t="s">
        <v>4045</v>
      </c>
      <c r="F880" t="s">
        <v>829</v>
      </c>
    </row>
    <row r="881" spans="1:6" x14ac:dyDescent="0.2">
      <c r="A881" t="s">
        <v>2518</v>
      </c>
      <c r="C881" t="s">
        <v>787</v>
      </c>
      <c r="D881" t="s">
        <v>2651</v>
      </c>
      <c r="E881" t="s">
        <v>4046</v>
      </c>
      <c r="F881" t="s">
        <v>835</v>
      </c>
    </row>
    <row r="882" spans="1:6" x14ac:dyDescent="0.2">
      <c r="A882" t="s">
        <v>1218</v>
      </c>
      <c r="C882" t="s">
        <v>787</v>
      </c>
      <c r="D882" t="s">
        <v>3981</v>
      </c>
      <c r="E882" t="s">
        <v>1438</v>
      </c>
      <c r="F882" t="s">
        <v>1439</v>
      </c>
    </row>
    <row r="883" spans="1:6" x14ac:dyDescent="0.2">
      <c r="A883" t="s">
        <v>2519</v>
      </c>
      <c r="C883" t="s">
        <v>787</v>
      </c>
      <c r="D883" t="s">
        <v>3501</v>
      </c>
      <c r="E883" t="s">
        <v>4047</v>
      </c>
      <c r="F883" t="s">
        <v>2617</v>
      </c>
    </row>
    <row r="884" spans="1:6" x14ac:dyDescent="0.2">
      <c r="A884" t="s">
        <v>2520</v>
      </c>
      <c r="C884" t="s">
        <v>787</v>
      </c>
      <c r="D884" t="s">
        <v>4048</v>
      </c>
      <c r="E884" t="s">
        <v>4049</v>
      </c>
      <c r="F884" t="s">
        <v>2617</v>
      </c>
    </row>
    <row r="885" spans="1:6" x14ac:dyDescent="0.2">
      <c r="A885" t="s">
        <v>2521</v>
      </c>
      <c r="C885" t="s">
        <v>783</v>
      </c>
      <c r="D885" t="s">
        <v>4050</v>
      </c>
      <c r="E885" t="s">
        <v>4051</v>
      </c>
      <c r="F885" t="s">
        <v>4052</v>
      </c>
    </row>
    <row r="886" spans="1:6" x14ac:dyDescent="0.2">
      <c r="A886" t="s">
        <v>2522</v>
      </c>
      <c r="C886" t="s">
        <v>787</v>
      </c>
      <c r="D886" t="s">
        <v>4053</v>
      </c>
      <c r="E886" t="s">
        <v>4054</v>
      </c>
      <c r="F886" t="s">
        <v>1072</v>
      </c>
    </row>
    <row r="887" spans="1:6" x14ac:dyDescent="0.2">
      <c r="A887" t="s">
        <v>1733</v>
      </c>
      <c r="C887" t="s">
        <v>787</v>
      </c>
      <c r="D887" t="s">
        <v>4055</v>
      </c>
      <c r="E887" t="s">
        <v>4056</v>
      </c>
      <c r="F887" t="s">
        <v>2617</v>
      </c>
    </row>
    <row r="888" spans="1:6" x14ac:dyDescent="0.2">
      <c r="A888" t="s">
        <v>2523</v>
      </c>
      <c r="C888" t="s">
        <v>787</v>
      </c>
      <c r="D888" t="s">
        <v>4057</v>
      </c>
      <c r="E888" t="s">
        <v>4058</v>
      </c>
      <c r="F888" t="s">
        <v>2617</v>
      </c>
    </row>
    <row r="889" spans="1:6" x14ac:dyDescent="0.2">
      <c r="A889" t="s">
        <v>2524</v>
      </c>
      <c r="C889" t="s">
        <v>787</v>
      </c>
      <c r="D889" t="s">
        <v>908</v>
      </c>
      <c r="E889" t="s">
        <v>4059</v>
      </c>
      <c r="F889" t="s">
        <v>2617</v>
      </c>
    </row>
    <row r="890" spans="1:6" x14ac:dyDescent="0.2">
      <c r="A890" t="s">
        <v>2525</v>
      </c>
      <c r="C890" t="s">
        <v>783</v>
      </c>
      <c r="D890" t="s">
        <v>4060</v>
      </c>
      <c r="E890" t="s">
        <v>2729</v>
      </c>
      <c r="F890" t="s">
        <v>4061</v>
      </c>
    </row>
    <row r="891" spans="1:6" x14ac:dyDescent="0.2">
      <c r="A891" t="s">
        <v>2526</v>
      </c>
      <c r="C891" t="s">
        <v>783</v>
      </c>
      <c r="D891" t="s">
        <v>947</v>
      </c>
      <c r="E891" t="s">
        <v>4062</v>
      </c>
      <c r="F891" t="s">
        <v>1354</v>
      </c>
    </row>
    <row r="892" spans="1:6" x14ac:dyDescent="0.2">
      <c r="A892" t="s">
        <v>2527</v>
      </c>
      <c r="C892" t="s">
        <v>787</v>
      </c>
      <c r="D892" t="s">
        <v>4063</v>
      </c>
      <c r="E892" t="s">
        <v>1619</v>
      </c>
      <c r="F892" t="s">
        <v>875</v>
      </c>
    </row>
    <row r="893" spans="1:6" x14ac:dyDescent="0.2">
      <c r="A893" t="s">
        <v>2528</v>
      </c>
      <c r="C893" t="s">
        <v>1482</v>
      </c>
      <c r="D893" t="s">
        <v>3590</v>
      </c>
      <c r="E893" t="s">
        <v>1414</v>
      </c>
      <c r="F893" t="s">
        <v>4064</v>
      </c>
    </row>
    <row r="894" spans="1:6" x14ac:dyDescent="0.2">
      <c r="A894" t="s">
        <v>1734</v>
      </c>
      <c r="C894" t="s">
        <v>787</v>
      </c>
      <c r="D894" t="s">
        <v>4065</v>
      </c>
      <c r="E894" t="s">
        <v>3730</v>
      </c>
      <c r="F894" t="s">
        <v>1249</v>
      </c>
    </row>
    <row r="895" spans="1:6" x14ac:dyDescent="0.2">
      <c r="A895" t="s">
        <v>1564</v>
      </c>
      <c r="C895" t="s">
        <v>783</v>
      </c>
      <c r="D895" t="s">
        <v>4066</v>
      </c>
      <c r="E895" t="s">
        <v>4067</v>
      </c>
      <c r="F895" t="s">
        <v>2647</v>
      </c>
    </row>
    <row r="896" spans="1:6" x14ac:dyDescent="0.2">
      <c r="A896" t="s">
        <v>2529</v>
      </c>
      <c r="C896" t="s">
        <v>787</v>
      </c>
      <c r="D896" t="s">
        <v>2817</v>
      </c>
      <c r="E896" t="s">
        <v>1762</v>
      </c>
      <c r="F896" t="s">
        <v>2617</v>
      </c>
    </row>
    <row r="897" spans="1:6" x14ac:dyDescent="0.2">
      <c r="A897" t="s">
        <v>1219</v>
      </c>
      <c r="C897" t="s">
        <v>787</v>
      </c>
      <c r="D897" t="s">
        <v>1440</v>
      </c>
      <c r="E897" t="s">
        <v>1441</v>
      </c>
      <c r="F897" t="s">
        <v>918</v>
      </c>
    </row>
    <row r="898" spans="1:6" x14ac:dyDescent="0.2">
      <c r="A898" t="s">
        <v>1735</v>
      </c>
      <c r="C898" t="s">
        <v>787</v>
      </c>
      <c r="D898" t="s">
        <v>4068</v>
      </c>
      <c r="E898" t="s">
        <v>4069</v>
      </c>
      <c r="F898" t="s">
        <v>2617</v>
      </c>
    </row>
    <row r="899" spans="1:6" x14ac:dyDescent="0.2">
      <c r="A899" t="s">
        <v>2530</v>
      </c>
      <c r="C899" t="s">
        <v>787</v>
      </c>
      <c r="D899" t="s">
        <v>825</v>
      </c>
      <c r="E899" t="s">
        <v>1827</v>
      </c>
      <c r="F899" t="s">
        <v>863</v>
      </c>
    </row>
    <row r="900" spans="1:6" x14ac:dyDescent="0.2">
      <c r="A900" t="s">
        <v>1001</v>
      </c>
      <c r="C900" t="s">
        <v>787</v>
      </c>
      <c r="D900" t="s">
        <v>1002</v>
      </c>
      <c r="E900" t="s">
        <v>4070</v>
      </c>
      <c r="F900" t="s">
        <v>2617</v>
      </c>
    </row>
    <row r="901" spans="1:6" x14ac:dyDescent="0.2">
      <c r="A901" t="s">
        <v>967</v>
      </c>
      <c r="C901" t="s">
        <v>787</v>
      </c>
      <c r="D901" t="s">
        <v>4071</v>
      </c>
      <c r="E901" t="s">
        <v>4072</v>
      </c>
      <c r="F901" t="s">
        <v>1761</v>
      </c>
    </row>
    <row r="902" spans="1:6" x14ac:dyDescent="0.2">
      <c r="A902" t="s">
        <v>2531</v>
      </c>
      <c r="C902" t="s">
        <v>787</v>
      </c>
      <c r="D902" t="s">
        <v>4073</v>
      </c>
      <c r="E902" t="s">
        <v>4074</v>
      </c>
      <c r="F902" t="s">
        <v>2617</v>
      </c>
    </row>
    <row r="903" spans="1:6" x14ac:dyDescent="0.2">
      <c r="A903" t="s">
        <v>1220</v>
      </c>
      <c r="C903" t="s">
        <v>787</v>
      </c>
      <c r="D903" t="s">
        <v>811</v>
      </c>
      <c r="E903" t="s">
        <v>4075</v>
      </c>
      <c r="F903" t="s">
        <v>831</v>
      </c>
    </row>
    <row r="904" spans="1:6" x14ac:dyDescent="0.2">
      <c r="A904" t="s">
        <v>2532</v>
      </c>
      <c r="C904" t="s">
        <v>787</v>
      </c>
      <c r="D904" t="s">
        <v>4076</v>
      </c>
      <c r="E904" t="s">
        <v>4077</v>
      </c>
      <c r="F904" t="s">
        <v>3672</v>
      </c>
    </row>
    <row r="905" spans="1:6" x14ac:dyDescent="0.2">
      <c r="A905" t="s">
        <v>2533</v>
      </c>
      <c r="C905" t="s">
        <v>787</v>
      </c>
      <c r="D905" t="s">
        <v>4078</v>
      </c>
      <c r="E905" t="s">
        <v>2736</v>
      </c>
      <c r="F905" t="s">
        <v>2617</v>
      </c>
    </row>
    <row r="906" spans="1:6" x14ac:dyDescent="0.2">
      <c r="A906" t="s">
        <v>2534</v>
      </c>
      <c r="C906" t="s">
        <v>787</v>
      </c>
      <c r="D906" t="s">
        <v>4079</v>
      </c>
      <c r="E906" t="s">
        <v>4080</v>
      </c>
      <c r="F906" t="s">
        <v>2617</v>
      </c>
    </row>
    <row r="907" spans="1:6" x14ac:dyDescent="0.2">
      <c r="A907" t="s">
        <v>2535</v>
      </c>
      <c r="C907" t="s">
        <v>787</v>
      </c>
      <c r="D907" t="s">
        <v>4081</v>
      </c>
      <c r="E907" t="s">
        <v>2881</v>
      </c>
      <c r="F907" t="s">
        <v>2617</v>
      </c>
    </row>
    <row r="908" spans="1:6" x14ac:dyDescent="0.2">
      <c r="A908" t="s">
        <v>2536</v>
      </c>
      <c r="C908" t="s">
        <v>787</v>
      </c>
      <c r="D908" t="s">
        <v>4082</v>
      </c>
      <c r="E908" t="s">
        <v>4083</v>
      </c>
      <c r="F908" t="s">
        <v>4084</v>
      </c>
    </row>
    <row r="909" spans="1:6" x14ac:dyDescent="0.2">
      <c r="A909" t="s">
        <v>2537</v>
      </c>
      <c r="C909" t="s">
        <v>787</v>
      </c>
      <c r="D909" t="s">
        <v>4085</v>
      </c>
      <c r="E909" t="s">
        <v>927</v>
      </c>
      <c r="F909" t="s">
        <v>2617</v>
      </c>
    </row>
    <row r="910" spans="1:6" x14ac:dyDescent="0.2">
      <c r="A910" t="s">
        <v>2538</v>
      </c>
      <c r="C910" t="s">
        <v>787</v>
      </c>
      <c r="D910" t="s">
        <v>4086</v>
      </c>
      <c r="E910" t="s">
        <v>4087</v>
      </c>
      <c r="F910" t="s">
        <v>2617</v>
      </c>
    </row>
    <row r="911" spans="1:6" x14ac:dyDescent="0.2">
      <c r="A911" t="s">
        <v>2539</v>
      </c>
      <c r="C911" t="s">
        <v>787</v>
      </c>
      <c r="D911" t="s">
        <v>3848</v>
      </c>
      <c r="E911" t="s">
        <v>4088</v>
      </c>
      <c r="F911" t="s">
        <v>2617</v>
      </c>
    </row>
    <row r="912" spans="1:6" x14ac:dyDescent="0.2">
      <c r="A912" t="s">
        <v>2540</v>
      </c>
      <c r="C912" t="s">
        <v>1482</v>
      </c>
      <c r="D912" t="s">
        <v>4089</v>
      </c>
      <c r="E912" t="s">
        <v>4090</v>
      </c>
      <c r="F912" t="s">
        <v>3218</v>
      </c>
    </row>
    <row r="913" spans="1:6" x14ac:dyDescent="0.2">
      <c r="A913" t="s">
        <v>2541</v>
      </c>
      <c r="C913" t="s">
        <v>787</v>
      </c>
      <c r="D913" t="s">
        <v>4091</v>
      </c>
      <c r="E913" t="s">
        <v>4092</v>
      </c>
      <c r="F913" t="s">
        <v>2617</v>
      </c>
    </row>
    <row r="914" spans="1:6" x14ac:dyDescent="0.2">
      <c r="A914" t="s">
        <v>2542</v>
      </c>
      <c r="C914" t="s">
        <v>787</v>
      </c>
      <c r="D914" t="s">
        <v>4093</v>
      </c>
      <c r="E914" t="s">
        <v>2956</v>
      </c>
      <c r="F914" t="s">
        <v>2617</v>
      </c>
    </row>
    <row r="915" spans="1:6" x14ac:dyDescent="0.2">
      <c r="A915" t="s">
        <v>2543</v>
      </c>
      <c r="C915" t="s">
        <v>787</v>
      </c>
      <c r="D915" t="s">
        <v>4094</v>
      </c>
      <c r="E915" t="s">
        <v>3033</v>
      </c>
      <c r="F915" t="s">
        <v>2617</v>
      </c>
    </row>
    <row r="916" spans="1:6" x14ac:dyDescent="0.2">
      <c r="A916" t="s">
        <v>1221</v>
      </c>
      <c r="C916" t="s">
        <v>787</v>
      </c>
      <c r="D916" t="s">
        <v>4095</v>
      </c>
      <c r="E916" t="s">
        <v>4096</v>
      </c>
      <c r="F916" t="s">
        <v>1369</v>
      </c>
    </row>
    <row r="917" spans="1:6" x14ac:dyDescent="0.2">
      <c r="A917" t="s">
        <v>2544</v>
      </c>
      <c r="C917" t="s">
        <v>787</v>
      </c>
      <c r="D917" t="s">
        <v>4097</v>
      </c>
      <c r="E917" t="s">
        <v>4098</v>
      </c>
      <c r="F917" t="s">
        <v>2617</v>
      </c>
    </row>
    <row r="918" spans="1:6" x14ac:dyDescent="0.2">
      <c r="A918" t="s">
        <v>2545</v>
      </c>
      <c r="C918" t="s">
        <v>1482</v>
      </c>
      <c r="D918" t="s">
        <v>4099</v>
      </c>
      <c r="E918" t="s">
        <v>4100</v>
      </c>
      <c r="F918" t="s">
        <v>4101</v>
      </c>
    </row>
    <row r="919" spans="1:6" x14ac:dyDescent="0.2">
      <c r="A919" t="s">
        <v>2546</v>
      </c>
      <c r="C919" t="s">
        <v>787</v>
      </c>
      <c r="D919" t="s">
        <v>3278</v>
      </c>
      <c r="E919" t="s">
        <v>4102</v>
      </c>
      <c r="F919" t="s">
        <v>2617</v>
      </c>
    </row>
    <row r="920" spans="1:6" x14ac:dyDescent="0.2">
      <c r="A920" t="s">
        <v>2547</v>
      </c>
      <c r="C920" t="s">
        <v>787</v>
      </c>
      <c r="D920" t="s">
        <v>3931</v>
      </c>
      <c r="E920" t="s">
        <v>3855</v>
      </c>
      <c r="F920" t="s">
        <v>935</v>
      </c>
    </row>
    <row r="921" spans="1:6" x14ac:dyDescent="0.2">
      <c r="A921" t="s">
        <v>1736</v>
      </c>
      <c r="C921" t="s">
        <v>787</v>
      </c>
      <c r="D921" t="s">
        <v>4103</v>
      </c>
      <c r="E921" t="s">
        <v>4104</v>
      </c>
      <c r="F921" t="s">
        <v>2617</v>
      </c>
    </row>
    <row r="922" spans="1:6" x14ac:dyDescent="0.2">
      <c r="A922" t="s">
        <v>1222</v>
      </c>
      <c r="C922" t="s">
        <v>787</v>
      </c>
      <c r="D922" t="s">
        <v>784</v>
      </c>
      <c r="E922" t="s">
        <v>1443</v>
      </c>
      <c r="F922" t="s">
        <v>960</v>
      </c>
    </row>
    <row r="923" spans="1:6" x14ac:dyDescent="0.2">
      <c r="A923" t="s">
        <v>1223</v>
      </c>
      <c r="C923" t="s">
        <v>787</v>
      </c>
      <c r="D923" t="s">
        <v>1444</v>
      </c>
      <c r="E923" t="s">
        <v>1445</v>
      </c>
      <c r="F923" t="s">
        <v>4105</v>
      </c>
    </row>
    <row r="924" spans="1:6" x14ac:dyDescent="0.2">
      <c r="A924" t="s">
        <v>2548</v>
      </c>
      <c r="C924" t="s">
        <v>787</v>
      </c>
      <c r="D924" t="s">
        <v>4106</v>
      </c>
      <c r="E924" t="s">
        <v>4107</v>
      </c>
      <c r="F924" t="s">
        <v>4108</v>
      </c>
    </row>
    <row r="925" spans="1:6" x14ac:dyDescent="0.2">
      <c r="A925" t="s">
        <v>2549</v>
      </c>
      <c r="C925" t="s">
        <v>787</v>
      </c>
      <c r="D925" t="s">
        <v>4109</v>
      </c>
      <c r="E925" t="s">
        <v>843</v>
      </c>
      <c r="F925" t="s">
        <v>2617</v>
      </c>
    </row>
    <row r="926" spans="1:6" x14ac:dyDescent="0.2">
      <c r="A926" t="s">
        <v>1737</v>
      </c>
      <c r="C926" t="s">
        <v>787</v>
      </c>
      <c r="D926" t="s">
        <v>4110</v>
      </c>
      <c r="E926" t="s">
        <v>4111</v>
      </c>
      <c r="F926" t="s">
        <v>2617</v>
      </c>
    </row>
    <row r="927" spans="1:6" x14ac:dyDescent="0.2">
      <c r="A927" t="s">
        <v>1224</v>
      </c>
      <c r="C927" t="s">
        <v>787</v>
      </c>
      <c r="D927" t="s">
        <v>4112</v>
      </c>
      <c r="E927" t="s">
        <v>1447</v>
      </c>
      <c r="F927" t="s">
        <v>1407</v>
      </c>
    </row>
    <row r="928" spans="1:6" x14ac:dyDescent="0.2">
      <c r="A928" t="s">
        <v>1225</v>
      </c>
      <c r="C928" t="s">
        <v>787</v>
      </c>
      <c r="D928" t="s">
        <v>1448</v>
      </c>
      <c r="E928" t="s">
        <v>1059</v>
      </c>
      <c r="F928" t="s">
        <v>831</v>
      </c>
    </row>
    <row r="929" spans="1:6" x14ac:dyDescent="0.2">
      <c r="A929" t="s">
        <v>1226</v>
      </c>
      <c r="C929" t="s">
        <v>787</v>
      </c>
      <c r="D929" t="s">
        <v>1450</v>
      </c>
      <c r="E929" t="s">
        <v>4113</v>
      </c>
      <c r="F929" t="s">
        <v>793</v>
      </c>
    </row>
    <row r="930" spans="1:6" x14ac:dyDescent="0.2">
      <c r="A930" t="s">
        <v>2550</v>
      </c>
      <c r="C930" t="s">
        <v>787</v>
      </c>
      <c r="D930" t="s">
        <v>4114</v>
      </c>
      <c r="E930" t="s">
        <v>4115</v>
      </c>
      <c r="F930" t="s">
        <v>1265</v>
      </c>
    </row>
    <row r="931" spans="1:6" x14ac:dyDescent="0.2">
      <c r="A931" t="s">
        <v>1227</v>
      </c>
      <c r="C931" t="s">
        <v>787</v>
      </c>
      <c r="D931" t="s">
        <v>1642</v>
      </c>
      <c r="E931" t="s">
        <v>4116</v>
      </c>
      <c r="F931" t="s">
        <v>1452</v>
      </c>
    </row>
    <row r="932" spans="1:6" x14ac:dyDescent="0.2">
      <c r="A932" t="s">
        <v>2551</v>
      </c>
      <c r="C932" t="s">
        <v>787</v>
      </c>
      <c r="D932" t="s">
        <v>2744</v>
      </c>
      <c r="E932" t="s">
        <v>4058</v>
      </c>
      <c r="F932" t="s">
        <v>2617</v>
      </c>
    </row>
    <row r="933" spans="1:6" x14ac:dyDescent="0.2">
      <c r="A933" t="s">
        <v>1228</v>
      </c>
      <c r="C933" t="s">
        <v>787</v>
      </c>
      <c r="D933" t="s">
        <v>1453</v>
      </c>
      <c r="E933" t="s">
        <v>1454</v>
      </c>
      <c r="F933" t="s">
        <v>898</v>
      </c>
    </row>
    <row r="934" spans="1:6" x14ac:dyDescent="0.2">
      <c r="A934" t="s">
        <v>1567</v>
      </c>
      <c r="C934" t="s">
        <v>783</v>
      </c>
      <c r="D934" t="s">
        <v>4117</v>
      </c>
      <c r="E934" t="s">
        <v>4118</v>
      </c>
      <c r="F934" t="s">
        <v>4007</v>
      </c>
    </row>
    <row r="935" spans="1:6" x14ac:dyDescent="0.2">
      <c r="A935" t="s">
        <v>2552</v>
      </c>
      <c r="C935" t="s">
        <v>787</v>
      </c>
      <c r="D935" t="s">
        <v>3530</v>
      </c>
      <c r="E935" t="s">
        <v>4119</v>
      </c>
      <c r="F935" t="s">
        <v>2617</v>
      </c>
    </row>
    <row r="936" spans="1:6" x14ac:dyDescent="0.2">
      <c r="A936" t="s">
        <v>2553</v>
      </c>
      <c r="C936" t="s">
        <v>787</v>
      </c>
      <c r="D936" t="s">
        <v>4120</v>
      </c>
      <c r="E936" t="s">
        <v>3754</v>
      </c>
      <c r="F936" t="s">
        <v>2617</v>
      </c>
    </row>
    <row r="937" spans="1:6" x14ac:dyDescent="0.2">
      <c r="A937" t="s">
        <v>2554</v>
      </c>
      <c r="C937" t="s">
        <v>1482</v>
      </c>
      <c r="D937" t="s">
        <v>4121</v>
      </c>
      <c r="E937" t="s">
        <v>4122</v>
      </c>
      <c r="F937" t="s">
        <v>1433</v>
      </c>
    </row>
    <row r="938" spans="1:6" x14ac:dyDescent="0.2">
      <c r="A938" t="s">
        <v>2555</v>
      </c>
      <c r="C938" t="s">
        <v>787</v>
      </c>
      <c r="D938" t="s">
        <v>4123</v>
      </c>
      <c r="E938" t="s">
        <v>4124</v>
      </c>
      <c r="F938" t="s">
        <v>2617</v>
      </c>
    </row>
    <row r="939" spans="1:6" x14ac:dyDescent="0.2">
      <c r="A939" t="s">
        <v>1229</v>
      </c>
      <c r="C939" t="s">
        <v>787</v>
      </c>
      <c r="D939" t="s">
        <v>4125</v>
      </c>
      <c r="E939" t="s">
        <v>4126</v>
      </c>
      <c r="F939" t="s">
        <v>1455</v>
      </c>
    </row>
    <row r="940" spans="1:6" x14ac:dyDescent="0.2">
      <c r="A940" t="s">
        <v>2556</v>
      </c>
      <c r="C940" t="s">
        <v>787</v>
      </c>
      <c r="D940" t="s">
        <v>4127</v>
      </c>
      <c r="E940" t="s">
        <v>4128</v>
      </c>
      <c r="F940" t="s">
        <v>2617</v>
      </c>
    </row>
    <row r="941" spans="1:6" x14ac:dyDescent="0.2">
      <c r="A941" t="s">
        <v>2557</v>
      </c>
      <c r="C941" t="s">
        <v>787</v>
      </c>
      <c r="D941" t="s">
        <v>3337</v>
      </c>
      <c r="E941" t="s">
        <v>4129</v>
      </c>
      <c r="F941" t="s">
        <v>3069</v>
      </c>
    </row>
    <row r="942" spans="1:6" x14ac:dyDescent="0.2">
      <c r="A942" t="s">
        <v>1570</v>
      </c>
      <c r="C942" t="s">
        <v>783</v>
      </c>
      <c r="D942" t="s">
        <v>4130</v>
      </c>
      <c r="E942" t="s">
        <v>3074</v>
      </c>
      <c r="F942" t="s">
        <v>2647</v>
      </c>
    </row>
    <row r="943" spans="1:6" x14ac:dyDescent="0.2">
      <c r="A943" t="s">
        <v>2558</v>
      </c>
      <c r="C943" t="s">
        <v>1482</v>
      </c>
      <c r="D943" t="s">
        <v>3236</v>
      </c>
      <c r="E943" t="s">
        <v>3056</v>
      </c>
      <c r="F943" t="s">
        <v>4131</v>
      </c>
    </row>
    <row r="944" spans="1:6" x14ac:dyDescent="0.2">
      <c r="A944" t="s">
        <v>2559</v>
      </c>
      <c r="C944" t="s">
        <v>1482</v>
      </c>
      <c r="D944" t="s">
        <v>858</v>
      </c>
      <c r="E944" t="s">
        <v>2856</v>
      </c>
      <c r="F944" t="s">
        <v>4132</v>
      </c>
    </row>
    <row r="945" spans="1:6" x14ac:dyDescent="0.2">
      <c r="A945" t="s">
        <v>2560</v>
      </c>
      <c r="C945" t="s">
        <v>1482</v>
      </c>
      <c r="D945" t="s">
        <v>4133</v>
      </c>
      <c r="E945" t="s">
        <v>1850</v>
      </c>
      <c r="F945" t="s">
        <v>4134</v>
      </c>
    </row>
    <row r="946" spans="1:6" x14ac:dyDescent="0.2">
      <c r="A946" t="s">
        <v>2561</v>
      </c>
      <c r="C946" t="s">
        <v>787</v>
      </c>
      <c r="D946" t="s">
        <v>4135</v>
      </c>
      <c r="E946" t="s">
        <v>3333</v>
      </c>
      <c r="F946" t="s">
        <v>2617</v>
      </c>
    </row>
    <row r="947" spans="1:6" x14ac:dyDescent="0.2">
      <c r="A947" t="s">
        <v>2562</v>
      </c>
      <c r="C947" t="s">
        <v>787</v>
      </c>
      <c r="D947" t="s">
        <v>4136</v>
      </c>
      <c r="E947" t="s">
        <v>4137</v>
      </c>
      <c r="F947" t="s">
        <v>2617</v>
      </c>
    </row>
    <row r="948" spans="1:6" x14ac:dyDescent="0.2">
      <c r="A948" t="s">
        <v>2563</v>
      </c>
      <c r="C948" t="s">
        <v>787</v>
      </c>
      <c r="D948" t="s">
        <v>4138</v>
      </c>
      <c r="E948" t="s">
        <v>3913</v>
      </c>
      <c r="F948" t="s">
        <v>2617</v>
      </c>
    </row>
    <row r="949" spans="1:6" x14ac:dyDescent="0.2">
      <c r="A949" t="s">
        <v>2564</v>
      </c>
      <c r="C949" t="s">
        <v>787</v>
      </c>
      <c r="D949" t="s">
        <v>1087</v>
      </c>
      <c r="E949" t="s">
        <v>4048</v>
      </c>
      <c r="F949" t="s">
        <v>2617</v>
      </c>
    </row>
    <row r="950" spans="1:6" x14ac:dyDescent="0.2">
      <c r="A950" t="s">
        <v>2565</v>
      </c>
      <c r="C950" t="s">
        <v>787</v>
      </c>
      <c r="D950" t="s">
        <v>4139</v>
      </c>
      <c r="E950" t="s">
        <v>4140</v>
      </c>
      <c r="F950" t="s">
        <v>2617</v>
      </c>
    </row>
    <row r="951" spans="1:6" x14ac:dyDescent="0.2">
      <c r="A951" t="s">
        <v>1230</v>
      </c>
      <c r="C951" t="s">
        <v>787</v>
      </c>
      <c r="D951" t="s">
        <v>1456</v>
      </c>
      <c r="E951" t="s">
        <v>1457</v>
      </c>
      <c r="F951" t="s">
        <v>1056</v>
      </c>
    </row>
    <row r="952" spans="1:6" x14ac:dyDescent="0.2">
      <c r="A952" t="s">
        <v>1572</v>
      </c>
      <c r="C952" t="s">
        <v>783</v>
      </c>
      <c r="D952" t="s">
        <v>4141</v>
      </c>
      <c r="E952" t="s">
        <v>4142</v>
      </c>
      <c r="F952" t="s">
        <v>2647</v>
      </c>
    </row>
    <row r="953" spans="1:6" x14ac:dyDescent="0.2">
      <c r="A953" t="s">
        <v>2566</v>
      </c>
      <c r="C953" t="s">
        <v>787</v>
      </c>
      <c r="D953" t="s">
        <v>4143</v>
      </c>
      <c r="E953" t="s">
        <v>1393</v>
      </c>
      <c r="F953" t="s">
        <v>2617</v>
      </c>
    </row>
    <row r="954" spans="1:6" x14ac:dyDescent="0.2">
      <c r="A954" t="s">
        <v>2567</v>
      </c>
      <c r="C954" t="s">
        <v>783</v>
      </c>
      <c r="D954" t="s">
        <v>4144</v>
      </c>
      <c r="E954" t="s">
        <v>3969</v>
      </c>
      <c r="F954" t="s">
        <v>3049</v>
      </c>
    </row>
    <row r="955" spans="1:6" x14ac:dyDescent="0.2">
      <c r="A955" t="s">
        <v>1231</v>
      </c>
      <c r="C955" t="s">
        <v>787</v>
      </c>
      <c r="D955" t="s">
        <v>4145</v>
      </c>
      <c r="E955" t="s">
        <v>1458</v>
      </c>
      <c r="F955" t="s">
        <v>4146</v>
      </c>
    </row>
    <row r="956" spans="1:6" x14ac:dyDescent="0.2">
      <c r="A956" t="s">
        <v>948</v>
      </c>
      <c r="C956" t="s">
        <v>787</v>
      </c>
      <c r="D956" t="s">
        <v>4147</v>
      </c>
      <c r="E956" t="s">
        <v>3095</v>
      </c>
      <c r="F956" t="s">
        <v>2617</v>
      </c>
    </row>
    <row r="957" spans="1:6" x14ac:dyDescent="0.2">
      <c r="A957" t="s">
        <v>1575</v>
      </c>
      <c r="C957" t="s">
        <v>783</v>
      </c>
      <c r="D957" t="s">
        <v>2946</v>
      </c>
      <c r="E957" t="s">
        <v>4148</v>
      </c>
      <c r="F957" t="s">
        <v>1403</v>
      </c>
    </row>
    <row r="958" spans="1:6" x14ac:dyDescent="0.2">
      <c r="A958" t="s">
        <v>2568</v>
      </c>
      <c r="C958" t="s">
        <v>787</v>
      </c>
      <c r="D958" t="s">
        <v>4149</v>
      </c>
      <c r="E958" t="s">
        <v>1055</v>
      </c>
      <c r="F958" t="s">
        <v>1877</v>
      </c>
    </row>
    <row r="959" spans="1:6" x14ac:dyDescent="0.2">
      <c r="A959" t="s">
        <v>1232</v>
      </c>
      <c r="C959" t="s">
        <v>787</v>
      </c>
      <c r="D959" t="s">
        <v>4150</v>
      </c>
      <c r="E959" t="s">
        <v>4151</v>
      </c>
      <c r="F959" t="s">
        <v>1461</v>
      </c>
    </row>
    <row r="960" spans="1:6" x14ac:dyDescent="0.2">
      <c r="A960" t="s">
        <v>2569</v>
      </c>
      <c r="C960" t="s">
        <v>787</v>
      </c>
      <c r="D960" t="s">
        <v>4152</v>
      </c>
      <c r="E960" t="s">
        <v>1769</v>
      </c>
      <c r="F960" t="s">
        <v>2617</v>
      </c>
    </row>
    <row r="961" spans="1:6" x14ac:dyDescent="0.2">
      <c r="A961" t="s">
        <v>2570</v>
      </c>
      <c r="C961" t="s">
        <v>787</v>
      </c>
      <c r="D961" t="s">
        <v>4153</v>
      </c>
      <c r="E961" t="s">
        <v>3388</v>
      </c>
      <c r="F961" t="s">
        <v>790</v>
      </c>
    </row>
    <row r="962" spans="1:6" x14ac:dyDescent="0.2">
      <c r="A962" t="s">
        <v>2571</v>
      </c>
      <c r="C962" t="s">
        <v>787</v>
      </c>
      <c r="D962" t="s">
        <v>1055</v>
      </c>
      <c r="E962" t="s">
        <v>4154</v>
      </c>
      <c r="F962" t="s">
        <v>1301</v>
      </c>
    </row>
    <row r="963" spans="1:6" x14ac:dyDescent="0.2">
      <c r="A963" t="s">
        <v>2572</v>
      </c>
      <c r="C963" t="s">
        <v>787</v>
      </c>
      <c r="D963" t="s">
        <v>4155</v>
      </c>
      <c r="E963" t="s">
        <v>4156</v>
      </c>
      <c r="F963" t="s">
        <v>1301</v>
      </c>
    </row>
    <row r="964" spans="1:6" x14ac:dyDescent="0.2">
      <c r="A964" t="s">
        <v>2573</v>
      </c>
      <c r="C964" t="s">
        <v>787</v>
      </c>
      <c r="D964" t="s">
        <v>4157</v>
      </c>
      <c r="E964" t="s">
        <v>4158</v>
      </c>
      <c r="F964" t="s">
        <v>2617</v>
      </c>
    </row>
    <row r="965" spans="1:6" x14ac:dyDescent="0.2">
      <c r="A965" t="s">
        <v>1233</v>
      </c>
      <c r="C965" t="s">
        <v>787</v>
      </c>
      <c r="D965" t="s">
        <v>1462</v>
      </c>
      <c r="E965" t="s">
        <v>4159</v>
      </c>
      <c r="F965" t="s">
        <v>1087</v>
      </c>
    </row>
    <row r="966" spans="1:6" x14ac:dyDescent="0.2">
      <c r="A966" t="s">
        <v>2574</v>
      </c>
      <c r="C966" t="s">
        <v>787</v>
      </c>
      <c r="D966" t="s">
        <v>4160</v>
      </c>
      <c r="E966" t="s">
        <v>3319</v>
      </c>
      <c r="F966" t="s">
        <v>2617</v>
      </c>
    </row>
    <row r="967" spans="1:6" x14ac:dyDescent="0.2">
      <c r="A967" t="s">
        <v>2575</v>
      </c>
      <c r="C967" t="s">
        <v>787</v>
      </c>
      <c r="D967" t="s">
        <v>4161</v>
      </c>
      <c r="E967" t="s">
        <v>3371</v>
      </c>
      <c r="F967" t="s">
        <v>2617</v>
      </c>
    </row>
    <row r="968" spans="1:6" x14ac:dyDescent="0.2">
      <c r="A968" t="s">
        <v>2576</v>
      </c>
      <c r="C968" t="s">
        <v>787</v>
      </c>
      <c r="D968" t="s">
        <v>842</v>
      </c>
      <c r="E968" t="s">
        <v>4162</v>
      </c>
      <c r="F968" t="s">
        <v>884</v>
      </c>
    </row>
    <row r="969" spans="1:6" x14ac:dyDescent="0.2">
      <c r="A969" t="s">
        <v>2577</v>
      </c>
      <c r="C969" t="s">
        <v>787</v>
      </c>
      <c r="D969" t="s">
        <v>4163</v>
      </c>
      <c r="E969" t="s">
        <v>1630</v>
      </c>
      <c r="F969" t="s">
        <v>3382</v>
      </c>
    </row>
    <row r="970" spans="1:6" x14ac:dyDescent="0.2">
      <c r="A970" t="s">
        <v>2578</v>
      </c>
      <c r="C970" t="s">
        <v>787</v>
      </c>
      <c r="D970" t="s">
        <v>4164</v>
      </c>
      <c r="E970" t="s">
        <v>1084</v>
      </c>
      <c r="F970" t="s">
        <v>2617</v>
      </c>
    </row>
    <row r="971" spans="1:6" x14ac:dyDescent="0.2">
      <c r="A971" t="s">
        <v>1738</v>
      </c>
      <c r="C971" t="s">
        <v>787</v>
      </c>
      <c r="D971" t="s">
        <v>2707</v>
      </c>
      <c r="E971" t="s">
        <v>4165</v>
      </c>
      <c r="F971" t="s">
        <v>2617</v>
      </c>
    </row>
    <row r="972" spans="1:6" x14ac:dyDescent="0.2">
      <c r="A972" t="s">
        <v>1234</v>
      </c>
      <c r="C972" t="s">
        <v>787</v>
      </c>
      <c r="D972" t="s">
        <v>4166</v>
      </c>
      <c r="E972" t="s">
        <v>4167</v>
      </c>
      <c r="F972" t="s">
        <v>4168</v>
      </c>
    </row>
    <row r="973" spans="1:6" x14ac:dyDescent="0.2">
      <c r="A973" t="s">
        <v>1026</v>
      </c>
      <c r="C973" t="s">
        <v>787</v>
      </c>
      <c r="D973" t="s">
        <v>1619</v>
      </c>
      <c r="E973" t="s">
        <v>4169</v>
      </c>
      <c r="F973" t="s">
        <v>3165</v>
      </c>
    </row>
    <row r="974" spans="1:6" x14ac:dyDescent="0.2">
      <c r="A974" t="s">
        <v>974</v>
      </c>
      <c r="C974" t="s">
        <v>787</v>
      </c>
      <c r="D974" t="s">
        <v>4170</v>
      </c>
      <c r="E974" t="s">
        <v>4171</v>
      </c>
      <c r="F974" t="s">
        <v>1461</v>
      </c>
    </row>
    <row r="975" spans="1:6" x14ac:dyDescent="0.2">
      <c r="A975" t="s">
        <v>1235</v>
      </c>
      <c r="C975" t="s">
        <v>787</v>
      </c>
      <c r="D975" t="s">
        <v>4172</v>
      </c>
      <c r="E975" t="s">
        <v>1464</v>
      </c>
      <c r="F975" t="s">
        <v>941</v>
      </c>
    </row>
    <row r="976" spans="1:6" x14ac:dyDescent="0.2">
      <c r="A976" t="s">
        <v>2579</v>
      </c>
      <c r="C976" t="s">
        <v>787</v>
      </c>
      <c r="D976" t="s">
        <v>4173</v>
      </c>
      <c r="E976" t="s">
        <v>4174</v>
      </c>
      <c r="F976" t="s">
        <v>4175</v>
      </c>
    </row>
    <row r="977" spans="1:6" x14ac:dyDescent="0.2">
      <c r="A977" t="s">
        <v>1236</v>
      </c>
      <c r="C977" t="s">
        <v>787</v>
      </c>
      <c r="D977" t="s">
        <v>4176</v>
      </c>
      <c r="E977" t="s">
        <v>1466</v>
      </c>
      <c r="F977" t="s">
        <v>1469</v>
      </c>
    </row>
    <row r="978" spans="1:6" x14ac:dyDescent="0.2">
      <c r="A978" t="s">
        <v>1237</v>
      </c>
      <c r="C978" t="s">
        <v>787</v>
      </c>
      <c r="D978" t="s">
        <v>3501</v>
      </c>
      <c r="E978" t="s">
        <v>4177</v>
      </c>
      <c r="F978" t="s">
        <v>4178</v>
      </c>
    </row>
    <row r="979" spans="1:6" x14ac:dyDescent="0.2">
      <c r="A979" t="s">
        <v>2580</v>
      </c>
      <c r="C979" t="s">
        <v>787</v>
      </c>
      <c r="D979" t="s">
        <v>4179</v>
      </c>
      <c r="E979" t="s">
        <v>4180</v>
      </c>
      <c r="F979" t="s">
        <v>2617</v>
      </c>
    </row>
    <row r="980" spans="1:6" x14ac:dyDescent="0.2">
      <c r="A980" t="s">
        <v>2581</v>
      </c>
      <c r="C980" t="s">
        <v>787</v>
      </c>
      <c r="D980" t="s">
        <v>3375</v>
      </c>
      <c r="E980" t="s">
        <v>4181</v>
      </c>
      <c r="F980" t="s">
        <v>1264</v>
      </c>
    </row>
    <row r="981" spans="1:6" x14ac:dyDescent="0.2">
      <c r="A981" t="s">
        <v>2582</v>
      </c>
      <c r="C981" t="s">
        <v>787</v>
      </c>
      <c r="D981" t="s">
        <v>4182</v>
      </c>
      <c r="E981" t="s">
        <v>4183</v>
      </c>
      <c r="F981" t="s">
        <v>4184</v>
      </c>
    </row>
    <row r="982" spans="1:6" x14ac:dyDescent="0.2">
      <c r="A982" t="s">
        <v>2583</v>
      </c>
      <c r="C982" t="s">
        <v>787</v>
      </c>
      <c r="D982" t="s">
        <v>2639</v>
      </c>
      <c r="E982" t="s">
        <v>4185</v>
      </c>
      <c r="F982" t="s">
        <v>2617</v>
      </c>
    </row>
    <row r="983" spans="1:6" x14ac:dyDescent="0.2">
      <c r="A983" t="s">
        <v>2584</v>
      </c>
      <c r="C983" t="s">
        <v>787</v>
      </c>
      <c r="D983" t="s">
        <v>4186</v>
      </c>
      <c r="E983" t="s">
        <v>4187</v>
      </c>
      <c r="F983" t="s">
        <v>2617</v>
      </c>
    </row>
    <row r="984" spans="1:6" x14ac:dyDescent="0.2">
      <c r="A984" t="s">
        <v>2585</v>
      </c>
      <c r="C984" t="s">
        <v>787</v>
      </c>
      <c r="D984" t="s">
        <v>1909</v>
      </c>
      <c r="E984" t="s">
        <v>4188</v>
      </c>
      <c r="F984" t="s">
        <v>2617</v>
      </c>
    </row>
    <row r="985" spans="1:6" x14ac:dyDescent="0.2">
      <c r="A985" t="s">
        <v>2586</v>
      </c>
      <c r="C985" t="s">
        <v>787</v>
      </c>
      <c r="D985" t="s">
        <v>4189</v>
      </c>
      <c r="E985" t="s">
        <v>4190</v>
      </c>
      <c r="F985" t="s">
        <v>2617</v>
      </c>
    </row>
    <row r="986" spans="1:6" x14ac:dyDescent="0.2">
      <c r="A986" t="s">
        <v>2587</v>
      </c>
      <c r="C986" t="s">
        <v>787</v>
      </c>
      <c r="D986" t="s">
        <v>4191</v>
      </c>
      <c r="E986" t="s">
        <v>4192</v>
      </c>
      <c r="F986" t="s">
        <v>2617</v>
      </c>
    </row>
    <row r="987" spans="1:6" x14ac:dyDescent="0.2">
      <c r="A987" t="s">
        <v>2588</v>
      </c>
      <c r="C987" t="s">
        <v>787</v>
      </c>
      <c r="D987" t="s">
        <v>4083</v>
      </c>
      <c r="E987" t="s">
        <v>4193</v>
      </c>
      <c r="F987" t="s">
        <v>4194</v>
      </c>
    </row>
    <row r="988" spans="1:6" x14ac:dyDescent="0.2">
      <c r="A988" t="s">
        <v>2589</v>
      </c>
      <c r="C988" t="s">
        <v>787</v>
      </c>
      <c r="D988" t="s">
        <v>4195</v>
      </c>
      <c r="E988" t="s">
        <v>4196</v>
      </c>
      <c r="F988" t="s">
        <v>4184</v>
      </c>
    </row>
    <row r="989" spans="1:6" x14ac:dyDescent="0.2">
      <c r="A989" t="s">
        <v>1579</v>
      </c>
      <c r="C989" t="s">
        <v>783</v>
      </c>
      <c r="D989" t="s">
        <v>4197</v>
      </c>
      <c r="E989" t="s">
        <v>4198</v>
      </c>
      <c r="F989" t="s">
        <v>4199</v>
      </c>
    </row>
    <row r="990" spans="1:6" x14ac:dyDescent="0.2">
      <c r="A990" t="s">
        <v>1739</v>
      </c>
      <c r="C990" t="s">
        <v>787</v>
      </c>
      <c r="D990" t="s">
        <v>4200</v>
      </c>
      <c r="E990" t="s">
        <v>2657</v>
      </c>
      <c r="F990" t="s">
        <v>2617</v>
      </c>
    </row>
    <row r="991" spans="1:6" x14ac:dyDescent="0.2">
      <c r="A991" t="s">
        <v>2590</v>
      </c>
      <c r="C991" t="s">
        <v>787</v>
      </c>
      <c r="D991" t="s">
        <v>4201</v>
      </c>
      <c r="E991" t="s">
        <v>4202</v>
      </c>
      <c r="F991" t="s">
        <v>4203</v>
      </c>
    </row>
  </sheetData>
  <autoFilter ref="A1:F991" xr:uid="{9F268EE0-ED4E-D644-BE8D-34069771440A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dimension ref="A1:G48"/>
  <sheetViews>
    <sheetView workbookViewId="0">
      <selection activeCell="D4" sqref="D4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1090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1667</v>
      </c>
      <c r="B2" t="str">
        <f t="shared" ref="B2" si="0">IF(A2="",A1,"")</f>
        <v/>
      </c>
      <c r="D2" t="str">
        <f>IF(A2="",IF(INT(G2)&lt;-200,"Depths",IF(INT(G2)&gt;700,"Sky","Surface")),"")</f>
        <v/>
      </c>
      <c r="E2" t="str">
        <f>IF(A2="",TEXT(LEFT(#REF!,FIND(",",#REF!)-1),"0000"),"")</f>
        <v/>
      </c>
      <c r="F2" t="str">
        <f>IF(A2="",TEXT(SUBSTITUTE(MID(#REF!,FIND(",",#REF!)+2,5),",",""),"0000"),"")</f>
        <v/>
      </c>
      <c r="G2" t="str">
        <f>IF(A2="",TEXT(RIGHT(#REF!,LEN(#REF!)-FIND(",",#REF!,7)-1),"0000"),"")</f>
        <v/>
      </c>
    </row>
    <row r="3" spans="1:7" x14ac:dyDescent="0.2">
      <c r="B3" t="s">
        <v>4204</v>
      </c>
      <c r="D3" t="s">
        <v>1482</v>
      </c>
      <c r="E3" t="s">
        <v>4250</v>
      </c>
      <c r="F3" t="s">
        <v>4251</v>
      </c>
      <c r="G3" t="s">
        <v>4252</v>
      </c>
    </row>
    <row r="4" spans="1:7" x14ac:dyDescent="0.2">
      <c r="B4" t="s">
        <v>4205</v>
      </c>
      <c r="D4" t="s">
        <v>1482</v>
      </c>
      <c r="E4" t="s">
        <v>4253</v>
      </c>
      <c r="F4" t="s">
        <v>4254</v>
      </c>
      <c r="G4" t="s">
        <v>4064</v>
      </c>
    </row>
    <row r="5" spans="1:7" x14ac:dyDescent="0.2">
      <c r="B5" t="s">
        <v>4206</v>
      </c>
      <c r="D5" t="s">
        <v>1482</v>
      </c>
      <c r="E5" t="s">
        <v>3949</v>
      </c>
      <c r="F5" t="s">
        <v>1089</v>
      </c>
      <c r="G5" t="s">
        <v>4101</v>
      </c>
    </row>
    <row r="6" spans="1:7" x14ac:dyDescent="0.2">
      <c r="B6" t="s">
        <v>4207</v>
      </c>
      <c r="D6" t="s">
        <v>1482</v>
      </c>
      <c r="E6" t="s">
        <v>4255</v>
      </c>
      <c r="F6" t="s">
        <v>3411</v>
      </c>
      <c r="G6" t="s">
        <v>3697</v>
      </c>
    </row>
    <row r="7" spans="1:7" x14ac:dyDescent="0.2">
      <c r="B7" t="s">
        <v>4208</v>
      </c>
      <c r="D7" t="s">
        <v>787</v>
      </c>
      <c r="E7" t="s">
        <v>4256</v>
      </c>
      <c r="F7" t="s">
        <v>4257</v>
      </c>
      <c r="G7" t="s">
        <v>4258</v>
      </c>
    </row>
    <row r="8" spans="1:7" x14ac:dyDescent="0.2">
      <c r="B8" t="s">
        <v>4209</v>
      </c>
      <c r="D8" t="s">
        <v>1482</v>
      </c>
      <c r="E8" t="s">
        <v>1887</v>
      </c>
      <c r="F8" t="s">
        <v>4259</v>
      </c>
      <c r="G8" t="s">
        <v>4260</v>
      </c>
    </row>
    <row r="9" spans="1:7" x14ac:dyDescent="0.2">
      <c r="B9" t="s">
        <v>4210</v>
      </c>
      <c r="D9" t="s">
        <v>1482</v>
      </c>
      <c r="E9" t="s">
        <v>4261</v>
      </c>
      <c r="F9" t="s">
        <v>4262</v>
      </c>
      <c r="G9" t="s">
        <v>4263</v>
      </c>
    </row>
    <row r="10" spans="1:7" x14ac:dyDescent="0.2">
      <c r="B10" t="s">
        <v>4211</v>
      </c>
      <c r="D10" t="s">
        <v>1482</v>
      </c>
      <c r="E10" t="s">
        <v>4264</v>
      </c>
      <c r="F10" t="s">
        <v>1605</v>
      </c>
      <c r="G10" t="s">
        <v>4265</v>
      </c>
    </row>
    <row r="11" spans="1:7" x14ac:dyDescent="0.2">
      <c r="B11" t="s">
        <v>4212</v>
      </c>
      <c r="D11" t="s">
        <v>1482</v>
      </c>
      <c r="E11" t="s">
        <v>4266</v>
      </c>
      <c r="F11" t="s">
        <v>4267</v>
      </c>
      <c r="G11" t="s">
        <v>3038</v>
      </c>
    </row>
    <row r="12" spans="1:7" x14ac:dyDescent="0.2">
      <c r="B12" t="s">
        <v>4213</v>
      </c>
      <c r="D12" t="s">
        <v>1482</v>
      </c>
      <c r="E12" t="s">
        <v>4268</v>
      </c>
      <c r="F12" t="s">
        <v>1279</v>
      </c>
      <c r="G12" t="s">
        <v>2845</v>
      </c>
    </row>
    <row r="13" spans="1:7" x14ac:dyDescent="0.2">
      <c r="B13" t="s">
        <v>4214</v>
      </c>
      <c r="D13" t="s">
        <v>1482</v>
      </c>
      <c r="E13" t="s">
        <v>4269</v>
      </c>
      <c r="F13" t="s">
        <v>4270</v>
      </c>
      <c r="G13" t="s">
        <v>4271</v>
      </c>
    </row>
    <row r="14" spans="1:7" x14ac:dyDescent="0.2">
      <c r="B14" t="s">
        <v>4215</v>
      </c>
      <c r="D14" t="s">
        <v>1482</v>
      </c>
      <c r="E14" t="s">
        <v>4272</v>
      </c>
      <c r="F14" t="s">
        <v>4273</v>
      </c>
      <c r="G14" t="s">
        <v>3337</v>
      </c>
    </row>
    <row r="15" spans="1:7" x14ac:dyDescent="0.2">
      <c r="B15" t="s">
        <v>4216</v>
      </c>
      <c r="D15" t="s">
        <v>1482</v>
      </c>
      <c r="E15" t="s">
        <v>1741</v>
      </c>
      <c r="F15" t="s">
        <v>4274</v>
      </c>
      <c r="G15" t="s">
        <v>4275</v>
      </c>
    </row>
    <row r="16" spans="1:7" x14ac:dyDescent="0.2">
      <c r="B16" t="s">
        <v>4217</v>
      </c>
      <c r="D16" t="s">
        <v>1482</v>
      </c>
      <c r="E16" t="s">
        <v>4276</v>
      </c>
      <c r="F16" t="s">
        <v>4277</v>
      </c>
      <c r="G16" t="s">
        <v>3202</v>
      </c>
    </row>
    <row r="17" spans="2:7" x14ac:dyDescent="0.2">
      <c r="B17" t="s">
        <v>4218</v>
      </c>
      <c r="D17" t="s">
        <v>1482</v>
      </c>
      <c r="E17" t="s">
        <v>4278</v>
      </c>
      <c r="F17" t="s">
        <v>4279</v>
      </c>
      <c r="G17" t="s">
        <v>4280</v>
      </c>
    </row>
    <row r="18" spans="2:7" x14ac:dyDescent="0.2">
      <c r="B18" t="s">
        <v>4219</v>
      </c>
      <c r="D18" t="s">
        <v>1482</v>
      </c>
      <c r="E18" t="s">
        <v>4281</v>
      </c>
      <c r="F18" t="s">
        <v>4282</v>
      </c>
      <c r="G18" t="s">
        <v>3624</v>
      </c>
    </row>
    <row r="19" spans="2:7" x14ac:dyDescent="0.2">
      <c r="B19" t="s">
        <v>4220</v>
      </c>
      <c r="D19" t="s">
        <v>1482</v>
      </c>
      <c r="E19" t="s">
        <v>4283</v>
      </c>
      <c r="F19" t="s">
        <v>3492</v>
      </c>
      <c r="G19" t="s">
        <v>2821</v>
      </c>
    </row>
    <row r="20" spans="2:7" x14ac:dyDescent="0.2">
      <c r="B20" t="s">
        <v>4221</v>
      </c>
      <c r="D20" t="s">
        <v>1482</v>
      </c>
      <c r="E20" t="s">
        <v>3477</v>
      </c>
      <c r="F20" t="s">
        <v>3185</v>
      </c>
      <c r="G20" t="s">
        <v>3610</v>
      </c>
    </row>
    <row r="21" spans="2:7" x14ac:dyDescent="0.2">
      <c r="B21" t="s">
        <v>4222</v>
      </c>
      <c r="D21" t="s">
        <v>1482</v>
      </c>
      <c r="E21" t="s">
        <v>4284</v>
      </c>
      <c r="F21" t="s">
        <v>4285</v>
      </c>
      <c r="G21" t="s">
        <v>4286</v>
      </c>
    </row>
    <row r="22" spans="2:7" x14ac:dyDescent="0.2">
      <c r="B22" t="s">
        <v>4223</v>
      </c>
      <c r="D22" t="s">
        <v>1482</v>
      </c>
      <c r="E22" t="s">
        <v>4287</v>
      </c>
      <c r="F22" t="s">
        <v>939</v>
      </c>
      <c r="G22" t="s">
        <v>4288</v>
      </c>
    </row>
    <row r="23" spans="2:7" x14ac:dyDescent="0.2">
      <c r="B23" t="s">
        <v>4224</v>
      </c>
      <c r="D23" t="s">
        <v>1482</v>
      </c>
      <c r="E23" t="s">
        <v>4289</v>
      </c>
      <c r="F23" t="s">
        <v>3219</v>
      </c>
      <c r="G23" t="s">
        <v>4290</v>
      </c>
    </row>
    <row r="24" spans="2:7" x14ac:dyDescent="0.2">
      <c r="B24" t="s">
        <v>4225</v>
      </c>
      <c r="D24" t="s">
        <v>787</v>
      </c>
      <c r="E24" t="s">
        <v>1275</v>
      </c>
      <c r="F24" t="s">
        <v>4291</v>
      </c>
      <c r="G24" t="s">
        <v>1374</v>
      </c>
    </row>
    <row r="25" spans="2:7" x14ac:dyDescent="0.2">
      <c r="B25" t="s">
        <v>4226</v>
      </c>
      <c r="D25" t="s">
        <v>1482</v>
      </c>
      <c r="E25" t="s">
        <v>4141</v>
      </c>
      <c r="F25" t="s">
        <v>3146</v>
      </c>
      <c r="G25" t="s">
        <v>3437</v>
      </c>
    </row>
    <row r="26" spans="2:7" x14ac:dyDescent="0.2">
      <c r="B26" t="s">
        <v>4227</v>
      </c>
      <c r="D26" t="s">
        <v>1482</v>
      </c>
      <c r="E26" t="s">
        <v>4292</v>
      </c>
      <c r="F26" t="s">
        <v>4293</v>
      </c>
      <c r="G26" t="s">
        <v>4294</v>
      </c>
    </row>
    <row r="27" spans="2:7" x14ac:dyDescent="0.2">
      <c r="B27" t="s">
        <v>4228</v>
      </c>
      <c r="D27" t="s">
        <v>1482</v>
      </c>
      <c r="E27" t="s">
        <v>4295</v>
      </c>
      <c r="F27" t="s">
        <v>4296</v>
      </c>
      <c r="G27" t="s">
        <v>4297</v>
      </c>
    </row>
    <row r="28" spans="2:7" x14ac:dyDescent="0.2">
      <c r="B28" t="s">
        <v>4229</v>
      </c>
      <c r="D28" t="s">
        <v>1482</v>
      </c>
      <c r="E28" t="s">
        <v>4298</v>
      </c>
      <c r="F28" t="s">
        <v>4299</v>
      </c>
      <c r="G28" t="s">
        <v>4300</v>
      </c>
    </row>
    <row r="29" spans="2:7" x14ac:dyDescent="0.2">
      <c r="B29" t="s">
        <v>4230</v>
      </c>
      <c r="D29" t="s">
        <v>1482</v>
      </c>
      <c r="E29" t="s">
        <v>890</v>
      </c>
      <c r="F29" t="s">
        <v>4301</v>
      </c>
      <c r="G29" t="s">
        <v>2606</v>
      </c>
    </row>
    <row r="30" spans="2:7" x14ac:dyDescent="0.2">
      <c r="B30" t="s">
        <v>4231</v>
      </c>
      <c r="D30" t="s">
        <v>1482</v>
      </c>
      <c r="E30" t="s">
        <v>4302</v>
      </c>
      <c r="F30" t="s">
        <v>4303</v>
      </c>
      <c r="G30" t="s">
        <v>2845</v>
      </c>
    </row>
    <row r="31" spans="2:7" x14ac:dyDescent="0.2">
      <c r="B31" t="s">
        <v>4232</v>
      </c>
      <c r="D31" t="s">
        <v>1482</v>
      </c>
      <c r="E31" t="s">
        <v>4304</v>
      </c>
      <c r="F31" t="s">
        <v>3748</v>
      </c>
      <c r="G31" t="s">
        <v>4305</v>
      </c>
    </row>
    <row r="32" spans="2:7" x14ac:dyDescent="0.2">
      <c r="B32" t="s">
        <v>4233</v>
      </c>
      <c r="D32" t="s">
        <v>1482</v>
      </c>
      <c r="E32" t="s">
        <v>4306</v>
      </c>
      <c r="F32" t="s">
        <v>4307</v>
      </c>
      <c r="G32" t="s">
        <v>4308</v>
      </c>
    </row>
    <row r="33" spans="2:7" x14ac:dyDescent="0.2">
      <c r="B33" t="s">
        <v>4234</v>
      </c>
      <c r="D33" t="s">
        <v>1482</v>
      </c>
      <c r="E33" t="s">
        <v>4309</v>
      </c>
      <c r="F33" t="s">
        <v>1305</v>
      </c>
      <c r="G33" t="s">
        <v>4310</v>
      </c>
    </row>
    <row r="34" spans="2:7" x14ac:dyDescent="0.2">
      <c r="B34" t="s">
        <v>4235</v>
      </c>
      <c r="D34" t="s">
        <v>1482</v>
      </c>
      <c r="E34" t="s">
        <v>4311</v>
      </c>
      <c r="F34" t="s">
        <v>4259</v>
      </c>
      <c r="G34" t="s">
        <v>4312</v>
      </c>
    </row>
    <row r="35" spans="2:7" x14ac:dyDescent="0.2">
      <c r="B35" t="s">
        <v>4236</v>
      </c>
      <c r="D35" t="s">
        <v>1482</v>
      </c>
      <c r="E35" t="s">
        <v>4313</v>
      </c>
      <c r="F35" t="s">
        <v>4314</v>
      </c>
      <c r="G35" t="s">
        <v>3928</v>
      </c>
    </row>
    <row r="36" spans="2:7" x14ac:dyDescent="0.2">
      <c r="B36" t="s">
        <v>4237</v>
      </c>
      <c r="D36" t="s">
        <v>1482</v>
      </c>
      <c r="E36" t="s">
        <v>4315</v>
      </c>
      <c r="F36" t="s">
        <v>3442</v>
      </c>
      <c r="G36" t="s">
        <v>4316</v>
      </c>
    </row>
    <row r="37" spans="2:7" x14ac:dyDescent="0.2">
      <c r="B37" t="s">
        <v>4238</v>
      </c>
      <c r="D37" t="s">
        <v>1482</v>
      </c>
      <c r="E37" t="s">
        <v>4317</v>
      </c>
      <c r="F37" t="s">
        <v>4318</v>
      </c>
      <c r="G37" t="s">
        <v>3398</v>
      </c>
    </row>
    <row r="38" spans="2:7" x14ac:dyDescent="0.2">
      <c r="B38" t="s">
        <v>4239</v>
      </c>
      <c r="D38" t="s">
        <v>1482</v>
      </c>
      <c r="E38" t="s">
        <v>3709</v>
      </c>
      <c r="F38" t="s">
        <v>4319</v>
      </c>
      <c r="G38" t="s">
        <v>2902</v>
      </c>
    </row>
    <row r="39" spans="2:7" x14ac:dyDescent="0.2">
      <c r="B39" t="s">
        <v>4240</v>
      </c>
      <c r="D39" t="s">
        <v>1482</v>
      </c>
      <c r="E39" t="s">
        <v>4320</v>
      </c>
      <c r="F39" t="s">
        <v>4321</v>
      </c>
      <c r="G39" t="s">
        <v>4322</v>
      </c>
    </row>
    <row r="40" spans="2:7" x14ac:dyDescent="0.2">
      <c r="B40" t="s">
        <v>4241</v>
      </c>
      <c r="D40" t="s">
        <v>1482</v>
      </c>
      <c r="E40" t="s">
        <v>4323</v>
      </c>
      <c r="F40" t="s">
        <v>4324</v>
      </c>
      <c r="G40" t="s">
        <v>4325</v>
      </c>
    </row>
    <row r="41" spans="2:7" x14ac:dyDescent="0.2">
      <c r="B41" t="s">
        <v>4242</v>
      </c>
      <c r="D41" t="s">
        <v>1482</v>
      </c>
      <c r="E41" t="s">
        <v>4326</v>
      </c>
      <c r="F41" t="s">
        <v>4327</v>
      </c>
      <c r="G41" t="s">
        <v>4328</v>
      </c>
    </row>
    <row r="42" spans="2:7" x14ac:dyDescent="0.2">
      <c r="B42" t="s">
        <v>4243</v>
      </c>
      <c r="D42" t="s">
        <v>1482</v>
      </c>
      <c r="E42" t="s">
        <v>3776</v>
      </c>
      <c r="F42" t="s">
        <v>3110</v>
      </c>
      <c r="G42" t="s">
        <v>4329</v>
      </c>
    </row>
    <row r="43" spans="2:7" x14ac:dyDescent="0.2">
      <c r="B43" t="s">
        <v>4244</v>
      </c>
      <c r="D43" t="s">
        <v>1482</v>
      </c>
      <c r="E43" t="s">
        <v>4330</v>
      </c>
      <c r="F43" t="s">
        <v>4331</v>
      </c>
      <c r="G43" t="s">
        <v>4332</v>
      </c>
    </row>
    <row r="44" spans="2:7" x14ac:dyDescent="0.2">
      <c r="B44" t="s">
        <v>4245</v>
      </c>
      <c r="D44" t="s">
        <v>1482</v>
      </c>
      <c r="E44" t="s">
        <v>936</v>
      </c>
      <c r="F44" t="s">
        <v>4333</v>
      </c>
      <c r="G44" t="s">
        <v>2958</v>
      </c>
    </row>
    <row r="45" spans="2:7" x14ac:dyDescent="0.2">
      <c r="B45" t="s">
        <v>4246</v>
      </c>
      <c r="D45" t="s">
        <v>1482</v>
      </c>
      <c r="E45" t="s">
        <v>4334</v>
      </c>
      <c r="F45" t="s">
        <v>4335</v>
      </c>
      <c r="G45" t="s">
        <v>4336</v>
      </c>
    </row>
    <row r="46" spans="2:7" x14ac:dyDescent="0.2">
      <c r="B46" t="s">
        <v>4247</v>
      </c>
      <c r="D46" t="s">
        <v>1482</v>
      </c>
      <c r="E46" t="s">
        <v>1250</v>
      </c>
      <c r="F46" t="s">
        <v>3915</v>
      </c>
      <c r="G46" t="s">
        <v>2670</v>
      </c>
    </row>
    <row r="47" spans="2:7" x14ac:dyDescent="0.2">
      <c r="B47" t="s">
        <v>4248</v>
      </c>
      <c r="D47" t="s">
        <v>1482</v>
      </c>
      <c r="E47" t="s">
        <v>2781</v>
      </c>
      <c r="F47" t="s">
        <v>4337</v>
      </c>
      <c r="G47" t="s">
        <v>4338</v>
      </c>
    </row>
    <row r="48" spans="2:7" x14ac:dyDescent="0.2">
      <c r="B48" t="s">
        <v>4249</v>
      </c>
      <c r="D48" t="s">
        <v>1482</v>
      </c>
      <c r="E48" t="s">
        <v>4339</v>
      </c>
      <c r="F48" t="s">
        <v>4340</v>
      </c>
      <c r="G48" t="s">
        <v>1810</v>
      </c>
    </row>
  </sheetData>
  <autoFilter ref="A1:G896" xr:uid="{9F268EE0-ED4E-D644-BE8D-34069771440A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4631</v>
      </c>
      <c r="AC1" s="4" t="s">
        <v>4632</v>
      </c>
      <c r="AD1" s="4" t="s">
        <v>4672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4633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4634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801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904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2506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805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2073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1922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4671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4670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4636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945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864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879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876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dimension ref="A1:D32"/>
  <sheetViews>
    <sheetView topLeftCell="A4" workbookViewId="0">
      <selection activeCell="B18" sqref="B18:D32"/>
    </sheetView>
  </sheetViews>
  <sheetFormatPr baseColWidth="10" defaultRowHeight="16" x14ac:dyDescent="0.2"/>
  <cols>
    <col min="2" max="2" width="34.33203125" bestFit="1" customWidth="1"/>
  </cols>
  <sheetData>
    <row r="1" spans="1:2" x14ac:dyDescent="0.2">
      <c r="A1" t="s">
        <v>4637</v>
      </c>
      <c r="B1" t="s">
        <v>4638</v>
      </c>
    </row>
    <row r="2" spans="1:2" x14ac:dyDescent="0.2">
      <c r="A2" t="s">
        <v>4639</v>
      </c>
      <c r="B2" t="s">
        <v>4640</v>
      </c>
    </row>
    <row r="3" spans="1:2" x14ac:dyDescent="0.2">
      <c r="A3" t="s">
        <v>4641</v>
      </c>
      <c r="B3" t="s">
        <v>4665</v>
      </c>
    </row>
    <row r="4" spans="1:2" x14ac:dyDescent="0.2">
      <c r="A4" t="s">
        <v>4642</v>
      </c>
      <c r="B4" t="s">
        <v>4643</v>
      </c>
    </row>
    <row r="5" spans="1:2" x14ac:dyDescent="0.2">
      <c r="A5" t="s">
        <v>4644</v>
      </c>
      <c r="B5" t="s">
        <v>4645</v>
      </c>
    </row>
    <row r="6" spans="1:2" x14ac:dyDescent="0.2">
      <c r="A6" t="s">
        <v>4646</v>
      </c>
      <c r="B6" t="s">
        <v>4647</v>
      </c>
    </row>
    <row r="7" spans="1:2" x14ac:dyDescent="0.2">
      <c r="A7" t="s">
        <v>4648</v>
      </c>
      <c r="B7" t="s">
        <v>4666</v>
      </c>
    </row>
    <row r="8" spans="1:2" x14ac:dyDescent="0.2">
      <c r="A8" t="s">
        <v>4649</v>
      </c>
      <c r="B8" t="s">
        <v>4667</v>
      </c>
    </row>
    <row r="9" spans="1:2" x14ac:dyDescent="0.2">
      <c r="A9" t="s">
        <v>4650</v>
      </c>
      <c r="B9" t="s">
        <v>4669</v>
      </c>
    </row>
    <row r="10" spans="1:2" x14ac:dyDescent="0.2">
      <c r="A10" t="s">
        <v>4651</v>
      </c>
      <c r="B10" t="s">
        <v>4652</v>
      </c>
    </row>
    <row r="11" spans="1:2" x14ac:dyDescent="0.2">
      <c r="A11" t="s">
        <v>4653</v>
      </c>
      <c r="B11" t="s">
        <v>4654</v>
      </c>
    </row>
    <row r="12" spans="1:2" x14ac:dyDescent="0.2">
      <c r="A12" t="s">
        <v>4655</v>
      </c>
      <c r="B12" t="s">
        <v>4656</v>
      </c>
    </row>
    <row r="13" spans="1:2" x14ac:dyDescent="0.2">
      <c r="A13" t="s">
        <v>4657</v>
      </c>
      <c r="B13" t="s">
        <v>4668</v>
      </c>
    </row>
    <row r="14" spans="1:2" x14ac:dyDescent="0.2">
      <c r="A14" t="s">
        <v>4658</v>
      </c>
      <c r="B14" t="s">
        <v>4659</v>
      </c>
    </row>
    <row r="15" spans="1:2" x14ac:dyDescent="0.2">
      <c r="A15" t="s">
        <v>4660</v>
      </c>
      <c r="B15" t="s">
        <v>4661</v>
      </c>
    </row>
    <row r="18" spans="2:4" x14ac:dyDescent="0.2">
      <c r="B18" t="s">
        <v>4633</v>
      </c>
      <c r="C18" s="17">
        <v>1</v>
      </c>
      <c r="D18" s="17">
        <v>1</v>
      </c>
    </row>
    <row r="19" spans="2:4" x14ac:dyDescent="0.2">
      <c r="B19" t="s">
        <v>4634</v>
      </c>
      <c r="C19" s="17">
        <v>2</v>
      </c>
      <c r="D19" s="17">
        <v>2</v>
      </c>
    </row>
    <row r="20" spans="2:4" x14ac:dyDescent="0.2">
      <c r="B20" t="s">
        <v>801</v>
      </c>
      <c r="C20" s="17">
        <v>3</v>
      </c>
      <c r="D20" s="17">
        <v>3</v>
      </c>
    </row>
    <row r="21" spans="2:4" x14ac:dyDescent="0.2">
      <c r="B21" t="s">
        <v>904</v>
      </c>
      <c r="C21" s="17">
        <v>4</v>
      </c>
      <c r="D21" s="17">
        <v>4</v>
      </c>
    </row>
    <row r="22" spans="2:4" x14ac:dyDescent="0.2">
      <c r="B22" t="s">
        <v>2506</v>
      </c>
      <c r="C22">
        <v>14</v>
      </c>
      <c r="D22">
        <v>5</v>
      </c>
    </row>
    <row r="23" spans="2:4" x14ac:dyDescent="0.2">
      <c r="B23" t="s">
        <v>805</v>
      </c>
      <c r="C23">
        <v>13</v>
      </c>
      <c r="D23">
        <v>6</v>
      </c>
    </row>
    <row r="24" spans="2:4" x14ac:dyDescent="0.2">
      <c r="B24" t="s">
        <v>2073</v>
      </c>
      <c r="C24" s="17">
        <v>7</v>
      </c>
      <c r="D24" s="17">
        <v>7</v>
      </c>
    </row>
    <row r="25" spans="2:4" x14ac:dyDescent="0.2">
      <c r="B25" t="s">
        <v>1922</v>
      </c>
      <c r="C25">
        <v>11</v>
      </c>
      <c r="D25">
        <v>8</v>
      </c>
    </row>
    <row r="26" spans="2:4" x14ac:dyDescent="0.2">
      <c r="B26" t="s">
        <v>4671</v>
      </c>
      <c r="C26" s="17">
        <v>9</v>
      </c>
      <c r="D26" s="17">
        <v>9</v>
      </c>
    </row>
    <row r="27" spans="2:4" x14ac:dyDescent="0.2">
      <c r="B27" t="s">
        <v>4670</v>
      </c>
      <c r="C27">
        <v>5</v>
      </c>
      <c r="D27">
        <v>10</v>
      </c>
    </row>
    <row r="28" spans="2:4" x14ac:dyDescent="0.2">
      <c r="B28" t="s">
        <v>4636</v>
      </c>
      <c r="C28">
        <v>8</v>
      </c>
      <c r="D28">
        <v>11</v>
      </c>
    </row>
    <row r="29" spans="2:4" x14ac:dyDescent="0.2">
      <c r="B29" t="s">
        <v>945</v>
      </c>
      <c r="C29">
        <v>10</v>
      </c>
      <c r="D29">
        <v>12</v>
      </c>
    </row>
    <row r="30" spans="2:4" x14ac:dyDescent="0.2">
      <c r="B30" t="s">
        <v>864</v>
      </c>
      <c r="C30">
        <v>6</v>
      </c>
      <c r="D30">
        <v>13</v>
      </c>
    </row>
    <row r="31" spans="2:4" x14ac:dyDescent="0.2">
      <c r="B31" t="s">
        <v>879</v>
      </c>
      <c r="C31">
        <v>12</v>
      </c>
      <c r="D31">
        <v>14</v>
      </c>
    </row>
    <row r="32" spans="2:4" x14ac:dyDescent="0.2">
      <c r="B32" t="s">
        <v>876</v>
      </c>
      <c r="C32" s="17">
        <v>15</v>
      </c>
      <c r="D32" s="17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Checklist</vt:lpstr>
      <vt:lpstr>Lightroots</vt:lpstr>
      <vt:lpstr>Towers</vt:lpstr>
      <vt:lpstr>Shrines</vt:lpstr>
      <vt:lpstr>Caves</vt:lpstr>
      <vt:lpstr>Chasms</vt:lpstr>
      <vt:lpstr>Dispensers</vt:lpstr>
      <vt:lpstr>Hudson Signs</vt:lpstr>
      <vt:lpstr>Named Locations</vt:lpstr>
      <vt:lpstr>Schemas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2026-07-04T13:33:56Z</dcterms:modified>
</cp:coreProperties>
</file>