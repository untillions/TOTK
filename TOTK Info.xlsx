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Coding/TOTK/"/>
    </mc:Choice>
  </mc:AlternateContent>
  <xr:revisionPtr revIDLastSave="0" documentId="13_ncr:1_{EF30991D-74B4-FB4D-BE08-EE145A1D44F6}" xr6:coauthVersionLast="47" xr6:coauthVersionMax="47" xr10:uidLastSave="{00000000-0000-0000-0000-000000000000}"/>
  <bookViews>
    <workbookView xWindow="0" yWindow="3960" windowWidth="22680" windowHeight="16940" activeTab="3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Schemas" sheetId="9" r:id="rId10"/>
    <sheet name="Sheet1" sheetId="3" r:id="rId11"/>
    <sheet name="Sheet2" sheetId="2" r:id="rId12"/>
    <sheet name="Sheet13" sheetId="13" r:id="rId13"/>
  </sheets>
  <definedNames>
    <definedName name="_xlnm._FilterDatabase" localSheetId="4" hidden="1">Caves!$A$1:$G$149</definedName>
    <definedName name="_xlnm._FilterDatabase" localSheetId="5" hidden="1">Chasms!$A$1:$G$29</definedName>
    <definedName name="_xlnm._FilterDatabase" localSheetId="6" hidden="1">Dispensers!$A$1:$K$32</definedName>
    <definedName name="_xlnm._FilterDatabase" localSheetId="7" hidden="1">'Hudson Signs'!$A$1:$G$83</definedName>
    <definedName name="_xlnm._FilterDatabase" localSheetId="1" hidden="1">Lightroots!$A$1:$G$121</definedName>
    <definedName name="_xlnm._FilterDatabase" localSheetId="8" hidden="1">'Named Locations'!$A$1:$F$991</definedName>
    <definedName name="_xlnm._FilterDatabase" localSheetId="9" hidden="1">Schemas!$A$1:$G$896</definedName>
    <definedName name="_xlnm._FilterDatabase" localSheetId="3" hidden="1">Shrines!$A$1:$G$153</definedName>
    <definedName name="_xlnm._FilterDatabase" localSheetId="2" hidden="1">Towers!$A$1:$F$153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2" i="1"/>
  <c r="V7" i="2"/>
  <c r="T7" i="2"/>
  <c r="U7" i="2"/>
  <c r="AD3" i="2"/>
  <c r="AD4" i="2"/>
  <c r="AD5" i="2"/>
  <c r="AD11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A3" i="2"/>
  <c r="AA4" i="2"/>
  <c r="AA5" i="2"/>
  <c r="AA6" i="2"/>
  <c r="AA7" i="2"/>
  <c r="AA8" i="2"/>
  <c r="AD8" i="2" s="1"/>
  <c r="AA9" i="2"/>
  <c r="AA10" i="2"/>
  <c r="AA11" i="2"/>
  <c r="AA12" i="2"/>
  <c r="AA13" i="2"/>
  <c r="AA14" i="2"/>
  <c r="AA15" i="2"/>
  <c r="AA16" i="2"/>
  <c r="Z3" i="2"/>
  <c r="Z4" i="2"/>
  <c r="Z5" i="2"/>
  <c r="Z6" i="2"/>
  <c r="Z7" i="2"/>
  <c r="Z8" i="2"/>
  <c r="Z9" i="2"/>
  <c r="Z10" i="2"/>
  <c r="Z11" i="2"/>
  <c r="Z12" i="2"/>
  <c r="AD12" i="2" s="1"/>
  <c r="Z13" i="2"/>
  <c r="Z14" i="2"/>
  <c r="AD14" i="2" s="1"/>
  <c r="Z15" i="2"/>
  <c r="Z16" i="2"/>
  <c r="W2" i="2"/>
  <c r="V2" i="2"/>
  <c r="U2" i="2"/>
  <c r="Y2" i="2" s="1"/>
  <c r="T2" i="2"/>
  <c r="X2" i="2"/>
  <c r="T6" i="2"/>
  <c r="U6" i="2"/>
  <c r="V6" i="2"/>
  <c r="W6" i="2"/>
  <c r="W7" i="2"/>
  <c r="T8" i="2"/>
  <c r="U8" i="2"/>
  <c r="V8" i="2"/>
  <c r="X8" i="2" s="1"/>
  <c r="W8" i="2"/>
  <c r="Y8" i="2" s="1"/>
  <c r="T9" i="2"/>
  <c r="U9" i="2"/>
  <c r="V9" i="2"/>
  <c r="W9" i="2"/>
  <c r="T10" i="2"/>
  <c r="U10" i="2"/>
  <c r="V10" i="2"/>
  <c r="W10" i="2"/>
  <c r="Y10" i="2" s="1"/>
  <c r="T11" i="2"/>
  <c r="U11" i="2"/>
  <c r="V11" i="2"/>
  <c r="X11" i="2" s="1"/>
  <c r="W11" i="2"/>
  <c r="T12" i="2"/>
  <c r="X12" i="2" s="1"/>
  <c r="U12" i="2"/>
  <c r="V12" i="2"/>
  <c r="W12" i="2"/>
  <c r="T13" i="2"/>
  <c r="U13" i="2"/>
  <c r="V13" i="2"/>
  <c r="X13" i="2" s="1"/>
  <c r="W13" i="2"/>
  <c r="T14" i="2"/>
  <c r="U14" i="2"/>
  <c r="V14" i="2"/>
  <c r="W14" i="2"/>
  <c r="X14" i="2"/>
  <c r="Y14" i="2"/>
  <c r="T15" i="2"/>
  <c r="U15" i="2"/>
  <c r="V15" i="2"/>
  <c r="X15" i="2" s="1"/>
  <c r="W15" i="2"/>
  <c r="T16" i="2"/>
  <c r="U16" i="2"/>
  <c r="V16" i="2"/>
  <c r="X16" i="2" s="1"/>
  <c r="W16" i="2"/>
  <c r="T3" i="2"/>
  <c r="U3" i="2"/>
  <c r="V3" i="2"/>
  <c r="X3" i="2" s="1"/>
  <c r="W3" i="2"/>
  <c r="T4" i="2"/>
  <c r="U4" i="2"/>
  <c r="V4" i="2"/>
  <c r="W4" i="2"/>
  <c r="B4" i="11"/>
  <c r="B3" i="11"/>
  <c r="E17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D2" i="9"/>
  <c r="G2" i="9"/>
  <c r="F2" i="9"/>
  <c r="E2" i="9"/>
  <c r="B2" i="9"/>
  <c r="B2" i="7"/>
  <c r="D2" i="7"/>
  <c r="E2" i="7"/>
  <c r="F2" i="7"/>
  <c r="G2" i="7"/>
  <c r="H2" i="6"/>
  <c r="I2" i="6"/>
  <c r="J2" i="6"/>
  <c r="K2" i="6"/>
  <c r="G2" i="6"/>
  <c r="E2" i="6"/>
  <c r="F2" i="6"/>
  <c r="D2" i="6"/>
  <c r="B2" i="6"/>
  <c r="D2" i="5"/>
  <c r="G2" i="5"/>
  <c r="E2" i="5"/>
  <c r="F2" i="5"/>
  <c r="C2" i="5"/>
  <c r="B2" i="5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C8" i="3"/>
  <c r="H8" i="3"/>
  <c r="H9" i="3"/>
  <c r="C9" i="3" s="1"/>
  <c r="H10" i="3"/>
  <c r="C10" i="3" s="1"/>
  <c r="C11" i="3"/>
  <c r="H11" i="3"/>
  <c r="C12" i="3"/>
  <c r="H12" i="3"/>
  <c r="H13" i="3"/>
  <c r="C13" i="3" s="1"/>
  <c r="C14" i="3"/>
  <c r="H14" i="3"/>
  <c r="H15" i="3"/>
  <c r="C15" i="3" s="1"/>
  <c r="C16" i="3"/>
  <c r="H16" i="3"/>
  <c r="H17" i="3"/>
  <c r="C17" i="3" s="1"/>
  <c r="H18" i="3"/>
  <c r="C18" i="3" s="1"/>
  <c r="C19" i="3"/>
  <c r="H19" i="3"/>
  <c r="C20" i="3"/>
  <c r="H20" i="3"/>
  <c r="H21" i="3"/>
  <c r="C21" i="3" s="1"/>
  <c r="H22" i="3"/>
  <c r="C22" i="3" s="1"/>
  <c r="C23" i="3"/>
  <c r="H23" i="3"/>
  <c r="C24" i="3"/>
  <c r="H24" i="3"/>
  <c r="H25" i="3"/>
  <c r="C25" i="3" s="1"/>
  <c r="H26" i="3"/>
  <c r="C26" i="3" s="1"/>
  <c r="C27" i="3"/>
  <c r="H27" i="3"/>
  <c r="C28" i="3"/>
  <c r="H28" i="3"/>
  <c r="H29" i="3"/>
  <c r="C29" i="3" s="1"/>
  <c r="H30" i="3"/>
  <c r="C30" i="3" s="1"/>
  <c r="H31" i="3"/>
  <c r="C31" i="3" s="1"/>
  <c r="C32" i="3"/>
  <c r="H32" i="3"/>
  <c r="H33" i="3"/>
  <c r="C33" i="3" s="1"/>
  <c r="H34" i="3"/>
  <c r="C34" i="3" s="1"/>
  <c r="C35" i="3"/>
  <c r="H35" i="3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C44" i="3"/>
  <c r="H44" i="3"/>
  <c r="C45" i="3"/>
  <c r="H45" i="3"/>
  <c r="H46" i="3"/>
  <c r="C46" i="3" s="1"/>
  <c r="H47" i="3"/>
  <c r="C47" i="3" s="1"/>
  <c r="C48" i="3"/>
  <c r="H48" i="3"/>
  <c r="H49" i="3"/>
  <c r="C49" i="3" s="1"/>
  <c r="H50" i="3"/>
  <c r="C50" i="3" s="1"/>
  <c r="H51" i="3"/>
  <c r="C51" i="3" s="1"/>
  <c r="C52" i="3"/>
  <c r="H52" i="3"/>
  <c r="H53" i="3"/>
  <c r="C53" i="3" s="1"/>
  <c r="H54" i="3"/>
  <c r="C54" i="3" s="1"/>
  <c r="H55" i="3"/>
  <c r="C55" i="3" s="1"/>
  <c r="C56" i="3"/>
  <c r="H56" i="3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C64" i="3"/>
  <c r="H64" i="3"/>
  <c r="H65" i="3"/>
  <c r="C65" i="3" s="1"/>
  <c r="H66" i="3"/>
  <c r="C66" i="3" s="1"/>
  <c r="H67" i="3"/>
  <c r="C67" i="3" s="1"/>
  <c r="C68" i="3"/>
  <c r="H68" i="3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C76" i="3"/>
  <c r="H76" i="3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C88" i="3"/>
  <c r="H88" i="3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C102" i="3"/>
  <c r="H102" i="3"/>
  <c r="H103" i="3"/>
  <c r="C103" i="3" s="1"/>
  <c r="C104" i="3"/>
  <c r="H104" i="3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C112" i="3"/>
  <c r="H112" i="3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C128" i="3"/>
  <c r="H128" i="3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C136" i="3"/>
  <c r="H136" i="3"/>
  <c r="H137" i="3"/>
  <c r="C137" i="3" s="1"/>
  <c r="H138" i="3"/>
  <c r="C138" i="3" s="1"/>
  <c r="H139" i="3"/>
  <c r="C139" i="3" s="1"/>
  <c r="H140" i="3"/>
  <c r="C140" i="3" s="1"/>
  <c r="C141" i="3"/>
  <c r="H141" i="3"/>
  <c r="H142" i="3"/>
  <c r="C142" i="3" s="1"/>
  <c r="H143" i="3"/>
  <c r="C143" i="3" s="1"/>
  <c r="C144" i="3"/>
  <c r="H144" i="3"/>
  <c r="H145" i="3"/>
  <c r="C145" i="3" s="1"/>
  <c r="H146" i="3"/>
  <c r="C146" i="3" s="1"/>
  <c r="H147" i="3"/>
  <c r="C147" i="3" s="1"/>
  <c r="H148" i="3"/>
  <c r="C148" i="3" s="1"/>
  <c r="C149" i="3"/>
  <c r="H149" i="3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C160" i="3"/>
  <c r="H160" i="3"/>
  <c r="H161" i="3"/>
  <c r="C161" i="3" s="1"/>
  <c r="H162" i="3"/>
  <c r="C162" i="3" s="1"/>
  <c r="H163" i="3"/>
  <c r="C163" i="3" s="1"/>
  <c r="H164" i="3"/>
  <c r="C164" i="3" s="1"/>
  <c r="H165" i="3"/>
  <c r="C165" i="3" s="1"/>
  <c r="C166" i="3"/>
  <c r="H166" i="3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C191" i="3"/>
  <c r="H191" i="3"/>
  <c r="C192" i="3"/>
  <c r="H192" i="3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C204" i="3"/>
  <c r="H204" i="3"/>
  <c r="C205" i="3"/>
  <c r="H205" i="3"/>
  <c r="C206" i="3"/>
  <c r="H206" i="3"/>
  <c r="H207" i="3"/>
  <c r="C207" i="3" s="1"/>
  <c r="C208" i="3"/>
  <c r="H208" i="3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C231" i="3"/>
  <c r="H231" i="3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C238" i="3"/>
  <c r="H238" i="3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C254" i="3"/>
  <c r="H254" i="3"/>
  <c r="C255" i="3"/>
  <c r="H255" i="3"/>
  <c r="H256" i="3"/>
  <c r="C256" i="3" s="1"/>
  <c r="H257" i="3"/>
  <c r="C257" i="3" s="1"/>
  <c r="H258" i="3"/>
  <c r="C258" i="3" s="1"/>
  <c r="H259" i="3"/>
  <c r="C259" i="3" s="1"/>
  <c r="H260" i="3"/>
  <c r="C260" i="3" s="1"/>
  <c r="C261" i="3"/>
  <c r="H261" i="3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C272" i="3"/>
  <c r="H272" i="3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C280" i="3"/>
  <c r="H280" i="3"/>
  <c r="H281" i="3"/>
  <c r="C281" i="3" s="1"/>
  <c r="H282" i="3"/>
  <c r="C282" i="3" s="1"/>
  <c r="H283" i="3"/>
  <c r="C283" i="3" s="1"/>
  <c r="C284" i="3"/>
  <c r="H284" i="3"/>
  <c r="C285" i="3"/>
  <c r="H285" i="3"/>
  <c r="H286" i="3"/>
  <c r="C286" i="3" s="1"/>
  <c r="C287" i="3"/>
  <c r="H287" i="3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C304" i="3"/>
  <c r="H304" i="3"/>
  <c r="H305" i="3"/>
  <c r="C305" i="3" s="1"/>
  <c r="H306" i="3"/>
  <c r="C306" i="3" s="1"/>
  <c r="H307" i="3"/>
  <c r="C307" i="3" s="1"/>
  <c r="H308" i="3"/>
  <c r="C308" i="3" s="1"/>
  <c r="H309" i="3"/>
  <c r="C309" i="3" s="1"/>
  <c r="C310" i="3"/>
  <c r="H310" i="3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C341" i="3"/>
  <c r="H341" i="3"/>
  <c r="C342" i="3"/>
  <c r="H342" i="3"/>
  <c r="C343" i="3"/>
  <c r="H343" i="3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C352" i="3"/>
  <c r="H352" i="3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C360" i="3"/>
  <c r="H360" i="3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C382" i="3"/>
  <c r="H382" i="3"/>
  <c r="H383" i="3"/>
  <c r="C383" i="3" s="1"/>
  <c r="H384" i="3"/>
  <c r="C384" i="3" s="1"/>
  <c r="H385" i="3"/>
  <c r="C385" i="3" s="1"/>
  <c r="H386" i="3"/>
  <c r="C386" i="3" s="1"/>
  <c r="C387" i="3"/>
  <c r="H387" i="3"/>
  <c r="C388" i="3"/>
  <c r="H388" i="3"/>
  <c r="C389" i="3"/>
  <c r="H389" i="3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C396" i="3"/>
  <c r="H396" i="3"/>
  <c r="C397" i="3"/>
  <c r="H397" i="3"/>
  <c r="C398" i="3"/>
  <c r="H398" i="3"/>
  <c r="H399" i="3"/>
  <c r="C399" i="3" s="1"/>
  <c r="C400" i="3"/>
  <c r="H400" i="3"/>
  <c r="H401" i="3"/>
  <c r="C401" i="3" s="1"/>
  <c r="H402" i="3"/>
  <c r="C402" i="3" s="1"/>
  <c r="H403" i="3"/>
  <c r="C403" i="3" s="1"/>
  <c r="H404" i="3"/>
  <c r="C404" i="3" s="1"/>
  <c r="C405" i="3"/>
  <c r="H405" i="3"/>
  <c r="C406" i="3"/>
  <c r="H406" i="3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C419" i="3"/>
  <c r="H419" i="3"/>
  <c r="H420" i="3"/>
  <c r="C420" i="3" s="1"/>
  <c r="H421" i="3"/>
  <c r="C421" i="3" s="1"/>
  <c r="H422" i="3"/>
  <c r="C422" i="3" s="1"/>
  <c r="H423" i="3"/>
  <c r="C423" i="3" s="1"/>
  <c r="C424" i="3"/>
  <c r="H424" i="3"/>
  <c r="H425" i="3"/>
  <c r="C425" i="3" s="1"/>
  <c r="H426" i="3"/>
  <c r="C426" i="3" s="1"/>
  <c r="H427" i="3"/>
  <c r="C427" i="3" s="1"/>
  <c r="C428" i="3"/>
  <c r="H428" i="3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C435" i="3"/>
  <c r="H435" i="3"/>
  <c r="H436" i="3"/>
  <c r="C436" i="3" s="1"/>
  <c r="C437" i="3"/>
  <c r="H437" i="3"/>
  <c r="H438" i="3"/>
  <c r="C438" i="3" s="1"/>
  <c r="H439" i="3"/>
  <c r="C439" i="3" s="1"/>
  <c r="H440" i="3"/>
  <c r="C440" i="3" s="1"/>
  <c r="H441" i="3"/>
  <c r="C441" i="3" s="1"/>
  <c r="H442" i="3"/>
  <c r="C442" i="3" s="1"/>
  <c r="C443" i="3"/>
  <c r="H443" i="3"/>
  <c r="C444" i="3"/>
  <c r="H444" i="3"/>
  <c r="H445" i="3"/>
  <c r="C445" i="3" s="1"/>
  <c r="C446" i="3"/>
  <c r="H446" i="3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C453" i="3"/>
  <c r="H453" i="3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C462" i="3"/>
  <c r="H462" i="3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C469" i="3"/>
  <c r="H469" i="3"/>
  <c r="C470" i="3"/>
  <c r="H470" i="3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C479" i="3"/>
  <c r="H479" i="3"/>
  <c r="C480" i="3"/>
  <c r="H480" i="3"/>
  <c r="H481" i="3"/>
  <c r="C481" i="3" s="1"/>
  <c r="H482" i="3"/>
  <c r="C482" i="3" s="1"/>
  <c r="C483" i="3"/>
  <c r="H483" i="3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C496" i="3"/>
  <c r="H496" i="3"/>
  <c r="H497" i="3"/>
  <c r="C497" i="3" s="1"/>
  <c r="H498" i="3"/>
  <c r="C498" i="3" s="1"/>
  <c r="C499" i="3"/>
  <c r="H499" i="3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C508" i="3"/>
  <c r="H508" i="3"/>
  <c r="H509" i="3"/>
  <c r="C509" i="3" s="1"/>
  <c r="C510" i="3"/>
  <c r="H510" i="3"/>
  <c r="H511" i="3"/>
  <c r="C511" i="3" s="1"/>
  <c r="H512" i="3"/>
  <c r="C512" i="3" s="1"/>
  <c r="H513" i="3"/>
  <c r="C513" i="3" s="1"/>
  <c r="H514" i="3"/>
  <c r="C514" i="3" s="1"/>
  <c r="H515" i="3"/>
  <c r="C515" i="3" s="1"/>
  <c r="C516" i="3"/>
  <c r="H516" i="3"/>
  <c r="C517" i="3"/>
  <c r="H517" i="3"/>
  <c r="H518" i="3"/>
  <c r="C518" i="3" s="1"/>
  <c r="C519" i="3"/>
  <c r="H519" i="3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C526" i="3"/>
  <c r="H526" i="3"/>
  <c r="H527" i="3"/>
  <c r="C527" i="3" s="1"/>
  <c r="C528" i="3"/>
  <c r="H528" i="3"/>
  <c r="H529" i="3"/>
  <c r="C529" i="3" s="1"/>
  <c r="H530" i="3"/>
  <c r="C530" i="3" s="1"/>
  <c r="H531" i="3"/>
  <c r="C531" i="3" s="1"/>
  <c r="C532" i="3"/>
  <c r="H532" i="3"/>
  <c r="H533" i="3"/>
  <c r="C533" i="3" s="1"/>
  <c r="C534" i="3"/>
  <c r="H534" i="3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C541" i="3"/>
  <c r="H541" i="3"/>
  <c r="C542" i="3"/>
  <c r="H542" i="3"/>
  <c r="C543" i="3"/>
  <c r="H543" i="3"/>
  <c r="C544" i="3"/>
  <c r="H544" i="3"/>
  <c r="H545" i="3"/>
  <c r="C545" i="3" s="1"/>
  <c r="C546" i="3"/>
  <c r="H546" i="3"/>
  <c r="H547" i="3"/>
  <c r="C547" i="3" s="1"/>
  <c r="C548" i="3"/>
  <c r="H548" i="3"/>
  <c r="H549" i="3"/>
  <c r="C549" i="3" s="1"/>
  <c r="C550" i="3"/>
  <c r="H550" i="3"/>
  <c r="C551" i="3"/>
  <c r="H551" i="3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C562" i="3"/>
  <c r="H562" i="3"/>
  <c r="H563" i="3"/>
  <c r="C563" i="3" s="1"/>
  <c r="H564" i="3"/>
  <c r="C564" i="3" s="1"/>
  <c r="C565" i="3"/>
  <c r="H565" i="3"/>
  <c r="C566" i="3"/>
  <c r="H566" i="3"/>
  <c r="C567" i="3"/>
  <c r="H567" i="3"/>
  <c r="H568" i="3"/>
  <c r="C568" i="3" s="1"/>
  <c r="H569" i="3"/>
  <c r="C569" i="3" s="1"/>
  <c r="C570" i="3"/>
  <c r="H570" i="3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C579" i="3"/>
  <c r="H579" i="3"/>
  <c r="H580" i="3"/>
  <c r="C580" i="3" s="1"/>
  <c r="H581" i="3"/>
  <c r="C581" i="3" s="1"/>
  <c r="C582" i="3"/>
  <c r="H582" i="3"/>
  <c r="H583" i="3"/>
  <c r="C583" i="3" s="1"/>
  <c r="C584" i="3"/>
  <c r="H584" i="3"/>
  <c r="H585" i="3"/>
  <c r="C585" i="3" s="1"/>
  <c r="C586" i="3"/>
  <c r="H586" i="3"/>
  <c r="C587" i="3"/>
  <c r="H587" i="3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C599" i="3"/>
  <c r="H599" i="3"/>
  <c r="H600" i="3"/>
  <c r="C600" i="3" s="1"/>
  <c r="H601" i="3"/>
  <c r="C601" i="3" s="1"/>
  <c r="C602" i="3"/>
  <c r="H602" i="3"/>
  <c r="C603" i="3"/>
  <c r="H603" i="3"/>
  <c r="C604" i="3"/>
  <c r="H604" i="3"/>
  <c r="H605" i="3"/>
  <c r="C605" i="3" s="1"/>
  <c r="C606" i="3"/>
  <c r="H606" i="3"/>
  <c r="H607" i="3"/>
  <c r="C607" i="3" s="1"/>
  <c r="H608" i="3"/>
  <c r="C608" i="3" s="1"/>
  <c r="H609" i="3"/>
  <c r="C609" i="3" s="1"/>
  <c r="H610" i="3"/>
  <c r="C610" i="3" s="1"/>
  <c r="C611" i="3"/>
  <c r="H611" i="3"/>
  <c r="H612" i="3"/>
  <c r="C612" i="3" s="1"/>
  <c r="C613" i="3"/>
  <c r="H613" i="3"/>
  <c r="H614" i="3"/>
  <c r="C614" i="3" s="1"/>
  <c r="H615" i="3"/>
  <c r="C615" i="3" s="1"/>
  <c r="C616" i="3"/>
  <c r="H616" i="3"/>
  <c r="H617" i="3"/>
  <c r="C617" i="3" s="1"/>
  <c r="C618" i="3"/>
  <c r="H618" i="3"/>
  <c r="H619" i="3"/>
  <c r="C619" i="3" s="1"/>
  <c r="C620" i="3"/>
  <c r="H620" i="3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C635" i="3"/>
  <c r="H635" i="3"/>
  <c r="C636" i="3"/>
  <c r="H636" i="3"/>
  <c r="C637" i="3"/>
  <c r="H637" i="3"/>
  <c r="H638" i="3"/>
  <c r="C638" i="3" s="1"/>
  <c r="H639" i="3"/>
  <c r="C639" i="3" s="1"/>
  <c r="C640" i="3"/>
  <c r="H640" i="3"/>
  <c r="H641" i="3"/>
  <c r="C641" i="3" s="1"/>
  <c r="C642" i="3"/>
  <c r="H642" i="3"/>
  <c r="H643" i="3"/>
  <c r="C643" i="3" s="1"/>
  <c r="C644" i="3"/>
  <c r="H644" i="3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C654" i="3"/>
  <c r="H654" i="3"/>
  <c r="H655" i="3"/>
  <c r="C655" i="3" s="1"/>
  <c r="H656" i="3"/>
  <c r="C656" i="3" s="1"/>
  <c r="H657" i="3"/>
  <c r="C657" i="3" s="1"/>
  <c r="H658" i="3"/>
  <c r="C658" i="3" s="1"/>
  <c r="C659" i="3"/>
  <c r="H659" i="3"/>
  <c r="H660" i="3"/>
  <c r="C660" i="3" s="1"/>
  <c r="H661" i="3"/>
  <c r="C661" i="3" s="1"/>
  <c r="C662" i="3"/>
  <c r="H662" i="3"/>
  <c r="H663" i="3"/>
  <c r="C663" i="3" s="1"/>
  <c r="C664" i="3"/>
  <c r="H664" i="3"/>
  <c r="H665" i="3"/>
  <c r="C665" i="3" s="1"/>
  <c r="C666" i="3"/>
  <c r="H666" i="3"/>
  <c r="H667" i="3"/>
  <c r="C667" i="3" s="1"/>
  <c r="H668" i="3"/>
  <c r="C668" i="3" s="1"/>
  <c r="H669" i="3"/>
  <c r="C669" i="3" s="1"/>
  <c r="H670" i="3"/>
  <c r="C670" i="3" s="1"/>
  <c r="C671" i="3"/>
  <c r="H671" i="3"/>
  <c r="C672" i="3"/>
  <c r="H672" i="3"/>
  <c r="H673" i="3"/>
  <c r="C673" i="3" s="1"/>
  <c r="C674" i="3"/>
  <c r="H674" i="3"/>
  <c r="H675" i="3"/>
  <c r="C675" i="3" s="1"/>
  <c r="C676" i="3"/>
  <c r="H676" i="3"/>
  <c r="C677" i="3"/>
  <c r="H677" i="3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C697" i="3"/>
  <c r="H697" i="3"/>
  <c r="H698" i="3"/>
  <c r="C698" i="3" s="1"/>
  <c r="C699" i="3"/>
  <c r="H699" i="3"/>
  <c r="H700" i="3"/>
  <c r="C700" i="3" s="1"/>
  <c r="H701" i="3"/>
  <c r="C701" i="3" s="1"/>
  <c r="C702" i="3"/>
  <c r="H702" i="3"/>
  <c r="H703" i="3"/>
  <c r="C703" i="3" s="1"/>
  <c r="C704" i="3"/>
  <c r="H704" i="3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C715" i="3"/>
  <c r="H715" i="3"/>
  <c r="H716" i="3"/>
  <c r="C716" i="3" s="1"/>
  <c r="H717" i="3"/>
  <c r="C717" i="3" s="1"/>
  <c r="H718" i="3"/>
  <c r="C718" i="3" s="1"/>
  <c r="H719" i="3"/>
  <c r="C719" i="3" s="1"/>
  <c r="C720" i="3"/>
  <c r="H720" i="3"/>
  <c r="C721" i="3"/>
  <c r="H721" i="3"/>
  <c r="H722" i="3"/>
  <c r="C722" i="3" s="1"/>
  <c r="C723" i="3"/>
  <c r="H723" i="3"/>
  <c r="H724" i="3"/>
  <c r="C724" i="3" s="1"/>
  <c r="H725" i="3"/>
  <c r="C725" i="3" s="1"/>
  <c r="H726" i="3"/>
  <c r="C726" i="3" s="1"/>
  <c r="C727" i="3"/>
  <c r="H727" i="3"/>
  <c r="C728" i="3"/>
  <c r="H728" i="3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C736" i="3"/>
  <c r="H736" i="3"/>
  <c r="H737" i="3"/>
  <c r="C737" i="3" s="1"/>
  <c r="H738" i="3"/>
  <c r="C738" i="3" s="1"/>
  <c r="C739" i="3"/>
  <c r="H739" i="3"/>
  <c r="H740" i="3"/>
  <c r="C740" i="3" s="1"/>
  <c r="H741" i="3"/>
  <c r="C741" i="3" s="1"/>
  <c r="C742" i="3"/>
  <c r="H742" i="3"/>
  <c r="H743" i="3"/>
  <c r="C743" i="3" s="1"/>
  <c r="C744" i="3"/>
  <c r="H744" i="3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C751" i="3"/>
  <c r="H751" i="3"/>
  <c r="C752" i="3"/>
  <c r="H752" i="3"/>
  <c r="C753" i="3"/>
  <c r="H753" i="3"/>
  <c r="H754" i="3"/>
  <c r="C754" i="3" s="1"/>
  <c r="C755" i="3"/>
  <c r="H755" i="3"/>
  <c r="H756" i="3"/>
  <c r="C756" i="3" s="1"/>
  <c r="H757" i="3"/>
  <c r="C757" i="3" s="1"/>
  <c r="H758" i="3"/>
  <c r="C758" i="3" s="1"/>
  <c r="H759" i="3"/>
  <c r="C759" i="3" s="1"/>
  <c r="H760" i="3"/>
  <c r="C760" i="3" s="1"/>
  <c r="C761" i="3"/>
  <c r="H761" i="3"/>
  <c r="H762" i="3"/>
  <c r="C762" i="3" s="1"/>
  <c r="C763" i="3"/>
  <c r="H763" i="3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C776" i="3"/>
  <c r="H776" i="3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C795" i="3"/>
  <c r="H795" i="3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C806" i="3"/>
  <c r="H806" i="3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C825" i="3"/>
  <c r="H825" i="3"/>
  <c r="H826" i="3"/>
  <c r="C826" i="3" s="1"/>
  <c r="H827" i="3"/>
  <c r="C827" i="3" s="1"/>
  <c r="H828" i="3"/>
  <c r="C828" i="3" s="1"/>
  <c r="H829" i="3"/>
  <c r="C829" i="3" s="1"/>
  <c r="C830" i="3"/>
  <c r="H830" i="3"/>
  <c r="H831" i="3"/>
  <c r="C831" i="3" s="1"/>
  <c r="C832" i="3"/>
  <c r="H832" i="3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C848" i="3"/>
  <c r="H848" i="3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C863" i="3"/>
  <c r="H863" i="3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C870" i="3"/>
  <c r="H870" i="3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C879" i="3"/>
  <c r="H879" i="3"/>
  <c r="H880" i="3"/>
  <c r="C880" i="3" s="1"/>
  <c r="C881" i="3"/>
  <c r="H881" i="3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C891" i="3"/>
  <c r="H891" i="3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C911" i="3"/>
  <c r="H911" i="3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C919" i="3"/>
  <c r="H919" i="3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C943" i="3"/>
  <c r="H943" i="3"/>
  <c r="H944" i="3"/>
  <c r="C944" i="3" s="1"/>
  <c r="H945" i="3"/>
  <c r="C945" i="3" s="1"/>
  <c r="H946" i="3"/>
  <c r="C946" i="3" s="1"/>
  <c r="C947" i="3"/>
  <c r="H947" i="3"/>
  <c r="H948" i="3"/>
  <c r="C948" i="3" s="1"/>
  <c r="H949" i="3"/>
  <c r="C949" i="3" s="1"/>
  <c r="H950" i="3"/>
  <c r="C950" i="3" s="1"/>
  <c r="H951" i="3"/>
  <c r="C951" i="3" s="1"/>
  <c r="H952" i="3"/>
  <c r="C952" i="3" s="1"/>
  <c r="C953" i="3"/>
  <c r="H953" i="3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C960" i="3"/>
  <c r="H960" i="3"/>
  <c r="H961" i="3"/>
  <c r="C961" i="3" s="1"/>
  <c r="H962" i="3"/>
  <c r="C962" i="3" s="1"/>
  <c r="C963" i="3"/>
  <c r="H963" i="3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C977" i="3"/>
  <c r="H977" i="3"/>
  <c r="H978" i="3"/>
  <c r="C978" i="3" s="1"/>
  <c r="C979" i="3"/>
  <c r="H979" i="3"/>
  <c r="H980" i="3"/>
  <c r="C980" i="3" s="1"/>
  <c r="H981" i="3"/>
  <c r="C981" i="3" s="1"/>
  <c r="H982" i="3"/>
  <c r="C982" i="3" s="1"/>
  <c r="C983" i="3"/>
  <c r="H983" i="3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C990" i="3"/>
  <c r="H990" i="3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C1001" i="3"/>
  <c r="H1001" i="3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C1009" i="3"/>
  <c r="H1009" i="3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C1016" i="3"/>
  <c r="H1016" i="3"/>
  <c r="H1017" i="3"/>
  <c r="C1017" i="3" s="1"/>
  <c r="H1018" i="3"/>
  <c r="C1018" i="3" s="1"/>
  <c r="C1019" i="3"/>
  <c r="H1019" i="3"/>
  <c r="H1020" i="3"/>
  <c r="C1020" i="3" s="1"/>
  <c r="H1021" i="3"/>
  <c r="C1021" i="3" s="1"/>
  <c r="C1022" i="3"/>
  <c r="H1022" i="3"/>
  <c r="H1023" i="3"/>
  <c r="C1023" i="3" s="1"/>
  <c r="H1024" i="3"/>
  <c r="C1024" i="3" s="1"/>
  <c r="C1025" i="3"/>
  <c r="H1025" i="3"/>
  <c r="H1026" i="3"/>
  <c r="C1026" i="3" s="1"/>
  <c r="C1027" i="3"/>
  <c r="H1027" i="3"/>
  <c r="H1028" i="3"/>
  <c r="C1028" i="3" s="1"/>
  <c r="H1029" i="3"/>
  <c r="C1029" i="3" s="1"/>
  <c r="H1030" i="3"/>
  <c r="C1030" i="3" s="1"/>
  <c r="C1031" i="3"/>
  <c r="H1031" i="3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C1046" i="3"/>
  <c r="H1046" i="3"/>
  <c r="C1047" i="3"/>
  <c r="H1047" i="3"/>
  <c r="C1048" i="3"/>
  <c r="H1048" i="3"/>
  <c r="H1049" i="3"/>
  <c r="C1049" i="3" s="1"/>
  <c r="H1050" i="3"/>
  <c r="C1050" i="3" s="1"/>
  <c r="H1051" i="3"/>
  <c r="C1051" i="3" s="1"/>
  <c r="H1052" i="3"/>
  <c r="C1052" i="3" s="1"/>
  <c r="H1053" i="3"/>
  <c r="C1053" i="3" s="1"/>
  <c r="C1054" i="3"/>
  <c r="H1054" i="3"/>
  <c r="H1055" i="3"/>
  <c r="C1055" i="3" s="1"/>
  <c r="C1056" i="3"/>
  <c r="H1056" i="3"/>
  <c r="C1057" i="3"/>
  <c r="H1057" i="3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C1064" i="3"/>
  <c r="H1064" i="3"/>
  <c r="C1065" i="3"/>
  <c r="H1065" i="3"/>
  <c r="C1066" i="3"/>
  <c r="H1066" i="3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C1074" i="3"/>
  <c r="H1074" i="3"/>
  <c r="C1075" i="3"/>
  <c r="H1075" i="3"/>
  <c r="H1076" i="3"/>
  <c r="C1076" i="3" s="1"/>
  <c r="H1077" i="3"/>
  <c r="C1077" i="3" s="1"/>
  <c r="C1078" i="3"/>
  <c r="H1078" i="3"/>
  <c r="H1079" i="3"/>
  <c r="C1079" i="3" s="1"/>
  <c r="H1080" i="3"/>
  <c r="C1080" i="3" s="1"/>
  <c r="C1081" i="3"/>
  <c r="H1081" i="3"/>
  <c r="C1082" i="3"/>
  <c r="H1082" i="3"/>
  <c r="H1083" i="3"/>
  <c r="C1083" i="3" s="1"/>
  <c r="H1084" i="3"/>
  <c r="C1084" i="3" s="1"/>
  <c r="H1085" i="3"/>
  <c r="C1085" i="3" s="1"/>
  <c r="C1086" i="3"/>
  <c r="H1086" i="3"/>
  <c r="C1087" i="3"/>
  <c r="H1087" i="3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C1102" i="3"/>
  <c r="H1102" i="3"/>
  <c r="H1103" i="3"/>
  <c r="C1103" i="3" s="1"/>
  <c r="H1104" i="3"/>
  <c r="C1104" i="3" s="1"/>
  <c r="C1105" i="3"/>
  <c r="H1105" i="3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C1113" i="3"/>
  <c r="H1113" i="3"/>
  <c r="H1114" i="3"/>
  <c r="C1114" i="3" s="1"/>
  <c r="H1115" i="3"/>
  <c r="C1115" i="3" s="1"/>
  <c r="C1116" i="3"/>
  <c r="H1116" i="3"/>
  <c r="H1117" i="3"/>
  <c r="C1117" i="3" s="1"/>
  <c r="H1118" i="3"/>
  <c r="C1118" i="3" s="1"/>
  <c r="H1119" i="3"/>
  <c r="C1119" i="3" s="1"/>
  <c r="H1120" i="3"/>
  <c r="C1120" i="3" s="1"/>
  <c r="C1121" i="3"/>
  <c r="H1121" i="3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C1128" i="3"/>
  <c r="H1128" i="3"/>
  <c r="C1129" i="3"/>
  <c r="H1129" i="3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C1144" i="3"/>
  <c r="H1144" i="3"/>
  <c r="C1145" i="3"/>
  <c r="H1145" i="3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C1153" i="3"/>
  <c r="H1153" i="3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C1160" i="3"/>
  <c r="H1160" i="3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C1171" i="3"/>
  <c r="H1171" i="3"/>
  <c r="H1172" i="3"/>
  <c r="C1172" i="3" s="1"/>
  <c r="H1173" i="3"/>
  <c r="C1173" i="3" s="1"/>
  <c r="H1174" i="3"/>
  <c r="C1174" i="3" s="1"/>
  <c r="H1175" i="3"/>
  <c r="C1175" i="3" s="1"/>
  <c r="C1176" i="3"/>
  <c r="H1176" i="3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C1185" i="3"/>
  <c r="H1185" i="3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C1193" i="3"/>
  <c r="H1193" i="3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C1201" i="3"/>
  <c r="H1201" i="3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C1208" i="3"/>
  <c r="H1208" i="3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C1219" i="3"/>
  <c r="H1219" i="3"/>
  <c r="H1220" i="3"/>
  <c r="C1220" i="3" s="1"/>
  <c r="C1221" i="3"/>
  <c r="H1221" i="3"/>
  <c r="H1222" i="3"/>
  <c r="C1222" i="3" s="1"/>
  <c r="H1223" i="3"/>
  <c r="C1223" i="3" s="1"/>
  <c r="C1224" i="3"/>
  <c r="H1224" i="3"/>
  <c r="C1225" i="3"/>
  <c r="H1225" i="3"/>
  <c r="H1226" i="3"/>
  <c r="C1226" i="3" s="1"/>
  <c r="H1227" i="3"/>
  <c r="C1227" i="3" s="1"/>
  <c r="H1228" i="3"/>
  <c r="C1228" i="3" s="1"/>
  <c r="C1229" i="3"/>
  <c r="H1229" i="3"/>
  <c r="H1230" i="3"/>
  <c r="C1230" i="3" s="1"/>
  <c r="H1231" i="3"/>
  <c r="C1231" i="3" s="1"/>
  <c r="H1232" i="3"/>
  <c r="C1232" i="3" s="1"/>
  <c r="C1233" i="3"/>
  <c r="H1233" i="3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C1240" i="3"/>
  <c r="H1240" i="3"/>
  <c r="C1241" i="3"/>
  <c r="H1241" i="3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C1248" i="3"/>
  <c r="H1248" i="3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C1257" i="3"/>
  <c r="H1257" i="3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C1265" i="3"/>
  <c r="H1265" i="3"/>
  <c r="H1266" i="3"/>
  <c r="C1266" i="3" s="1"/>
  <c r="C1267" i="3"/>
  <c r="H1267" i="3"/>
  <c r="H1268" i="3"/>
  <c r="C1268" i="3" s="1"/>
  <c r="H1269" i="3"/>
  <c r="C1269" i="3" s="1"/>
  <c r="H1270" i="3"/>
  <c r="C1270" i="3" s="1"/>
  <c r="H1271" i="3"/>
  <c r="C1271" i="3" s="1"/>
  <c r="C1272" i="3"/>
  <c r="H1272" i="3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C1280" i="3"/>
  <c r="H1280" i="3"/>
  <c r="C1281" i="3"/>
  <c r="H1281" i="3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C1292" i="3"/>
  <c r="H1292" i="3"/>
  <c r="H1293" i="3"/>
  <c r="C1293" i="3" s="1"/>
  <c r="H1294" i="3"/>
  <c r="C1294" i="3" s="1"/>
  <c r="H1295" i="3"/>
  <c r="C1295" i="3" s="1"/>
  <c r="H1296" i="3"/>
  <c r="C1296" i="3" s="1"/>
  <c r="C1297" i="3"/>
  <c r="H1297" i="3"/>
  <c r="H1298" i="3"/>
  <c r="C1298" i="3" s="1"/>
  <c r="C1299" i="3"/>
  <c r="H1299" i="3"/>
  <c r="H1300" i="3"/>
  <c r="C1300" i="3" s="1"/>
  <c r="H1301" i="3"/>
  <c r="C1301" i="3" s="1"/>
  <c r="C1302" i="3"/>
  <c r="H1302" i="3"/>
  <c r="H1303" i="3"/>
  <c r="C1303" i="3" s="1"/>
  <c r="C1304" i="3"/>
  <c r="H1304" i="3"/>
  <c r="C1305" i="3"/>
  <c r="H1305" i="3"/>
  <c r="H1306" i="3"/>
  <c r="C1306" i="3" s="1"/>
  <c r="H1307" i="3"/>
  <c r="C1307" i="3" s="1"/>
  <c r="C1308" i="3"/>
  <c r="H1308" i="3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C1321" i="3"/>
  <c r="H1321" i="3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C1328" i="3"/>
  <c r="H1328" i="3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C1337" i="3"/>
  <c r="H1337" i="3"/>
  <c r="H1338" i="3"/>
  <c r="C1338" i="3" s="1"/>
  <c r="C1339" i="3"/>
  <c r="H1339" i="3"/>
  <c r="C1340" i="3"/>
  <c r="H1340" i="3"/>
  <c r="H1341" i="3"/>
  <c r="C1341" i="3" s="1"/>
  <c r="H1342" i="3"/>
  <c r="C1342" i="3" s="1"/>
  <c r="H1343" i="3"/>
  <c r="C1343" i="3" s="1"/>
  <c r="C1344" i="3"/>
  <c r="H1344" i="3"/>
  <c r="C1345" i="3"/>
  <c r="H1345" i="3"/>
  <c r="H1346" i="3"/>
  <c r="C1346" i="3" s="1"/>
  <c r="H1347" i="3"/>
  <c r="C1347" i="3" s="1"/>
  <c r="C1348" i="3"/>
  <c r="H1348" i="3"/>
  <c r="C1349" i="3"/>
  <c r="H1349" i="3"/>
  <c r="H1350" i="3"/>
  <c r="C1350" i="3" s="1"/>
  <c r="H1351" i="3"/>
  <c r="C1351" i="3" s="1"/>
  <c r="C1352" i="3"/>
  <c r="H1352" i="3"/>
  <c r="C1353" i="3"/>
  <c r="H1353" i="3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C1361" i="3"/>
  <c r="H1361" i="3"/>
  <c r="H1362" i="3"/>
  <c r="C1362" i="3" s="1"/>
  <c r="C1363" i="3"/>
  <c r="H1363" i="3"/>
  <c r="H1364" i="3"/>
  <c r="C1364" i="3" s="1"/>
  <c r="C1365" i="3"/>
  <c r="H1365" i="3"/>
  <c r="H1366" i="3"/>
  <c r="C1366" i="3" s="1"/>
  <c r="H1367" i="3"/>
  <c r="C1367" i="3" s="1"/>
  <c r="C1368" i="3"/>
  <c r="H1368" i="3"/>
  <c r="C1369" i="3"/>
  <c r="H1369" i="3"/>
  <c r="H1370" i="3"/>
  <c r="C1370" i="3" s="1"/>
  <c r="H1371" i="3"/>
  <c r="C1371" i="3" s="1"/>
  <c r="C1372" i="3"/>
  <c r="H1372" i="3"/>
  <c r="H1373" i="3"/>
  <c r="C1373" i="3" s="1"/>
  <c r="C1374" i="3"/>
  <c r="H1374" i="3"/>
  <c r="H1375" i="3"/>
  <c r="C1375" i="3" s="1"/>
  <c r="C1376" i="3"/>
  <c r="H1376" i="3"/>
  <c r="C1377" i="3"/>
  <c r="H1377" i="3"/>
  <c r="H1378" i="3"/>
  <c r="C1378" i="3" s="1"/>
  <c r="C1379" i="3"/>
  <c r="H1379" i="3"/>
  <c r="H1380" i="3"/>
  <c r="C1380" i="3" s="1"/>
  <c r="C1381" i="3"/>
  <c r="H1381" i="3"/>
  <c r="H1382" i="3"/>
  <c r="C1382" i="3" s="1"/>
  <c r="H1383" i="3"/>
  <c r="C1383" i="3" s="1"/>
  <c r="H1384" i="3"/>
  <c r="C1384" i="3" s="1"/>
  <c r="C1385" i="3"/>
  <c r="H1385" i="3"/>
  <c r="H1386" i="3"/>
  <c r="C1386" i="3" s="1"/>
  <c r="H1387" i="3"/>
  <c r="C1387" i="3" s="1"/>
  <c r="C1388" i="3"/>
  <c r="H1388" i="3"/>
  <c r="H1389" i="3"/>
  <c r="C1389" i="3" s="1"/>
  <c r="C1390" i="3"/>
  <c r="H1390" i="3"/>
  <c r="H1391" i="3"/>
  <c r="C1391" i="3" s="1"/>
  <c r="H1392" i="3"/>
  <c r="C1392" i="3" s="1"/>
  <c r="C1393" i="3"/>
  <c r="H1393" i="3"/>
  <c r="H1394" i="3"/>
  <c r="C1394" i="3" s="1"/>
  <c r="H1395" i="3"/>
  <c r="C1395" i="3" s="1"/>
  <c r="H1396" i="3"/>
  <c r="C1396" i="3" s="1"/>
  <c r="C1397" i="3"/>
  <c r="H1397" i="3"/>
  <c r="H1398" i="3"/>
  <c r="C1398" i="3" s="1"/>
  <c r="H1399" i="3"/>
  <c r="C1399" i="3" s="1"/>
  <c r="C1400" i="3"/>
  <c r="H1400" i="3"/>
  <c r="C1401" i="3"/>
  <c r="H1401" i="3"/>
  <c r="H1402" i="3"/>
  <c r="C1402" i="3" s="1"/>
  <c r="C1403" i="3"/>
  <c r="H1403" i="3"/>
  <c r="C1404" i="3"/>
  <c r="H1404" i="3"/>
  <c r="H1405" i="3"/>
  <c r="C1405" i="3" s="1"/>
  <c r="C1406" i="3"/>
  <c r="H1406" i="3"/>
  <c r="H1407" i="3"/>
  <c r="C1407" i="3" s="1"/>
  <c r="C1408" i="3"/>
  <c r="H1408" i="3"/>
  <c r="C1409" i="3"/>
  <c r="H1409" i="3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C1416" i="3"/>
  <c r="H1416" i="3"/>
  <c r="C1417" i="3"/>
  <c r="H1417" i="3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C1425" i="3"/>
  <c r="H1425" i="3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C1432" i="3"/>
  <c r="H1432" i="3"/>
  <c r="C1433" i="3"/>
  <c r="H1433" i="3"/>
  <c r="H1434" i="3"/>
  <c r="C1434" i="3" s="1"/>
  <c r="H1435" i="3"/>
  <c r="C1435" i="3" s="1"/>
  <c r="C1436" i="3"/>
  <c r="H1436" i="3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C1449" i="3"/>
  <c r="H1449" i="3"/>
  <c r="H1450" i="3"/>
  <c r="C1450" i="3" s="1"/>
  <c r="H1451" i="3"/>
  <c r="C1451" i="3" s="1"/>
  <c r="C1452" i="3"/>
  <c r="H1452" i="3"/>
  <c r="H1453" i="3"/>
  <c r="C1453" i="3" s="1"/>
  <c r="C1454" i="3"/>
  <c r="H1454" i="3"/>
  <c r="H1455" i="3"/>
  <c r="C1455" i="3" s="1"/>
  <c r="H1456" i="3"/>
  <c r="C1456" i="3" s="1"/>
  <c r="C1457" i="3"/>
  <c r="H1457" i="3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C1467" i="3"/>
  <c r="H1467" i="3"/>
  <c r="C1468" i="3"/>
  <c r="H1468" i="3"/>
  <c r="H1469" i="3"/>
  <c r="C1469" i="3" s="1"/>
  <c r="H1470" i="3"/>
  <c r="C1470" i="3" s="1"/>
  <c r="H1471" i="3"/>
  <c r="C1471" i="3" s="1"/>
  <c r="C1472" i="3"/>
  <c r="H1472" i="3"/>
  <c r="C1473" i="3"/>
  <c r="H1473" i="3"/>
  <c r="H1474" i="3"/>
  <c r="C1474" i="3" s="1"/>
  <c r="C1475" i="3"/>
  <c r="H1475" i="3"/>
  <c r="H1476" i="3"/>
  <c r="C1476" i="3" s="1"/>
  <c r="C1477" i="3"/>
  <c r="H1477" i="3"/>
  <c r="H1478" i="3"/>
  <c r="C1478" i="3" s="1"/>
  <c r="H1479" i="3"/>
  <c r="C1479" i="3" s="1"/>
  <c r="C1480" i="3"/>
  <c r="H1480" i="3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C1512" i="3"/>
  <c r="H1512" i="3"/>
  <c r="C1513" i="3"/>
  <c r="H1513" i="3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C1529" i="3"/>
  <c r="H1529" i="3"/>
  <c r="H1530" i="3"/>
  <c r="C1530" i="3" s="1"/>
  <c r="C1531" i="3"/>
  <c r="H1531" i="3"/>
  <c r="H1532" i="3"/>
  <c r="C1532" i="3" s="1"/>
  <c r="H1533" i="3"/>
  <c r="C1533" i="3" s="1"/>
  <c r="H1534" i="3"/>
  <c r="C1534" i="3" s="1"/>
  <c r="H1535" i="3"/>
  <c r="C1535" i="3" s="1"/>
  <c r="H1536" i="3"/>
  <c r="C1536" i="3" s="1"/>
  <c r="C1537" i="3"/>
  <c r="H1537" i="3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C1549" i="3"/>
  <c r="H1549" i="3"/>
  <c r="H1550" i="3"/>
  <c r="C1550" i="3" s="1"/>
  <c r="H1551" i="3"/>
  <c r="C1551" i="3" s="1"/>
  <c r="H1552" i="3"/>
  <c r="C1552" i="3" s="1"/>
  <c r="C1553" i="3"/>
  <c r="H1553" i="3"/>
  <c r="H1554" i="3"/>
  <c r="C1554" i="3" s="1"/>
  <c r="C1555" i="3"/>
  <c r="H1555" i="3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C1585" i="3"/>
  <c r="H1585" i="3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C1592" i="3"/>
  <c r="H1592" i="3"/>
  <c r="C1593" i="3"/>
  <c r="H1593" i="3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C1620" i="3"/>
  <c r="H1620" i="3"/>
  <c r="H1621" i="3"/>
  <c r="C1621" i="3" s="1"/>
  <c r="C1622" i="3"/>
  <c r="H1622" i="3"/>
  <c r="C1623" i="3"/>
  <c r="H1623" i="3"/>
  <c r="H1624" i="3"/>
  <c r="C1624" i="3" s="1"/>
  <c r="C1625" i="3"/>
  <c r="H1625" i="3"/>
  <c r="H1626" i="3"/>
  <c r="C1626" i="3" s="1"/>
  <c r="C1627" i="3"/>
  <c r="H1627" i="3"/>
  <c r="H1628" i="3"/>
  <c r="C1628" i="3" s="1"/>
  <c r="H1629" i="3"/>
  <c r="C1629" i="3" s="1"/>
  <c r="H1630" i="3"/>
  <c r="C1630" i="3" s="1"/>
  <c r="C1631" i="3"/>
  <c r="H1631" i="3"/>
  <c r="H1632" i="3"/>
  <c r="C1632" i="3" s="1"/>
  <c r="C1633" i="3"/>
  <c r="H1633" i="3"/>
  <c r="H1634" i="3"/>
  <c r="C1634" i="3" s="1"/>
  <c r="C1635" i="3"/>
  <c r="H1635" i="3"/>
  <c r="C1636" i="3"/>
  <c r="H1636" i="3"/>
  <c r="H1637" i="3"/>
  <c r="C1637" i="3" s="1"/>
  <c r="H1638" i="3"/>
  <c r="C1638" i="3" s="1"/>
  <c r="H1639" i="3"/>
  <c r="C1639" i="3" s="1"/>
  <c r="C1640" i="3"/>
  <c r="H1640" i="3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C1653" i="3"/>
  <c r="H1653" i="3"/>
  <c r="C1654" i="3"/>
  <c r="H1654" i="3"/>
  <c r="H1655" i="3"/>
  <c r="C1655" i="3" s="1"/>
  <c r="H1656" i="3"/>
  <c r="C1656" i="3" s="1"/>
  <c r="C1657" i="3"/>
  <c r="H1657" i="3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C1665" i="3"/>
  <c r="H1665" i="3"/>
  <c r="H1666" i="3"/>
  <c r="C1666" i="3" s="1"/>
  <c r="H1667" i="3"/>
  <c r="C1667" i="3" s="1"/>
  <c r="C1668" i="3"/>
  <c r="H1668" i="3"/>
  <c r="H1669" i="3"/>
  <c r="C1669" i="3" s="1"/>
  <c r="C1670" i="3"/>
  <c r="H1670" i="3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C1680" i="3"/>
  <c r="H1680" i="3"/>
  <c r="C1681" i="3"/>
  <c r="H1681" i="3"/>
  <c r="H1682" i="3"/>
  <c r="C1682" i="3" s="1"/>
  <c r="C1683" i="3"/>
  <c r="H1683" i="3"/>
  <c r="H1684" i="3"/>
  <c r="C1684" i="3" s="1"/>
  <c r="C1685" i="3"/>
  <c r="H1685" i="3"/>
  <c r="C1686" i="3"/>
  <c r="H1686" i="3"/>
  <c r="C1687" i="3"/>
  <c r="H1687" i="3"/>
  <c r="H1688" i="3"/>
  <c r="C1688" i="3" s="1"/>
  <c r="C1689" i="3"/>
  <c r="H1689" i="3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C1697" i="3"/>
  <c r="H1697" i="3"/>
  <c r="H1698" i="3"/>
  <c r="C1698" i="3" s="1"/>
  <c r="H1699" i="3"/>
  <c r="C1699" i="3" s="1"/>
  <c r="C1700" i="3"/>
  <c r="H1700" i="3"/>
  <c r="H1701" i="3"/>
  <c r="C1701" i="3" s="1"/>
  <c r="C1702" i="3"/>
  <c r="H1702" i="3"/>
  <c r="H1703" i="3"/>
  <c r="C1703" i="3" s="1"/>
  <c r="C1704" i="3"/>
  <c r="H1704" i="3"/>
  <c r="C1705" i="3"/>
  <c r="H1705" i="3"/>
  <c r="H1706" i="3"/>
  <c r="C1706" i="3" s="1"/>
  <c r="H1707" i="3"/>
  <c r="C1707" i="3" s="1"/>
  <c r="H1708" i="3"/>
  <c r="C1708" i="3" s="1"/>
  <c r="H1709" i="3"/>
  <c r="C1709" i="3" s="1"/>
  <c r="C1710" i="3"/>
  <c r="H1710" i="3"/>
  <c r="H1711" i="3"/>
  <c r="C1711" i="3" s="1"/>
  <c r="C1712" i="3"/>
  <c r="H1712" i="3"/>
  <c r="H1713" i="3"/>
  <c r="C1713" i="3" s="1"/>
  <c r="H1714" i="3"/>
  <c r="C1714" i="3" s="1"/>
  <c r="H1715" i="3"/>
  <c r="C1715" i="3" s="1"/>
  <c r="H1716" i="3"/>
  <c r="C1716" i="3" s="1"/>
  <c r="C1717" i="3"/>
  <c r="H1717" i="3"/>
  <c r="H1718" i="3"/>
  <c r="C1718" i="3" s="1"/>
  <c r="C1719" i="3"/>
  <c r="H1719" i="3"/>
  <c r="C1720" i="3"/>
  <c r="H1720" i="3"/>
  <c r="C1721" i="3"/>
  <c r="H1721" i="3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C1736" i="3"/>
  <c r="H1736" i="3"/>
  <c r="H1737" i="3"/>
  <c r="C1737" i="3" s="1"/>
  <c r="H1738" i="3"/>
  <c r="C1738" i="3" s="1"/>
  <c r="H1739" i="3"/>
  <c r="C1739" i="3" s="1"/>
  <c r="H1740" i="3"/>
  <c r="C1740" i="3" s="1"/>
  <c r="H1741" i="3"/>
  <c r="C1741" i="3" s="1"/>
  <c r="C1742" i="3"/>
  <c r="H1742" i="3"/>
  <c r="H1743" i="3"/>
  <c r="C1743" i="3" s="1"/>
  <c r="H1744" i="3"/>
  <c r="C1744" i="3" s="1"/>
  <c r="H1745" i="3"/>
  <c r="C1745" i="3" s="1"/>
  <c r="H1746" i="3"/>
  <c r="C1746" i="3" s="1"/>
  <c r="C1747" i="3"/>
  <c r="H1747" i="3"/>
  <c r="H1748" i="3"/>
  <c r="C1748" i="3" s="1"/>
  <c r="H1749" i="3"/>
  <c r="C1749" i="3" s="1"/>
  <c r="C1750" i="3"/>
  <c r="H1750" i="3"/>
  <c r="C1751" i="3"/>
  <c r="H1751" i="3"/>
  <c r="H1752" i="3"/>
  <c r="C1752" i="3" s="1"/>
  <c r="C1753" i="3"/>
  <c r="H1753" i="3"/>
  <c r="H1754" i="3"/>
  <c r="C1754" i="3" s="1"/>
  <c r="C1755" i="3"/>
  <c r="H1755" i="3"/>
  <c r="H1756" i="3"/>
  <c r="C1756" i="3" s="1"/>
  <c r="C1757" i="3"/>
  <c r="H1757" i="3"/>
  <c r="H1758" i="3"/>
  <c r="C1758" i="3" s="1"/>
  <c r="C1759" i="3"/>
  <c r="H1759" i="3"/>
  <c r="H1760" i="3"/>
  <c r="C1760" i="3" s="1"/>
  <c r="C1761" i="3"/>
  <c r="H1761" i="3"/>
  <c r="H1762" i="3"/>
  <c r="C1762" i="3" s="1"/>
  <c r="H1763" i="3"/>
  <c r="C1763" i="3" s="1"/>
  <c r="C1764" i="3"/>
  <c r="H1764" i="3"/>
  <c r="H1765" i="3"/>
  <c r="C1765" i="3" s="1"/>
  <c r="H1766" i="3"/>
  <c r="C1766" i="3" s="1"/>
  <c r="H1767" i="3"/>
  <c r="C1767" i="3" s="1"/>
  <c r="C1768" i="3"/>
  <c r="H1768" i="3"/>
  <c r="H1769" i="3"/>
  <c r="C1769" i="3" s="1"/>
  <c r="H1770" i="3"/>
  <c r="C1770" i="3" s="1"/>
  <c r="H1771" i="3"/>
  <c r="C1771" i="3" s="1"/>
  <c r="H1772" i="3"/>
  <c r="C1772" i="3" s="1"/>
  <c r="H1773" i="3"/>
  <c r="C1773" i="3" s="1"/>
  <c r="C1774" i="3"/>
  <c r="H1774" i="3"/>
  <c r="H1775" i="3"/>
  <c r="C1775" i="3" s="1"/>
  <c r="C1776" i="3"/>
  <c r="H1776" i="3"/>
  <c r="H1777" i="3"/>
  <c r="C1777" i="3" s="1"/>
  <c r="H1778" i="3"/>
  <c r="C1778" i="3" s="1"/>
  <c r="C1779" i="3"/>
  <c r="H1779" i="3"/>
  <c r="C1780" i="3"/>
  <c r="H1780" i="3"/>
  <c r="C1781" i="3"/>
  <c r="H1781" i="3"/>
  <c r="C1782" i="3"/>
  <c r="H1782" i="3"/>
  <c r="C1783" i="3"/>
  <c r="H1783" i="3"/>
  <c r="H1784" i="3"/>
  <c r="C1784" i="3" s="1"/>
  <c r="C1785" i="3"/>
  <c r="H1785" i="3"/>
  <c r="H1786" i="3"/>
  <c r="C1786" i="3" s="1"/>
  <c r="C1787" i="3"/>
  <c r="H1787" i="3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C1796" i="3"/>
  <c r="H1796" i="3"/>
  <c r="H1797" i="3"/>
  <c r="C1797" i="3" s="1"/>
  <c r="C1798" i="3"/>
  <c r="H1798" i="3"/>
  <c r="C1799" i="3"/>
  <c r="H1799" i="3"/>
  <c r="C1800" i="3"/>
  <c r="H1800" i="3"/>
  <c r="H1801" i="3"/>
  <c r="C1801" i="3" s="1"/>
  <c r="H1802" i="3"/>
  <c r="C1802" i="3" s="1"/>
  <c r="H1803" i="3"/>
  <c r="C1803" i="3" s="1"/>
  <c r="C1804" i="3"/>
  <c r="H1804" i="3"/>
  <c r="H1805" i="3"/>
  <c r="C1805" i="3" s="1"/>
  <c r="C1806" i="3"/>
  <c r="H1806" i="3"/>
  <c r="H1807" i="3"/>
  <c r="C1807" i="3" s="1"/>
  <c r="C1808" i="3"/>
  <c r="H1808" i="3"/>
  <c r="C1809" i="3"/>
  <c r="H1809" i="3"/>
  <c r="H1810" i="3"/>
  <c r="C1810" i="3" s="1"/>
  <c r="C1811" i="3"/>
  <c r="H1811" i="3"/>
  <c r="H1812" i="3"/>
  <c r="C1812" i="3" s="1"/>
  <c r="C1813" i="3"/>
  <c r="H1813" i="3"/>
  <c r="H1814" i="3"/>
  <c r="C1814" i="3" s="1"/>
  <c r="C1815" i="3"/>
  <c r="H1815" i="3"/>
  <c r="C1816" i="3"/>
  <c r="H1816" i="3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C1825" i="3"/>
  <c r="H1825" i="3"/>
  <c r="H1826" i="3"/>
  <c r="C1826" i="3" s="1"/>
  <c r="C1827" i="3"/>
  <c r="H1827" i="3"/>
  <c r="C1828" i="3"/>
  <c r="H1828" i="3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C1838" i="3"/>
  <c r="H1838" i="3"/>
  <c r="H1839" i="3"/>
  <c r="C1839" i="3" s="1"/>
  <c r="H1840" i="3"/>
  <c r="C1840" i="3" s="1"/>
  <c r="H1841" i="3"/>
  <c r="C1841" i="3" s="1"/>
  <c r="H1842" i="3"/>
  <c r="C1842" i="3" s="1"/>
  <c r="H1843" i="3"/>
  <c r="C1843" i="3" s="1"/>
  <c r="C1844" i="3"/>
  <c r="H1844" i="3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C1862" i="3"/>
  <c r="H1862" i="3"/>
  <c r="C1863" i="3"/>
  <c r="H1863" i="3"/>
  <c r="C1864" i="3"/>
  <c r="H1864" i="3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C1875" i="3"/>
  <c r="H1875" i="3"/>
  <c r="H1876" i="3"/>
  <c r="C1876" i="3" s="1"/>
  <c r="C1877" i="3"/>
  <c r="H1877" i="3"/>
  <c r="C1878" i="3"/>
  <c r="H1878" i="3"/>
  <c r="C1879" i="3"/>
  <c r="H1879" i="3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C1886" i="3"/>
  <c r="H1886" i="3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C1900" i="3"/>
  <c r="H1900" i="3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C1909" i="3"/>
  <c r="H1909" i="3"/>
  <c r="H1910" i="3"/>
  <c r="C1910" i="3" s="1"/>
  <c r="C1911" i="3"/>
  <c r="H1911" i="3"/>
  <c r="H1912" i="3"/>
  <c r="C1912" i="3" s="1"/>
  <c r="C1913" i="3"/>
  <c r="H1913" i="3"/>
  <c r="H1914" i="3"/>
  <c r="C1914" i="3" s="1"/>
  <c r="C1915" i="3"/>
  <c r="H1915" i="3"/>
  <c r="C1916" i="3"/>
  <c r="H1916" i="3"/>
  <c r="H1917" i="3"/>
  <c r="C1917" i="3" s="1"/>
  <c r="H1918" i="3"/>
  <c r="C1918" i="3" s="1"/>
  <c r="C1919" i="3"/>
  <c r="H1919" i="3"/>
  <c r="C1920" i="3"/>
  <c r="H1920" i="3"/>
  <c r="H1921" i="3"/>
  <c r="C1921" i="3" s="1"/>
  <c r="H1922" i="3"/>
  <c r="C1922" i="3" s="1"/>
  <c r="H1923" i="3"/>
  <c r="C1923" i="3" s="1"/>
  <c r="H1924" i="3"/>
  <c r="C1924" i="3" s="1"/>
  <c r="C1925" i="3"/>
  <c r="H1925" i="3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C1935" i="3"/>
  <c r="H1935" i="3"/>
  <c r="H1936" i="3"/>
  <c r="C1936" i="3" s="1"/>
  <c r="H1937" i="3"/>
  <c r="C1937" i="3" s="1"/>
  <c r="H1938" i="3"/>
  <c r="C1938" i="3" s="1"/>
  <c r="C1939" i="3"/>
  <c r="H1939" i="3"/>
  <c r="H1940" i="3"/>
  <c r="C1940" i="3" s="1"/>
  <c r="C1941" i="3"/>
  <c r="H1941" i="3"/>
  <c r="H1942" i="3"/>
  <c r="C1942" i="3" s="1"/>
  <c r="H1943" i="3"/>
  <c r="C1943" i="3" s="1"/>
  <c r="H1944" i="3"/>
  <c r="C1944" i="3" s="1"/>
  <c r="C1945" i="3"/>
  <c r="H1945" i="3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C1956" i="3"/>
  <c r="H1956" i="3"/>
  <c r="C1957" i="3"/>
  <c r="H1957" i="3"/>
  <c r="H1958" i="3"/>
  <c r="C1958" i="3" s="1"/>
  <c r="H1959" i="3"/>
  <c r="C1959" i="3" s="1"/>
  <c r="C1960" i="3"/>
  <c r="H1960" i="3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C1969" i="3"/>
  <c r="H1969" i="3"/>
  <c r="H1970" i="3"/>
  <c r="C1970" i="3" s="1"/>
  <c r="H1971" i="3"/>
  <c r="C1971" i="3" s="1"/>
  <c r="H1972" i="3"/>
  <c r="C1972" i="3" s="1"/>
  <c r="C1973" i="3"/>
  <c r="H1973" i="3"/>
  <c r="H1974" i="3"/>
  <c r="C1974" i="3" s="1"/>
  <c r="H1975" i="3"/>
  <c r="C1975" i="3" s="1"/>
  <c r="C1976" i="3"/>
  <c r="H1976" i="3"/>
  <c r="H1977" i="3"/>
  <c r="C1977" i="3" s="1"/>
  <c r="H1978" i="3"/>
  <c r="C1978" i="3" s="1"/>
  <c r="C1979" i="3"/>
  <c r="H1979" i="3"/>
  <c r="C1980" i="3"/>
  <c r="H1980" i="3"/>
  <c r="H1981" i="3"/>
  <c r="C1981" i="3" s="1"/>
  <c r="H1982" i="3"/>
  <c r="C1982" i="3" s="1"/>
  <c r="H1983" i="3"/>
  <c r="C1983" i="3" s="1"/>
  <c r="H1984" i="3"/>
  <c r="C1984" i="3" s="1"/>
  <c r="C1985" i="3"/>
  <c r="H1985" i="3"/>
  <c r="H1986" i="3"/>
  <c r="C1986" i="3" s="1"/>
  <c r="C1987" i="3"/>
  <c r="H1987" i="3"/>
  <c r="C1988" i="3"/>
  <c r="H1988" i="3"/>
  <c r="C1989" i="3"/>
  <c r="H1989" i="3"/>
  <c r="C1990" i="3"/>
  <c r="H1990" i="3"/>
  <c r="H1991" i="3"/>
  <c r="C1991" i="3" s="1"/>
  <c r="C1992" i="3"/>
  <c r="H1992" i="3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C2001" i="3"/>
  <c r="H2001" i="3"/>
  <c r="H2002" i="3"/>
  <c r="C2002" i="3" s="1"/>
  <c r="C2003" i="3"/>
  <c r="H2003" i="3"/>
  <c r="C2004" i="3"/>
  <c r="H2004" i="3"/>
  <c r="H2005" i="3"/>
  <c r="C2005" i="3" s="1"/>
  <c r="H2006" i="3"/>
  <c r="C2006" i="3" s="1"/>
  <c r="C2007" i="3"/>
  <c r="H2007" i="3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C2014" i="3"/>
  <c r="H2014" i="3"/>
  <c r="H2015" i="3"/>
  <c r="C2015" i="3" s="1"/>
  <c r="H2016" i="3"/>
  <c r="C2016" i="3" s="1"/>
  <c r="C2017" i="3"/>
  <c r="H2017" i="3"/>
  <c r="H2018" i="3"/>
  <c r="C2018" i="3" s="1"/>
  <c r="C2019" i="3"/>
  <c r="H2019" i="3"/>
  <c r="H2020" i="3"/>
  <c r="C2020" i="3" s="1"/>
  <c r="H2021" i="3"/>
  <c r="C2021" i="3" s="1"/>
  <c r="C2022" i="3"/>
  <c r="H2022" i="3"/>
  <c r="C2023" i="3"/>
  <c r="H2023" i="3"/>
  <c r="C2024" i="3"/>
  <c r="H2024" i="3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C2038" i="3"/>
  <c r="H2038" i="3"/>
  <c r="C2039" i="3"/>
  <c r="H2039" i="3"/>
  <c r="H2040" i="3"/>
  <c r="C2040" i="3" s="1"/>
  <c r="C2041" i="3"/>
  <c r="H2041" i="3"/>
  <c r="H2042" i="3"/>
  <c r="C2042" i="3" s="1"/>
  <c r="H2043" i="3"/>
  <c r="C2043" i="3" s="1"/>
  <c r="C2044" i="3"/>
  <c r="H2044" i="3"/>
  <c r="C2045" i="3"/>
  <c r="H2045" i="3"/>
  <c r="H2046" i="3"/>
  <c r="C2046" i="3" s="1"/>
  <c r="H2047" i="3"/>
  <c r="C2047" i="3" s="1"/>
  <c r="C2048" i="3"/>
  <c r="H2048" i="3"/>
  <c r="C2049" i="3"/>
  <c r="H2049" i="3"/>
  <c r="H2050" i="3"/>
  <c r="C2050" i="3" s="1"/>
  <c r="H2051" i="3"/>
  <c r="C2051" i="3" s="1"/>
  <c r="H2052" i="3"/>
  <c r="C2052" i="3" s="1"/>
  <c r="C2053" i="3"/>
  <c r="H2053" i="3"/>
  <c r="H2054" i="3"/>
  <c r="C2054" i="3" s="1"/>
  <c r="C2055" i="3"/>
  <c r="H2055" i="3"/>
  <c r="C2056" i="3"/>
  <c r="H2056" i="3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C2072" i="3"/>
  <c r="H2072" i="3"/>
  <c r="H2073" i="3"/>
  <c r="C2073" i="3" s="1"/>
  <c r="H2074" i="3"/>
  <c r="C2074" i="3" s="1"/>
  <c r="H2075" i="3"/>
  <c r="C2075" i="3" s="1"/>
  <c r="H2076" i="3"/>
  <c r="C2076" i="3" s="1"/>
  <c r="H2077" i="3"/>
  <c r="C2077" i="3" s="1"/>
  <c r="C2078" i="3"/>
  <c r="H2078" i="3"/>
  <c r="H2079" i="3"/>
  <c r="C2079" i="3" s="1"/>
  <c r="C2080" i="3"/>
  <c r="H2080" i="3"/>
  <c r="H2081" i="3"/>
  <c r="C2081" i="3" s="1"/>
  <c r="H2082" i="3"/>
  <c r="C2082" i="3" s="1"/>
  <c r="C2083" i="3"/>
  <c r="H2083" i="3"/>
  <c r="C2084" i="3"/>
  <c r="H2084" i="3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C2096" i="3"/>
  <c r="H2096" i="3"/>
  <c r="C2097" i="3"/>
  <c r="H2097" i="3"/>
  <c r="H2098" i="3"/>
  <c r="C2098" i="3" s="1"/>
  <c r="H2099" i="3"/>
  <c r="C2099" i="3" s="1"/>
  <c r="H2100" i="3"/>
  <c r="C2100" i="3" s="1"/>
  <c r="C2101" i="3"/>
  <c r="H2101" i="3"/>
  <c r="C2102" i="3"/>
  <c r="H2102" i="3"/>
  <c r="C2103" i="3"/>
  <c r="H2103" i="3"/>
  <c r="H2104" i="3"/>
  <c r="C2104" i="3" s="1"/>
  <c r="C2105" i="3"/>
  <c r="H2105" i="3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C2112" i="3"/>
  <c r="H2112" i="3"/>
  <c r="H2113" i="3"/>
  <c r="C2113" i="3" s="1"/>
  <c r="H2114" i="3"/>
  <c r="C2114" i="3" s="1"/>
  <c r="C2115" i="3"/>
  <c r="H2115" i="3"/>
  <c r="H2116" i="3"/>
  <c r="C2116" i="3" s="1"/>
  <c r="C2117" i="3"/>
  <c r="H2117" i="3"/>
  <c r="C2118" i="3"/>
  <c r="H2118" i="3"/>
  <c r="H2119" i="3"/>
  <c r="C2119" i="3" s="1"/>
  <c r="H2120" i="3"/>
  <c r="C2120" i="3" s="1"/>
  <c r="H2121" i="3"/>
  <c r="C2121" i="3" s="1"/>
  <c r="H2122" i="3"/>
  <c r="C2122" i="3" s="1"/>
  <c r="C2123" i="3"/>
  <c r="H2123" i="3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C2133" i="3"/>
  <c r="H2133" i="3"/>
  <c r="H2134" i="3"/>
  <c r="C2134" i="3" s="1"/>
  <c r="C2135" i="3"/>
  <c r="H2135" i="3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C2155" i="3"/>
  <c r="H2155" i="3"/>
  <c r="C2156" i="3"/>
  <c r="H2156" i="3"/>
  <c r="H2157" i="3"/>
  <c r="C2157" i="3" s="1"/>
  <c r="H2158" i="3"/>
  <c r="C2158" i="3" s="1"/>
  <c r="C2159" i="3"/>
  <c r="H2159" i="3"/>
  <c r="H2160" i="3"/>
  <c r="C2160" i="3" s="1"/>
  <c r="H2161" i="3"/>
  <c r="C2161" i="3" s="1"/>
  <c r="H2162" i="3"/>
  <c r="C2162" i="3" s="1"/>
  <c r="C2163" i="3"/>
  <c r="H2163" i="3"/>
  <c r="C2164" i="3"/>
  <c r="H2164" i="3"/>
  <c r="C2165" i="3"/>
  <c r="H2165" i="3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C2180" i="3"/>
  <c r="H2180" i="3"/>
  <c r="C2181" i="3"/>
  <c r="H2181" i="3"/>
  <c r="H2182" i="3"/>
  <c r="C2182" i="3" s="1"/>
  <c r="C2183" i="3"/>
  <c r="H2183" i="3"/>
  <c r="C2184" i="3"/>
  <c r="H2184" i="3"/>
  <c r="C2185" i="3"/>
  <c r="H2185" i="3"/>
  <c r="H2186" i="3"/>
  <c r="C2186" i="3" s="1"/>
  <c r="H2187" i="3"/>
  <c r="C2187" i="3" s="1"/>
  <c r="H2188" i="3"/>
  <c r="C2188" i="3" s="1"/>
  <c r="C2189" i="3"/>
  <c r="H2189" i="3"/>
  <c r="C2190" i="3"/>
  <c r="H2190" i="3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C2200" i="3"/>
  <c r="H2200" i="3"/>
  <c r="H2201" i="3"/>
  <c r="C2201" i="3" s="1"/>
  <c r="H2202" i="3"/>
  <c r="C2202" i="3" s="1"/>
  <c r="C2203" i="3"/>
  <c r="H2203" i="3"/>
  <c r="H2204" i="3"/>
  <c r="C2204" i="3" s="1"/>
  <c r="C2205" i="3"/>
  <c r="H2205" i="3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C2215" i="3"/>
  <c r="H2215" i="3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C2224" i="3"/>
  <c r="H2224" i="3"/>
  <c r="C2225" i="3"/>
  <c r="H2225" i="3"/>
  <c r="H2226" i="3"/>
  <c r="C2226" i="3" s="1"/>
  <c r="H2227" i="3"/>
  <c r="C2227" i="3" s="1"/>
  <c r="H2228" i="3"/>
  <c r="C2228" i="3" s="1"/>
  <c r="C2229" i="3"/>
  <c r="H2229" i="3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C2243" i="3"/>
  <c r="H2243" i="3"/>
  <c r="H2244" i="3"/>
  <c r="C2244" i="3" s="1"/>
  <c r="H2245" i="3"/>
  <c r="C2245" i="3" s="1"/>
  <c r="C2246" i="3"/>
  <c r="H2246" i="3"/>
  <c r="C2247" i="3"/>
  <c r="H2247" i="3"/>
  <c r="C2248" i="3"/>
  <c r="H2248" i="3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C2259" i="3"/>
  <c r="H2259" i="3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C2269" i="3"/>
  <c r="H2269" i="3"/>
  <c r="H2270" i="3"/>
  <c r="C2270" i="3" s="1"/>
  <c r="H2271" i="3"/>
  <c r="C2271" i="3" s="1"/>
  <c r="H2272" i="3"/>
  <c r="C2272" i="3" s="1"/>
  <c r="C2273" i="3"/>
  <c r="H2273" i="3"/>
  <c r="H2274" i="3"/>
  <c r="C2274" i="3" s="1"/>
  <c r="H2275" i="3"/>
  <c r="C2275" i="3" s="1"/>
  <c r="H2276" i="3"/>
  <c r="C2276" i="3" s="1"/>
  <c r="C2277" i="3"/>
  <c r="H2277" i="3"/>
  <c r="C2278" i="3"/>
  <c r="H2278" i="3"/>
  <c r="C2279" i="3"/>
  <c r="H2279" i="3"/>
  <c r="C2280" i="3"/>
  <c r="H2280" i="3"/>
  <c r="C2281" i="3"/>
  <c r="H2281" i="3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C2293" i="3"/>
  <c r="H2293" i="3"/>
  <c r="C2294" i="3"/>
  <c r="H2294" i="3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C2304" i="3"/>
  <c r="H2304" i="3"/>
  <c r="H2305" i="3"/>
  <c r="C2305" i="3" s="1"/>
  <c r="H2306" i="3"/>
  <c r="C2306" i="3" s="1"/>
  <c r="H2307" i="3"/>
  <c r="C2307" i="3" s="1"/>
  <c r="H2308" i="3"/>
  <c r="C2308" i="3" s="1"/>
  <c r="H2309" i="3"/>
  <c r="C2309" i="3" s="1"/>
  <c r="C2310" i="3"/>
  <c r="H2310" i="3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C2326" i="3"/>
  <c r="H2326" i="3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C2346" i="3"/>
  <c r="H2346" i="3"/>
  <c r="H2347" i="3"/>
  <c r="C2347" i="3" s="1"/>
  <c r="H2348" i="3"/>
  <c r="C2348" i="3" s="1"/>
  <c r="C2349" i="3"/>
  <c r="H2349" i="3"/>
  <c r="H2350" i="3"/>
  <c r="C2350" i="3" s="1"/>
  <c r="H2351" i="3"/>
  <c r="C2351" i="3" s="1"/>
  <c r="H2352" i="3"/>
  <c r="C2352" i="3" s="1"/>
  <c r="C2353" i="3"/>
  <c r="H2353" i="3"/>
  <c r="H2354" i="3"/>
  <c r="C2354" i="3" s="1"/>
  <c r="H2355" i="3"/>
  <c r="C2355" i="3" s="1"/>
  <c r="C2356" i="3"/>
  <c r="H2356" i="3"/>
  <c r="H2357" i="3"/>
  <c r="C2357" i="3" s="1"/>
  <c r="C2358" i="3"/>
  <c r="H2358" i="3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C2373" i="3"/>
  <c r="H2373" i="3"/>
  <c r="H2374" i="3"/>
  <c r="C2374" i="3" s="1"/>
  <c r="H2375" i="3"/>
  <c r="C2375" i="3" s="1"/>
  <c r="H2376" i="3"/>
  <c r="C2376" i="3" s="1"/>
  <c r="C2377" i="3"/>
  <c r="H2377" i="3"/>
  <c r="H2378" i="3"/>
  <c r="C2378" i="3" s="1"/>
  <c r="H2379" i="3"/>
  <c r="C2379" i="3" s="1"/>
  <c r="C2380" i="3"/>
  <c r="H2380" i="3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C2390" i="3"/>
  <c r="H2390" i="3"/>
  <c r="C2391" i="3"/>
  <c r="H2391" i="3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C2398" i="3"/>
  <c r="H2398" i="3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C2405" i="3"/>
  <c r="H2405" i="3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C2413" i="3"/>
  <c r="H2413" i="3"/>
  <c r="H2414" i="3"/>
  <c r="C2414" i="3" s="1"/>
  <c r="H2415" i="3"/>
  <c r="C2415" i="3" s="1"/>
  <c r="H2416" i="3"/>
  <c r="C2416" i="3" s="1"/>
  <c r="C2417" i="3"/>
  <c r="H2417" i="3"/>
  <c r="H2418" i="3"/>
  <c r="C2418" i="3" s="1"/>
  <c r="H2419" i="3"/>
  <c r="C2419" i="3" s="1"/>
  <c r="H2420" i="3"/>
  <c r="C2420" i="3" s="1"/>
  <c r="C2421" i="3"/>
  <c r="H2421" i="3"/>
  <c r="C2422" i="3"/>
  <c r="H2422" i="3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C2439" i="3"/>
  <c r="H2439" i="3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C2458" i="3"/>
  <c r="H2458" i="3"/>
  <c r="C2459" i="3"/>
  <c r="H2459" i="3"/>
  <c r="H2460" i="3"/>
  <c r="C2460" i="3" s="1"/>
  <c r="C2461" i="3"/>
  <c r="H2461" i="3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C2473" i="3"/>
  <c r="H2473" i="3"/>
  <c r="H2474" i="3"/>
  <c r="C2474" i="3" s="1"/>
  <c r="C2475" i="3"/>
  <c r="H2475" i="3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C2485" i="3"/>
  <c r="H2485" i="3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C2494" i="3"/>
  <c r="H2494" i="3"/>
  <c r="H2495" i="3"/>
  <c r="C2495" i="3" s="1"/>
  <c r="H2496" i="3"/>
  <c r="C2496" i="3" s="1"/>
  <c r="H2497" i="3"/>
  <c r="C2497" i="3" s="1"/>
  <c r="C2498" i="3"/>
  <c r="H2498" i="3"/>
  <c r="H2499" i="3"/>
  <c r="C2499" i="3" s="1"/>
  <c r="H2500" i="3"/>
  <c r="C2500" i="3" s="1"/>
  <c r="C2501" i="3"/>
  <c r="H2501" i="3"/>
  <c r="C2502" i="3"/>
  <c r="H2502" i="3"/>
  <c r="H2503" i="3"/>
  <c r="C2503" i="3" s="1"/>
  <c r="H2504" i="3"/>
  <c r="C2504" i="3" s="1"/>
  <c r="H2505" i="3"/>
  <c r="C2505" i="3" s="1"/>
  <c r="C2506" i="3"/>
  <c r="H2506" i="3"/>
  <c r="C2507" i="3"/>
  <c r="H2507" i="3"/>
  <c r="H2508" i="3"/>
  <c r="C2508" i="3" s="1"/>
  <c r="C2509" i="3"/>
  <c r="H2509" i="3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C2517" i="3"/>
  <c r="H2517" i="3"/>
  <c r="C2518" i="3"/>
  <c r="H2518" i="3"/>
  <c r="C2519" i="3"/>
  <c r="H2519" i="3"/>
  <c r="H2520" i="3"/>
  <c r="C2520" i="3" s="1"/>
  <c r="H2521" i="3"/>
  <c r="C2521" i="3" s="1"/>
  <c r="H2522" i="3"/>
  <c r="C2522" i="3" s="1"/>
  <c r="H2523" i="3"/>
  <c r="C2523" i="3" s="1"/>
  <c r="H2524" i="3"/>
  <c r="C2524" i="3" s="1"/>
  <c r="C2525" i="3"/>
  <c r="H2525" i="3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C2533" i="3"/>
  <c r="H2533" i="3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C2541" i="3"/>
  <c r="H2541" i="3"/>
  <c r="H2542" i="3"/>
  <c r="C2542" i="3" s="1"/>
  <c r="H2543" i="3"/>
  <c r="C2543" i="3" s="1"/>
  <c r="H2544" i="3"/>
  <c r="C2544" i="3" s="1"/>
  <c r="C2545" i="3"/>
  <c r="H2545" i="3"/>
  <c r="H2546" i="3"/>
  <c r="C2546" i="3" s="1"/>
  <c r="H2547" i="3"/>
  <c r="C2547" i="3" s="1"/>
  <c r="H2548" i="3"/>
  <c r="C2548" i="3" s="1"/>
  <c r="C2549" i="3"/>
  <c r="H2549" i="3"/>
  <c r="C2550" i="3"/>
  <c r="H2550" i="3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C2567" i="3"/>
  <c r="H2567" i="3"/>
  <c r="H2568" i="3"/>
  <c r="C2568" i="3" s="1"/>
  <c r="C2569" i="3"/>
  <c r="H2569" i="3"/>
  <c r="C2570" i="3"/>
  <c r="H2570" i="3"/>
  <c r="H2571" i="3"/>
  <c r="C2571" i="3" s="1"/>
  <c r="H2572" i="3"/>
  <c r="C2572" i="3" s="1"/>
  <c r="C2573" i="3"/>
  <c r="H2573" i="3"/>
  <c r="H2574" i="3"/>
  <c r="C2574" i="3" s="1"/>
  <c r="C2575" i="3"/>
  <c r="H2575" i="3"/>
  <c r="H2576" i="3"/>
  <c r="C2576" i="3" s="1"/>
  <c r="H2577" i="3"/>
  <c r="C2577" i="3" s="1"/>
  <c r="H2578" i="3"/>
  <c r="C2578" i="3" s="1"/>
  <c r="C2579" i="3"/>
  <c r="H2579" i="3"/>
  <c r="H2580" i="3"/>
  <c r="C2580" i="3" s="1"/>
  <c r="C2581" i="3"/>
  <c r="H2581" i="3"/>
  <c r="H2582" i="3"/>
  <c r="C2582" i="3" s="1"/>
  <c r="C2583" i="3"/>
  <c r="H2583" i="3"/>
  <c r="C2584" i="3"/>
  <c r="H2584" i="3"/>
  <c r="H2585" i="3"/>
  <c r="C2585" i="3" s="1"/>
  <c r="C2586" i="3"/>
  <c r="H2586" i="3"/>
  <c r="C2587" i="3"/>
  <c r="H2587" i="3"/>
  <c r="H2588" i="3"/>
  <c r="C2588" i="3" s="1"/>
  <c r="C2589" i="3"/>
  <c r="H2589" i="3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C2601" i="3"/>
  <c r="H2601" i="3"/>
  <c r="H2602" i="3"/>
  <c r="C2602" i="3" s="1"/>
  <c r="C2603" i="3"/>
  <c r="H2603" i="3"/>
  <c r="H2604" i="3"/>
  <c r="C2604" i="3" s="1"/>
  <c r="C2605" i="3"/>
  <c r="H2605" i="3"/>
  <c r="H2606" i="3"/>
  <c r="C2606" i="3" s="1"/>
  <c r="H2607" i="3"/>
  <c r="C2607" i="3" s="1"/>
  <c r="H2608" i="3"/>
  <c r="C2608" i="3" s="1"/>
  <c r="C2609" i="3"/>
  <c r="H2609" i="3"/>
  <c r="H2610" i="3"/>
  <c r="C2610" i="3" s="1"/>
  <c r="H2611" i="3"/>
  <c r="C2611" i="3" s="1"/>
  <c r="H2612" i="3"/>
  <c r="C2612" i="3" s="1"/>
  <c r="C2613" i="3"/>
  <c r="H2613" i="3"/>
  <c r="H2614" i="3"/>
  <c r="C2614" i="3" s="1"/>
  <c r="H2615" i="3"/>
  <c r="C2615" i="3" s="1"/>
  <c r="H2616" i="3"/>
  <c r="C2616" i="3" s="1"/>
  <c r="C2617" i="3"/>
  <c r="H2617" i="3"/>
  <c r="C2618" i="3"/>
  <c r="H2618" i="3"/>
  <c r="H2619" i="3"/>
  <c r="C2619" i="3" s="1"/>
  <c r="H2620" i="3"/>
  <c r="C2620" i="3" s="1"/>
  <c r="C2621" i="3"/>
  <c r="H2621" i="3"/>
  <c r="C2622" i="3"/>
  <c r="H2622" i="3"/>
  <c r="H2623" i="3"/>
  <c r="C2623" i="3" s="1"/>
  <c r="H2624" i="3"/>
  <c r="C2624" i="3" s="1"/>
  <c r="H2625" i="3"/>
  <c r="C2625" i="3" s="1"/>
  <c r="C2626" i="3"/>
  <c r="H2626" i="3"/>
  <c r="H2627" i="3"/>
  <c r="C2627" i="3" s="1"/>
  <c r="H2628" i="3"/>
  <c r="C2628" i="3" s="1"/>
  <c r="C2629" i="3"/>
  <c r="H2629" i="3"/>
  <c r="C2630" i="3"/>
  <c r="H2630" i="3"/>
  <c r="H2631" i="3"/>
  <c r="C2631" i="3" s="1"/>
  <c r="H2632" i="3"/>
  <c r="C2632" i="3" s="1"/>
  <c r="H2633" i="3"/>
  <c r="C2633" i="3" s="1"/>
  <c r="C2634" i="3"/>
  <c r="H2634" i="3"/>
  <c r="C2635" i="3"/>
  <c r="H2635" i="3"/>
  <c r="H2636" i="3"/>
  <c r="C2636" i="3" s="1"/>
  <c r="C2637" i="3"/>
  <c r="H2637" i="3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C2645" i="3"/>
  <c r="H2645" i="3"/>
  <c r="C2646" i="3"/>
  <c r="H2646" i="3"/>
  <c r="C2647" i="3"/>
  <c r="H2647" i="3"/>
  <c r="H2648" i="3"/>
  <c r="C2648" i="3" s="1"/>
  <c r="H2649" i="3"/>
  <c r="C2649" i="3" s="1"/>
  <c r="H2650" i="3"/>
  <c r="C2650" i="3" s="1"/>
  <c r="C2651" i="3"/>
  <c r="H2651" i="3"/>
  <c r="H2652" i="3"/>
  <c r="C2652" i="3" s="1"/>
  <c r="C2653" i="3"/>
  <c r="H2653" i="3"/>
  <c r="H2654" i="3"/>
  <c r="C2654" i="3" s="1"/>
  <c r="H2655" i="3"/>
  <c r="C2655" i="3" s="1"/>
  <c r="C2656" i="3"/>
  <c r="H2656" i="3"/>
  <c r="H2657" i="3"/>
  <c r="C2657" i="3" s="1"/>
  <c r="H2658" i="3"/>
  <c r="C2658" i="3" s="1"/>
  <c r="H2659" i="3"/>
  <c r="C2659" i="3" s="1"/>
  <c r="H2660" i="3"/>
  <c r="C2660" i="3" s="1"/>
  <c r="C2661" i="3"/>
  <c r="H2661" i="3"/>
  <c r="H2662" i="3"/>
  <c r="C2662" i="3" s="1"/>
  <c r="C2663" i="3"/>
  <c r="H2663" i="3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C2673" i="3"/>
  <c r="H2673" i="3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C2685" i="3"/>
  <c r="H2685" i="3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C2695" i="3"/>
  <c r="H2695" i="3"/>
  <c r="H2696" i="3"/>
  <c r="C2696" i="3" s="1"/>
  <c r="C2697" i="3"/>
  <c r="H2697" i="3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C2705" i="3"/>
  <c r="H2705" i="3"/>
  <c r="C2706" i="3"/>
  <c r="H2706" i="3"/>
  <c r="H2707" i="3"/>
  <c r="C2707" i="3" s="1"/>
  <c r="H2708" i="3"/>
  <c r="C2708" i="3" s="1"/>
  <c r="H2709" i="3"/>
  <c r="C2709" i="3" s="1"/>
  <c r="H2710" i="3"/>
  <c r="C2710" i="3" s="1"/>
  <c r="C2711" i="3"/>
  <c r="H2711" i="3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C2719" i="3"/>
  <c r="H2719" i="3"/>
  <c r="H2720" i="3"/>
  <c r="C2720" i="3" s="1"/>
  <c r="C2721" i="3"/>
  <c r="H2721" i="3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C2730" i="3"/>
  <c r="H2730" i="3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C2737" i="3"/>
  <c r="H2737" i="3"/>
  <c r="C2738" i="3"/>
  <c r="H2738" i="3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C2750" i="3"/>
  <c r="H2750" i="3"/>
  <c r="C2751" i="3"/>
  <c r="H2751" i="3"/>
  <c r="H2752" i="3"/>
  <c r="C2752" i="3" s="1"/>
  <c r="C2753" i="3"/>
  <c r="H2753" i="3"/>
  <c r="C2754" i="3"/>
  <c r="H2754" i="3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C2761" i="3"/>
  <c r="H2761" i="3"/>
  <c r="C2762" i="3"/>
  <c r="H2762" i="3"/>
  <c r="H2763" i="3"/>
  <c r="C2763" i="3" s="1"/>
  <c r="H2764" i="3"/>
  <c r="C2764" i="3" s="1"/>
  <c r="H2765" i="3"/>
  <c r="C2765" i="3" s="1"/>
  <c r="C2766" i="3"/>
  <c r="H2766" i="3"/>
  <c r="C2767" i="3"/>
  <c r="H2767" i="3"/>
  <c r="H2768" i="3"/>
  <c r="C2768" i="3" s="1"/>
  <c r="C2769" i="3"/>
  <c r="H2769" i="3"/>
  <c r="C2770" i="3"/>
  <c r="H2770" i="3"/>
  <c r="H2771" i="3"/>
  <c r="C2771" i="3" s="1"/>
  <c r="H2772" i="3"/>
  <c r="C2772" i="3" s="1"/>
  <c r="H2773" i="3"/>
  <c r="C2773" i="3" s="1"/>
  <c r="H2774" i="3"/>
  <c r="C2774" i="3" s="1"/>
  <c r="C2775" i="3"/>
  <c r="H2775" i="3"/>
  <c r="H2776" i="3"/>
  <c r="C2776" i="3" s="1"/>
  <c r="C2777" i="3"/>
  <c r="H2777" i="3"/>
  <c r="C2778" i="3"/>
  <c r="H2778" i="3"/>
  <c r="H2779" i="3"/>
  <c r="C2779" i="3" s="1"/>
  <c r="H2780" i="3"/>
  <c r="C2780" i="3" s="1"/>
  <c r="H2781" i="3"/>
  <c r="C2781" i="3" s="1"/>
  <c r="C2782" i="3"/>
  <c r="H2782" i="3"/>
  <c r="C2783" i="3"/>
  <c r="H2783" i="3"/>
  <c r="H2784" i="3"/>
  <c r="C2784" i="3" s="1"/>
  <c r="C2785" i="3"/>
  <c r="H2785" i="3"/>
  <c r="C2786" i="3"/>
  <c r="H2786" i="3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C2793" i="3"/>
  <c r="H2793" i="3"/>
  <c r="C2794" i="3"/>
  <c r="H2794" i="3"/>
  <c r="H2795" i="3"/>
  <c r="C2795" i="3" s="1"/>
  <c r="H2796" i="3"/>
  <c r="C2796" i="3" s="1"/>
  <c r="H2797" i="3"/>
  <c r="C2797" i="3" s="1"/>
  <c r="C2798" i="3"/>
  <c r="H2798" i="3"/>
  <c r="C2799" i="3"/>
  <c r="H2799" i="3"/>
  <c r="H2800" i="3"/>
  <c r="C2800" i="3" s="1"/>
  <c r="C2801" i="3"/>
  <c r="H2801" i="3"/>
  <c r="C2802" i="3"/>
  <c r="H2802" i="3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C2809" i="3"/>
  <c r="H2809" i="3"/>
  <c r="C2810" i="3"/>
  <c r="H2810" i="3"/>
  <c r="H2811" i="3"/>
  <c r="C2811" i="3" s="1"/>
  <c r="H2812" i="3"/>
  <c r="C2812" i="3" s="1"/>
  <c r="H2813" i="3"/>
  <c r="C2813" i="3" s="1"/>
  <c r="C2814" i="3"/>
  <c r="H2814" i="3"/>
  <c r="C2815" i="3"/>
  <c r="H2815" i="3"/>
  <c r="H2816" i="3"/>
  <c r="C2816" i="3" s="1"/>
  <c r="C2817" i="3"/>
  <c r="H2817" i="3"/>
  <c r="C2818" i="3"/>
  <c r="H2818" i="3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C2825" i="3"/>
  <c r="H2825" i="3"/>
  <c r="C2826" i="3"/>
  <c r="H2826" i="3"/>
  <c r="H2827" i="3"/>
  <c r="C2827" i="3" s="1"/>
  <c r="H2828" i="3"/>
  <c r="C2828" i="3" s="1"/>
  <c r="H2829" i="3"/>
  <c r="C2829" i="3" s="1"/>
  <c r="C2830" i="3"/>
  <c r="H2830" i="3"/>
  <c r="C2831" i="3"/>
  <c r="H2831" i="3"/>
  <c r="H2832" i="3"/>
  <c r="C2832" i="3" s="1"/>
  <c r="C2833" i="3"/>
  <c r="H2833" i="3"/>
  <c r="C2834" i="3"/>
  <c r="H2834" i="3"/>
  <c r="H2835" i="3"/>
  <c r="C2835" i="3" s="1"/>
  <c r="H2836" i="3"/>
  <c r="C2836" i="3" s="1"/>
  <c r="H2837" i="3"/>
  <c r="C2837" i="3" s="1"/>
  <c r="H2838" i="3"/>
  <c r="C2838" i="3" s="1"/>
  <c r="C2839" i="3"/>
  <c r="H2839" i="3"/>
  <c r="H2840" i="3"/>
  <c r="C2840" i="3" s="1"/>
  <c r="C2841" i="3"/>
  <c r="H2841" i="3"/>
  <c r="C2842" i="3"/>
  <c r="H2842" i="3"/>
  <c r="H2843" i="3"/>
  <c r="C2843" i="3" s="1"/>
  <c r="H2844" i="3"/>
  <c r="C2844" i="3" s="1"/>
  <c r="H2845" i="3"/>
  <c r="C2845" i="3" s="1"/>
  <c r="C2846" i="3"/>
  <c r="H2846" i="3"/>
  <c r="C2847" i="3"/>
  <c r="H2847" i="3"/>
  <c r="H2848" i="3"/>
  <c r="C2848" i="3" s="1"/>
  <c r="C2849" i="3"/>
  <c r="H2849" i="3"/>
  <c r="C2850" i="3"/>
  <c r="H2850" i="3"/>
  <c r="H2851" i="3"/>
  <c r="C2851" i="3" s="1"/>
  <c r="H2852" i="3"/>
  <c r="C2852" i="3" s="1"/>
  <c r="H2853" i="3"/>
  <c r="C2853" i="3" s="1"/>
  <c r="H2854" i="3"/>
  <c r="C2854" i="3" s="1"/>
  <c r="C2855" i="3"/>
  <c r="H2855" i="3"/>
  <c r="H2856" i="3"/>
  <c r="C2856" i="3" s="1"/>
  <c r="C2857" i="3"/>
  <c r="H2857" i="3"/>
  <c r="C2858" i="3"/>
  <c r="H2858" i="3"/>
  <c r="H2859" i="3"/>
  <c r="C2859" i="3" s="1"/>
  <c r="H2860" i="3"/>
  <c r="C2860" i="3" s="1"/>
  <c r="H2861" i="3"/>
  <c r="C2861" i="3" s="1"/>
  <c r="C2862" i="3"/>
  <c r="H2862" i="3"/>
  <c r="C2863" i="3"/>
  <c r="H2863" i="3"/>
  <c r="H2864" i="3"/>
  <c r="C2864" i="3" s="1"/>
  <c r="C2865" i="3"/>
  <c r="H2865" i="3"/>
  <c r="C2866" i="3"/>
  <c r="H2866" i="3"/>
  <c r="H2867" i="3"/>
  <c r="C2867" i="3" s="1"/>
  <c r="H2868" i="3"/>
  <c r="C2868" i="3" s="1"/>
  <c r="H2869" i="3"/>
  <c r="C2869" i="3" s="1"/>
  <c r="H2870" i="3"/>
  <c r="C2870" i="3" s="1"/>
  <c r="C2871" i="3"/>
  <c r="H2871" i="3"/>
  <c r="H2872" i="3"/>
  <c r="C2872" i="3" s="1"/>
  <c r="C2873" i="3"/>
  <c r="H2873" i="3"/>
  <c r="C2874" i="3"/>
  <c r="H2874" i="3"/>
  <c r="H2875" i="3"/>
  <c r="C2875" i="3" s="1"/>
  <c r="H2876" i="3"/>
  <c r="C2876" i="3" s="1"/>
  <c r="H2877" i="3"/>
  <c r="C2877" i="3" s="1"/>
  <c r="C2878" i="3"/>
  <c r="H2878" i="3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/>
  <c r="V39" i="2"/>
  <c r="X39" i="2" s="1"/>
  <c r="V40" i="2"/>
  <c r="X40" i="2"/>
  <c r="V41" i="2"/>
  <c r="X41" i="2" s="1"/>
  <c r="V42" i="2"/>
  <c r="X42" i="2" s="1"/>
  <c r="V43" i="2"/>
  <c r="X43" i="2" s="1"/>
  <c r="V44" i="2"/>
  <c r="X44" i="2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7" i="2" l="1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<sst xmlns="http://schemas.openxmlformats.org/spreadsheetml/2006/main" count="12611" uniqueCount="5154">
  <si>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</si>
  <si>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</si>
  <si>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</si>
  <si>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</si>
  <si>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</si>
  <si>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</si>
  <si>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</si>
  <si>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</si>
  <si>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</si>
  <si>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</si>
  <si>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</si>
  <si>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</si>
  <si>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</si>
  <si>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</si>
  <si>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</si>
  <si>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</si>
  <si>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</si>
  <si>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</si>
  <si>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</si>
  <si>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</si>
  <si>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</si>
  <si>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</si>
  <si>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</si>
  <si>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</si>
  <si>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</si>
  <si>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</si>
  <si>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</si>
  <si>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</si>
  <si>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</si>
  <si>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</si>
  <si>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</si>
  <si>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</si>
  <si>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</si>
  <si>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</si>
  <si>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</si>
  <si>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</si>
  <si>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</si>
  <si>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</si>
  <si>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</si>
  <si>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</si>
  <si>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</si>
  <si>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</si>
  <si>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</si>
  <si>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</si>
  <si>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</si>
  <si>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</si>
  <si>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</si>
  <si>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</si>
  <si>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</si>
  <si>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</si>
  <si>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</si>
  <si>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</si>
  <si>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</si>
  <si>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</si>
  <si>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</si>
  <si>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</si>
  <si>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</si>
  <si>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</si>
  <si>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</si>
  <si>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</si>
  <si>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</si>
  <si>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</si>
  <si>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</si>
  <si>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</si>
  <si>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</si>
  <si>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</si>
  <si>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</si>
  <si>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</si>
  <si>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</si>
  <si>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</si>
  <si>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</si>
  <si>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</si>
  <si>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</si>
  <si>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</si>
  <si>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</si>
  <si>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</si>
  <si>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</si>
  <si>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</si>
  <si>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</si>
  <si>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</si>
  <si>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</si>
  <si>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</si>
  <si>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</si>
  <si>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</si>
  <si>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</si>
  <si>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</si>
  <si>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</si>
  <si>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</si>
  <si>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</si>
  <si>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</si>
  <si>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</si>
  <si>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</si>
  <si>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</si>
  <si>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</si>
  <si>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</si>
  <si>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</si>
  <si>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</si>
  <si>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</si>
  <si>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</si>
  <si>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</si>
  <si>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</si>
  <si>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</si>
  <si>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</si>
  <si>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</si>
  <si>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</si>
  <si>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</si>
  <si>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</si>
  <si>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</si>
  <si>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</si>
  <si>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</si>
  <si>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</si>
  <si>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</si>
  <si>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</si>
  <si>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</si>
  <si>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</si>
  <si>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</si>
  <si>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</si>
  <si>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</si>
  <si>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</si>
  <si>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</si>
  <si>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</si>
  <si>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</si>
  <si>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</si>
  <si>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</si>
  <si>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</si>
  <si>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</si>
  <si>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</si>
  <si>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</si>
  <si>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</si>
  <si>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</si>
  <si>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</si>
  <si>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</si>
  <si>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</si>
  <si>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</si>
  <si>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</si>
  <si>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</si>
  <si>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</si>
  <si>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</si>
  <si>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</si>
  <si>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</si>
  <si>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</si>
  <si>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</si>
  <si>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</si>
  <si>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</si>
  <si>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</si>
  <si>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</si>
  <si>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</si>
  <si>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</si>
  <si>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</si>
  <si>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</si>
  <si>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</si>
  <si>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</si>
  <si>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</si>
  <si>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</si>
  <si>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</si>
  <si>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</si>
  <si>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</si>
  <si>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</si>
  <si>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</si>
  <si>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</si>
  <si>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</si>
  <si>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</si>
  <si>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</si>
  <si>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</si>
  <si>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</si>
  <si>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</si>
  <si>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</si>
  <si>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</si>
  <si>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</si>
  <si>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</si>
  <si>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</si>
  <si>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</si>
  <si>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</si>
  <si>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</si>
  <si>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</si>
  <si>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</si>
  <si>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</si>
  <si>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</si>
  <si>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</si>
  <si>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</si>
  <si>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</si>
  <si>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</si>
  <si>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</si>
  <si>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</si>
  <si>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</si>
  <si>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</si>
  <si>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</si>
  <si>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</si>
  <si>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</si>
  <si>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</si>
  <si>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</si>
  <si>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</si>
  <si>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</si>
  <si>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</si>
  <si>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</si>
  <si>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</si>
  <si>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</si>
  <si>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</si>
  <si>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</si>
  <si>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</si>
  <si>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</si>
  <si>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</si>
  <si>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</si>
  <si>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</si>
  <si>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</si>
  <si>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</si>
  <si>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</si>
  <si>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</si>
  <si>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</si>
  <si>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</si>
  <si>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</si>
  <si>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</si>
  <si>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</si>
  <si>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</si>
  <si>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</si>
  <si>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</si>
  <si>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</si>
  <si>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</si>
  <si>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</si>
  <si>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</si>
  <si>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</si>
  <si>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</si>
  <si>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</si>
  <si>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</si>
  <si>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</si>
  <si>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</si>
  <si>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</si>
  <si>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</si>
  <si>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</si>
  <si>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</si>
  <si>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</si>
  <si>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</si>
  <si>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</si>
  <si>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</si>
  <si>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</si>
  <si>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</si>
  <si>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</si>
  <si>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</si>
  <si>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</si>
  <si>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</si>
  <si>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</si>
  <si>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</si>
  <si>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</si>
  <si>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</si>
  <si>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</si>
  <si>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</si>
  <si>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</si>
  <si>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</si>
  <si>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</si>
  <si>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</si>
  <si>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</si>
  <si>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</si>
  <si>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</si>
  <si>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</si>
  <si>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</si>
  <si>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</si>
  <si>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</si>
  <si>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</si>
  <si>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</si>
  <si>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</si>
  <si>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</si>
  <si>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</si>
  <si>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</si>
  <si>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</si>
  <si>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</si>
  <si>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</si>
  <si>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</si>
  <si>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</si>
  <si>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</si>
  <si>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</si>
  <si>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</si>
  <si>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</si>
  <si>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</si>
  <si>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</si>
  <si>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</si>
  <si>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</si>
  <si>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</si>
  <si>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</si>
  <si>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</si>
  <si>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</si>
  <si>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</si>
  <si>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</si>
  <si>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</si>
  <si>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</si>
  <si>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</si>
  <si>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</si>
  <si>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</si>
  <si>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</si>
  <si>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</si>
  <si>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</si>
  <si>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</si>
  <si>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</si>
  <si>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</si>
  <si>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</si>
  <si>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</si>
  <si>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</si>
  <si>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</si>
  <si>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</si>
  <si>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</si>
  <si>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</si>
  <si>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</si>
  <si>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</si>
  <si>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</si>
  <si>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</si>
  <si>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</si>
  <si>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</si>
  <si>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</si>
  <si>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</si>
  <si>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</si>
  <si>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</si>
  <si>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</si>
  <si>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</si>
  <si>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</si>
  <si>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</si>
  <si>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</si>
  <si>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</si>
  <si>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</si>
  <si>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</si>
  <si>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</si>
  <si>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</si>
  <si>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</si>
  <si>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</si>
  <si>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</si>
  <si>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</si>
  <si>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</si>
  <si>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</si>
  <si>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</si>
  <si>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</si>
  <si>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</si>
  <si>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</si>
  <si>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</si>
  <si>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</si>
  <si>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</si>
  <si>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</si>
  <si>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</si>
  <si>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</si>
  <si>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</si>
  <si>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</si>
  <si>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</si>
  <si>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</si>
  <si>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</si>
  <si>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</si>
  <si>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</si>
  <si>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</si>
  <si>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</si>
  <si>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</si>
  <si>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</si>
  <si>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</si>
  <si>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</si>
  <si>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</si>
  <si>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</si>
  <si>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</si>
  <si>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</si>
  <si>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</si>
  <si>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</si>
  <si>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</si>
  <si>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</si>
  <si>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</si>
  <si>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</si>
  <si>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</si>
  <si>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</si>
  <si>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</si>
  <si>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</si>
  <si>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</si>
  <si>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</si>
  <si>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</si>
  <si>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</si>
  <si>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</si>
  <si>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</si>
  <si>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</si>
  <si>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</si>
  <si>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</si>
  <si>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</si>
  <si>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</si>
  <si>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</si>
  <si>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</si>
  <si>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</si>
  <si>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</si>
  <si>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</si>
  <si>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</si>
  <si>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</si>
  <si>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</si>
  <si>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</si>
  <si>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</si>
  <si>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</si>
  <si>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</si>
  <si>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</si>
  <si>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</si>
  <si>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</si>
  <si>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</si>
  <si>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</si>
  <si>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</si>
  <si>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</si>
  <si>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</si>
  <si>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</si>
  <si>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</si>
  <si>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</si>
  <si>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</si>
  <si>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</si>
  <si>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</si>
  <si>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</si>
  <si>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</si>
  <si>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</si>
  <si>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</si>
  <si>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</si>
  <si>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</si>
  <si>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</si>
  <si>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</si>
  <si>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</si>
  <si>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</si>
  <si>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</si>
  <si>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</si>
  <si>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</si>
  <si>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</si>
  <si>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</si>
  <si>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</si>
  <si>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</si>
  <si>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</si>
  <si>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</si>
  <si>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</si>
  <si>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</si>
  <si>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</si>
  <si>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</si>
  <si>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</si>
  <si>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</si>
  <si>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</si>
  <si>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</si>
  <si>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</si>
  <si>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</si>
  <si>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</si>
  <si>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</si>
  <si>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</si>
  <si>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</si>
  <si>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</si>
  <si>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</si>
  <si>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</si>
  <si>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</si>
  <si>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</si>
  <si>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</si>
  <si>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</si>
  <si>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</si>
  <si>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</si>
  <si>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</si>
  <si>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</si>
  <si>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</si>
  <si>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</si>
  <si>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</si>
  <si>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</si>
  <si>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</si>
  <si>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</si>
  <si>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</si>
  <si>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</si>
  <si>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</si>
  <si>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</si>
  <si>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</si>
  <si>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</si>
  <si>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</si>
  <si>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</si>
  <si>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</si>
  <si>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</si>
  <si>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</si>
  <si>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</si>
  <si>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</si>
  <si>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</si>
  <si>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</si>
  <si>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</si>
  <si>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</si>
  <si>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</si>
  <si>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</si>
  <si>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</si>
  <si>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</si>
  <si>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</si>
  <si>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</si>
  <si>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</si>
  <si>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</si>
  <si>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</si>
  <si>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</si>
  <si>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</si>
  <si>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</si>
  <si>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</si>
  <si>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</si>
  <si>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</si>
  <si>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</si>
  <si>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</si>
  <si>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</si>
  <si>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</si>
  <si>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</si>
  <si>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</si>
  <si>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</si>
  <si>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</si>
  <si>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</si>
  <si>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</si>
  <si>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</si>
  <si>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</si>
  <si>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</si>
  <si>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</si>
  <si>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</si>
  <si>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</si>
  <si>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</si>
  <si>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</si>
  <si>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</si>
  <si>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</si>
  <si>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</si>
  <si>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</si>
  <si>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</si>
  <si>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</si>
  <si>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</si>
  <si>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</si>
  <si>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</si>
  <si>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</si>
  <si>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</si>
  <si>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</si>
  <si>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</si>
  <si>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</si>
  <si>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</si>
  <si>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</si>
  <si>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</si>
  <si>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</si>
  <si>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</si>
  <si>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</si>
  <si>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</si>
  <si>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</si>
  <si>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</si>
  <si>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</si>
  <si>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</si>
  <si>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</si>
  <si>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</si>
  <si>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</si>
  <si>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</si>
  <si>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</si>
  <si>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</si>
  <si>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</si>
  <si>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</si>
  <si>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</si>
  <si>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</si>
  <si>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</si>
  <si>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</si>
  <si>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</si>
  <si>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</si>
  <si>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</si>
  <si>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</si>
  <si>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</si>
  <si>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</si>
  <si>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</si>
  <si>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</si>
  <si>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</si>
  <si>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</si>
  <si>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</si>
  <si>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</si>
  <si>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</si>
  <si>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</si>
  <si>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</si>
  <si>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</si>
  <si>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</si>
  <si>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</si>
  <si>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</si>
  <si>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</si>
  <si>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</si>
  <si>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</si>
  <si>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</si>
  <si>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</si>
  <si>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</si>
  <si>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</si>
  <si>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</si>
  <si>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</si>
  <si>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</si>
  <si>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</si>
  <si>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</si>
  <si>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</si>
  <si>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</si>
  <si>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</si>
  <si>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</si>
  <si>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</si>
  <si>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</si>
  <si>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</si>
  <si>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</si>
  <si>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</si>
  <si>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</si>
  <si>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</si>
  <si>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</si>
  <si>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</si>
  <si>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</si>
  <si>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</si>
  <si>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</si>
  <si>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</si>
  <si>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</si>
  <si>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</si>
  <si>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</si>
  <si>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</si>
  <si>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</si>
  <si>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</si>
  <si>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</si>
  <si>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</si>
  <si>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</si>
  <si>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</si>
  <si>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</si>
  <si>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</si>
  <si>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</si>
  <si>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</si>
  <si>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</si>
  <si>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</si>
  <si>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</si>
  <si>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</si>
  <si>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</si>
  <si>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</si>
  <si>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</si>
  <si>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</si>
  <si>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</si>
  <si>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</si>
  <si>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</si>
  <si>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</si>
  <si>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</si>
  <si>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</si>
  <si>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</si>
  <si>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</si>
  <si>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</si>
  <si>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</si>
  <si>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</si>
  <si>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</si>
  <si>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</si>
  <si>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</si>
  <si>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</si>
  <si>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</si>
  <si>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</si>
  <si>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</si>
  <si>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</si>
  <si>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</si>
  <si>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</si>
  <si>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</si>
  <si>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</si>
  <si>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</si>
  <si>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</si>
  <si>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</si>
  <si>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</si>
  <si>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</si>
  <si>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</si>
  <si>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</si>
  <si>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</si>
  <si>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</si>
  <si>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</si>
  <si>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</si>
  <si>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</si>
  <si>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</si>
  <si>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</si>
  <si>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</si>
  <si>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</si>
  <si>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</si>
  <si>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</si>
  <si>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</si>
  <si>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</si>
  <si>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</si>
  <si>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</si>
  <si>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</si>
  <si>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</si>
  <si>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</si>
  <si>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</si>
  <si>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</si>
  <si>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</si>
  <si>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</si>
  <si>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</si>
  <si>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</si>
  <si>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</si>
  <si>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</si>
  <si>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</si>
  <si>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</si>
  <si>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</si>
  <si>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</si>
  <si>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</si>
  <si>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</si>
  <si>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</si>
  <si>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</si>
  <si>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</si>
  <si>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</si>
  <si>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</si>
  <si>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</si>
  <si>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</si>
  <si>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</si>
  <si>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</si>
  <si>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</si>
  <si>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</si>
  <si>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</si>
  <si>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</si>
  <si>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</si>
  <si>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</si>
  <si>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</si>
  <si>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</si>
  <si>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</si>
  <si>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</si>
  <si>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</si>
  <si>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</si>
  <si>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</si>
  <si>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</si>
  <si>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</si>
  <si>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</si>
  <si>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</si>
  <si>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</si>
  <si>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</si>
  <si>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</si>
  <si>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</si>
  <si>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</si>
  <si>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</si>
  <si>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</si>
  <si>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</si>
  <si>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</si>
  <si>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</si>
  <si>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</si>
  <si>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</si>
  <si>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</si>
  <si>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</si>
  <si>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</si>
  <si>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</si>
  <si>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</si>
  <si>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</si>
  <si>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</si>
  <si>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</si>
  <si>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</si>
  <si>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</si>
  <si>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</si>
  <si>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</si>
  <si>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</si>
  <si>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</si>
  <si>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</si>
  <si>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</si>
  <si>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</si>
  <si>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</si>
  <si>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</si>
  <si>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</si>
  <si>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</si>
  <si>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</si>
  <si>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</si>
  <si>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</si>
  <si>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</si>
  <si>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</si>
  <si>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</si>
  <si>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</si>
  <si>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</si>
  <si>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</si>
  <si>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</si>
  <si>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</si>
  <si>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</si>
  <si>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</si>
  <si>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</si>
  <si>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</si>
  <si>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</si>
  <si>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</si>
  <si>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</si>
  <si>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</si>
  <si>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</si>
  <si>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</si>
  <si>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</si>
  <si>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</si>
  <si>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</si>
  <si>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</si>
  <si>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</si>
  <si>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</si>
  <si>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</si>
  <si>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</si>
  <si>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</si>
  <si>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</si>
  <si>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</si>
  <si>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</si>
  <si>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</si>
  <si>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</si>
  <si>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</si>
  <si>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</si>
  <si>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</si>
  <si>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</si>
  <si>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</si>
  <si>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</si>
  <si>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</si>
  <si>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</si>
  <si>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</si>
  <si>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</si>
  <si>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</si>
  <si>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</si>
  <si>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</si>
  <si>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</si>
  <si>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</si>
  <si>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</si>
  <si>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</si>
  <si>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</si>
  <si>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</si>
  <si>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</si>
  <si>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</si>
  <si>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</si>
  <si>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1155</t>
  </si>
  <si>
    <t>Akkala Sea</t>
  </si>
  <si>
    <t>4655</t>
  </si>
  <si>
    <t>1010</t>
  </si>
  <si>
    <t>Surface</t>
  </si>
  <si>
    <t>3305</t>
  </si>
  <si>
    <t>1443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</si>
  <si>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</si>
  <si>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</si>
  <si>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</si>
  <si>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</si>
  <si>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</si>
  <si>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</si>
  <si>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</si>
  <si>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</si>
  <si>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</si>
  <si>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</si>
  <si>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</si>
  <si>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</si>
  <si>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</si>
  <si>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</si>
  <si>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-2400</t>
  </si>
  <si>
    <t>0824</t>
  </si>
  <si>
    <t>0615</t>
  </si>
  <si>
    <t>Central Hyrule</t>
  </si>
  <si>
    <t>-1257</t>
  </si>
  <si>
    <t>-1487</t>
  </si>
  <si>
    <t>1008</t>
  </si>
  <si>
    <t>Great Hyrule Forest</t>
  </si>
  <si>
    <t>0340</t>
  </si>
  <si>
    <t>2814</t>
  </si>
  <si>
    <t>1821</t>
  </si>
  <si>
    <t>0163</t>
  </si>
  <si>
    <t>0759</t>
  </si>
  <si>
    <t>Hyrule Field</t>
  </si>
  <si>
    <t>0021</t>
  </si>
  <si>
    <t>-1557</t>
  </si>
  <si>
    <t>0023</t>
  </si>
  <si>
    <t>-0180</t>
  </si>
  <si>
    <t>1170</t>
  </si>
  <si>
    <t>0280</t>
  </si>
  <si>
    <t>-0205</t>
  </si>
  <si>
    <t>0451</t>
  </si>
  <si>
    <t>-0240</t>
  </si>
  <si>
    <t>0027</t>
  </si>
  <si>
    <t>-0705</t>
  </si>
  <si>
    <t>0031</t>
  </si>
  <si>
    <t>0006</t>
  </si>
  <si>
    <t>-0785</t>
  </si>
  <si>
    <t>-0434</t>
  </si>
  <si>
    <t>0018</t>
  </si>
  <si>
    <t>0422</t>
  </si>
  <si>
    <t>0049</t>
  </si>
  <si>
    <t>-1413</t>
  </si>
  <si>
    <t>0756</t>
  </si>
  <si>
    <t>0089</t>
  </si>
  <si>
    <t>-1349</t>
  </si>
  <si>
    <t>0068</t>
  </si>
  <si>
    <t>-1616</t>
  </si>
  <si>
    <t>0222</t>
  </si>
  <si>
    <t>0026</t>
  </si>
  <si>
    <t>0481</t>
  </si>
  <si>
    <t>0029</t>
  </si>
  <si>
    <t>0344</t>
  </si>
  <si>
    <t>0016</t>
  </si>
  <si>
    <t>0823</t>
  </si>
  <si>
    <t>0081</t>
  </si>
  <si>
    <t>1202</t>
  </si>
  <si>
    <t>0329</t>
  </si>
  <si>
    <t>0128</t>
  </si>
  <si>
    <t>-2532</t>
  </si>
  <si>
    <t>0177</t>
  </si>
  <si>
    <t>0629</t>
  </si>
  <si>
    <t>0233</t>
  </si>
  <si>
    <t>1194</t>
  </si>
  <si>
    <t>0147</t>
  </si>
  <si>
    <t>-1921</t>
  </si>
  <si>
    <t>0228</t>
  </si>
  <si>
    <t>0093</t>
  </si>
  <si>
    <t>0178</t>
  </si>
  <si>
    <t>-1106</t>
  </si>
  <si>
    <t>2089</t>
  </si>
  <si>
    <t>0104</t>
  </si>
  <si>
    <t>2129</t>
  </si>
  <si>
    <t>0143</t>
  </si>
  <si>
    <t>0287</t>
  </si>
  <si>
    <t>1062</t>
  </si>
  <si>
    <t>1279</t>
  </si>
  <si>
    <t>0045</t>
  </si>
  <si>
    <t>-0594</t>
  </si>
  <si>
    <t>1551</t>
  </si>
  <si>
    <t>-0014</t>
  </si>
  <si>
    <t>Eldin Canyon</t>
  </si>
  <si>
    <t>1251</t>
  </si>
  <si>
    <t>Eldin Mountains</t>
  </si>
  <si>
    <t>0225</t>
  </si>
  <si>
    <t>1761</t>
  </si>
  <si>
    <t>2508</t>
  </si>
  <si>
    <t>0437</t>
  </si>
  <si>
    <t>1798</t>
  </si>
  <si>
    <t>1635</t>
  </si>
  <si>
    <t>0311</t>
  </si>
  <si>
    <t>2841</t>
  </si>
  <si>
    <t>0363</t>
  </si>
  <si>
    <t>Death Mountain</t>
  </si>
  <si>
    <t>2602</t>
  </si>
  <si>
    <t>0790</t>
  </si>
  <si>
    <t>0402</t>
  </si>
  <si>
    <t>0239</t>
  </si>
  <si>
    <t>3062</t>
  </si>
  <si>
    <t>1817</t>
  </si>
  <si>
    <t>0216</t>
  </si>
  <si>
    <t>1270</t>
  </si>
  <si>
    <t>3733</t>
  </si>
  <si>
    <t>0106</t>
  </si>
  <si>
    <t>0394</t>
  </si>
  <si>
    <t>3485</t>
  </si>
  <si>
    <t>1833</t>
  </si>
  <si>
    <t>3179</t>
  </si>
  <si>
    <t>0257</t>
  </si>
  <si>
    <t>2759</t>
  </si>
  <si>
    <t>0524</t>
  </si>
  <si>
    <t>2678</t>
  </si>
  <si>
    <t>1905</t>
  </si>
  <si>
    <t>1245</t>
  </si>
  <si>
    <t>0173</t>
  </si>
  <si>
    <t>Faron Grasslands</t>
  </si>
  <si>
    <t>1070</t>
  </si>
  <si>
    <t>0785</t>
  </si>
  <si>
    <t>Dragonhead Island</t>
  </si>
  <si>
    <t>0428</t>
  </si>
  <si>
    <t>0869</t>
  </si>
  <si>
    <t>0141</t>
  </si>
  <si>
    <t>0669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</si>
  <si>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</si>
  <si>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</si>
  <si>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</si>
  <si>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</si>
  <si>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</si>
  <si>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</si>
  <si>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</si>
  <si>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</si>
  <si>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1964</t>
  </si>
  <si>
    <t>1149</t>
  </si>
  <si>
    <t>1011</t>
  </si>
  <si>
    <t>-2031</t>
  </si>
  <si>
    <t>-1847</t>
  </si>
  <si>
    <t>0064</t>
  </si>
  <si>
    <t>Gerudo Desert</t>
  </si>
  <si>
    <t>-2517</t>
  </si>
  <si>
    <t>0125</t>
  </si>
  <si>
    <t>-0669</t>
  </si>
  <si>
    <t>0509</t>
  </si>
  <si>
    <t>0452</t>
  </si>
  <si>
    <t>Tabantha Frontier</t>
  </si>
  <si>
    <t>-3496</t>
  </si>
  <si>
    <t>-0197</t>
  </si>
  <si>
    <t>0066</t>
  </si>
  <si>
    <t>0050</t>
  </si>
  <si>
    <t>-1531</t>
  </si>
  <si>
    <t>-2928</t>
  </si>
  <si>
    <t>0321</t>
  </si>
  <si>
    <t>-2238</t>
  </si>
  <si>
    <t>0067</t>
  </si>
  <si>
    <t>0132</t>
  </si>
  <si>
    <t>-3210</t>
  </si>
  <si>
    <t>-3005</t>
  </si>
  <si>
    <t>-0049</t>
  </si>
  <si>
    <t>0041</t>
  </si>
  <si>
    <t>-3722</t>
  </si>
  <si>
    <t>0043</t>
  </si>
  <si>
    <t>-4159</t>
  </si>
  <si>
    <t>0028</t>
  </si>
  <si>
    <t>-3066</t>
  </si>
  <si>
    <t>0056</t>
  </si>
  <si>
    <t>-3407</t>
  </si>
  <si>
    <t>0035</t>
  </si>
  <si>
    <t>-1795</t>
  </si>
  <si>
    <t>-3489</t>
  </si>
  <si>
    <t>1460</t>
  </si>
  <si>
    <t>1408</t>
  </si>
  <si>
    <t>0709</t>
  </si>
  <si>
    <t>-1381</t>
  </si>
  <si>
    <t>1584</t>
  </si>
  <si>
    <t>0388</t>
  </si>
  <si>
    <t>-1660</t>
  </si>
  <si>
    <t>Hebra Mountains</t>
  </si>
  <si>
    <t>3406</t>
  </si>
  <si>
    <t>0949</t>
  </si>
  <si>
    <t>-2947</t>
  </si>
  <si>
    <t>0897</t>
  </si>
  <si>
    <t>-3294</t>
  </si>
  <si>
    <t>3430</t>
  </si>
  <si>
    <t>1347</t>
  </si>
  <si>
    <t>-3857</t>
  </si>
  <si>
    <t>2688</t>
  </si>
  <si>
    <t>0702</t>
  </si>
  <si>
    <t>0468</t>
  </si>
  <si>
    <t>1695</t>
  </si>
  <si>
    <t>-3596</t>
  </si>
  <si>
    <t>1699</t>
  </si>
  <si>
    <t>3535</t>
  </si>
  <si>
    <t>-0823</t>
  </si>
  <si>
    <t>0235</t>
  </si>
  <si>
    <t>-1405</t>
  </si>
  <si>
    <t>3677</t>
  </si>
  <si>
    <t>0288</t>
  </si>
  <si>
    <t>-1632</t>
  </si>
  <si>
    <t>0238</t>
  </si>
  <si>
    <t>-0241</t>
  </si>
  <si>
    <t>-3354</t>
  </si>
  <si>
    <t>2387</t>
  </si>
  <si>
    <t>0361</t>
  </si>
  <si>
    <t>-3650</t>
  </si>
  <si>
    <t>1805</t>
  </si>
  <si>
    <t>0168</t>
  </si>
  <si>
    <t>0111</t>
  </si>
  <si>
    <t>3194</t>
  </si>
  <si>
    <t>3570</t>
  </si>
  <si>
    <t>0387</t>
  </si>
  <si>
    <t>3714</t>
  </si>
  <si>
    <t>0212</t>
  </si>
  <si>
    <t>0183</t>
  </si>
  <si>
    <t>-1163</t>
  </si>
  <si>
    <t>0086</t>
  </si>
  <si>
    <t>-2319</t>
  </si>
  <si>
    <t>-4539</t>
  </si>
  <si>
    <t>0262</t>
  </si>
  <si>
    <t>0040</t>
  </si>
  <si>
    <t>-3538</t>
  </si>
  <si>
    <t>-0133</t>
  </si>
  <si>
    <t>3353</t>
  </si>
  <si>
    <t>0245</t>
  </si>
  <si>
    <t>Lanayru Great Spring</t>
  </si>
  <si>
    <t>2916</t>
  </si>
  <si>
    <t>0533</t>
  </si>
  <si>
    <t>0951</t>
  </si>
  <si>
    <t>3480</t>
  </si>
  <si>
    <t>0664</t>
  </si>
  <si>
    <t>1325</t>
  </si>
  <si>
    <t>Lanayru Sea</t>
  </si>
  <si>
    <t>-0948</t>
  </si>
  <si>
    <t>1790</t>
  </si>
  <si>
    <t>4545</t>
  </si>
  <si>
    <t>-0846</t>
  </si>
  <si>
    <t>1121</t>
  </si>
  <si>
    <t>Lanayru Wetlands</t>
  </si>
  <si>
    <t>0915</t>
  </si>
  <si>
    <t>-0250</t>
  </si>
  <si>
    <t>0034</t>
  </si>
  <si>
    <t>0133</t>
  </si>
  <si>
    <t>0015</t>
  </si>
  <si>
    <t>0025</t>
  </si>
  <si>
    <t>3299</t>
  </si>
  <si>
    <t>0424</t>
  </si>
  <si>
    <t>0112</t>
  </si>
  <si>
    <t>0486</t>
  </si>
  <si>
    <t>-0220</t>
  </si>
  <si>
    <t>Mount Lanayru</t>
  </si>
  <si>
    <t>-1674</t>
  </si>
  <si>
    <t>0181</t>
  </si>
  <si>
    <t>4412</t>
  </si>
  <si>
    <t>-0610</t>
  </si>
  <si>
    <t>3536</t>
  </si>
  <si>
    <t>0167</t>
  </si>
  <si>
    <t>2918</t>
  </si>
  <si>
    <t>0505</t>
  </si>
  <si>
    <t>0155</t>
  </si>
  <si>
    <t>2275</t>
  </si>
  <si>
    <t>0079</t>
  </si>
  <si>
    <t>-0515</t>
  </si>
  <si>
    <t>2755</t>
  </si>
  <si>
    <t>-1089</t>
  </si>
  <si>
    <t>0100</t>
  </si>
  <si>
    <t>East Necluda</t>
  </si>
  <si>
    <t>2856</t>
  </si>
  <si>
    <t>-2860</t>
  </si>
  <si>
    <t>1212</t>
  </si>
  <si>
    <t>West Necluda</t>
  </si>
  <si>
    <t>0924</t>
  </si>
  <si>
    <t>0585</t>
  </si>
  <si>
    <t>-1780</t>
  </si>
  <si>
    <t>1475</t>
  </si>
  <si>
    <t>1770</t>
  </si>
  <si>
    <t>-1050</t>
  </si>
  <si>
    <t>0166</t>
  </si>
  <si>
    <t>1516</t>
  </si>
  <si>
    <t>-3576</t>
  </si>
  <si>
    <t>0142</t>
  </si>
  <si>
    <t>-1948</t>
  </si>
  <si>
    <t>0157</t>
  </si>
  <si>
    <t>0078</t>
  </si>
  <si>
    <t>Necluda Sea</t>
  </si>
  <si>
    <t>-2180</t>
  </si>
  <si>
    <t>0148</t>
  </si>
  <si>
    <t>-2059</t>
  </si>
  <si>
    <t>0189</t>
  </si>
  <si>
    <t>-0007</t>
  </si>
  <si>
    <t>1219</t>
  </si>
  <si>
    <t>0096</t>
  </si>
  <si>
    <t>0931</t>
  </si>
  <si>
    <t>3346</t>
  </si>
  <si>
    <t>0057</t>
  </si>
  <si>
    <t>0348</t>
  </si>
  <si>
    <t>-0026</t>
  </si>
  <si>
    <t>2305</t>
  </si>
  <si>
    <t>-2377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</si>
  <si>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</si>
  <si>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</si>
  <si>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</si>
  <si>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</si>
  <si>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</si>
  <si>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</si>
  <si>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</si>
  <si>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</si>
  <si>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</si>
  <si>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</si>
  <si>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</si>
  <si>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</si>
  <si>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</si>
  <si>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</si>
  <si>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</si>
  <si>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</si>
  <si>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</si>
  <si>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</si>
  <si>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Castle Moat West East Chasm</t>
  </si>
  <si>
    <t>Hyrule Field Chasm</t>
  </si>
  <si>
    <t>Mount Daphnes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</si>
  <si>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</si>
  <si>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</si>
  <si>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</si>
  <si>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</si>
  <si>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</si>
  <si>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</si>
  <si>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</si>
  <si>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</si>
  <si>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Original</t>
  </si>
  <si>
    <t>East Akkala Plains</t>
  </si>
  <si>
    <t>4004</t>
  </si>
  <si>
    <t>2155</t>
  </si>
  <si>
    <t>South Akkala Plains</t>
  </si>
  <si>
    <t>3284</t>
  </si>
  <si>
    <t>1303</t>
  </si>
  <si>
    <t>0217</t>
  </si>
  <si>
    <t>Tingel Island</t>
  </si>
  <si>
    <t>4706</t>
  </si>
  <si>
    <t>1306</t>
  </si>
  <si>
    <t>0061</t>
  </si>
  <si>
    <t>Skull Lake</t>
  </si>
  <si>
    <t>3245</t>
  </si>
  <si>
    <t>3440</t>
  </si>
  <si>
    <t>-0082</t>
  </si>
  <si>
    <t>2474</t>
  </si>
  <si>
    <t>2590</t>
  </si>
  <si>
    <t>-0963</t>
  </si>
  <si>
    <t>Birida Lookout</t>
  </si>
  <si>
    <t>-3658</t>
  </si>
  <si>
    <t>-1890</t>
  </si>
  <si>
    <t>0076</t>
  </si>
  <si>
    <t>East Gerudo</t>
  </si>
  <si>
    <t>-2527</t>
  </si>
  <si>
    <t>Gerudo Summit</t>
  </si>
  <si>
    <t>-4204</t>
  </si>
  <si>
    <t>-0654</t>
  </si>
  <si>
    <t>0682</t>
  </si>
  <si>
    <t>South Lomei</t>
  </si>
  <si>
    <t>-1796</t>
  </si>
  <si>
    <t>-3461</t>
  </si>
  <si>
    <t>0046</t>
  </si>
  <si>
    <t>Yiga Clan Hideout</t>
  </si>
  <si>
    <t>-3427</t>
  </si>
  <si>
    <t>-1351</t>
  </si>
  <si>
    <t>0335</t>
  </si>
  <si>
    <t>Forest of Time</t>
  </si>
  <si>
    <t>-0125</t>
  </si>
  <si>
    <t>-1690</t>
  </si>
  <si>
    <t>0010</t>
  </si>
  <si>
    <t>Great Plateau East</t>
  </si>
  <si>
    <t>-0451</t>
  </si>
  <si>
    <t>-1991</t>
  </si>
  <si>
    <t>0071</t>
  </si>
  <si>
    <t>Great Plateau North</t>
  </si>
  <si>
    <t>-0663</t>
  </si>
  <si>
    <t>-1506</t>
  </si>
  <si>
    <t>-0518</t>
  </si>
  <si>
    <t>Great Plateau South</t>
  </si>
  <si>
    <t>-0925</t>
  </si>
  <si>
    <t>-2313</t>
  </si>
  <si>
    <t>Great Plateau West</t>
  </si>
  <si>
    <t>-1441</t>
  </si>
  <si>
    <t>-1987</t>
  </si>
  <si>
    <t>0231</t>
  </si>
  <si>
    <t>Hyrule Castle</t>
  </si>
  <si>
    <t>-0275</t>
  </si>
  <si>
    <t>0970</t>
  </si>
  <si>
    <t>-0065</t>
  </si>
  <si>
    <t>Hyrule Castle Moat East</t>
  </si>
  <si>
    <t>0124</t>
  </si>
  <si>
    <t>0858</t>
  </si>
  <si>
    <t>0009</t>
  </si>
  <si>
    <t>Hyrule Castle Moat West East</t>
  </si>
  <si>
    <t>-0905</t>
  </si>
  <si>
    <t>0668</t>
  </si>
  <si>
    <t>-0251</t>
  </si>
  <si>
    <t>-0292</t>
  </si>
  <si>
    <t>-0479</t>
  </si>
  <si>
    <t>Mount Daphnes</t>
  </si>
  <si>
    <t>-1310</t>
  </si>
  <si>
    <t>-0628</t>
  </si>
  <si>
    <t>-2658</t>
  </si>
  <si>
    <t>1134</t>
  </si>
  <si>
    <t>0175</t>
  </si>
  <si>
    <t>Naydra Snowfield</t>
  </si>
  <si>
    <t>3599</t>
  </si>
  <si>
    <t>-1337</t>
  </si>
  <si>
    <t>0117</t>
  </si>
  <si>
    <t>East Hill</t>
  </si>
  <si>
    <t>1993</t>
  </si>
  <si>
    <t>-0888</t>
  </si>
  <si>
    <t>Hills of Baumer</t>
  </si>
  <si>
    <t>0221</t>
  </si>
  <si>
    <t>-2163</t>
  </si>
  <si>
    <t>0053</t>
  </si>
  <si>
    <t>North Lomei</t>
  </si>
  <si>
    <t>-0799</t>
  </si>
  <si>
    <t>3534</t>
  </si>
  <si>
    <t>Rito Village</t>
  </si>
  <si>
    <t>-3584</t>
  </si>
  <si>
    <t>0123</t>
  </si>
  <si>
    <t>0436</t>
  </si>
  <si>
    <t>0017</t>
  </si>
  <si>
    <t>Lomei Labyrinth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</si>
  <si>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</si>
  <si>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</si>
  <si>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</si>
  <si>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</si>
  <si>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</si>
  <si>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</si>
  <si>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</si>
  <si>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</si>
  <si>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</si>
  <si>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</si>
  <si>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</si>
  <si>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</si>
  <si>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</si>
  <si>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</si>
  <si>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</si>
  <si>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</si>
  <si>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</si>
  <si>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</si>
  <si>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</si>
  <si>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</si>
  <si>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</si>
  <si>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</si>
  <si>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</si>
  <si>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</si>
  <si>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</si>
  <si>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</si>
  <si>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</si>
  <si>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</si>
  <si>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</si>
  <si>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</si>
  <si>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</si>
  <si>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</si>
  <si>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</si>
  <si>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</si>
  <si>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</si>
  <si>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</si>
  <si>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</si>
  <si>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</si>
  <si>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</si>
  <si>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</si>
  <si>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</si>
  <si>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</si>
  <si>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</si>
  <si>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</si>
  <si>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</si>
  <si>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</si>
  <si>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</si>
  <si>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</si>
  <si>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</si>
  <si>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</si>
  <si>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</si>
  <si>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</si>
  <si>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</si>
  <si>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</si>
  <si>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</si>
  <si>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</si>
  <si>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</si>
  <si>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</si>
  <si>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</si>
  <si>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</si>
  <si>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</si>
  <si>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</si>
  <si>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</si>
  <si>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</si>
  <si>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</si>
  <si>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</si>
  <si>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</si>
  <si>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</si>
  <si>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</si>
  <si>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</si>
  <si>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</si>
  <si>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</si>
  <si>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</si>
  <si>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</si>
  <si>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</si>
  <si>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</si>
  <si>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</si>
  <si>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</si>
  <si>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</si>
  <si>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</si>
  <si>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</si>
  <si>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</si>
  <si>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</si>
  <si>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</si>
  <si>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</si>
  <si>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</si>
  <si>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</si>
  <si>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</si>
  <si>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</si>
  <si>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</si>
  <si>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</si>
  <si>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</si>
  <si>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</si>
  <si>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</si>
  <si>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</si>
  <si>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</si>
  <si>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</si>
  <si>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</si>
  <si>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</si>
  <si>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</si>
  <si>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</si>
  <si>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</si>
  <si>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</si>
  <si>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</si>
  <si>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</si>
  <si>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</si>
  <si>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</si>
  <si>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</si>
  <si>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</si>
  <si>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</si>
  <si>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</si>
  <si>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</si>
  <si>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</si>
  <si>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</si>
  <si>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</si>
  <si>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</si>
  <si>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</si>
  <si>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</si>
  <si>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</si>
  <si>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</si>
  <si>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</si>
  <si>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</si>
  <si>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</si>
  <si>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</si>
  <si>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</si>
  <si>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</si>
  <si>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</si>
  <si>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</si>
  <si>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</si>
  <si>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</si>
  <si>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</si>
  <si>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</si>
  <si>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</si>
  <si>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</si>
  <si>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</si>
  <si>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</si>
  <si>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</si>
  <si>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</si>
  <si>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</si>
  <si>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</si>
  <si>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</si>
  <si>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</si>
  <si>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</si>
  <si>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</si>
  <si>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</si>
  <si>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</si>
  <si>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</si>
  <si>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</si>
  <si>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</si>
  <si>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</si>
  <si>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</si>
  <si>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1456</t>
  </si>
  <si>
    <t>0294</t>
  </si>
  <si>
    <t>3292</t>
  </si>
  <si>
    <t>1492</t>
  </si>
  <si>
    <t>-3626</t>
  </si>
  <si>
    <t>-0048</t>
  </si>
  <si>
    <t>-3465</t>
  </si>
  <si>
    <t>0449</t>
  </si>
  <si>
    <t>0254</t>
  </si>
  <si>
    <t>-3099</t>
  </si>
  <si>
    <t>-3063</t>
  </si>
  <si>
    <t>-0051</t>
  </si>
  <si>
    <t>-1111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</si>
  <si>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</si>
  <si>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</si>
  <si>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</si>
  <si>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</si>
  <si>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</si>
  <si>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</si>
  <si>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</si>
  <si>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</si>
  <si>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</si>
  <si>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</si>
  <si>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0711</t>
  </si>
  <si>
    <t>-1449</t>
  </si>
  <si>
    <t>1485</t>
  </si>
  <si>
    <t>0199</t>
  </si>
  <si>
    <t>1617</t>
  </si>
  <si>
    <t>-1260</t>
  </si>
  <si>
    <t>1958</t>
  </si>
  <si>
    <t>-3032</t>
  </si>
  <si>
    <t>0192</t>
  </si>
  <si>
    <t>3650</t>
  </si>
  <si>
    <t>-0006</t>
  </si>
  <si>
    <t>3240</t>
  </si>
  <si>
    <t>0373</t>
  </si>
  <si>
    <t>0075</t>
  </si>
  <si>
    <t>-3679</t>
  </si>
  <si>
    <t>-3255</t>
  </si>
  <si>
    <t>-0018</t>
  </si>
  <si>
    <t>2593</t>
  </si>
  <si>
    <t>1330</t>
  </si>
  <si>
    <t>0150</t>
  </si>
  <si>
    <t>-1167</t>
  </si>
  <si>
    <t>3678</t>
  </si>
  <si>
    <t>1538</t>
  </si>
  <si>
    <t>0074</t>
  </si>
  <si>
    <t>-0256</t>
  </si>
  <si>
    <t>-2940</t>
  </si>
  <si>
    <t>1676</t>
  </si>
  <si>
    <t>-3038</t>
  </si>
  <si>
    <t>0493</t>
  </si>
  <si>
    <t>0730</t>
  </si>
  <si>
    <t>1144</t>
  </si>
  <si>
    <t>0247</t>
  </si>
  <si>
    <t>1877</t>
  </si>
  <si>
    <t>-1160</t>
  </si>
  <si>
    <t>0198</t>
  </si>
  <si>
    <t>2767</t>
  </si>
  <si>
    <t>2778</t>
  </si>
  <si>
    <t>0521</t>
  </si>
  <si>
    <t>1949</t>
  </si>
  <si>
    <t>2687</t>
  </si>
  <si>
    <t>0425</t>
  </si>
  <si>
    <t>2238</t>
  </si>
  <si>
    <t>2682</t>
  </si>
  <si>
    <t>0520</t>
  </si>
  <si>
    <t>4213</t>
  </si>
  <si>
    <t>-2262</t>
  </si>
  <si>
    <t>0000</t>
  </si>
  <si>
    <t>0307</t>
  </si>
  <si>
    <t>3579</t>
  </si>
  <si>
    <t>0087</t>
  </si>
  <si>
    <t>-1854</t>
  </si>
  <si>
    <t>1183</t>
  </si>
  <si>
    <t>-1947</t>
  </si>
  <si>
    <t>-3555</t>
  </si>
  <si>
    <t>3088</t>
  </si>
  <si>
    <t>0273</t>
  </si>
  <si>
    <t>-2696</t>
  </si>
  <si>
    <t>-2808</t>
  </si>
  <si>
    <t>-0067</t>
  </si>
  <si>
    <t>1853</t>
  </si>
  <si>
    <t>1719</t>
  </si>
  <si>
    <t>0291</t>
  </si>
  <si>
    <t>4752</t>
  </si>
  <si>
    <t>-3781</t>
  </si>
  <si>
    <t>0568</t>
  </si>
  <si>
    <t>-2981</t>
  </si>
  <si>
    <t>0012</t>
  </si>
  <si>
    <t>0809</t>
  </si>
  <si>
    <t>-2971</t>
  </si>
  <si>
    <t>1520</t>
  </si>
  <si>
    <t>2243</t>
  </si>
  <si>
    <t>-1689</t>
  </si>
  <si>
    <t>-2611</t>
  </si>
  <si>
    <t>-2604</t>
  </si>
  <si>
    <t>-4814</t>
  </si>
  <si>
    <t>-3875</t>
  </si>
  <si>
    <t>-3763</t>
  </si>
  <si>
    <t>-2698</t>
  </si>
  <si>
    <t>0014</t>
  </si>
  <si>
    <t>-3865</t>
  </si>
  <si>
    <t>2015</t>
  </si>
  <si>
    <t>2038</t>
  </si>
  <si>
    <t>0420</t>
  </si>
  <si>
    <t>1423</t>
  </si>
  <si>
    <t>2102</t>
  </si>
  <si>
    <t>0284</t>
  </si>
  <si>
    <t>-0832</t>
  </si>
  <si>
    <t>-1488</t>
  </si>
  <si>
    <t>-3814</t>
  </si>
  <si>
    <t>3595</t>
  </si>
  <si>
    <t>0255</t>
  </si>
  <si>
    <t>-2900</t>
  </si>
  <si>
    <t>2510</t>
  </si>
  <si>
    <t>-2995</t>
  </si>
  <si>
    <t>3225</t>
  </si>
  <si>
    <t>0539</t>
  </si>
  <si>
    <t>-3398</t>
  </si>
  <si>
    <t>2499</t>
  </si>
  <si>
    <t>0313</t>
  </si>
  <si>
    <t>4243</t>
  </si>
  <si>
    <t>-0255</t>
  </si>
  <si>
    <t>-0016</t>
  </si>
  <si>
    <t>-4429</t>
  </si>
  <si>
    <t>3760</t>
  </si>
  <si>
    <t>0223</t>
  </si>
  <si>
    <t>1554</t>
  </si>
  <si>
    <t>3102</t>
  </si>
  <si>
    <t>0392</t>
  </si>
  <si>
    <t>1947</t>
  </si>
  <si>
    <t>-0981</t>
  </si>
  <si>
    <t>-3831</t>
  </si>
  <si>
    <t>0007</t>
  </si>
  <si>
    <t>-2395</t>
  </si>
  <si>
    <t>2276</t>
  </si>
  <si>
    <t>0169</t>
  </si>
  <si>
    <t>-2258</t>
  </si>
  <si>
    <t>-1759</t>
  </si>
  <si>
    <t>2373</t>
  </si>
  <si>
    <t>3051</t>
  </si>
  <si>
    <t>0445</t>
  </si>
  <si>
    <t>1929</t>
  </si>
  <si>
    <t>1271</t>
  </si>
  <si>
    <t>0121</t>
  </si>
  <si>
    <t>-2501</t>
  </si>
  <si>
    <t>-0089</t>
  </si>
  <si>
    <t>2485</t>
  </si>
  <si>
    <t>1792</t>
  </si>
  <si>
    <t>-3930</t>
  </si>
  <si>
    <t>2861</t>
  </si>
  <si>
    <t>3073</t>
  </si>
  <si>
    <t>-1137</t>
  </si>
  <si>
    <t>0091</t>
  </si>
  <si>
    <t>2698</t>
  </si>
  <si>
    <t>-1314</t>
  </si>
  <si>
    <t>-1734</t>
  </si>
  <si>
    <t>1165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</si>
  <si>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</si>
  <si>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</si>
  <si>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</si>
  <si>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</si>
  <si>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</si>
  <si>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</si>
  <si>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</si>
  <si>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</si>
  <si>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</si>
  <si>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-3982</t>
  </si>
  <si>
    <t>-1245</t>
  </si>
  <si>
    <t>0380</t>
  </si>
  <si>
    <t>-1631</t>
  </si>
  <si>
    <t>1411</t>
  </si>
  <si>
    <t>-1372</t>
  </si>
  <si>
    <t>0197</t>
  </si>
  <si>
    <t>3224</t>
  </si>
  <si>
    <t>-3017</t>
  </si>
  <si>
    <t>0059</t>
  </si>
  <si>
    <t>1959</t>
  </si>
  <si>
    <t>-1967</t>
  </si>
  <si>
    <t>0030</t>
  </si>
  <si>
    <t>-1726</t>
  </si>
  <si>
    <t>-2183</t>
  </si>
  <si>
    <t>0005</t>
  </si>
  <si>
    <t>-3881</t>
  </si>
  <si>
    <t>-0726</t>
  </si>
  <si>
    <t>0569</t>
  </si>
  <si>
    <t>4650</t>
  </si>
  <si>
    <t>3584</t>
  </si>
  <si>
    <t>-3960</t>
  </si>
  <si>
    <t>0236</t>
  </si>
  <si>
    <t>-1234</t>
  </si>
  <si>
    <t>0770</t>
  </si>
  <si>
    <t>0077</t>
  </si>
  <si>
    <t>2504</t>
  </si>
  <si>
    <t>-2106</t>
  </si>
  <si>
    <t>-2693</t>
  </si>
  <si>
    <t>-0004</t>
  </si>
  <si>
    <t>2909</t>
  </si>
  <si>
    <t>0671</t>
  </si>
  <si>
    <t>-3109</t>
  </si>
  <si>
    <t>-0512</t>
  </si>
  <si>
    <t>0127</t>
  </si>
  <si>
    <t>0020</t>
  </si>
  <si>
    <t>1247</t>
  </si>
  <si>
    <t>1231</t>
  </si>
  <si>
    <t>-2642</t>
  </si>
  <si>
    <t>3268</t>
  </si>
  <si>
    <t>0249</t>
  </si>
  <si>
    <t>0632</t>
  </si>
  <si>
    <t>-1638</t>
  </si>
  <si>
    <t>1483</t>
  </si>
  <si>
    <t>3660</t>
  </si>
  <si>
    <t>0538</t>
  </si>
  <si>
    <t>0268</t>
  </si>
  <si>
    <t>0170</t>
  </si>
  <si>
    <t>-1633</t>
  </si>
  <si>
    <t>1377</t>
  </si>
  <si>
    <t>0608</t>
  </si>
  <si>
    <t>-2210</t>
  </si>
  <si>
    <t>3708</t>
  </si>
  <si>
    <t>0343</t>
  </si>
  <si>
    <t>0283</t>
  </si>
  <si>
    <t>-3851</t>
  </si>
  <si>
    <t>0033</t>
  </si>
  <si>
    <t>-3238</t>
  </si>
  <si>
    <t>-2939</t>
  </si>
  <si>
    <t>2958</t>
  </si>
  <si>
    <t>0253</t>
  </si>
  <si>
    <t>0202</t>
  </si>
  <si>
    <t>-0198</t>
  </si>
  <si>
    <t>1813</t>
  </si>
  <si>
    <t>-3738</t>
  </si>
  <si>
    <t>0118</t>
  </si>
  <si>
    <t>0676</t>
  </si>
  <si>
    <t>1389</t>
  </si>
  <si>
    <t>0845</t>
  </si>
  <si>
    <t>31 1</t>
  </si>
  <si>
    <t>3809</t>
  </si>
  <si>
    <t>0419</t>
  </si>
  <si>
    <t>0208</t>
  </si>
  <si>
    <t>3757</t>
  </si>
  <si>
    <t>-2066</t>
  </si>
  <si>
    <t>0214</t>
  </si>
  <si>
    <t>-1092</t>
  </si>
  <si>
    <t>-2162</t>
  </si>
  <si>
    <t>2492</t>
  </si>
  <si>
    <t>-1477</t>
  </si>
  <si>
    <t>1896</t>
  </si>
  <si>
    <t>-3111</t>
  </si>
  <si>
    <t>-3559</t>
  </si>
  <si>
    <t>2488</t>
  </si>
  <si>
    <t>0227</t>
  </si>
  <si>
    <t>-0325</t>
  </si>
  <si>
    <t>0802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</si>
  <si>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</si>
  <si>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</si>
  <si>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</si>
  <si>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</si>
  <si>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</si>
  <si>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</si>
  <si>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</si>
  <si>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</si>
  <si>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-0360</t>
  </si>
  <si>
    <t>0276</t>
  </si>
  <si>
    <t>-2198</t>
  </si>
  <si>
    <t>-0807</t>
  </si>
  <si>
    <t>-1061</t>
  </si>
  <si>
    <t>-1829</t>
  </si>
  <si>
    <t>3321</t>
  </si>
  <si>
    <t>3424</t>
  </si>
  <si>
    <t>0171</t>
  </si>
  <si>
    <t>-0037</t>
  </si>
  <si>
    <t>1800</t>
  </si>
  <si>
    <t>1983</t>
  </si>
  <si>
    <t>0320</t>
  </si>
  <si>
    <t>-2215</t>
  </si>
  <si>
    <t>-1527</t>
  </si>
  <si>
    <t>-2222</t>
  </si>
  <si>
    <t>-0020</t>
  </si>
  <si>
    <t>-4384</t>
  </si>
  <si>
    <t>-0536</t>
  </si>
  <si>
    <t>0473</t>
  </si>
  <si>
    <t>-4041</t>
  </si>
  <si>
    <t>2671</t>
  </si>
  <si>
    <t>-2457</t>
  </si>
  <si>
    <t>-1798</t>
  </si>
  <si>
    <t>0176</t>
  </si>
  <si>
    <t>2674</t>
  </si>
  <si>
    <t>-2840</t>
  </si>
  <si>
    <t>1771</t>
  </si>
  <si>
    <t>-3214</t>
  </si>
  <si>
    <t>2462</t>
  </si>
  <si>
    <t>0345</t>
  </si>
  <si>
    <t>-2921</t>
  </si>
  <si>
    <t>-0804</t>
  </si>
  <si>
    <t>-2049</t>
  </si>
  <si>
    <t>1631</t>
  </si>
  <si>
    <t>-0056</t>
  </si>
  <si>
    <t>-3308</t>
  </si>
  <si>
    <t>0789</t>
  </si>
  <si>
    <t>-0101</t>
  </si>
  <si>
    <t>4473</t>
  </si>
  <si>
    <t>-0826</t>
  </si>
  <si>
    <t>3925</t>
  </si>
  <si>
    <t>1576</t>
  </si>
  <si>
    <t>0107</t>
  </si>
  <si>
    <t>-2268</t>
  </si>
  <si>
    <t>0899</t>
  </si>
  <si>
    <t>1169</t>
  </si>
  <si>
    <t>-2443</t>
  </si>
  <si>
    <t>1446</t>
  </si>
  <si>
    <t>-3483</t>
  </si>
  <si>
    <t>0705</t>
  </si>
  <si>
    <t>4122</t>
  </si>
  <si>
    <t>0662</t>
  </si>
  <si>
    <t>0187</t>
  </si>
  <si>
    <t>2863</t>
  </si>
  <si>
    <t>0346</t>
  </si>
  <si>
    <t>3147</t>
  </si>
  <si>
    <t>0667</t>
  </si>
  <si>
    <t>2570</t>
  </si>
  <si>
    <t>0517</t>
  </si>
  <si>
    <t>2850</t>
  </si>
  <si>
    <t>0477</t>
  </si>
  <si>
    <t>0324</t>
  </si>
  <si>
    <t>-3827</t>
  </si>
  <si>
    <t>-2650</t>
  </si>
  <si>
    <t>4225</t>
  </si>
  <si>
    <t>-1738</t>
  </si>
  <si>
    <t>0180</t>
  </si>
  <si>
    <t>-4673</t>
  </si>
  <si>
    <t>-1986</t>
  </si>
  <si>
    <t>-3958</t>
  </si>
  <si>
    <t>2029</t>
  </si>
  <si>
    <t>0200</t>
  </si>
  <si>
    <t>1642</t>
  </si>
  <si>
    <t>1729</t>
  </si>
  <si>
    <t>0279</t>
  </si>
  <si>
    <t>-0072</t>
  </si>
  <si>
    <t>-1045</t>
  </si>
  <si>
    <t>-2433</t>
  </si>
  <si>
    <t>-1819</t>
  </si>
  <si>
    <t>0145</t>
  </si>
  <si>
    <t>-0643</t>
  </si>
  <si>
    <t>2040</t>
  </si>
  <si>
    <t>0154</t>
  </si>
  <si>
    <t>1764</t>
  </si>
  <si>
    <t>2837</t>
  </si>
  <si>
    <t>0399</t>
  </si>
  <si>
    <t>1713</t>
  </si>
  <si>
    <t>2718</t>
  </si>
  <si>
    <t>0400</t>
  </si>
  <si>
    <t>-0047</t>
  </si>
  <si>
    <t>Bravery Island</t>
  </si>
  <si>
    <t>30% Battery</t>
  </si>
  <si>
    <t>25% Construct Head</t>
  </si>
  <si>
    <t>20% Flame Emitter</t>
  </si>
  <si>
    <t>25% Light</t>
  </si>
  <si>
    <t>Courage Island</t>
  </si>
  <si>
    <t>30% Balloon</t>
  </si>
  <si>
    <t>20% Fan</t>
  </si>
  <si>
    <t>25% Portable Pot</t>
  </si>
  <si>
    <t>25% Time Bomb</t>
  </si>
  <si>
    <t>Death Mountain Depths</t>
  </si>
  <si>
    <t>Depths</t>
  </si>
  <si>
    <t>15% Battery</t>
  </si>
  <si>
    <t>30% Big Wheel</t>
  </si>
  <si>
    <t>15% Portable Pot</t>
  </si>
  <si>
    <t>40% Steering Stick</t>
  </si>
  <si>
    <t>25% Cart</t>
  </si>
  <si>
    <t>25% Fan</t>
  </si>
  <si>
    <t>25% Steering Stick</t>
  </si>
  <si>
    <t>25% Wing</t>
  </si>
  <si>
    <t>East Gerudo Sky Archipelago</t>
  </si>
  <si>
    <t>15% Beam Emitter</t>
  </si>
  <si>
    <t>20% Mirror</t>
  </si>
  <si>
    <t>20% Sled</t>
  </si>
  <si>
    <t>15% Stake</t>
  </si>
  <si>
    <t>30% Steering Stick</t>
  </si>
  <si>
    <t>East Hebra Sky Archipelago</t>
  </si>
  <si>
    <t>15% Cart</t>
  </si>
  <si>
    <t>15% Fan</t>
  </si>
  <si>
    <t>15% Light</t>
  </si>
  <si>
    <t>30% Sled</t>
  </si>
  <si>
    <t>Gerudo Canyon Pass</t>
  </si>
  <si>
    <t>15% Spring</t>
  </si>
  <si>
    <t>Great Sky Island (East)</t>
  </si>
  <si>
    <t>30% Fan</t>
  </si>
  <si>
    <t>15% Flame Emitter</t>
  </si>
  <si>
    <t>20% Portable Pot</t>
  </si>
  <si>
    <t>35% Wing</t>
  </si>
  <si>
    <t>Great Sky Island (South)</t>
  </si>
  <si>
    <t>40% Fan</t>
  </si>
  <si>
    <t>40% Portable Pot</t>
  </si>
  <si>
    <t>Hudson Construction Site</t>
  </si>
  <si>
    <t>15% Balloon</t>
  </si>
  <si>
    <t>15% Big Wheel</t>
  </si>
  <si>
    <t>15% Rocket</t>
  </si>
  <si>
    <t>Kakariko Village</t>
  </si>
  <si>
    <t>25% Balloon</t>
  </si>
  <si>
    <t>20% Big Wheel</t>
  </si>
  <si>
    <t>35% Stabilizer</t>
  </si>
  <si>
    <t>Lanayru Sky Archipelago</t>
  </si>
  <si>
    <t>20% Beam Emitter</t>
  </si>
  <si>
    <t>30% Cart</t>
  </si>
  <si>
    <t>30% Wing</t>
  </si>
  <si>
    <t>Left-Leg Depot</t>
  </si>
  <si>
    <t>15% Construct Head</t>
  </si>
  <si>
    <t>15% Small Wheel</t>
  </si>
  <si>
    <t>Lightcast Island</t>
  </si>
  <si>
    <t>15% Hover Stone</t>
  </si>
  <si>
    <t>35% Mirror</t>
  </si>
  <si>
    <t>20% Wing</t>
  </si>
  <si>
    <t>North Hyrule Sky Archipelago</t>
  </si>
  <si>
    <t>20% Homing Cart</t>
  </si>
  <si>
    <t>30% Light</t>
  </si>
  <si>
    <t>20% Shock Emitter</t>
  </si>
  <si>
    <t>North Necluda Sky Archipelago</t>
  </si>
  <si>
    <t>20% Cannon</t>
  </si>
  <si>
    <t>40% Spring</t>
  </si>
  <si>
    <t>20% Time Bomb</t>
  </si>
  <si>
    <t>Sky Mine</t>
  </si>
  <si>
    <t>25% Homing Cart</t>
  </si>
  <si>
    <t>35% Hover Stone</t>
  </si>
  <si>
    <t>15% Hydrant</t>
  </si>
  <si>
    <t>Sokkala Sky Archipelago</t>
  </si>
  <si>
    <t>15% Cannon</t>
  </si>
  <si>
    <t>20% Construct Head</t>
  </si>
  <si>
    <t>30% Homing Cart</t>
  </si>
  <si>
    <t>South Eldin Sky Archipelago</t>
  </si>
  <si>
    <t>20% Battery</t>
  </si>
  <si>
    <t>40% Hydrant</t>
  </si>
  <si>
    <t>South Hyrule Sky Archipelago</t>
  </si>
  <si>
    <t>25% Rocket</t>
  </si>
  <si>
    <t>30% Small Wheel</t>
  </si>
  <si>
    <t>South Lanayru Sky Archipelago</t>
  </si>
  <si>
    <t>30% Frost Emitter</t>
  </si>
  <si>
    <t>South Necluda Sky Archipelago</t>
  </si>
  <si>
    <t>20% Light</t>
  </si>
  <si>
    <t>Starview Island</t>
  </si>
  <si>
    <t>20% Frost Emitter</t>
  </si>
  <si>
    <t>25% Sled</t>
  </si>
  <si>
    <t>15% Stabilizer</t>
  </si>
  <si>
    <t>Tabantha Sky Archipelago</t>
  </si>
  <si>
    <t>25% Mirror</t>
  </si>
  <si>
    <t>25% Small Wheel</t>
  </si>
  <si>
    <t>Thunderhead Isles</t>
  </si>
  <si>
    <t>35% Fan</t>
  </si>
  <si>
    <t>35% Shock Emitter</t>
  </si>
  <si>
    <t>Valor Island</t>
  </si>
  <si>
    <t>25% Hydrant</t>
  </si>
  <si>
    <t>30% Spring</t>
  </si>
  <si>
    <t>Wellspring Island</t>
  </si>
  <si>
    <t>20% Stabilizer</t>
  </si>
  <si>
    <t>West Hebra Sky Archipelago</t>
  </si>
  <si>
    <t>30% Flame Emitter</t>
  </si>
  <si>
    <t>30% Rocket</t>
  </si>
  <si>
    <t>West Necluda Sky Archipelago</t>
  </si>
  <si>
    <t>20% Balloon</t>
  </si>
  <si>
    <t>20% Cart</t>
  </si>
  <si>
    <t>20% Hydrant</t>
  </si>
  <si>
    <t>Zonaite Forge Island</t>
  </si>
  <si>
    <t>Contains 1</t>
  </si>
  <si>
    <t>Contains 2</t>
  </si>
  <si>
    <t>Contains 3</t>
  </si>
  <si>
    <t>Contains 4</t>
  </si>
  <si>
    <t>0215</t>
  </si>
  <si>
    <t>1981</t>
  </si>
  <si>
    <t>0754</t>
  </si>
  <si>
    <t>-2370</t>
  </si>
  <si>
    <t>0781</t>
  </si>
  <si>
    <t>0610</t>
  </si>
  <si>
    <t>2190</t>
  </si>
  <si>
    <t>2640</t>
  </si>
  <si>
    <t>1390</t>
  </si>
  <si>
    <t>-3239</t>
  </si>
  <si>
    <t>0416</t>
  </si>
  <si>
    <t>-1771</t>
  </si>
  <si>
    <t>-2019</t>
  </si>
  <si>
    <t>1147</t>
  </si>
  <si>
    <t>-1705</t>
  </si>
  <si>
    <t>3371</t>
  </si>
  <si>
    <t>0947</t>
  </si>
  <si>
    <t>-1619</t>
  </si>
  <si>
    <t>-1888</t>
  </si>
  <si>
    <t>0769</t>
  </si>
  <si>
    <t>-1259</t>
  </si>
  <si>
    <t>1578</t>
  </si>
  <si>
    <t>0435</t>
  </si>
  <si>
    <t>-1686</t>
  </si>
  <si>
    <t>1442</t>
  </si>
  <si>
    <t>3807</t>
  </si>
  <si>
    <t>1561</t>
  </si>
  <si>
    <t>1838</t>
  </si>
  <si>
    <t>-1093</t>
  </si>
  <si>
    <t>2915</t>
  </si>
  <si>
    <t>0502</t>
  </si>
  <si>
    <t>0950</t>
  </si>
  <si>
    <t>1058</t>
  </si>
  <si>
    <t>-2320</t>
  </si>
  <si>
    <t>-0553</t>
  </si>
  <si>
    <t>-3612</t>
  </si>
  <si>
    <t>1066</t>
  </si>
  <si>
    <t>1655</t>
  </si>
  <si>
    <t>0443</t>
  </si>
  <si>
    <t>2821</t>
  </si>
  <si>
    <t>1819</t>
  </si>
  <si>
    <t>1778</t>
  </si>
  <si>
    <t>-1096</t>
  </si>
  <si>
    <t>0917</t>
  </si>
  <si>
    <t>4557</t>
  </si>
  <si>
    <t>2076</t>
  </si>
  <si>
    <t>1154</t>
  </si>
  <si>
    <t>3755</t>
  </si>
  <si>
    <t>1542</t>
  </si>
  <si>
    <t>1156</t>
  </si>
  <si>
    <t>1221</t>
  </si>
  <si>
    <t>1250</t>
  </si>
  <si>
    <t>-1212</t>
  </si>
  <si>
    <t>-1585</t>
  </si>
  <si>
    <t>1006</t>
  </si>
  <si>
    <t>4675</t>
  </si>
  <si>
    <t>-1029</t>
  </si>
  <si>
    <t>1788</t>
  </si>
  <si>
    <t>2851</t>
  </si>
  <si>
    <t>-2958</t>
  </si>
  <si>
    <t>1211</t>
  </si>
  <si>
    <t>-3457</t>
  </si>
  <si>
    <t>-0373</t>
  </si>
  <si>
    <t>1942</t>
  </si>
  <si>
    <t>-3455</t>
  </si>
  <si>
    <t>0393</t>
  </si>
  <si>
    <t>1694</t>
  </si>
  <si>
    <t>1104</t>
  </si>
  <si>
    <t>-3331</t>
  </si>
  <si>
    <t>0827</t>
  </si>
  <si>
    <t>4510</t>
  </si>
  <si>
    <t>-0805</t>
  </si>
  <si>
    <t>1116</t>
  </si>
  <si>
    <t>0636</t>
  </si>
  <si>
    <t>1316</t>
  </si>
  <si>
    <t>-3803</t>
  </si>
  <si>
    <t>2766</t>
  </si>
  <si>
    <t>0701</t>
  </si>
  <si>
    <t>1344</t>
  </si>
  <si>
    <t>0584</t>
  </si>
  <si>
    <t>2320</t>
  </si>
  <si>
    <t>-1718</t>
  </si>
  <si>
    <t>1484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</si>
  <si>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</si>
  <si>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</si>
  <si>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</si>
  <si>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</si>
  <si>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</si>
  <si>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</si>
  <si>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</si>
  <si>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</si>
  <si>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</si>
  <si>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</si>
  <si>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</si>
  <si>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</si>
  <si>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</si>
  <si>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</si>
  <si>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</si>
  <si>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</si>
  <si>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</si>
  <si>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</si>
  <si>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</si>
  <si>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</si>
  <si>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</si>
  <si>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</si>
  <si>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</si>
  <si>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</si>
  <si>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</si>
  <si>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</si>
  <si>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</si>
  <si>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</si>
  <si>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</si>
  <si>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</si>
  <si>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</si>
  <si>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</si>
  <si>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</si>
  <si>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</si>
  <si>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</si>
  <si>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</si>
  <si>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</si>
  <si>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</si>
  <si>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</si>
  <si>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</si>
  <si>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</si>
  <si>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</si>
  <si>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</si>
  <si>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</si>
  <si>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</si>
  <si>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</si>
  <si>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</si>
  <si>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</si>
  <si>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</si>
  <si>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</si>
  <si>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</si>
  <si>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</si>
  <si>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</si>
  <si>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</si>
  <si>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</si>
  <si>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</si>
  <si>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</si>
  <si>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</si>
  <si>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</si>
  <si>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</si>
  <si>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</si>
  <si>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</si>
  <si>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</si>
  <si>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</si>
  <si>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</si>
  <si>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</si>
  <si>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</si>
  <si>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</si>
  <si>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</si>
  <si>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</si>
  <si>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</si>
  <si>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</si>
  <si>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</si>
  <si>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4450</t>
  </si>
  <si>
    <t>0622</t>
  </si>
  <si>
    <t>0381</t>
  </si>
  <si>
    <t>1969</t>
  </si>
  <si>
    <t>-1899</t>
  </si>
  <si>
    <t>0036</t>
  </si>
  <si>
    <t>2268</t>
  </si>
  <si>
    <t>2317</t>
  </si>
  <si>
    <t>0523</t>
  </si>
  <si>
    <t>3973</t>
  </si>
  <si>
    <t>-0295</t>
  </si>
  <si>
    <t>-1722</t>
  </si>
  <si>
    <t>0052</t>
  </si>
  <si>
    <t>2797</t>
  </si>
  <si>
    <t>2655</t>
  </si>
  <si>
    <t>0670</t>
  </si>
  <si>
    <t>1980</t>
  </si>
  <si>
    <t>2656</t>
  </si>
  <si>
    <t>0463</t>
  </si>
  <si>
    <t>-0458</t>
  </si>
  <si>
    <t>3042</t>
  </si>
  <si>
    <t>0119</t>
  </si>
  <si>
    <t>0922</t>
  </si>
  <si>
    <t>-0995</t>
  </si>
  <si>
    <t>4237</t>
  </si>
  <si>
    <t>2648</t>
  </si>
  <si>
    <t>-2963</t>
  </si>
  <si>
    <t>-3793</t>
  </si>
  <si>
    <t>0042</t>
  </si>
  <si>
    <t>1024</t>
  </si>
  <si>
    <t>3110</t>
  </si>
  <si>
    <t>0282</t>
  </si>
  <si>
    <t>-0678</t>
  </si>
  <si>
    <t>-0864</t>
  </si>
  <si>
    <t>2572</t>
  </si>
  <si>
    <t>1100</t>
  </si>
  <si>
    <t>-0873</t>
  </si>
  <si>
    <t>-1472</t>
  </si>
  <si>
    <t>-2396</t>
  </si>
  <si>
    <t>-2161</t>
  </si>
  <si>
    <t>-1609</t>
  </si>
  <si>
    <t>-2249</t>
  </si>
  <si>
    <t>-2758</t>
  </si>
  <si>
    <t>-2263</t>
  </si>
  <si>
    <t>2820</t>
  </si>
  <si>
    <t>3549</t>
  </si>
  <si>
    <t>-3456</t>
  </si>
  <si>
    <t>-3613</t>
  </si>
  <si>
    <t>2188</t>
  </si>
  <si>
    <t>-0333</t>
  </si>
  <si>
    <t>-0268</t>
  </si>
  <si>
    <t>0383</t>
  </si>
  <si>
    <t>-2504</t>
  </si>
  <si>
    <t>0190</t>
  </si>
  <si>
    <t>-3134</t>
  </si>
  <si>
    <t>1224</t>
  </si>
  <si>
    <t>2616</t>
  </si>
  <si>
    <t>-2595</t>
  </si>
  <si>
    <t>-2087</t>
  </si>
  <si>
    <t>-1952</t>
  </si>
  <si>
    <t>0149</t>
  </si>
  <si>
    <t>4086</t>
  </si>
  <si>
    <t>1874</t>
  </si>
  <si>
    <t>-2674</t>
  </si>
  <si>
    <t>-0002</t>
  </si>
  <si>
    <t>-3382</t>
  </si>
  <si>
    <t>1549</t>
  </si>
  <si>
    <t>1595</t>
  </si>
  <si>
    <t>-3470</t>
  </si>
  <si>
    <t>2374</t>
  </si>
  <si>
    <t>-0679</t>
  </si>
  <si>
    <t>4334</t>
  </si>
  <si>
    <t>-0570</t>
  </si>
  <si>
    <t>-1783</t>
  </si>
  <si>
    <t>0660</t>
  </si>
  <si>
    <t>0160</t>
  </si>
  <si>
    <t>0186</t>
  </si>
  <si>
    <t>0039</t>
  </si>
  <si>
    <t>-1437</t>
  </si>
  <si>
    <t>-1059</t>
  </si>
  <si>
    <t>4651</t>
  </si>
  <si>
    <t>-2337</t>
  </si>
  <si>
    <t>-4108</t>
  </si>
  <si>
    <t>-1389</t>
  </si>
  <si>
    <t>0459</t>
  </si>
  <si>
    <t>1710</t>
  </si>
  <si>
    <t>96 5</t>
  </si>
  <si>
    <t>3142</t>
  </si>
  <si>
    <t>-2138</t>
  </si>
  <si>
    <t>-1075</t>
  </si>
  <si>
    <t>-1076</t>
  </si>
  <si>
    <t>-3351</t>
  </si>
  <si>
    <t>-0755</t>
  </si>
  <si>
    <t>0243</t>
  </si>
  <si>
    <t>4103</t>
  </si>
  <si>
    <t>-1144</t>
  </si>
  <si>
    <t>0325</t>
  </si>
  <si>
    <t>-2700</t>
  </si>
  <si>
    <t>0771</t>
  </si>
  <si>
    <t>0315</t>
  </si>
  <si>
    <t>-1603</t>
  </si>
  <si>
    <t>-0490</t>
  </si>
  <si>
    <t>3145</t>
  </si>
  <si>
    <t>-1612</t>
  </si>
  <si>
    <t>3339</t>
  </si>
  <si>
    <t>0250</t>
  </si>
  <si>
    <t>3873</t>
  </si>
  <si>
    <t>2476</t>
  </si>
  <si>
    <t>0065</t>
  </si>
  <si>
    <t>0389</t>
  </si>
  <si>
    <t>-1273</t>
  </si>
  <si>
    <t>3359</t>
  </si>
  <si>
    <t>-3494</t>
  </si>
  <si>
    <t>-3438</t>
  </si>
  <si>
    <t>-3123</t>
  </si>
  <si>
    <t>-0204</t>
  </si>
  <si>
    <t>-3488</t>
  </si>
  <si>
    <t>1310</t>
  </si>
  <si>
    <t>1222</t>
  </si>
  <si>
    <t>0126</t>
  </si>
  <si>
    <t>-2211</t>
  </si>
  <si>
    <t>2929</t>
  </si>
  <si>
    <t>0396</t>
  </si>
  <si>
    <t>2097</t>
  </si>
  <si>
    <t>-1265</t>
  </si>
  <si>
    <t>0674</t>
  </si>
  <si>
    <t>1 38</t>
  </si>
  <si>
    <t>0038</t>
  </si>
  <si>
    <t>-1011</t>
  </si>
  <si>
    <t>2023</t>
  </si>
  <si>
    <t>3208</t>
  </si>
  <si>
    <t>1490</t>
  </si>
  <si>
    <t>-0989</t>
  </si>
  <si>
    <t>-1451</t>
  </si>
  <si>
    <t>1177</t>
  </si>
  <si>
    <t>3229</t>
  </si>
  <si>
    <t>-0656</t>
  </si>
  <si>
    <t>0013</t>
  </si>
  <si>
    <t>-0150</t>
  </si>
  <si>
    <t>-2125</t>
  </si>
  <si>
    <t>3422</t>
  </si>
  <si>
    <t>3526</t>
  </si>
  <si>
    <t>0218</t>
  </si>
  <si>
    <t>3163</t>
  </si>
  <si>
    <t>1625</t>
  </si>
  <si>
    <t>-1870</t>
  </si>
  <si>
    <t>2324</t>
  </si>
  <si>
    <t>0246</t>
  </si>
  <si>
    <t>1573</t>
  </si>
  <si>
    <t>2164</t>
  </si>
  <si>
    <t>-2329</t>
  </si>
  <si>
    <t>-4113</t>
  </si>
  <si>
    <t>-3321</t>
  </si>
  <si>
    <t>0179</t>
  </si>
  <si>
    <t>-3256</t>
  </si>
  <si>
    <t>2571</t>
  </si>
  <si>
    <t>-2676</t>
  </si>
  <si>
    <t>-0426</t>
  </si>
  <si>
    <t>2214</t>
  </si>
  <si>
    <t>-3369</t>
  </si>
  <si>
    <t>1346</t>
  </si>
  <si>
    <t>0800</t>
  </si>
  <si>
    <t>2939</t>
  </si>
  <si>
    <t>4296</t>
  </si>
  <si>
    <t>0578</t>
  </si>
  <si>
    <t>2933</t>
  </si>
  <si>
    <t>0704</t>
  </si>
  <si>
    <t>0359</t>
  </si>
  <si>
    <t>-1800</t>
  </si>
  <si>
    <t>-2616</t>
  </si>
  <si>
    <t>2094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</si>
  <si>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</si>
  <si>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</si>
  <si>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</si>
  <si>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</si>
  <si>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</si>
  <si>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</si>
  <si>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</si>
  <si>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</si>
  <si>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</si>
  <si>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</si>
  <si>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</si>
  <si>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</si>
  <si>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</si>
  <si>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</si>
  <si>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</si>
  <si>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</si>
  <si>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</si>
  <si>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</si>
  <si>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</si>
  <si>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</si>
  <si>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</si>
  <si>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</si>
  <si>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</si>
  <si>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</si>
  <si>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</si>
  <si>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</si>
  <si>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</si>
  <si>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</si>
  <si>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</si>
  <si>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</si>
  <si>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</si>
  <si>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</si>
  <si>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</si>
  <si>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</si>
  <si>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</si>
  <si>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</si>
  <si>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</si>
  <si>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</si>
  <si>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</si>
  <si>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</si>
  <si>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</si>
  <si>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</si>
  <si>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</si>
  <si>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</si>
  <si>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</si>
  <si>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</si>
  <si>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</si>
  <si>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</si>
  <si>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</si>
  <si>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</si>
  <si>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</si>
  <si>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</si>
  <si>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</si>
  <si>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</si>
  <si>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</si>
  <si>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</si>
  <si>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</si>
  <si>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</si>
  <si>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</si>
  <si>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</si>
  <si>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</si>
  <si>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</si>
  <si>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</si>
  <si>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</si>
  <si>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</si>
  <si>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</si>
  <si>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</si>
  <si>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</si>
  <si>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</si>
  <si>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</si>
  <si>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</si>
  <si>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</si>
  <si>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</si>
  <si>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</si>
  <si>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</si>
  <si>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</si>
  <si>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</si>
  <si>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</si>
  <si>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</si>
  <si>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</si>
  <si>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</si>
  <si>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</si>
  <si>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</si>
  <si>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</si>
  <si>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</si>
  <si>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</si>
  <si>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</si>
  <si>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</si>
  <si>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</si>
  <si>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</si>
  <si>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</si>
  <si>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</si>
  <si>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</si>
  <si>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</si>
  <si>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</si>
  <si>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</si>
  <si>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</si>
  <si>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</si>
  <si>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</si>
  <si>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</si>
  <si>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</si>
  <si>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</si>
  <si>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</si>
  <si>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</si>
  <si>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</si>
  <si>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</si>
  <si>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</si>
  <si>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</si>
  <si>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</si>
  <si>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</si>
  <si>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</si>
  <si>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</si>
  <si>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</si>
  <si>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</si>
  <si>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</si>
  <si>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</si>
  <si>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</si>
  <si>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</si>
  <si>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</si>
  <si>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</si>
  <si>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</si>
  <si>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</si>
  <si>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</si>
  <si>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</si>
  <si>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</si>
  <si>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</si>
  <si>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</si>
  <si>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</si>
  <si>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</si>
  <si>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</si>
  <si>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</si>
  <si>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</si>
  <si>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</si>
  <si>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</si>
  <si>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</si>
  <si>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</si>
  <si>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</si>
  <si>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</si>
  <si>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</si>
  <si>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</si>
  <si>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</si>
  <si>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</si>
  <si>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</si>
  <si>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</si>
  <si>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</si>
  <si>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</si>
  <si>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</si>
  <si>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</si>
  <si>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</si>
  <si>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</si>
  <si>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</si>
  <si>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</si>
  <si>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</si>
  <si>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</si>
  <si>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</si>
  <si>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</si>
  <si>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</si>
  <si>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</si>
  <si>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</si>
  <si>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</si>
  <si>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</si>
  <si>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</si>
  <si>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</si>
  <si>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</si>
  <si>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</si>
  <si>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</si>
  <si>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</si>
  <si>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</si>
  <si>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</si>
  <si>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</si>
  <si>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</si>
  <si>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</si>
  <si>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</si>
  <si>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</si>
  <si>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</si>
  <si>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</si>
  <si>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</si>
  <si>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</si>
  <si>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</si>
  <si>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</si>
  <si>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</si>
  <si>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</si>
  <si>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</si>
  <si>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</si>
  <si>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</si>
  <si>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</si>
  <si>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</si>
  <si>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</si>
  <si>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</si>
  <si>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</si>
  <si>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</si>
  <si>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</si>
  <si>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</si>
  <si>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</si>
  <si>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</si>
  <si>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</si>
  <si>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</si>
  <si>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</si>
  <si>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</si>
  <si>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</si>
  <si>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</si>
  <si>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</si>
  <si>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</si>
  <si>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</si>
  <si>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</si>
  <si>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</si>
  <si>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</si>
  <si>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</si>
  <si>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</si>
  <si>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</si>
  <si>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</si>
  <si>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</si>
  <si>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</si>
  <si>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</si>
  <si>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</si>
  <si>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</si>
  <si>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</si>
  <si>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</si>
  <si>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</si>
  <si>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</si>
  <si>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</si>
  <si>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</si>
  <si>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</si>
  <si>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</si>
  <si>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</si>
  <si>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</si>
  <si>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</si>
  <si>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</si>
  <si>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</si>
  <si>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</si>
  <si>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</si>
  <si>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</si>
  <si>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</si>
  <si>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</si>
  <si>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</si>
  <si>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</si>
  <si>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</si>
  <si>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</si>
  <si>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</si>
  <si>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</si>
  <si>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</si>
  <si>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</si>
  <si>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</si>
  <si>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</si>
  <si>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</si>
  <si>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</si>
  <si>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</si>
  <si>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</si>
  <si>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</si>
  <si>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</si>
  <si>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</si>
  <si>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</si>
  <si>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</si>
  <si>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</si>
  <si>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</si>
  <si>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</si>
  <si>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</si>
  <si>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</si>
  <si>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</si>
  <si>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</si>
  <si>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</si>
  <si>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</si>
  <si>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</si>
  <si>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</si>
  <si>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</si>
  <si>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</si>
  <si>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</si>
  <si>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</si>
  <si>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</si>
  <si>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</si>
  <si>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</si>
  <si>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</si>
  <si>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</si>
  <si>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</si>
  <si>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</si>
  <si>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</si>
  <si>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</si>
  <si>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</si>
  <si>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</si>
  <si>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</si>
  <si>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</si>
  <si>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</si>
  <si>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</si>
  <si>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</si>
  <si>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</si>
  <si>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</si>
  <si>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</si>
  <si>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</si>
  <si>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</si>
  <si>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</si>
  <si>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</si>
  <si>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</si>
  <si>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</si>
  <si>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</si>
  <si>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</si>
  <si>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</si>
  <si>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</si>
  <si>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</si>
  <si>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</si>
  <si>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</si>
  <si>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</si>
  <si>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</si>
  <si>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</si>
  <si>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</si>
  <si>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</si>
  <si>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</si>
  <si>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</si>
  <si>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</si>
  <si>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</si>
  <si>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</si>
  <si>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</si>
  <si>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</si>
  <si>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</si>
  <si>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</si>
  <si>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</si>
  <si>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</si>
  <si>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</si>
  <si>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</si>
  <si>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</si>
  <si>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</si>
  <si>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</si>
  <si>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</si>
  <si>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</si>
  <si>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</si>
  <si>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</si>
  <si>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</si>
  <si>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</si>
  <si>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</si>
  <si>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</si>
  <si>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</si>
  <si>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</si>
  <si>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</si>
  <si>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</si>
  <si>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</si>
  <si>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</si>
  <si>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</si>
  <si>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</si>
  <si>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</si>
  <si>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</si>
  <si>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</si>
  <si>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</si>
  <si>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</si>
  <si>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</si>
  <si>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</si>
  <si>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</si>
  <si>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</si>
  <si>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</si>
  <si>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</si>
  <si>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</si>
  <si>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</si>
  <si>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</si>
  <si>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</si>
  <si>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</si>
  <si>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</si>
  <si>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</si>
  <si>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</si>
  <si>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</si>
  <si>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</si>
  <si>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</si>
  <si>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</si>
  <si>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</si>
  <si>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</si>
  <si>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</si>
  <si>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</si>
  <si>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</si>
  <si>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</si>
  <si>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</si>
  <si>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</si>
  <si>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</si>
  <si>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</si>
  <si>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</si>
  <si>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</si>
  <si>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</si>
  <si>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</si>
  <si>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</si>
  <si>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</si>
  <si>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</si>
  <si>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</si>
  <si>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</si>
  <si>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</si>
  <si>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</si>
  <si>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</si>
  <si>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</si>
  <si>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</si>
  <si>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</si>
  <si>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</si>
  <si>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</si>
  <si>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</si>
  <si>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</si>
  <si>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</si>
  <si>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</si>
  <si>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</si>
  <si>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</si>
  <si>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</si>
  <si>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</si>
  <si>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</si>
  <si>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</si>
  <si>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</si>
  <si>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</si>
  <si>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</si>
  <si>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</si>
  <si>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</si>
  <si>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</si>
  <si>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</si>
  <si>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</si>
  <si>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</si>
  <si>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</si>
  <si>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</si>
  <si>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</si>
  <si>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</si>
  <si>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</si>
  <si>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</si>
  <si>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</si>
  <si>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</si>
  <si>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</si>
  <si>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</si>
  <si>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</si>
  <si>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</si>
  <si>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</si>
  <si>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</si>
  <si>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</si>
  <si>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</si>
  <si>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</si>
  <si>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</si>
  <si>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</si>
  <si>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</si>
  <si>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</si>
  <si>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</si>
  <si>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</si>
  <si>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</si>
  <si>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</si>
  <si>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</si>
  <si>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</si>
  <si>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</si>
  <si>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</si>
  <si>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</si>
  <si>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</si>
  <si>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</si>
  <si>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</si>
  <si>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</si>
  <si>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</si>
  <si>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</si>
  <si>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</si>
  <si>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</si>
  <si>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</si>
  <si>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</si>
  <si>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</si>
  <si>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</si>
  <si>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</si>
  <si>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</si>
  <si>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</si>
  <si>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</si>
  <si>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</si>
  <si>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</si>
  <si>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</si>
  <si>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</si>
  <si>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</si>
  <si>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</si>
  <si>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</si>
  <si>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</si>
  <si>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</si>
  <si>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</si>
  <si>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</si>
  <si>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</si>
  <si>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</si>
  <si>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</si>
  <si>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</si>
  <si>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</si>
  <si>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</si>
  <si>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</si>
  <si>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</si>
  <si>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</si>
  <si>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</si>
  <si>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</si>
  <si>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</si>
  <si>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</si>
  <si>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</si>
  <si>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</si>
  <si>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</si>
  <si>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</si>
  <si>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</si>
  <si>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</si>
  <si>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</si>
  <si>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</si>
  <si>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</si>
  <si>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</si>
  <si>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</si>
  <si>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</si>
  <si>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</si>
  <si>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</si>
  <si>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</si>
  <si>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</si>
  <si>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</si>
  <si>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</si>
  <si>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</si>
  <si>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</si>
  <si>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</si>
  <si>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</si>
  <si>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</si>
  <si>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</si>
  <si>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</si>
  <si>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</si>
  <si>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</si>
  <si>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</si>
  <si>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</si>
  <si>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</si>
  <si>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</si>
  <si>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</si>
  <si>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</si>
  <si>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</si>
  <si>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</si>
  <si>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</si>
  <si>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</si>
  <si>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</si>
  <si>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</si>
  <si>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</si>
  <si>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</si>
  <si>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</si>
  <si>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</si>
  <si>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</si>
  <si>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</si>
  <si>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</si>
  <si>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</si>
  <si>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</si>
  <si>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</si>
  <si>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</si>
  <si>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</si>
  <si>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</si>
  <si>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</si>
  <si>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</si>
  <si>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</si>
  <si>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</si>
  <si>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</si>
  <si>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</si>
  <si>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</si>
  <si>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</si>
  <si>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</si>
  <si>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</si>
  <si>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</si>
  <si>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</si>
  <si>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</si>
  <si>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</si>
  <si>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</si>
  <si>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</si>
  <si>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</si>
  <si>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</si>
  <si>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</si>
  <si>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</si>
  <si>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</si>
  <si>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</si>
  <si>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</si>
  <si>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</si>
  <si>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</si>
  <si>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</si>
  <si>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</si>
  <si>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</si>
  <si>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</si>
  <si>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</si>
  <si>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</si>
  <si>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</si>
  <si>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</si>
  <si>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</si>
  <si>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</si>
  <si>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</si>
  <si>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</si>
  <si>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</si>
  <si>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</si>
  <si>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</si>
  <si>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</si>
  <si>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</si>
  <si>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</si>
  <si>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</si>
  <si>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</si>
  <si>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</si>
  <si>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</si>
  <si>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</si>
  <si>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</si>
  <si>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</si>
  <si>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</si>
  <si>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</si>
  <si>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</si>
  <si>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</si>
  <si>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</si>
  <si>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</si>
  <si>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</si>
  <si>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</si>
  <si>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</si>
  <si>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</si>
  <si>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</si>
  <si>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</si>
  <si>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</si>
  <si>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</si>
  <si>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</si>
  <si>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</si>
  <si>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</si>
  <si>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</si>
  <si>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</si>
  <si>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</si>
  <si>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</si>
  <si>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</si>
  <si>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</si>
  <si>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</si>
  <si>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</si>
  <si>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</si>
  <si>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</si>
  <si>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</si>
  <si>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</si>
  <si>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</si>
  <si>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</si>
  <si>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</si>
  <si>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</si>
  <si>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</si>
  <si>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</si>
  <si>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</si>
  <si>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</si>
  <si>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</si>
  <si>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</si>
  <si>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</si>
  <si>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</si>
  <si>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</si>
  <si>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</si>
  <si>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</si>
  <si>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</si>
  <si>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</si>
  <si>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</si>
  <si>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</si>
  <si>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</si>
  <si>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</si>
  <si>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</si>
  <si>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</si>
  <si>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</si>
  <si>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</si>
  <si>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</si>
  <si>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</si>
  <si>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</si>
  <si>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</si>
  <si>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</si>
  <si>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</si>
  <si>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</si>
  <si>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</si>
  <si>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</si>
  <si>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</si>
  <si>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</si>
  <si>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</si>
  <si>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</si>
  <si>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</si>
  <si>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</si>
  <si>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</si>
  <si>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</si>
  <si>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</si>
  <si>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</si>
  <si>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</si>
  <si>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</si>
  <si>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</si>
  <si>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</si>
  <si>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</si>
  <si>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</si>
  <si>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</si>
  <si>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</si>
  <si>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</si>
  <si>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</si>
  <si>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</si>
  <si>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</si>
  <si>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</si>
  <si>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</si>
  <si>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</si>
  <si>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</si>
  <si>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</si>
  <si>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</si>
  <si>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</si>
  <si>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</si>
  <si>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</si>
  <si>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</si>
  <si>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</si>
  <si>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</si>
  <si>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</si>
  <si>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</si>
  <si>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</si>
  <si>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</si>
  <si>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</si>
  <si>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</si>
  <si>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</si>
  <si>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</si>
  <si>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</si>
  <si>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</si>
  <si>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</si>
  <si>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</si>
  <si>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</si>
  <si>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</si>
  <si>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</si>
  <si>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</si>
  <si>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</si>
  <si>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</si>
  <si>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</si>
  <si>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</si>
  <si>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</si>
  <si>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</si>
  <si>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</si>
  <si>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</si>
  <si>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</si>
  <si>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</si>
  <si>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</si>
  <si>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</si>
  <si>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</si>
  <si>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</si>
  <si>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</si>
  <si>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</si>
  <si>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</si>
  <si>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</si>
  <si>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</si>
  <si>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</si>
  <si>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</si>
  <si>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</si>
  <si>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</si>
  <si>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</si>
  <si>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</si>
  <si>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</si>
  <si>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</si>
  <si>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</si>
  <si>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</si>
  <si>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</si>
  <si>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</si>
  <si>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</si>
  <si>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</si>
  <si>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</si>
  <si>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</si>
  <si>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</si>
  <si>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</si>
  <si>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</si>
  <si>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</si>
  <si>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</si>
  <si>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</si>
  <si>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</si>
  <si>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</si>
  <si>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</si>
  <si>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</si>
  <si>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</si>
  <si>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</si>
  <si>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</si>
  <si>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</si>
  <si>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</si>
  <si>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</si>
  <si>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</si>
  <si>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</si>
  <si>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</si>
  <si>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</si>
  <si>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</si>
  <si>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</si>
  <si>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</si>
  <si>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</si>
  <si>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</si>
  <si>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</si>
  <si>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</si>
  <si>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</si>
  <si>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</si>
  <si>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</si>
  <si>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</si>
  <si>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</si>
  <si>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</si>
  <si>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</si>
  <si>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</si>
  <si>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</si>
  <si>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</si>
  <si>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</si>
  <si>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</si>
  <si>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</si>
  <si>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</si>
  <si>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</si>
  <si>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</si>
  <si>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</si>
  <si>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</si>
  <si>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</si>
  <si>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</si>
  <si>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</si>
  <si>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</si>
  <si>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</si>
  <si>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</si>
  <si>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</si>
  <si>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</si>
  <si>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</si>
  <si>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</si>
  <si>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</si>
  <si>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</si>
  <si>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</si>
  <si>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</si>
  <si>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</si>
  <si>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</si>
  <si>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</si>
  <si>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</si>
  <si>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</si>
  <si>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</si>
  <si>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</si>
  <si>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</si>
  <si>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</si>
  <si>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</si>
  <si>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</si>
  <si>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</si>
  <si>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</si>
  <si>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</si>
  <si>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</si>
  <si>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</si>
  <si>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</si>
  <si>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</si>
  <si>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</si>
  <si>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</si>
  <si>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</si>
  <si>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</si>
  <si>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</si>
  <si>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</si>
  <si>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</si>
  <si>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</si>
  <si>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</si>
  <si>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</si>
  <si>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</si>
  <si>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</si>
  <si>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</si>
  <si>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</si>
  <si>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</si>
  <si>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</si>
  <si>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</si>
  <si>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</si>
  <si>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</si>
  <si>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</si>
  <si>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</si>
  <si>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</si>
  <si>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</si>
  <si>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</si>
  <si>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</si>
  <si>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</si>
  <si>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</si>
  <si>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</si>
  <si>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</si>
  <si>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</si>
  <si>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</si>
  <si>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</si>
  <si>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</si>
  <si>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</si>
  <si>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</si>
  <si>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</si>
  <si>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</si>
  <si>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</si>
  <si>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</si>
  <si>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</si>
  <si>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</si>
  <si>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</si>
  <si>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</si>
  <si>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</si>
  <si>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</si>
  <si>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</si>
  <si>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</si>
  <si>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</si>
  <si>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</si>
  <si>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</si>
  <si>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</si>
  <si>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</si>
  <si>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</si>
  <si>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</si>
  <si>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</si>
  <si>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</si>
  <si>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</si>
  <si>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</si>
  <si>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</si>
  <si>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</si>
  <si>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</si>
  <si>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</si>
  <si>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</si>
  <si>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</si>
  <si>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</si>
  <si>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</si>
  <si>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</si>
  <si>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</si>
  <si>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</si>
  <si>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</si>
  <si>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</si>
  <si>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</si>
  <si>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</si>
  <si>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</si>
  <si>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</si>
  <si>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</si>
  <si>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</si>
  <si>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</si>
  <si>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</si>
  <si>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</si>
  <si>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</si>
  <si>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</si>
  <si>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</si>
  <si>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</si>
  <si>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</si>
  <si>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</si>
  <si>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</si>
  <si>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</si>
  <si>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</si>
  <si>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</si>
  <si>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</si>
  <si>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</si>
  <si>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</si>
  <si>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</si>
  <si>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</si>
  <si>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</si>
  <si>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</si>
  <si>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</si>
  <si>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</si>
  <si>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</si>
  <si>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</si>
  <si>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</si>
  <si>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</si>
  <si>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</si>
  <si>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</si>
  <si>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</si>
  <si>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</si>
  <si>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</si>
  <si>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</si>
  <si>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</si>
  <si>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</si>
  <si>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</si>
  <si>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</si>
  <si>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</si>
  <si>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</si>
  <si>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</si>
  <si>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</si>
  <si>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</si>
  <si>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</si>
  <si>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</si>
  <si>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</si>
  <si>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</si>
  <si>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</si>
  <si>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</si>
  <si>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</si>
  <si>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</si>
  <si>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</si>
  <si>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</si>
  <si>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</si>
  <si>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</si>
  <si>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</si>
  <si>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</si>
  <si>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</si>
  <si>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</si>
  <si>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</si>
  <si>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</si>
  <si>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</si>
  <si>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</si>
  <si>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</si>
  <si>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</si>
  <si>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</si>
  <si>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</si>
  <si>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</si>
  <si>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</si>
  <si>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</si>
  <si>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</si>
  <si>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</si>
  <si>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</si>
  <si>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</si>
  <si>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</si>
  <si>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</si>
  <si>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</si>
  <si>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</si>
  <si>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</si>
  <si>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</si>
  <si>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</si>
  <si>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</si>
  <si>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</si>
  <si>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</si>
  <si>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</si>
  <si>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</si>
  <si>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</si>
  <si>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</si>
  <si>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</si>
  <si>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</si>
  <si>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</si>
  <si>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</si>
  <si>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</si>
  <si>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</si>
  <si>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</si>
  <si>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</si>
  <si>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</si>
  <si>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</si>
  <si>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</si>
  <si>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</si>
  <si>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</si>
  <si>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</si>
  <si>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</si>
  <si>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</si>
  <si>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</si>
  <si>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</si>
  <si>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</si>
  <si>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</si>
  <si>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</si>
  <si>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</si>
  <si>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</si>
  <si>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</si>
  <si>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</si>
  <si>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</si>
  <si>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</si>
  <si>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</si>
  <si>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</si>
  <si>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</si>
  <si>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</si>
  <si>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</si>
  <si>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</si>
  <si>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</si>
  <si>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</si>
  <si>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</si>
  <si>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</si>
  <si>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</si>
  <si>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</si>
  <si>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</si>
  <si>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</si>
  <si>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</si>
  <si>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</si>
  <si>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</si>
  <si>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</si>
  <si>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</si>
  <si>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</si>
  <si>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</si>
  <si>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</si>
  <si>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</si>
  <si>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</si>
  <si>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</si>
  <si>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</si>
  <si>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</si>
  <si>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</si>
  <si>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</si>
  <si>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</si>
  <si>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</si>
  <si>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</si>
  <si>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</si>
  <si>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</si>
  <si>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</si>
  <si>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</si>
  <si>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</si>
  <si>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</si>
  <si>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</si>
  <si>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</si>
  <si>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</si>
  <si>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</si>
  <si>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</si>
  <si>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</si>
  <si>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</si>
  <si>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</si>
  <si>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</si>
  <si>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</si>
  <si>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</si>
  <si>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</si>
  <si>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</si>
  <si>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</si>
  <si>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</si>
  <si>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</si>
  <si>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</si>
  <si>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</si>
  <si>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</si>
  <si>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</si>
  <si>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</si>
  <si>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</si>
  <si>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</si>
  <si>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</si>
  <si>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</si>
  <si>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</si>
  <si>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</si>
  <si>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</si>
  <si>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</si>
  <si>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</si>
  <si>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</si>
  <si>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</si>
  <si>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</si>
  <si>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</si>
  <si>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</si>
  <si>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</si>
  <si>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</si>
  <si>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</si>
  <si>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</si>
  <si>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</si>
  <si>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</si>
  <si>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</si>
  <si>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</si>
  <si>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</si>
  <si>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</si>
  <si>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</si>
  <si>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</si>
  <si>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</si>
  <si>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</si>
  <si>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</si>
  <si>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</si>
  <si>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</si>
  <si>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</si>
  <si>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</si>
  <si>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</si>
  <si>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</si>
  <si>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</si>
  <si>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</si>
  <si>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</si>
  <si>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</si>
  <si>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</si>
  <si>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</si>
  <si>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</si>
  <si>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</si>
  <si>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</si>
  <si>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</si>
  <si>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</si>
  <si>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</si>
  <si>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</si>
  <si>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</si>
  <si>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</si>
  <si>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</si>
  <si>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</si>
  <si>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</si>
  <si>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</si>
  <si>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</si>
  <si>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</si>
  <si>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</si>
  <si>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</si>
  <si>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</si>
  <si>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</si>
  <si>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</si>
  <si>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</si>
  <si>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</si>
  <si>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</si>
  <si>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</si>
  <si>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</si>
  <si>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</si>
  <si>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</si>
  <si>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</si>
  <si>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</si>
  <si>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</si>
  <si>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</si>
  <si>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</si>
  <si>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</si>
  <si>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</si>
  <si>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</si>
  <si>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</si>
  <si>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</si>
  <si>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</si>
  <si>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</si>
  <si>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</si>
  <si>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</si>
  <si>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</si>
  <si>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</si>
  <si>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</si>
  <si>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</si>
  <si>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</si>
  <si>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</si>
  <si>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</si>
  <si>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</si>
  <si>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</si>
  <si>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</si>
  <si>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</si>
  <si>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</si>
  <si>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</si>
  <si>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</si>
  <si>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</si>
  <si>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</si>
  <si>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</si>
  <si>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</si>
  <si>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</si>
  <si>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</si>
  <si>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</si>
  <si>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</si>
  <si>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</si>
  <si>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</si>
  <si>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</si>
  <si>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</si>
  <si>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</si>
  <si>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</si>
  <si>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</si>
  <si>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</si>
  <si>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</si>
  <si>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</si>
  <si>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</si>
  <si>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</si>
  <si>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</si>
  <si>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</si>
  <si>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</si>
  <si>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</si>
  <si>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</si>
  <si>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</si>
  <si>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</si>
  <si>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</si>
  <si>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</si>
  <si>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</si>
  <si>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</si>
  <si>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</si>
  <si>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</si>
  <si>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</si>
  <si>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</si>
  <si>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</si>
  <si>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</si>
  <si>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</si>
  <si>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</si>
  <si>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</si>
  <si>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</si>
  <si>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</si>
  <si>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</si>
  <si>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</si>
  <si>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</si>
  <si>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</si>
  <si>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</si>
  <si>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</si>
  <si>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</si>
  <si>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</si>
  <si>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</si>
  <si>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</si>
  <si>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</si>
  <si>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</si>
  <si>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</si>
  <si>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</si>
  <si>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</si>
  <si>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</si>
  <si>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</si>
  <si>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</si>
  <si>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</si>
  <si>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</si>
  <si>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</si>
  <si>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</si>
  <si>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</si>
  <si>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</si>
  <si>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</si>
  <si>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</si>
  <si>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</si>
  <si>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</si>
  <si>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</si>
  <si>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</si>
  <si>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</si>
  <si>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</si>
  <si>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</si>
  <si>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</si>
  <si>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</si>
  <si>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</si>
  <si>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</si>
  <si>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</si>
  <si>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</si>
  <si>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</si>
  <si>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</si>
  <si>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</si>
  <si>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</si>
  <si>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</si>
  <si>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</si>
  <si>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</si>
  <si>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</si>
  <si>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</si>
  <si>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</si>
  <si>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</si>
  <si>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</si>
  <si>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</si>
  <si>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</si>
  <si>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</si>
  <si>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</si>
  <si>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</si>
  <si>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</si>
  <si>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</si>
  <si>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</si>
  <si>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</si>
  <si>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</si>
  <si>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</si>
  <si>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</si>
  <si>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</si>
  <si>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</si>
  <si>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</si>
  <si>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</si>
  <si>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</si>
  <si>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</si>
  <si>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</si>
  <si>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</si>
  <si>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</si>
  <si>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</si>
  <si>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</si>
  <si>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</si>
  <si>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</si>
  <si>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</si>
  <si>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</si>
  <si>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</si>
  <si>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</si>
  <si>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</si>
  <si>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</si>
  <si>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</si>
  <si>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</si>
  <si>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</si>
  <si>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</si>
  <si>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</si>
  <si>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</si>
  <si>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</si>
  <si>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</si>
  <si>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</si>
  <si>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</si>
  <si>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</si>
  <si>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</si>
  <si>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</si>
  <si>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</si>
  <si>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</si>
  <si>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</si>
  <si>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</si>
  <si>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</si>
  <si>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</si>
  <si>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</si>
  <si>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</si>
  <si>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</si>
  <si>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</si>
  <si>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</si>
  <si>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</si>
  <si>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</si>
  <si>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</si>
  <si>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</si>
  <si>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</si>
  <si>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</si>
  <si>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</si>
  <si>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</si>
  <si>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</si>
  <si>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</si>
  <si>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</si>
  <si>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</si>
  <si>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</si>
  <si>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</si>
  <si>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</si>
  <si>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</si>
  <si>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</si>
  <si>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</si>
  <si>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</si>
  <si>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</si>
  <si>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</si>
  <si>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</si>
  <si>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</si>
  <si>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</si>
  <si>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</si>
  <si>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</si>
  <si>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</si>
  <si>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</si>
  <si>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</si>
  <si>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</si>
  <si>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</si>
  <si>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</si>
  <si>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</si>
  <si>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</si>
  <si>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</si>
  <si>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</si>
  <si>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</si>
  <si>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</si>
  <si>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</si>
  <si>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</si>
  <si>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</si>
  <si>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</si>
  <si>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</si>
  <si>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</si>
  <si>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</si>
  <si>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</si>
  <si>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</si>
  <si>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</si>
  <si>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</si>
  <si>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</si>
  <si>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</si>
  <si>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</si>
  <si>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</si>
  <si>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</si>
  <si>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</si>
  <si>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</si>
  <si>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</si>
  <si>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</si>
  <si>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</si>
  <si>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</si>
  <si>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</si>
  <si>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</si>
  <si>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</si>
  <si>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</si>
  <si>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</si>
  <si>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</si>
  <si>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</si>
  <si>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</si>
  <si>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</si>
  <si>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</si>
  <si>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</si>
  <si>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</si>
  <si>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</si>
  <si>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</si>
  <si>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</si>
  <si>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</si>
  <si>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</si>
  <si>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</si>
  <si>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</si>
  <si>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</si>
  <si>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</si>
  <si>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</si>
  <si>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</si>
  <si>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</si>
  <si>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</si>
  <si>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</si>
  <si>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</si>
  <si>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</si>
  <si>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</si>
  <si>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</si>
  <si>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</si>
  <si>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</si>
  <si>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</si>
  <si>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</si>
  <si>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</si>
  <si>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</si>
  <si>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</si>
  <si>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</si>
  <si>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</si>
  <si>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</si>
  <si>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</si>
  <si>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</si>
  <si>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</si>
  <si>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</si>
  <si>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</si>
  <si>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</si>
  <si>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</si>
  <si>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</si>
  <si>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</si>
  <si>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</si>
  <si>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</si>
  <si>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</si>
  <si>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</si>
  <si>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</si>
  <si>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</si>
  <si>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</si>
  <si>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</si>
  <si>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</si>
  <si>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</si>
  <si>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</si>
  <si>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</si>
  <si>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</si>
  <si>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</si>
  <si>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</si>
  <si>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</si>
  <si>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</si>
  <si>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</si>
  <si>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</si>
  <si>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</si>
  <si>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</si>
  <si>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</si>
  <si>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</si>
  <si>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</si>
  <si>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</si>
  <si>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</si>
  <si>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</si>
  <si>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</si>
  <si>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</si>
  <si>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</si>
  <si>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</si>
  <si>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</si>
  <si>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</si>
  <si>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</si>
  <si>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</si>
  <si>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</si>
  <si>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</si>
  <si>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</si>
  <si>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</si>
  <si>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</si>
  <si>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</si>
  <si>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</si>
  <si>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</si>
  <si>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</si>
  <si>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</si>
  <si>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</si>
  <si>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</si>
  <si>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</si>
  <si>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</si>
  <si>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</si>
  <si>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</si>
  <si>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</si>
  <si>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</si>
  <si>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</si>
  <si>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</si>
  <si>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</si>
  <si>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</si>
  <si>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</si>
  <si>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</si>
  <si>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</si>
  <si>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</si>
  <si>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</si>
  <si>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</si>
  <si>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</si>
  <si>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</si>
  <si>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</si>
  <si>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</si>
  <si>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</si>
  <si>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</si>
  <si>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</si>
  <si>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</si>
  <si>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</si>
  <si>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</si>
  <si>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</si>
  <si>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</si>
  <si>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</si>
  <si>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</si>
  <si>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</si>
  <si>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</si>
  <si>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</si>
  <si>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</si>
  <si>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</si>
  <si>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</si>
  <si>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</si>
  <si>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</si>
  <si>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</si>
  <si>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</si>
  <si>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</si>
  <si>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</si>
  <si>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</si>
  <si>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</si>
  <si>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</si>
  <si>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</si>
  <si>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</si>
  <si>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</si>
  <si>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</si>
  <si>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</si>
  <si>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</si>
  <si>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</si>
  <si>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</si>
  <si>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</si>
  <si>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</si>
  <si>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</si>
  <si>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</si>
  <si>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</si>
  <si>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</si>
  <si>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</si>
  <si>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</si>
  <si>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</si>
  <si>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</si>
  <si>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</si>
  <si>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</si>
  <si>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</si>
  <si>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</si>
  <si>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</si>
  <si>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</si>
  <si>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</si>
  <si>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</si>
  <si>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</si>
  <si>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</si>
  <si>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</si>
  <si>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</si>
  <si>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</si>
  <si>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</si>
  <si>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</si>
  <si>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</si>
  <si>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</si>
  <si>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</si>
  <si>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</si>
  <si>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</si>
  <si>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</si>
  <si>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</si>
  <si>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</si>
  <si>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</si>
  <si>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</si>
  <si>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</si>
  <si>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</si>
  <si>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</si>
  <si>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</si>
  <si>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</si>
  <si>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</si>
  <si>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</si>
  <si>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</si>
  <si>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</si>
  <si>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</si>
  <si>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</si>
  <si>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</si>
  <si>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</si>
  <si>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</si>
  <si>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</si>
  <si>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</si>
  <si>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</si>
  <si>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</si>
  <si>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</si>
  <si>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</si>
  <si>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</si>
  <si>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</si>
  <si>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</si>
  <si>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</si>
  <si>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</si>
  <si>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</si>
  <si>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</si>
  <si>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</si>
  <si>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</si>
  <si>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</si>
  <si>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</si>
  <si>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</si>
  <si>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</si>
  <si>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</si>
  <si>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</si>
  <si>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</si>
  <si>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</si>
  <si>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</si>
  <si>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</si>
  <si>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</si>
  <si>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</si>
  <si>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</si>
  <si>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</si>
  <si>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</si>
  <si>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</si>
  <si>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</si>
  <si>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</si>
  <si>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</si>
  <si>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</si>
  <si>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</si>
  <si>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</si>
  <si>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</si>
  <si>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</si>
  <si>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</si>
  <si>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</si>
  <si>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</si>
  <si>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</si>
  <si>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</si>
  <si>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</si>
  <si>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</si>
  <si>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</si>
  <si>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</si>
  <si>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</si>
  <si>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</si>
  <si>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</si>
  <si>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</si>
  <si>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</si>
  <si>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</si>
  <si>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</si>
  <si>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</si>
  <si>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</si>
  <si>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</si>
  <si>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</si>
  <si>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</si>
  <si>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</si>
  <si>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</si>
  <si>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</si>
  <si>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</si>
  <si>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</si>
  <si>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</si>
  <si>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</si>
  <si>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</si>
  <si>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</si>
  <si>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</si>
  <si>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</si>
  <si>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</si>
  <si>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</si>
  <si>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</si>
  <si>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</si>
  <si>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</si>
  <si>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</si>
  <si>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</si>
  <si>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</si>
  <si>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</si>
  <si>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</si>
  <si>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</si>
  <si>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</si>
  <si>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</si>
  <si>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</si>
  <si>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</si>
  <si>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</si>
  <si>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</si>
  <si>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</si>
  <si>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</si>
  <si>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</si>
  <si>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</si>
  <si>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</si>
  <si>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</si>
  <si>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</si>
  <si>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</si>
  <si>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</si>
  <si>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</si>
  <si>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</si>
  <si>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</si>
  <si>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</si>
  <si>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</si>
  <si>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</si>
  <si>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</si>
  <si>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</si>
  <si>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</si>
  <si>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</si>
  <si>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</si>
  <si>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</si>
  <si>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</si>
  <si>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</si>
  <si>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</si>
  <si>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</si>
  <si>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</si>
  <si>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</si>
  <si>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</si>
  <si>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</si>
  <si>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</si>
  <si>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</si>
  <si>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</si>
  <si>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</si>
  <si>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</si>
  <si>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</si>
  <si>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</si>
  <si>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</si>
  <si>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</si>
  <si>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</si>
  <si>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</si>
  <si>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</si>
  <si>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</si>
  <si>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</si>
  <si>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</si>
  <si>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</si>
  <si>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</si>
  <si>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</si>
  <si>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</si>
  <si>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</si>
  <si>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</si>
  <si>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</si>
  <si>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</si>
  <si>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</si>
  <si>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</si>
  <si>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</si>
  <si>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</si>
  <si>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</si>
  <si>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</si>
  <si>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</si>
  <si>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</si>
  <si>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</si>
  <si>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</si>
  <si>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</si>
  <si>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</si>
  <si>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</si>
  <si>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</si>
  <si>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</si>
  <si>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</si>
  <si>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</si>
  <si>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</si>
  <si>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</si>
  <si>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</si>
  <si>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</si>
  <si>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</si>
  <si>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</si>
  <si>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</si>
  <si>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</si>
  <si>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</si>
  <si>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</si>
  <si>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</si>
  <si>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</si>
  <si>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</si>
  <si>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</si>
  <si>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</si>
  <si>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</si>
  <si>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</si>
  <si>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</si>
  <si>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</si>
  <si>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</si>
  <si>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</si>
  <si>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</si>
  <si>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</si>
  <si>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</si>
  <si>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</si>
  <si>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</si>
  <si>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</si>
  <si>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</si>
  <si>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</si>
  <si>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</si>
  <si>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</si>
  <si>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</si>
  <si>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</si>
  <si>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</si>
  <si>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</si>
  <si>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</si>
  <si>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</si>
  <si>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</si>
  <si>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</si>
  <si>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</si>
  <si>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</si>
  <si>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</si>
  <si>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</si>
  <si>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</si>
  <si>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</si>
  <si>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</si>
  <si>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</si>
  <si>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</si>
  <si>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</si>
  <si>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</si>
  <si>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</si>
  <si>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</si>
  <si>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</si>
  <si>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</si>
  <si>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</si>
  <si>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</si>
  <si>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</si>
  <si>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</si>
  <si>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</si>
  <si>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</si>
  <si>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</si>
  <si>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</si>
  <si>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</si>
  <si>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</si>
  <si>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</si>
  <si>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</si>
  <si>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</si>
  <si>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</si>
  <si>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</si>
  <si>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</si>
  <si>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</si>
  <si>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</si>
  <si>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</si>
  <si>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</si>
  <si>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</si>
  <si>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</si>
  <si>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</si>
  <si>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</si>
  <si>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</si>
  <si>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</si>
  <si>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</si>
  <si>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</si>
  <si>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</si>
  <si>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</si>
  <si>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</si>
  <si>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</si>
  <si>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</si>
  <si>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</si>
  <si>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</si>
  <si>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</si>
  <si>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</si>
  <si>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</si>
  <si>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</si>
  <si>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</si>
  <si>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</si>
  <si>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</si>
  <si>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</si>
  <si>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</si>
  <si>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</si>
  <si>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</si>
  <si>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</si>
  <si>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</si>
  <si>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</si>
  <si>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</si>
  <si>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</si>
  <si>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</si>
  <si>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</si>
  <si>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</si>
  <si>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</si>
  <si>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</si>
  <si>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</si>
  <si>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</si>
  <si>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</si>
  <si>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</si>
  <si>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</si>
  <si>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</si>
  <si>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</si>
  <si>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</si>
  <si>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</si>
  <si>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</si>
  <si>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</si>
  <si>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</si>
  <si>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</si>
  <si>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</si>
  <si>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</si>
  <si>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</si>
  <si>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</si>
  <si>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</si>
  <si>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</si>
  <si>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</si>
  <si>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</si>
  <si>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</si>
  <si>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</si>
  <si>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</si>
  <si>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</si>
  <si>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</si>
  <si>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</si>
  <si>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</si>
  <si>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</si>
  <si>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</si>
  <si>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</si>
  <si>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</si>
  <si>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</si>
  <si>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</si>
  <si>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</si>
  <si>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</si>
  <si>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</si>
  <si>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</si>
  <si>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</si>
  <si>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</si>
  <si>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</si>
  <si>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</si>
  <si>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</si>
  <si>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</si>
  <si>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</si>
  <si>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</si>
  <si>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</si>
  <si>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</si>
  <si>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</si>
  <si>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</si>
  <si>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</si>
  <si>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</si>
  <si>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</si>
  <si>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</si>
  <si>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</si>
  <si>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</si>
  <si>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</si>
  <si>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</si>
  <si>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</si>
  <si>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</si>
  <si>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</si>
  <si>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</si>
  <si>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</si>
  <si>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</si>
  <si>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</si>
  <si>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</si>
  <si>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</si>
  <si>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</si>
  <si>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</si>
  <si>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</si>
  <si>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</si>
  <si>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</si>
  <si>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</si>
  <si>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</si>
  <si>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</si>
  <si>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</si>
  <si>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</si>
  <si>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</si>
  <si>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</si>
  <si>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</si>
  <si>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</si>
  <si>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</si>
  <si>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</si>
  <si>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</si>
  <si>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</si>
  <si>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</si>
  <si>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</si>
  <si>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</si>
  <si>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</si>
  <si>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</si>
  <si>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</si>
  <si>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</si>
  <si>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</si>
  <si>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</si>
  <si>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</si>
  <si>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</si>
  <si>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</si>
  <si>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</si>
  <si>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</si>
  <si>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</si>
  <si>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</si>
  <si>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</si>
  <si>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</si>
  <si>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</si>
  <si>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</si>
  <si>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</si>
  <si>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</si>
  <si>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</si>
  <si>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</si>
  <si>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</si>
  <si>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</si>
  <si>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</si>
  <si>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</si>
  <si>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</si>
  <si>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</si>
  <si>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</si>
  <si>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</si>
  <si>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</si>
  <si>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</si>
  <si>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</si>
  <si>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</si>
  <si>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</si>
  <si>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</si>
  <si>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</si>
  <si>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</si>
  <si>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</si>
  <si>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</si>
  <si>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</si>
  <si>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</si>
  <si>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</si>
  <si>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</si>
  <si>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</si>
  <si>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</si>
  <si>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</si>
  <si>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</si>
  <si>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</si>
  <si>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</si>
  <si>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</si>
  <si>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</si>
  <si>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</si>
  <si>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</si>
  <si>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</si>
  <si>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</si>
  <si>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</si>
  <si>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</si>
  <si>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</si>
  <si>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</si>
  <si>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</si>
  <si>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</si>
  <si>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</si>
  <si>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</si>
  <si>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</si>
  <si>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</si>
  <si>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</si>
  <si>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</si>
  <si>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</si>
  <si>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</si>
  <si>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</si>
  <si>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</si>
  <si>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</si>
  <si>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</si>
  <si>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</si>
  <si>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</si>
  <si>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</si>
  <si>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</si>
  <si>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</si>
  <si>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</si>
  <si>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</si>
  <si>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</si>
  <si>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</si>
  <si>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</si>
  <si>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</si>
  <si>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</si>
  <si>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</si>
  <si>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</si>
  <si>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</si>
  <si>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</si>
  <si>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</si>
  <si>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</si>
  <si>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</si>
  <si>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</si>
  <si>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</si>
  <si>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</si>
  <si>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</si>
  <si>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</si>
  <si>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</si>
  <si>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</si>
  <si>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</si>
  <si>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</si>
  <si>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</si>
  <si>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</si>
  <si>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</si>
  <si>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</si>
  <si>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</si>
  <si>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</si>
  <si>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</si>
  <si>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</si>
  <si>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</si>
  <si>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</si>
  <si>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</si>
  <si>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</si>
  <si>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</si>
  <si>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</si>
  <si>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</si>
  <si>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</si>
  <si>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</si>
  <si>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</si>
  <si>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</si>
  <si>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</si>
  <si>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</si>
  <si>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</si>
  <si>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</si>
  <si>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</si>
  <si>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</si>
  <si>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</si>
  <si>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</si>
  <si>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</si>
  <si>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</si>
  <si>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</si>
  <si>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</si>
  <si>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</si>
  <si>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</si>
  <si>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</si>
  <si>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</si>
  <si>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</si>
  <si>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</si>
  <si>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</si>
  <si>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</si>
  <si>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</si>
  <si>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</si>
  <si>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</si>
  <si>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</si>
  <si>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</si>
  <si>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</si>
  <si>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</si>
  <si>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</si>
  <si>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</si>
  <si>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</si>
  <si>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</si>
  <si>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</si>
  <si>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</si>
  <si>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</si>
  <si>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</si>
  <si>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</si>
  <si>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</si>
  <si>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</si>
  <si>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</si>
  <si>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</si>
  <si>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</si>
  <si>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</si>
  <si>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</si>
  <si>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</si>
  <si>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</si>
  <si>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</si>
  <si>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</si>
  <si>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</si>
  <si>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</si>
  <si>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</si>
  <si>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</si>
  <si>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</si>
  <si>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</si>
  <si>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</si>
  <si>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</si>
  <si>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</si>
  <si>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</si>
  <si>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</si>
  <si>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</si>
  <si>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</si>
  <si>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</si>
  <si>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</si>
  <si>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</si>
  <si>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</si>
  <si>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</si>
  <si>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</si>
  <si>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</si>
  <si>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</si>
  <si>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</si>
  <si>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</si>
  <si>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</si>
  <si>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</si>
  <si>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</si>
  <si>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</si>
  <si>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</si>
  <si>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</si>
  <si>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</si>
  <si>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</si>
  <si>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</si>
  <si>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</si>
  <si>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</si>
  <si>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</si>
  <si>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</si>
  <si>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</si>
  <si>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</si>
  <si>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</si>
  <si>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</si>
  <si>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</si>
  <si>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</si>
  <si>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</si>
  <si>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</si>
  <si>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</si>
  <si>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</si>
  <si>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</si>
  <si>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</si>
  <si>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</si>
  <si>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</si>
  <si>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</si>
  <si>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</si>
  <si>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</si>
  <si>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</si>
  <si>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</si>
  <si>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</si>
  <si>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</si>
  <si>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</si>
  <si>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</si>
  <si>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</si>
  <si>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</si>
  <si>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</si>
  <si>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</si>
  <si>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</si>
  <si>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</si>
  <si>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</si>
  <si>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</si>
  <si>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</si>
  <si>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</si>
  <si>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</si>
  <si>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</si>
  <si>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</si>
  <si>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</si>
  <si>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</si>
  <si>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</si>
  <si>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</si>
  <si>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</si>
  <si>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</si>
  <si>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</si>
  <si>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</si>
  <si>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</si>
  <si>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</si>
  <si>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</si>
  <si>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</si>
  <si>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</si>
  <si>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</si>
  <si>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</si>
  <si>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</si>
  <si>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</si>
  <si>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</si>
  <si>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</si>
  <si>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</si>
  <si>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</si>
  <si>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</si>
  <si>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</si>
  <si>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</si>
  <si>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</si>
  <si>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</si>
  <si>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</si>
  <si>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</si>
  <si>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</si>
  <si>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</si>
  <si>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</si>
  <si>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</si>
  <si>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</si>
  <si>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</si>
  <si>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</si>
  <si>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</si>
  <si>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</si>
  <si>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</si>
  <si>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</si>
  <si>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</si>
  <si>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</si>
  <si>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</si>
  <si>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</si>
  <si>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</si>
  <si>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</si>
  <si>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</si>
  <si>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</si>
  <si>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</si>
  <si>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</si>
  <si>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</si>
  <si>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</si>
  <si>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</si>
  <si>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</si>
  <si>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</si>
  <si>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</si>
  <si>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</si>
  <si>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</si>
  <si>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</si>
  <si>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</si>
  <si>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</si>
  <si>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</si>
  <si>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</si>
  <si>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</si>
  <si>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</si>
  <si>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</si>
  <si>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</si>
  <si>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</si>
  <si>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</si>
  <si>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</si>
  <si>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</si>
  <si>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</si>
  <si>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</si>
  <si>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</si>
  <si>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</si>
  <si>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</si>
  <si>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</si>
  <si>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</si>
  <si>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</si>
  <si>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</si>
  <si>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</si>
  <si>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</si>
  <si>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</si>
  <si>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</si>
  <si>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</si>
  <si>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</si>
  <si>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</si>
  <si>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</si>
  <si>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</si>
  <si>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</si>
  <si>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</si>
  <si>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</si>
  <si>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</si>
  <si>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</si>
  <si>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</si>
  <si>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</si>
  <si>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</si>
  <si>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</si>
  <si>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</si>
  <si>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</si>
  <si>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</si>
  <si>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</si>
  <si>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</si>
  <si>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</si>
  <si>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</si>
  <si>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</si>
  <si>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</si>
  <si>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</si>
  <si>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</si>
  <si>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</si>
  <si>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</si>
  <si>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</si>
  <si>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</si>
  <si>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</si>
  <si>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</si>
  <si>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</si>
  <si>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</si>
  <si>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</si>
  <si>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</si>
  <si>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</si>
  <si>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</si>
  <si>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</si>
  <si>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</si>
  <si>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</si>
  <si>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</si>
  <si>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</si>
  <si>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</si>
  <si>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</si>
  <si>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</si>
  <si>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</si>
  <si>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</si>
  <si>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</si>
  <si>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</si>
  <si>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</si>
  <si>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</si>
  <si>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</si>
  <si>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</si>
  <si>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</si>
  <si>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</si>
  <si>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</si>
  <si>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</si>
  <si>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</si>
  <si>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</si>
  <si>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</si>
  <si>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</si>
  <si>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</si>
  <si>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</si>
  <si>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</si>
  <si>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</si>
  <si>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</si>
  <si>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</si>
  <si>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</si>
  <si>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</si>
  <si>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</si>
  <si>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</si>
  <si>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</si>
  <si>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</si>
  <si>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</si>
  <si>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</si>
  <si>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</si>
  <si>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</si>
  <si>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</si>
  <si>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</si>
  <si>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</si>
  <si>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</si>
  <si>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</si>
  <si>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</si>
  <si>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</si>
  <si>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</si>
  <si>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</si>
  <si>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</si>
  <si>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</si>
  <si>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</si>
  <si>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</si>
  <si>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</si>
  <si>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</si>
  <si>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</si>
  <si>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</si>
  <si>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</si>
  <si>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</si>
  <si>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</si>
  <si>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</si>
  <si>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</si>
  <si>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</si>
  <si>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</si>
  <si>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</si>
  <si>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</si>
  <si>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</si>
  <si>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</si>
  <si>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</si>
  <si>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</si>
  <si>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</si>
  <si>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</si>
  <si>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</si>
  <si>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</si>
  <si>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</si>
  <si>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</si>
  <si>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</si>
  <si>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</si>
  <si>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</si>
  <si>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</si>
  <si>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</si>
  <si>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</si>
  <si>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</si>
  <si>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</si>
  <si>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</si>
  <si>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</si>
  <si>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</si>
  <si>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</si>
  <si>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</si>
  <si>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</si>
  <si>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</si>
  <si>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</si>
  <si>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</si>
  <si>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</si>
  <si>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</si>
  <si>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</si>
  <si>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</si>
  <si>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</si>
  <si>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</si>
  <si>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</si>
  <si>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</si>
  <si>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</si>
  <si>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</si>
  <si>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</si>
  <si>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</si>
  <si>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</si>
  <si>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</si>
  <si>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</si>
  <si>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</si>
  <si>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</si>
  <si>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</si>
  <si>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</si>
  <si>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</si>
  <si>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</si>
  <si>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</si>
  <si>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</si>
  <si>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</si>
  <si>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</si>
  <si>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</si>
  <si>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</si>
  <si>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</si>
  <si>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</si>
  <si>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</si>
  <si>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</si>
  <si>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</si>
  <si>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</si>
  <si>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</si>
  <si>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</si>
  <si>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</si>
  <si>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</si>
  <si>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</si>
  <si>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</si>
  <si>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</si>
  <si>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</si>
  <si>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</si>
  <si>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</si>
  <si>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</si>
  <si>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</si>
  <si>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</si>
  <si>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</si>
  <si>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</si>
  <si>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</si>
  <si>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</si>
  <si>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</si>
  <si>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</si>
  <si>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</si>
  <si>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</si>
  <si>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</si>
  <si>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</si>
  <si>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</si>
  <si>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</si>
  <si>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</si>
  <si>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</si>
  <si>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</si>
  <si>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</si>
  <si>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</si>
  <si>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</si>
  <si>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</si>
  <si>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</si>
  <si>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</si>
  <si>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</si>
  <si>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</si>
  <si>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</si>
  <si>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</si>
  <si>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</si>
  <si>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</si>
  <si>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</si>
  <si>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</si>
  <si>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</si>
  <si>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</si>
  <si>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</si>
  <si>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</si>
  <si>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</si>
  <si>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</si>
  <si>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</si>
  <si>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</si>
  <si>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</si>
  <si>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</si>
  <si>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</si>
  <si>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</si>
  <si>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</si>
  <si>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</si>
  <si>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</si>
  <si>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</si>
  <si>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</si>
  <si>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</si>
  <si>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</si>
  <si>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</si>
  <si>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</si>
  <si>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</si>
  <si>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</si>
  <si>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</si>
  <si>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</si>
  <si>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</si>
  <si>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</si>
  <si>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</si>
  <si>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</si>
  <si>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</si>
  <si>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</si>
  <si>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</si>
  <si>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</si>
  <si>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</si>
  <si>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</si>
  <si>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</si>
  <si>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</si>
  <si>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</si>
  <si>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</si>
  <si>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</si>
  <si>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</si>
  <si>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</si>
  <si>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</si>
  <si>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</si>
  <si>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</si>
  <si>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</si>
  <si>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</si>
  <si>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</si>
  <si>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</si>
  <si>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</si>
  <si>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</si>
  <si>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</si>
  <si>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</si>
  <si>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</si>
  <si>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</si>
  <si>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</si>
  <si>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</si>
  <si>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</si>
  <si>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</si>
  <si>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</si>
  <si>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</si>
  <si>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</si>
  <si>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</si>
  <si>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</si>
  <si>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</si>
  <si>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</si>
  <si>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</si>
  <si>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</si>
  <si>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</si>
  <si>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</si>
  <si>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</si>
  <si>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</si>
  <si>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</si>
  <si>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</si>
  <si>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</si>
  <si>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</si>
  <si>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</si>
  <si>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</si>
  <si>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</si>
  <si>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</si>
  <si>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</si>
  <si>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</si>
  <si>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</si>
  <si>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</si>
  <si>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</si>
  <si>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</si>
  <si>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</si>
  <si>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</si>
  <si>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</si>
  <si>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</si>
  <si>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</si>
  <si>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</si>
  <si>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</si>
  <si>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</si>
  <si>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</si>
  <si>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</si>
  <si>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</si>
  <si>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</si>
  <si>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</si>
  <si>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</si>
  <si>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</si>
  <si>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</si>
  <si>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</si>
  <si>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</si>
  <si>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</si>
  <si>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</si>
  <si>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</si>
  <si>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</si>
  <si>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</si>
  <si>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</si>
  <si>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</si>
  <si>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</si>
  <si>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</si>
  <si>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-0431</t>
  </si>
  <si>
    <t>-0400</t>
  </si>
  <si>
    <t>-0454</t>
  </si>
  <si>
    <t>-0488</t>
  </si>
  <si>
    <t>-0662</t>
  </si>
  <si>
    <t>-0790</t>
  </si>
  <si>
    <t>-0673</t>
  </si>
  <si>
    <t>-0535</t>
  </si>
  <si>
    <t>-0725</t>
  </si>
  <si>
    <t>-0554</t>
  </si>
  <si>
    <t>-0599</t>
  </si>
  <si>
    <t>-0723</t>
  </si>
  <si>
    <t>-0621</t>
  </si>
  <si>
    <t>-0635</t>
  </si>
  <si>
    <t>-0542</t>
  </si>
  <si>
    <t>-0517</t>
  </si>
  <si>
    <t>-0562</t>
  </si>
  <si>
    <t>-0473</t>
  </si>
  <si>
    <t>-0471</t>
  </si>
  <si>
    <t>-0481</t>
  </si>
  <si>
    <t>-0468</t>
  </si>
  <si>
    <t>-0469</t>
  </si>
  <si>
    <t>-0497</t>
  </si>
  <si>
    <t>-0472</t>
  </si>
  <si>
    <t>-0474</t>
  </si>
  <si>
    <t>-0592</t>
  </si>
  <si>
    <t>-0625</t>
  </si>
  <si>
    <t>-0495</t>
  </si>
  <si>
    <t>-0600</t>
  </si>
  <si>
    <t>-0719</t>
  </si>
  <si>
    <t>-0838</t>
  </si>
  <si>
    <t>-0685</t>
  </si>
  <si>
    <t>-0688</t>
  </si>
  <si>
    <t>-0461</t>
  </si>
  <si>
    <t>-0612</t>
  </si>
  <si>
    <t>-0414</t>
  </si>
  <si>
    <t>-0529</t>
  </si>
  <si>
    <t>-0484</t>
  </si>
  <si>
    <t>-0949</t>
  </si>
  <si>
    <t>-0890</t>
  </si>
  <si>
    <t>-0713</t>
  </si>
  <si>
    <t>-0504</t>
  </si>
  <si>
    <t>-0477</t>
  </si>
  <si>
    <t>-0465</t>
  </si>
  <si>
    <t>-0470</t>
  </si>
  <si>
    <t>-0551</t>
  </si>
  <si>
    <t>-0687</t>
  </si>
  <si>
    <t>-0674</t>
  </si>
  <si>
    <t>-0802</t>
  </si>
  <si>
    <t>-0707</t>
  </si>
  <si>
    <t>-0702</t>
  </si>
  <si>
    <t>-0690</t>
  </si>
  <si>
    <t>-0781</t>
  </si>
  <si>
    <t>-0350</t>
  </si>
  <si>
    <t>-0712</t>
  </si>
  <si>
    <t>-0636</t>
  </si>
  <si>
    <t>-0501</t>
  </si>
  <si>
    <t>-0795</t>
  </si>
  <si>
    <t>-0513</t>
  </si>
  <si>
    <t>-0589</t>
  </si>
  <si>
    <t>-0617</t>
  </si>
  <si>
    <t>-0506</t>
  </si>
  <si>
    <t>-0521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</si>
  <si>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</si>
  <si>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</si>
  <si>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</si>
  <si>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</si>
  <si>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</si>
  <si>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</si>
  <si>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</si>
  <si>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</si>
  <si>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</si>
  <si>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</si>
  <si>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</si>
  <si>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</si>
  <si>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</si>
  <si>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</si>
  <si>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</si>
  <si>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</si>
  <si>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</si>
  <si>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</si>
  <si>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</si>
  <si>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</si>
  <si>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</si>
  <si>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</si>
  <si>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</si>
  <si>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</si>
  <si>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</si>
  <si>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</si>
  <si>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</si>
  <si>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</si>
  <si>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</si>
  <si>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</si>
  <si>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</si>
  <si>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</si>
  <si>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</si>
  <si>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</si>
  <si>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</si>
  <si>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</si>
  <si>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</si>
  <si>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</si>
  <si>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</si>
  <si>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</si>
  <si>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</si>
  <si>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</si>
  <si>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</si>
  <si>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</si>
  <si>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</si>
  <si>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</si>
  <si>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</si>
  <si>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</si>
  <si>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</si>
  <si>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</si>
  <si>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</si>
  <si>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</si>
  <si>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</si>
  <si>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</si>
  <si>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</si>
  <si>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</si>
  <si>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</si>
  <si>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</si>
  <si>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</si>
  <si>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</si>
  <si>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</si>
  <si>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</si>
  <si>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</si>
  <si>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</si>
  <si>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</si>
  <si>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</si>
  <si>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</si>
  <si>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</si>
  <si>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</si>
  <si>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</si>
  <si>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</si>
  <si>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</si>
  <si>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</si>
  <si>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</si>
  <si>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</si>
  <si>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</si>
  <si>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</si>
  <si>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</si>
  <si>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</si>
  <si>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</si>
  <si>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</si>
  <si>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</si>
  <si>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</si>
  <si>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</si>
  <si>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</si>
  <si>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</si>
  <si>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</si>
  <si>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</si>
  <si>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</si>
  <si>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</si>
  <si>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</si>
  <si>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</si>
  <si>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</si>
  <si>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</si>
  <si>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</si>
  <si>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</si>
  <si>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</si>
  <si>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</si>
  <si>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</si>
  <si>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</si>
  <si>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</si>
  <si>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</si>
  <si>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</si>
  <si>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</si>
  <si>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</si>
  <si>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</si>
  <si>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</si>
  <si>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</si>
  <si>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</si>
  <si>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</si>
  <si>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</si>
  <si>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</si>
  <si>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</si>
  <si>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</si>
  <si>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</si>
  <si>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</si>
  <si>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</si>
  <si>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</si>
  <si>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</si>
  <si>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</si>
  <si>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</si>
  <si>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</si>
  <si>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</si>
  <si>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</si>
  <si>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</si>
  <si>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</si>
  <si>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</si>
  <si>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</si>
  <si>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</si>
  <si>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</si>
  <si>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</si>
  <si>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</si>
  <si>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</si>
  <si>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</si>
  <si>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</si>
  <si>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</si>
  <si>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</si>
  <si>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</si>
  <si>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</si>
  <si>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</si>
  <si>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</si>
  <si>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</si>
  <si>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</si>
  <si>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</si>
  <si>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</si>
  <si>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</si>
  <si>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</si>
  <si>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</si>
  <si>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</si>
  <si>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</si>
  <si>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</si>
  <si>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</si>
  <si>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1157</t>
  </si>
  <si>
    <t>3669</t>
  </si>
  <si>
    <t>1488</t>
  </si>
  <si>
    <t>4506</t>
  </si>
  <si>
    <t>3501</t>
  </si>
  <si>
    <t>3431</t>
  </si>
  <si>
    <t>3355</t>
  </si>
  <si>
    <t>3839</t>
  </si>
  <si>
    <t>2301</t>
  </si>
  <si>
    <t>4346</t>
  </si>
  <si>
    <t>4513</t>
  </si>
  <si>
    <t>2116</t>
  </si>
  <si>
    <t>4166</t>
  </si>
  <si>
    <t>1323</t>
  </si>
  <si>
    <t>4664</t>
  </si>
  <si>
    <t>3262</t>
  </si>
  <si>
    <t>3702</t>
  </si>
  <si>
    <t>0341</t>
  </si>
  <si>
    <t>1973</t>
  </si>
  <si>
    <t>-0073</t>
  </si>
  <si>
    <t>-1115</t>
  </si>
  <si>
    <t>-0176</t>
  </si>
  <si>
    <t>-0374</t>
  </si>
  <si>
    <t>-0866</t>
  </si>
  <si>
    <t>-0710</t>
  </si>
  <si>
    <t>-1550</t>
  </si>
  <si>
    <t>-0433</t>
  </si>
  <si>
    <t>-0885</t>
  </si>
  <si>
    <t>0757</t>
  </si>
  <si>
    <t>-1422</t>
  </si>
  <si>
    <t>-1350</t>
  </si>
  <si>
    <t>-1443</t>
  </si>
  <si>
    <t>1082</t>
  </si>
  <si>
    <t>0333</t>
  </si>
  <si>
    <t>-1007</t>
  </si>
  <si>
    <t>-1082</t>
  </si>
  <si>
    <t>-2848</t>
  </si>
  <si>
    <t>-1828</t>
  </si>
  <si>
    <t>1196</t>
  </si>
  <si>
    <t>-2140</t>
  </si>
  <si>
    <t>2319</t>
  </si>
  <si>
    <t>2086</t>
  </si>
  <si>
    <t>0408</t>
  </si>
  <si>
    <t>-0395</t>
  </si>
  <si>
    <t>2736</t>
  </si>
  <si>
    <t>1276</t>
  </si>
  <si>
    <t>0353</t>
  </si>
  <si>
    <t>1890</t>
  </si>
  <si>
    <t>0619</t>
  </si>
  <si>
    <t>2211</t>
  </si>
  <si>
    <t>1639</t>
  </si>
  <si>
    <t>1842</t>
  </si>
  <si>
    <t>2367</t>
  </si>
  <si>
    <t>2401</t>
  </si>
  <si>
    <t>3637</t>
  </si>
  <si>
    <t>3061</t>
  </si>
  <si>
    <t>1823</t>
  </si>
  <si>
    <t>2758</t>
  </si>
  <si>
    <t>-3347</t>
  </si>
  <si>
    <t>0867</t>
  </si>
  <si>
    <t>-2280</t>
  </si>
  <si>
    <t>-3524</t>
  </si>
  <si>
    <t>-3544</t>
  </si>
  <si>
    <t>-1715</t>
  </si>
  <si>
    <t>-1793</t>
  </si>
  <si>
    <t>-3292</t>
  </si>
  <si>
    <t>-2509</t>
  </si>
  <si>
    <t>-3883</t>
  </si>
  <si>
    <t>-4468</t>
  </si>
  <si>
    <t>-4637</t>
  </si>
  <si>
    <t>-1514</t>
  </si>
  <si>
    <t>-4168</t>
  </si>
  <si>
    <t>-2144</t>
  </si>
  <si>
    <t>-1529</t>
  </si>
  <si>
    <t>-2236</t>
  </si>
  <si>
    <t>-2523</t>
  </si>
  <si>
    <t>-1770</t>
  </si>
  <si>
    <t>-3007</t>
  </si>
  <si>
    <t>-2445</t>
  </si>
  <si>
    <t>-3345</t>
  </si>
  <si>
    <t>-3726</t>
  </si>
  <si>
    <t>-3824</t>
  </si>
  <si>
    <t>-4679</t>
  </si>
  <si>
    <t>-3086</t>
  </si>
  <si>
    <t>0275</t>
  </si>
  <si>
    <t>-0910</t>
  </si>
  <si>
    <t>0390</t>
  </si>
  <si>
    <t>-3863</t>
  </si>
  <si>
    <t>2684</t>
  </si>
  <si>
    <t>-3366</t>
  </si>
  <si>
    <t>0469</t>
  </si>
  <si>
    <t>0962</t>
  </si>
  <si>
    <t>-0970</t>
  </si>
  <si>
    <t>1618</t>
  </si>
  <si>
    <t>-3950</t>
  </si>
  <si>
    <t>1138</t>
  </si>
  <si>
    <t>-3506</t>
  </si>
  <si>
    <t>-4391</t>
  </si>
  <si>
    <t>-4059</t>
  </si>
  <si>
    <t>1991</t>
  </si>
  <si>
    <t>2201</t>
  </si>
  <si>
    <t>2881</t>
  </si>
  <si>
    <t>-4152</t>
  </si>
  <si>
    <t>0853</t>
  </si>
  <si>
    <t>-2559</t>
  </si>
  <si>
    <t>4613</t>
  </si>
  <si>
    <t>-0947</t>
  </si>
  <si>
    <t>-0845</t>
  </si>
  <si>
    <t>-0780</t>
  </si>
  <si>
    <t>1743</t>
  </si>
  <si>
    <t>3784</t>
  </si>
  <si>
    <t>0579</t>
  </si>
  <si>
    <t>3887</t>
  </si>
  <si>
    <t>4266</t>
  </si>
  <si>
    <t>-1481</t>
  </si>
  <si>
    <t>2362</t>
  </si>
  <si>
    <t>-0511</t>
  </si>
  <si>
    <t>1759</t>
  </si>
  <si>
    <t>-1208</t>
  </si>
  <si>
    <t>1470</t>
  </si>
  <si>
    <t>1564</t>
  </si>
  <si>
    <t>-1945</t>
  </si>
  <si>
    <t>2826</t>
  </si>
  <si>
    <t>-3271</t>
  </si>
  <si>
    <t>-3209</t>
  </si>
  <si>
    <t>4632</t>
  </si>
  <si>
    <t>-3712</t>
  </si>
  <si>
    <t>3469</t>
  </si>
  <si>
    <t>3730</t>
  </si>
  <si>
    <t>-2178</t>
  </si>
  <si>
    <t>1217</t>
  </si>
  <si>
    <t>-2542</t>
  </si>
  <si>
    <t>-1188</t>
  </si>
  <si>
    <t>2304</t>
  </si>
  <si>
    <t>1474</t>
  </si>
  <si>
    <t>0529</t>
  </si>
  <si>
    <t>-1362</t>
  </si>
  <si>
    <t>-1027</t>
  </si>
  <si>
    <t>-0054</t>
  </si>
  <si>
    <t>-0061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</si>
  <si>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</si>
  <si>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</si>
  <si>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</si>
  <si>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</si>
  <si>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</si>
  <si>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</si>
  <si>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</si>
  <si>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</si>
  <si>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</si>
  <si>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</si>
  <si>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</si>
  <si>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</si>
  <si>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</si>
  <si>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</si>
  <si>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</si>
  <si>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</si>
  <si>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</si>
  <si>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</si>
  <si>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</si>
  <si>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</si>
  <si>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</si>
  <si>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</si>
  <si>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</si>
  <si>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</si>
  <si>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</si>
  <si>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-0298</t>
  </si>
  <si>
    <t>-1909</t>
  </si>
  <si>
    <t>0297</t>
  </si>
  <si>
    <t>-3860</t>
  </si>
  <si>
    <t>2345</t>
  </si>
  <si>
    <t>-2312</t>
  </si>
  <si>
    <t>3064</t>
  </si>
  <si>
    <t>3133</t>
  </si>
  <si>
    <t>1190</t>
  </si>
  <si>
    <t>2865</t>
  </si>
  <si>
    <t>0580</t>
  </si>
  <si>
    <t>0379</t>
  </si>
  <si>
    <t>3847</t>
  </si>
  <si>
    <t>-1313</t>
  </si>
  <si>
    <t>2419</t>
  </si>
  <si>
    <t>-1176</t>
  </si>
  <si>
    <t>0604</t>
  </si>
  <si>
    <t>-2438</t>
  </si>
  <si>
    <t>-2182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</si>
  <si>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</si>
  <si>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</si>
  <si>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</si>
  <si>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</si>
  <si>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</si>
  <si>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</si>
  <si>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</si>
  <si>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</si>
  <si>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</si>
  <si>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</si>
  <si>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</si>
  <si>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</si>
  <si>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</si>
  <si>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</si>
  <si>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</si>
  <si>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</si>
  <si>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</si>
  <si>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</si>
  <si>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</si>
  <si>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</si>
  <si>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</si>
  <si>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</si>
  <si>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</si>
  <si>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</si>
  <si>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</si>
  <si>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</si>
  <si>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</si>
  <si>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</si>
  <si>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</si>
  <si>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</si>
  <si>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</si>
  <si>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</si>
  <si>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</si>
  <si>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</si>
  <si>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</si>
  <si>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</si>
  <si>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{ name: "Lookout Landing"</t>
  </si>
  <si>
    <t xml:space="preserve"> type: "Tower"</t>
  </si>
  <si>
    <t xml:space="preserve"> region: 1</t>
  </si>
  <si>
    <t xml:space="preserve"> level: "Surface"</t>
  </si>
  <si>
    <t xml:space="preserve"> x: -298</t>
  </si>
  <si>
    <t xml:space="preserve"> y: 142</t>
  </si>
  <si>
    <t xml:space="preserve"> z: 25</t>
  </si>
  <si>
    <t xml:space="preserve"> details: ""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</si>
</sst>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Fill="1"/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3" fillId="0" borderId="0" xfId="0" applyFont="1" applyFill="1" applyAlignment="1">
      <alignment vertical="center"/>
    </xf>
    <xf numFmtId="0" fontId="4" fillId="0" borderId="0" xfId="0" applyFont="1" applyFill="1"/>
    <xf numFmtId="0" fontId="8" fillId="0" borderId="0" xfId="0" applyFont="1" applyFill="1"/>
    <xf numFmtId="0" fontId="9" fillId="0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5"/>
  </cols>
  <sheetData>
    <row r="1" spans="1:7" x14ac:dyDescent="0.2">
      <c r="A1" s="6" t="s">
        <v>1220</v>
      </c>
      <c r="B1" s="4" t="s">
        <v>5073</v>
      </c>
      <c r="C1" s="4" t="s">
        <v>5067</v>
      </c>
      <c r="D1" s="14" t="s">
        <v>5069</v>
      </c>
      <c r="E1" s="14" t="s">
        <v>5068</v>
      </c>
    </row>
    <row r="2" spans="1:7" x14ac:dyDescent="0.2">
      <c r="A2" t="s">
        <v>5066</v>
      </c>
      <c r="C2" s="2">
        <v>900</v>
      </c>
      <c r="D2" s="15">
        <v>4.0000000000000002E-4</v>
      </c>
      <c r="E2" s="15">
        <f>C2*D2</f>
        <v>0.36000000000000004</v>
      </c>
    </row>
    <row r="3" spans="1:7" x14ac:dyDescent="0.2">
      <c r="A3" t="s">
        <v>5070</v>
      </c>
      <c r="B3" s="2">
        <f>COUNTA('Named Locations'!A2:A1999)</f>
        <v>990</v>
      </c>
      <c r="C3" s="2">
        <v>700</v>
      </c>
      <c r="D3" s="15">
        <v>4.0000000000000002E-4</v>
      </c>
      <c r="E3" s="15">
        <f>C3*D3</f>
        <v>0.28000000000000003</v>
      </c>
      <c r="G3" t="s">
        <v>5077</v>
      </c>
    </row>
    <row r="4" spans="1:7" x14ac:dyDescent="0.2">
      <c r="A4" t="s">
        <v>1218</v>
      </c>
      <c r="B4" s="2">
        <f>COUNTA(Caves!B3:B1000)</f>
        <v>147</v>
      </c>
      <c r="C4" s="2">
        <v>194</v>
      </c>
      <c r="D4" s="15">
        <v>4.0000000000000002E-4</v>
      </c>
      <c r="E4" s="15">
        <f>C4*D4</f>
        <v>7.7600000000000002E-2</v>
      </c>
    </row>
    <row r="5" spans="1:7" x14ac:dyDescent="0.2">
      <c r="A5" t="s">
        <v>5071</v>
      </c>
      <c r="B5" s="16">
        <v>152</v>
      </c>
      <c r="C5" s="16">
        <v>152</v>
      </c>
      <c r="D5" s="15">
        <v>4.0000000000000002E-4</v>
      </c>
      <c r="E5" s="15">
        <f t="shared" ref="E5:E18" si="0">C5*D5</f>
        <v>6.08E-2</v>
      </c>
    </row>
    <row r="6" spans="1:7" x14ac:dyDescent="0.2">
      <c r="A6" t="s">
        <v>5072</v>
      </c>
      <c r="B6" s="16">
        <v>120</v>
      </c>
      <c r="C6" s="16">
        <v>120</v>
      </c>
      <c r="D6" s="15">
        <v>4.0000000000000002E-4</v>
      </c>
      <c r="E6" s="15">
        <f t="shared" si="0"/>
        <v>4.8000000000000001E-2</v>
      </c>
    </row>
    <row r="7" spans="1:7" x14ac:dyDescent="0.2">
      <c r="A7" t="s">
        <v>5074</v>
      </c>
      <c r="C7" s="2">
        <v>58</v>
      </c>
      <c r="D7" s="15">
        <v>4.0000000000000002E-4</v>
      </c>
      <c r="E7" s="15">
        <f t="shared" si="0"/>
        <v>2.3200000000000002E-2</v>
      </c>
    </row>
    <row r="8" spans="1:7" x14ac:dyDescent="0.2">
      <c r="A8" t="s">
        <v>5075</v>
      </c>
      <c r="B8" s="2">
        <v>28</v>
      </c>
      <c r="C8" s="2">
        <v>35</v>
      </c>
      <c r="D8" s="15">
        <v>4.0000000000000002E-4</v>
      </c>
      <c r="E8" s="15">
        <f t="shared" si="0"/>
        <v>1.4E-2</v>
      </c>
    </row>
    <row r="9" spans="1:7" x14ac:dyDescent="0.2">
      <c r="A9" t="s">
        <v>5076</v>
      </c>
      <c r="C9" s="2">
        <v>35</v>
      </c>
      <c r="D9" s="15">
        <v>4.0000000000000002E-4</v>
      </c>
      <c r="E9" s="15">
        <f t="shared" si="0"/>
        <v>1.4E-2</v>
      </c>
      <c r="G9" t="s">
        <v>5077</v>
      </c>
    </row>
    <row r="10" spans="1:7" x14ac:dyDescent="0.2">
      <c r="A10" t="s">
        <v>5078</v>
      </c>
      <c r="C10" s="2">
        <v>43</v>
      </c>
      <c r="D10" s="15">
        <v>4.0000000000000002E-4</v>
      </c>
      <c r="E10" s="15">
        <f t="shared" si="0"/>
        <v>1.72E-2</v>
      </c>
      <c r="G10" t="s">
        <v>5077</v>
      </c>
    </row>
    <row r="11" spans="1:7" x14ac:dyDescent="0.2">
      <c r="A11" t="s">
        <v>5079</v>
      </c>
      <c r="B11" s="16">
        <v>30</v>
      </c>
      <c r="C11" s="16">
        <v>30</v>
      </c>
      <c r="D11" s="15">
        <v>4.0000000000000002E-4</v>
      </c>
      <c r="E11" s="15">
        <f t="shared" si="0"/>
        <v>1.2E-2</v>
      </c>
    </row>
    <row r="12" spans="1:7" x14ac:dyDescent="0.2">
      <c r="A12" t="s">
        <v>5080</v>
      </c>
      <c r="C12" s="2">
        <v>15</v>
      </c>
      <c r="D12" s="15">
        <v>4.0000000000000002E-4</v>
      </c>
      <c r="E12" s="15">
        <f t="shared" si="0"/>
        <v>6.0000000000000001E-3</v>
      </c>
    </row>
    <row r="13" spans="1:7" x14ac:dyDescent="0.2">
      <c r="A13" t="s">
        <v>5081</v>
      </c>
      <c r="C13" s="2">
        <v>14</v>
      </c>
      <c r="D13" s="15">
        <v>4.0000000000000002E-4</v>
      </c>
      <c r="E13" s="15">
        <f t="shared" si="0"/>
        <v>5.5999999999999999E-3</v>
      </c>
    </row>
    <row r="14" spans="1:7" x14ac:dyDescent="0.2">
      <c r="A14" t="s">
        <v>5082</v>
      </c>
      <c r="C14" s="2">
        <v>12</v>
      </c>
      <c r="D14" s="15">
        <v>4.0000000000000002E-4</v>
      </c>
      <c r="E14" s="15">
        <f t="shared" si="0"/>
        <v>4.8000000000000004E-3</v>
      </c>
    </row>
    <row r="15" spans="1:7" x14ac:dyDescent="0.2">
      <c r="A15" t="s">
        <v>5083</v>
      </c>
      <c r="C15" s="2">
        <v>12</v>
      </c>
      <c r="D15" s="15">
        <v>4.0000000000000002E-4</v>
      </c>
      <c r="E15" s="15">
        <f t="shared" si="0"/>
        <v>4.8000000000000004E-3</v>
      </c>
    </row>
    <row r="16" spans="1:7" x14ac:dyDescent="0.2">
      <c r="A16" t="s">
        <v>5084</v>
      </c>
      <c r="C16" s="2">
        <v>5</v>
      </c>
      <c r="D16" s="15">
        <v>4.0000000000000002E-4</v>
      </c>
      <c r="E16" s="15">
        <f t="shared" si="0"/>
        <v>2E-3</v>
      </c>
    </row>
    <row r="17" spans="5:5" x14ac:dyDescent="0.2">
      <c r="E17" s="15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G121"/>
  <sheetViews>
    <sheetView workbookViewId="0">
      <selection activeCell="B2" sqref="B2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7" max="7" width="21.5" bestFit="1" customWidth="1"/>
  </cols>
  <sheetData>
    <row r="1" spans="1:7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  <c r="G1" s="6" t="s">
        <v>5137</v>
      </c>
    </row>
    <row r="2" spans="1:7" x14ac:dyDescent="0.2">
      <c r="A2" s="1" t="s">
        <v>4592</v>
      </c>
      <c r="B2" t="s">
        <v>2173</v>
      </c>
      <c r="C2" t="s">
        <v>1733</v>
      </c>
      <c r="D2" t="s">
        <v>4931</v>
      </c>
      <c r="E2" t="s">
        <v>4932</v>
      </c>
      <c r="F2" t="s">
        <v>4711</v>
      </c>
      <c r="G2" t="s">
        <v>4920</v>
      </c>
    </row>
    <row r="3" spans="1:7" x14ac:dyDescent="0.2">
      <c r="A3" s="1" t="s">
        <v>4593</v>
      </c>
      <c r="B3" t="s">
        <v>2173</v>
      </c>
      <c r="C3" t="s">
        <v>1733</v>
      </c>
      <c r="D3" t="s">
        <v>3643</v>
      </c>
      <c r="E3" t="s">
        <v>4942</v>
      </c>
      <c r="F3" t="s">
        <v>4712</v>
      </c>
      <c r="G3" t="s">
        <v>4924</v>
      </c>
    </row>
    <row r="4" spans="1:7" x14ac:dyDescent="0.2">
      <c r="A4" s="1" t="s">
        <v>4594</v>
      </c>
      <c r="B4" t="s">
        <v>2173</v>
      </c>
      <c r="C4" t="s">
        <v>1733</v>
      </c>
      <c r="D4" t="s">
        <v>4940</v>
      </c>
      <c r="E4" t="s">
        <v>4941</v>
      </c>
      <c r="F4" t="s">
        <v>4713</v>
      </c>
      <c r="G4" t="s">
        <v>4923</v>
      </c>
    </row>
    <row r="5" spans="1:7" x14ac:dyDescent="0.2">
      <c r="A5" s="1" t="s">
        <v>4595</v>
      </c>
      <c r="B5" t="s">
        <v>2173</v>
      </c>
      <c r="C5" t="s">
        <v>1733</v>
      </c>
      <c r="D5" t="s">
        <v>4935</v>
      </c>
      <c r="E5" t="s">
        <v>3967</v>
      </c>
      <c r="F5" t="s">
        <v>3939</v>
      </c>
      <c r="G5" t="s">
        <v>4922</v>
      </c>
    </row>
    <row r="6" spans="1:7" x14ac:dyDescent="0.2">
      <c r="A6" s="1" t="s">
        <v>4596</v>
      </c>
      <c r="B6" t="s">
        <v>2173</v>
      </c>
      <c r="C6" t="s">
        <v>1733</v>
      </c>
      <c r="D6" t="s">
        <v>4933</v>
      </c>
      <c r="E6" t="s">
        <v>4934</v>
      </c>
      <c r="F6" t="s">
        <v>4714</v>
      </c>
      <c r="G6" t="s">
        <v>4916</v>
      </c>
    </row>
    <row r="7" spans="1:7" x14ac:dyDescent="0.2">
      <c r="A7" s="1" t="s">
        <v>4597</v>
      </c>
      <c r="B7" t="s">
        <v>2173</v>
      </c>
      <c r="C7" t="s">
        <v>1733</v>
      </c>
      <c r="D7" t="s">
        <v>4981</v>
      </c>
      <c r="E7" t="s">
        <v>4982</v>
      </c>
      <c r="F7" t="s">
        <v>4715</v>
      </c>
      <c r="G7" t="s">
        <v>4906</v>
      </c>
    </row>
    <row r="8" spans="1:7" x14ac:dyDescent="0.2">
      <c r="A8" s="1" t="s">
        <v>4598</v>
      </c>
      <c r="B8" t="s">
        <v>2173</v>
      </c>
      <c r="C8" t="s">
        <v>1733</v>
      </c>
      <c r="D8" t="s">
        <v>790</v>
      </c>
      <c r="E8" t="s">
        <v>791</v>
      </c>
      <c r="F8" t="s">
        <v>4716</v>
      </c>
      <c r="G8" t="s">
        <v>4905</v>
      </c>
    </row>
    <row r="9" spans="1:7" x14ac:dyDescent="0.2">
      <c r="A9" s="1" t="s">
        <v>4599</v>
      </c>
      <c r="B9" t="s">
        <v>2173</v>
      </c>
      <c r="C9" t="s">
        <v>1733</v>
      </c>
      <c r="D9" t="s">
        <v>1606</v>
      </c>
      <c r="E9" t="s">
        <v>1083</v>
      </c>
      <c r="F9" t="s">
        <v>1649</v>
      </c>
      <c r="G9" t="s">
        <v>4910</v>
      </c>
    </row>
    <row r="10" spans="1:7" x14ac:dyDescent="0.2">
      <c r="A10" s="1" t="s">
        <v>4600</v>
      </c>
      <c r="B10" t="s">
        <v>2173</v>
      </c>
      <c r="C10" t="s">
        <v>1733</v>
      </c>
      <c r="D10" t="s">
        <v>4938</v>
      </c>
      <c r="E10" t="s">
        <v>4939</v>
      </c>
      <c r="F10" t="s">
        <v>4717</v>
      </c>
      <c r="G10" t="s">
        <v>4913</v>
      </c>
    </row>
    <row r="11" spans="1:7" x14ac:dyDescent="0.2">
      <c r="A11" s="1" t="s">
        <v>4601</v>
      </c>
      <c r="B11" t="s">
        <v>2173</v>
      </c>
      <c r="C11" t="s">
        <v>1733</v>
      </c>
      <c r="D11" t="s">
        <v>4936</v>
      </c>
      <c r="E11" t="s">
        <v>4937</v>
      </c>
      <c r="F11" t="s">
        <v>3453</v>
      </c>
      <c r="G11" t="s">
        <v>4918</v>
      </c>
    </row>
    <row r="12" spans="1:7" x14ac:dyDescent="0.2">
      <c r="A12" s="1" t="s">
        <v>4602</v>
      </c>
      <c r="B12" t="s">
        <v>2173</v>
      </c>
      <c r="C12" t="s">
        <v>1733</v>
      </c>
      <c r="D12" t="s">
        <v>4330</v>
      </c>
      <c r="E12" t="s">
        <v>3940</v>
      </c>
      <c r="F12" t="s">
        <v>4718</v>
      </c>
      <c r="G12" t="s">
        <v>4912</v>
      </c>
    </row>
    <row r="13" spans="1:7" x14ac:dyDescent="0.2">
      <c r="A13" s="1" t="s">
        <v>4603</v>
      </c>
      <c r="B13" t="s">
        <v>809</v>
      </c>
      <c r="C13" t="s">
        <v>1733</v>
      </c>
      <c r="D13" t="s">
        <v>3922</v>
      </c>
      <c r="E13" t="s">
        <v>4271</v>
      </c>
      <c r="F13" t="s">
        <v>3281</v>
      </c>
      <c r="G13" t="s">
        <v>4892</v>
      </c>
    </row>
    <row r="14" spans="1:7" x14ac:dyDescent="0.2">
      <c r="A14" s="1" t="s">
        <v>4604</v>
      </c>
      <c r="B14" t="s">
        <v>809</v>
      </c>
      <c r="C14" t="s">
        <v>1733</v>
      </c>
      <c r="D14" t="s">
        <v>4969</v>
      </c>
      <c r="E14" t="s">
        <v>4970</v>
      </c>
      <c r="F14" t="s">
        <v>4719</v>
      </c>
      <c r="G14" t="s">
        <v>4879</v>
      </c>
    </row>
    <row r="15" spans="1:7" x14ac:dyDescent="0.2">
      <c r="A15" s="1" t="s">
        <v>4605</v>
      </c>
      <c r="B15" t="s">
        <v>809</v>
      </c>
      <c r="C15" t="s">
        <v>1733</v>
      </c>
      <c r="D15" t="s">
        <v>865</v>
      </c>
      <c r="E15" t="s">
        <v>4967</v>
      </c>
      <c r="F15" t="s">
        <v>4720</v>
      </c>
      <c r="G15" t="s">
        <v>4859</v>
      </c>
    </row>
    <row r="16" spans="1:7" x14ac:dyDescent="0.2">
      <c r="A16" s="1" t="s">
        <v>4606</v>
      </c>
      <c r="B16" t="s">
        <v>809</v>
      </c>
      <c r="C16" t="s">
        <v>1733</v>
      </c>
      <c r="D16" t="s">
        <v>874</v>
      </c>
      <c r="E16" t="s">
        <v>875</v>
      </c>
      <c r="F16" t="s">
        <v>4721</v>
      </c>
      <c r="G16" t="s">
        <v>4858</v>
      </c>
    </row>
    <row r="17" spans="1:7" x14ac:dyDescent="0.2">
      <c r="A17" s="1" t="s">
        <v>4607</v>
      </c>
      <c r="B17" t="s">
        <v>809</v>
      </c>
      <c r="C17" t="s">
        <v>1733</v>
      </c>
      <c r="D17" t="s">
        <v>838</v>
      </c>
      <c r="E17" t="s">
        <v>4954</v>
      </c>
      <c r="F17" t="s">
        <v>3360</v>
      </c>
      <c r="G17" t="s">
        <v>4834</v>
      </c>
    </row>
    <row r="18" spans="1:7" x14ac:dyDescent="0.2">
      <c r="A18" s="1" t="s">
        <v>4608</v>
      </c>
      <c r="B18" t="s">
        <v>809</v>
      </c>
      <c r="C18" t="s">
        <v>1733</v>
      </c>
      <c r="D18" t="s">
        <v>4963</v>
      </c>
      <c r="E18" t="s">
        <v>4964</v>
      </c>
      <c r="F18" t="s">
        <v>4722</v>
      </c>
      <c r="G18" t="s">
        <v>4836</v>
      </c>
    </row>
    <row r="19" spans="1:7" x14ac:dyDescent="0.2">
      <c r="A19" s="1" t="s">
        <v>4609</v>
      </c>
      <c r="B19" t="s">
        <v>809</v>
      </c>
      <c r="C19" t="s">
        <v>1733</v>
      </c>
      <c r="D19" t="s">
        <v>3663</v>
      </c>
      <c r="E19" t="s">
        <v>3542</v>
      </c>
      <c r="F19" t="s">
        <v>3861</v>
      </c>
      <c r="G19" t="s">
        <v>4822</v>
      </c>
    </row>
    <row r="20" spans="1:7" x14ac:dyDescent="0.2">
      <c r="A20" s="1" t="s">
        <v>4610</v>
      </c>
      <c r="B20" t="s">
        <v>809</v>
      </c>
      <c r="C20" t="s">
        <v>1733</v>
      </c>
      <c r="D20" t="s">
        <v>4962</v>
      </c>
      <c r="E20" t="s">
        <v>857</v>
      </c>
      <c r="F20" t="s">
        <v>4723</v>
      </c>
      <c r="G20" t="s">
        <v>4808</v>
      </c>
    </row>
    <row r="21" spans="1:7" x14ac:dyDescent="0.2">
      <c r="A21" s="1" t="s">
        <v>4611</v>
      </c>
      <c r="B21" t="s">
        <v>809</v>
      </c>
      <c r="C21" t="s">
        <v>1733</v>
      </c>
      <c r="D21" t="s">
        <v>861</v>
      </c>
      <c r="E21" t="s">
        <v>3315</v>
      </c>
      <c r="F21" t="s">
        <v>4724</v>
      </c>
      <c r="G21" t="s">
        <v>4805</v>
      </c>
    </row>
    <row r="22" spans="1:7" x14ac:dyDescent="0.2">
      <c r="A22" s="1" t="s">
        <v>4612</v>
      </c>
      <c r="B22" t="s">
        <v>809</v>
      </c>
      <c r="C22" t="s">
        <v>1733</v>
      </c>
      <c r="D22" t="s">
        <v>4965</v>
      </c>
      <c r="E22" t="s">
        <v>2027</v>
      </c>
      <c r="F22" t="s">
        <v>4725</v>
      </c>
      <c r="G22" t="s">
        <v>4797</v>
      </c>
    </row>
    <row r="23" spans="1:7" x14ac:dyDescent="0.2">
      <c r="A23" s="1" t="s">
        <v>4613</v>
      </c>
      <c r="B23" t="s">
        <v>809</v>
      </c>
      <c r="C23" t="s">
        <v>1733</v>
      </c>
      <c r="D23" t="s">
        <v>4955</v>
      </c>
      <c r="E23" t="s">
        <v>4956</v>
      </c>
      <c r="F23" t="s">
        <v>4726</v>
      </c>
      <c r="G23" t="s">
        <v>4800</v>
      </c>
    </row>
    <row r="24" spans="1:7" x14ac:dyDescent="0.2">
      <c r="A24" s="1" t="s">
        <v>4614</v>
      </c>
      <c r="B24" t="s">
        <v>809</v>
      </c>
      <c r="C24" t="s">
        <v>1733</v>
      </c>
      <c r="D24" t="s">
        <v>4957</v>
      </c>
      <c r="E24" t="s">
        <v>843</v>
      </c>
      <c r="F24" t="s">
        <v>3360</v>
      </c>
      <c r="G24" t="s">
        <v>4796</v>
      </c>
    </row>
    <row r="25" spans="1:7" x14ac:dyDescent="0.2">
      <c r="A25" s="1" t="s">
        <v>4615</v>
      </c>
      <c r="B25" t="s">
        <v>809</v>
      </c>
      <c r="C25" t="s">
        <v>1733</v>
      </c>
      <c r="D25" t="s">
        <v>4961</v>
      </c>
      <c r="E25" t="s">
        <v>3832</v>
      </c>
      <c r="F25" t="s">
        <v>4727</v>
      </c>
      <c r="G25" t="s">
        <v>4795</v>
      </c>
    </row>
    <row r="26" spans="1:7" x14ac:dyDescent="0.2">
      <c r="A26" s="1" t="s">
        <v>4616</v>
      </c>
      <c r="B26" t="s">
        <v>809</v>
      </c>
      <c r="C26" t="s">
        <v>1733</v>
      </c>
      <c r="D26" t="s">
        <v>4950</v>
      </c>
      <c r="E26" t="s">
        <v>4951</v>
      </c>
      <c r="F26" t="s">
        <v>4726</v>
      </c>
      <c r="G26" t="s">
        <v>4807</v>
      </c>
    </row>
    <row r="27" spans="1:7" x14ac:dyDescent="0.2">
      <c r="A27" s="1" t="s">
        <v>4617</v>
      </c>
      <c r="B27" t="s">
        <v>809</v>
      </c>
      <c r="C27" t="s">
        <v>1733</v>
      </c>
      <c r="D27" t="s">
        <v>4947</v>
      </c>
      <c r="E27" t="s">
        <v>821</v>
      </c>
      <c r="F27" t="s">
        <v>4728</v>
      </c>
      <c r="G27" t="s">
        <v>4813</v>
      </c>
    </row>
    <row r="28" spans="1:7" x14ac:dyDescent="0.2">
      <c r="A28" s="1" t="s">
        <v>4618</v>
      </c>
      <c r="B28" t="s">
        <v>809</v>
      </c>
      <c r="C28" t="s">
        <v>1733</v>
      </c>
      <c r="D28" t="s">
        <v>4945</v>
      </c>
      <c r="E28" t="s">
        <v>4946</v>
      </c>
      <c r="F28" t="s">
        <v>4729</v>
      </c>
      <c r="G28" t="s">
        <v>4825</v>
      </c>
    </row>
    <row r="29" spans="1:7" x14ac:dyDescent="0.2">
      <c r="A29" s="1" t="s">
        <v>4619</v>
      </c>
      <c r="B29" t="s">
        <v>809</v>
      </c>
      <c r="C29" t="s">
        <v>1733</v>
      </c>
      <c r="D29" t="s">
        <v>830</v>
      </c>
      <c r="E29" t="s">
        <v>4949</v>
      </c>
      <c r="F29" t="s">
        <v>4730</v>
      </c>
      <c r="G29" t="s">
        <v>4818</v>
      </c>
    </row>
    <row r="30" spans="1:7" x14ac:dyDescent="0.2">
      <c r="A30" s="1" t="s">
        <v>4620</v>
      </c>
      <c r="B30" t="s">
        <v>809</v>
      </c>
      <c r="C30" t="s">
        <v>1733</v>
      </c>
      <c r="D30" t="s">
        <v>848</v>
      </c>
      <c r="E30" t="s">
        <v>4960</v>
      </c>
      <c r="F30" t="s">
        <v>4731</v>
      </c>
      <c r="G30" t="s">
        <v>4833</v>
      </c>
    </row>
    <row r="31" spans="1:7" x14ac:dyDescent="0.2">
      <c r="A31" s="1" t="s">
        <v>4621</v>
      </c>
      <c r="B31" t="s">
        <v>809</v>
      </c>
      <c r="C31" t="s">
        <v>1733</v>
      </c>
      <c r="D31" t="s">
        <v>828</v>
      </c>
      <c r="E31" t="s">
        <v>4948</v>
      </c>
      <c r="F31" t="s">
        <v>2921</v>
      </c>
      <c r="G31" t="s">
        <v>4837</v>
      </c>
    </row>
    <row r="32" spans="1:7" x14ac:dyDescent="0.2">
      <c r="A32" s="1" t="s">
        <v>4622</v>
      </c>
      <c r="B32" t="s">
        <v>809</v>
      </c>
      <c r="C32" t="s">
        <v>1733</v>
      </c>
      <c r="D32" t="s">
        <v>833</v>
      </c>
      <c r="E32" t="s">
        <v>4952</v>
      </c>
      <c r="F32" t="s">
        <v>4732</v>
      </c>
      <c r="G32" t="s">
        <v>4824</v>
      </c>
    </row>
    <row r="33" spans="1:7" x14ac:dyDescent="0.2">
      <c r="A33" s="1" t="s">
        <v>4623</v>
      </c>
      <c r="B33" t="s">
        <v>809</v>
      </c>
      <c r="C33" t="s">
        <v>1733</v>
      </c>
      <c r="D33" t="s">
        <v>4953</v>
      </c>
      <c r="E33" t="s">
        <v>3124</v>
      </c>
      <c r="F33" t="s">
        <v>4733</v>
      </c>
      <c r="G33" t="s">
        <v>4838</v>
      </c>
    </row>
    <row r="34" spans="1:7" x14ac:dyDescent="0.2">
      <c r="A34" s="1" t="s">
        <v>4624</v>
      </c>
      <c r="B34" t="s">
        <v>809</v>
      </c>
      <c r="C34" t="s">
        <v>1733</v>
      </c>
      <c r="D34" t="s">
        <v>826</v>
      </c>
      <c r="E34" t="s">
        <v>827</v>
      </c>
      <c r="F34" t="s">
        <v>4734</v>
      </c>
      <c r="G34" t="s">
        <v>4849</v>
      </c>
    </row>
    <row r="35" spans="1:7" x14ac:dyDescent="0.2">
      <c r="A35" s="1" t="s">
        <v>4625</v>
      </c>
      <c r="B35" t="s">
        <v>809</v>
      </c>
      <c r="C35" t="s">
        <v>1733</v>
      </c>
      <c r="D35" t="s">
        <v>4959</v>
      </c>
      <c r="E35" t="s">
        <v>982</v>
      </c>
      <c r="F35" t="s">
        <v>1190</v>
      </c>
      <c r="G35" t="s">
        <v>4856</v>
      </c>
    </row>
    <row r="36" spans="1:7" x14ac:dyDescent="0.2">
      <c r="A36" s="1" t="s">
        <v>4626</v>
      </c>
      <c r="B36" t="s">
        <v>809</v>
      </c>
      <c r="C36" t="s">
        <v>1733</v>
      </c>
      <c r="D36" t="s">
        <v>852</v>
      </c>
      <c r="E36" t="s">
        <v>853</v>
      </c>
      <c r="F36" t="s">
        <v>3095</v>
      </c>
      <c r="G36" t="s">
        <v>4865</v>
      </c>
    </row>
    <row r="37" spans="1:7" x14ac:dyDescent="0.2">
      <c r="A37" s="1" t="s">
        <v>4627</v>
      </c>
      <c r="B37" t="s">
        <v>809</v>
      </c>
      <c r="C37" t="s">
        <v>1733</v>
      </c>
      <c r="D37" t="s">
        <v>839</v>
      </c>
      <c r="E37" t="s">
        <v>850</v>
      </c>
      <c r="F37" t="s">
        <v>3257</v>
      </c>
      <c r="G37" t="s">
        <v>4866</v>
      </c>
    </row>
    <row r="38" spans="1:7" x14ac:dyDescent="0.2">
      <c r="A38" s="1" t="s">
        <v>4628</v>
      </c>
      <c r="B38" t="s">
        <v>809</v>
      </c>
      <c r="C38" t="s">
        <v>1733</v>
      </c>
      <c r="D38" t="s">
        <v>3250</v>
      </c>
      <c r="E38" t="s">
        <v>4958</v>
      </c>
      <c r="F38" t="s">
        <v>4735</v>
      </c>
      <c r="G38" t="s">
        <v>4863</v>
      </c>
    </row>
    <row r="39" spans="1:7" x14ac:dyDescent="0.2">
      <c r="A39" s="1" t="s">
        <v>4629</v>
      </c>
      <c r="B39" t="s">
        <v>809</v>
      </c>
      <c r="C39" t="s">
        <v>1733</v>
      </c>
      <c r="D39" t="s">
        <v>823</v>
      </c>
      <c r="E39" t="s">
        <v>824</v>
      </c>
      <c r="F39" t="s">
        <v>1055</v>
      </c>
      <c r="G39" t="s">
        <v>4860</v>
      </c>
    </row>
    <row r="40" spans="1:7" x14ac:dyDescent="0.2">
      <c r="A40" s="1" t="s">
        <v>4630</v>
      </c>
      <c r="B40" t="s">
        <v>809</v>
      </c>
      <c r="C40" t="s">
        <v>1733</v>
      </c>
      <c r="D40" t="s">
        <v>4968</v>
      </c>
      <c r="E40" t="s">
        <v>2963</v>
      </c>
      <c r="F40" t="s">
        <v>4736</v>
      </c>
      <c r="G40" t="s">
        <v>4882</v>
      </c>
    </row>
    <row r="41" spans="1:7" x14ac:dyDescent="0.2">
      <c r="A41" s="1" t="s">
        <v>4631</v>
      </c>
      <c r="B41" t="s">
        <v>809</v>
      </c>
      <c r="C41" t="s">
        <v>1733</v>
      </c>
      <c r="D41" t="s">
        <v>4972</v>
      </c>
      <c r="E41" t="s">
        <v>4973</v>
      </c>
      <c r="F41" t="s">
        <v>4737</v>
      </c>
      <c r="G41" t="s">
        <v>4876</v>
      </c>
    </row>
    <row r="42" spans="1:7" x14ac:dyDescent="0.2">
      <c r="A42" s="1" t="s">
        <v>4632</v>
      </c>
      <c r="B42" t="s">
        <v>809</v>
      </c>
      <c r="C42" t="s">
        <v>1733</v>
      </c>
      <c r="D42" t="s">
        <v>1070</v>
      </c>
      <c r="E42" t="s">
        <v>4966</v>
      </c>
      <c r="F42" t="s">
        <v>4737</v>
      </c>
      <c r="G42" t="s">
        <v>4881</v>
      </c>
    </row>
    <row r="43" spans="1:7" x14ac:dyDescent="0.2">
      <c r="A43" s="1" t="s">
        <v>4633</v>
      </c>
      <c r="B43" t="s">
        <v>809</v>
      </c>
      <c r="C43" t="s">
        <v>1733</v>
      </c>
      <c r="D43" t="s">
        <v>4974</v>
      </c>
      <c r="E43" t="s">
        <v>4975</v>
      </c>
      <c r="F43" t="s">
        <v>4541</v>
      </c>
      <c r="G43" t="s">
        <v>4885</v>
      </c>
    </row>
    <row r="44" spans="1:7" x14ac:dyDescent="0.2">
      <c r="A44" s="1" t="s">
        <v>4634</v>
      </c>
      <c r="B44" t="s">
        <v>2324</v>
      </c>
      <c r="C44" t="s">
        <v>1733</v>
      </c>
      <c r="D44" t="s">
        <v>3847</v>
      </c>
      <c r="E44" t="s">
        <v>4971</v>
      </c>
      <c r="F44" t="s">
        <v>4738</v>
      </c>
      <c r="G44" t="s">
        <v>4878</v>
      </c>
    </row>
    <row r="45" spans="1:7" x14ac:dyDescent="0.2">
      <c r="A45" s="1" t="s">
        <v>4635</v>
      </c>
      <c r="B45" t="s">
        <v>2324</v>
      </c>
      <c r="C45" t="s">
        <v>1733</v>
      </c>
      <c r="D45" t="s">
        <v>884</v>
      </c>
      <c r="E45" t="s">
        <v>4976</v>
      </c>
      <c r="F45" t="s">
        <v>2844</v>
      </c>
      <c r="G45" t="s">
        <v>4889</v>
      </c>
    </row>
    <row r="46" spans="1:7" x14ac:dyDescent="0.2">
      <c r="A46" s="1" t="s">
        <v>4636</v>
      </c>
      <c r="B46" t="s">
        <v>2324</v>
      </c>
      <c r="C46" t="s">
        <v>1733</v>
      </c>
      <c r="D46" t="s">
        <v>4342</v>
      </c>
      <c r="E46" t="s">
        <v>909</v>
      </c>
      <c r="F46" t="s">
        <v>4739</v>
      </c>
      <c r="G46" t="s">
        <v>4898</v>
      </c>
    </row>
    <row r="47" spans="1:7" x14ac:dyDescent="0.2">
      <c r="A47" s="1" t="s">
        <v>4637</v>
      </c>
      <c r="B47" t="s">
        <v>2324</v>
      </c>
      <c r="C47" t="s">
        <v>1733</v>
      </c>
      <c r="D47" t="s">
        <v>881</v>
      </c>
      <c r="E47" t="s">
        <v>882</v>
      </c>
      <c r="F47" t="s">
        <v>4740</v>
      </c>
      <c r="G47" t="s">
        <v>4901</v>
      </c>
    </row>
    <row r="48" spans="1:7" x14ac:dyDescent="0.2">
      <c r="A48" s="1" t="s">
        <v>4638</v>
      </c>
      <c r="B48" t="s">
        <v>2324</v>
      </c>
      <c r="C48" t="s">
        <v>1733</v>
      </c>
      <c r="D48" t="s">
        <v>4977</v>
      </c>
      <c r="E48" t="s">
        <v>887</v>
      </c>
      <c r="F48" t="s">
        <v>4741</v>
      </c>
      <c r="G48" t="s">
        <v>4904</v>
      </c>
    </row>
    <row r="49" spans="1:7" x14ac:dyDescent="0.2">
      <c r="A49" s="1" t="s">
        <v>4639</v>
      </c>
      <c r="B49" t="s">
        <v>2324</v>
      </c>
      <c r="C49" t="s">
        <v>1733</v>
      </c>
      <c r="D49" t="s">
        <v>4978</v>
      </c>
      <c r="E49" t="s">
        <v>3683</v>
      </c>
      <c r="F49" t="s">
        <v>1026</v>
      </c>
      <c r="G49" t="s">
        <v>4907</v>
      </c>
    </row>
    <row r="50" spans="1:7" x14ac:dyDescent="0.2">
      <c r="A50" s="1" t="s">
        <v>4640</v>
      </c>
      <c r="B50" t="s">
        <v>2324</v>
      </c>
      <c r="C50" t="s">
        <v>1733</v>
      </c>
      <c r="D50" t="s">
        <v>902</v>
      </c>
      <c r="E50" t="s">
        <v>903</v>
      </c>
      <c r="F50" t="s">
        <v>4741</v>
      </c>
      <c r="G50" t="s">
        <v>4909</v>
      </c>
    </row>
    <row r="51" spans="1:7" x14ac:dyDescent="0.2">
      <c r="A51" s="1" t="s">
        <v>4641</v>
      </c>
      <c r="B51" t="s">
        <v>2324</v>
      </c>
      <c r="C51" t="s">
        <v>1733</v>
      </c>
      <c r="D51" t="s">
        <v>4979</v>
      </c>
      <c r="E51" t="s">
        <v>4200</v>
      </c>
      <c r="F51" t="s">
        <v>3189</v>
      </c>
      <c r="G51" t="s">
        <v>4914</v>
      </c>
    </row>
    <row r="52" spans="1:7" x14ac:dyDescent="0.2">
      <c r="A52" s="1" t="s">
        <v>4642</v>
      </c>
      <c r="B52" t="s">
        <v>2324</v>
      </c>
      <c r="C52" t="s">
        <v>1733</v>
      </c>
      <c r="D52" t="s">
        <v>1685</v>
      </c>
      <c r="E52" t="s">
        <v>4980</v>
      </c>
      <c r="F52" t="s">
        <v>4742</v>
      </c>
      <c r="G52" t="s">
        <v>4917</v>
      </c>
    </row>
    <row r="53" spans="1:7" x14ac:dyDescent="0.2">
      <c r="A53" s="1" t="s">
        <v>4643</v>
      </c>
      <c r="B53" t="s">
        <v>2324</v>
      </c>
      <c r="C53" t="s">
        <v>1733</v>
      </c>
      <c r="D53" t="s">
        <v>4035</v>
      </c>
      <c r="E53" t="s">
        <v>4983</v>
      </c>
      <c r="F53" t="s">
        <v>1139</v>
      </c>
      <c r="G53" t="s">
        <v>4915</v>
      </c>
    </row>
    <row r="54" spans="1:7" x14ac:dyDescent="0.2">
      <c r="A54" s="1" t="s">
        <v>4644</v>
      </c>
      <c r="B54" t="s">
        <v>2324</v>
      </c>
      <c r="C54" t="s">
        <v>1733</v>
      </c>
      <c r="D54" t="s">
        <v>907</v>
      </c>
      <c r="E54" t="s">
        <v>908</v>
      </c>
      <c r="F54" t="s">
        <v>4743</v>
      </c>
      <c r="G54" t="s">
        <v>4903</v>
      </c>
    </row>
    <row r="55" spans="1:7" x14ac:dyDescent="0.2">
      <c r="A55" s="1" t="s">
        <v>4645</v>
      </c>
      <c r="B55" t="s">
        <v>2324</v>
      </c>
      <c r="C55" t="s">
        <v>1733</v>
      </c>
      <c r="D55" t="s">
        <v>897</v>
      </c>
      <c r="E55" t="s">
        <v>898</v>
      </c>
      <c r="F55" t="s">
        <v>1869</v>
      </c>
      <c r="G55" t="s">
        <v>4908</v>
      </c>
    </row>
    <row r="56" spans="1:7" x14ac:dyDescent="0.2">
      <c r="A56" s="1" t="s">
        <v>4646</v>
      </c>
      <c r="B56" t="s">
        <v>2324</v>
      </c>
      <c r="C56" t="s">
        <v>1733</v>
      </c>
      <c r="D56" t="s">
        <v>1900</v>
      </c>
      <c r="E56" t="s">
        <v>901</v>
      </c>
      <c r="F56" t="s">
        <v>874</v>
      </c>
      <c r="G56" t="s">
        <v>4899</v>
      </c>
    </row>
    <row r="57" spans="1:7" x14ac:dyDescent="0.2">
      <c r="A57" s="1" t="s">
        <v>4647</v>
      </c>
      <c r="B57" t="s">
        <v>2337</v>
      </c>
      <c r="C57" t="s">
        <v>1733</v>
      </c>
      <c r="D57" t="s">
        <v>1085</v>
      </c>
      <c r="E57" t="s">
        <v>4508</v>
      </c>
      <c r="F57" t="s">
        <v>4744</v>
      </c>
      <c r="G57" t="s">
        <v>4827</v>
      </c>
    </row>
    <row r="58" spans="1:7" x14ac:dyDescent="0.2">
      <c r="A58" s="1" t="s">
        <v>4648</v>
      </c>
      <c r="B58" t="s">
        <v>2337</v>
      </c>
      <c r="C58" t="s">
        <v>1733</v>
      </c>
      <c r="D58" t="s">
        <v>1088</v>
      </c>
      <c r="E58" t="s">
        <v>3507</v>
      </c>
      <c r="F58" t="s">
        <v>4729</v>
      </c>
      <c r="G58" t="s">
        <v>4814</v>
      </c>
    </row>
    <row r="59" spans="1:7" x14ac:dyDescent="0.2">
      <c r="A59" s="1" t="s">
        <v>4649</v>
      </c>
      <c r="B59" t="s">
        <v>2337</v>
      </c>
      <c r="C59" t="s">
        <v>1733</v>
      </c>
      <c r="D59" t="s">
        <v>4985</v>
      </c>
      <c r="E59" t="s">
        <v>4986</v>
      </c>
      <c r="F59" t="s">
        <v>3822</v>
      </c>
      <c r="G59" t="s">
        <v>4821</v>
      </c>
    </row>
    <row r="60" spans="1:7" x14ac:dyDescent="0.2">
      <c r="A60" s="1" t="s">
        <v>4650</v>
      </c>
      <c r="B60" t="s">
        <v>2337</v>
      </c>
      <c r="C60" t="s">
        <v>1733</v>
      </c>
      <c r="D60" t="s">
        <v>5056</v>
      </c>
      <c r="E60" t="s">
        <v>5057</v>
      </c>
      <c r="F60" t="s">
        <v>4745</v>
      </c>
      <c r="G60" t="s">
        <v>4823</v>
      </c>
    </row>
    <row r="61" spans="1:7" x14ac:dyDescent="0.2">
      <c r="A61" s="1" t="s">
        <v>4651</v>
      </c>
      <c r="B61" t="s">
        <v>2337</v>
      </c>
      <c r="C61" t="s">
        <v>1733</v>
      </c>
      <c r="D61" t="s">
        <v>867</v>
      </c>
      <c r="E61" t="s">
        <v>934</v>
      </c>
      <c r="F61" t="s">
        <v>4746</v>
      </c>
      <c r="G61" t="s">
        <v>4804</v>
      </c>
    </row>
    <row r="62" spans="1:7" x14ac:dyDescent="0.2">
      <c r="A62" s="1" t="s">
        <v>4652</v>
      </c>
      <c r="B62" t="s">
        <v>2337</v>
      </c>
      <c r="C62" t="s">
        <v>1733</v>
      </c>
      <c r="D62" t="s">
        <v>1071</v>
      </c>
      <c r="E62" t="s">
        <v>1072</v>
      </c>
      <c r="F62" t="s">
        <v>4747</v>
      </c>
      <c r="G62" t="s">
        <v>4810</v>
      </c>
    </row>
    <row r="63" spans="1:7" x14ac:dyDescent="0.2">
      <c r="A63" s="1" t="s">
        <v>4653</v>
      </c>
      <c r="B63" t="s">
        <v>2337</v>
      </c>
      <c r="C63" t="s">
        <v>1733</v>
      </c>
      <c r="D63" t="s">
        <v>918</v>
      </c>
      <c r="E63" t="s">
        <v>3508</v>
      </c>
      <c r="F63" t="s">
        <v>4748</v>
      </c>
      <c r="G63" t="s">
        <v>4802</v>
      </c>
    </row>
    <row r="64" spans="1:7" x14ac:dyDescent="0.2">
      <c r="A64" s="1" t="s">
        <v>4654</v>
      </c>
      <c r="B64" t="s">
        <v>2337</v>
      </c>
      <c r="C64" t="s">
        <v>1733</v>
      </c>
      <c r="D64" t="s">
        <v>4727</v>
      </c>
      <c r="E64" t="s">
        <v>4987</v>
      </c>
      <c r="F64" t="s">
        <v>3095</v>
      </c>
      <c r="G64" t="s">
        <v>4789</v>
      </c>
    </row>
    <row r="65" spans="1:7" x14ac:dyDescent="0.2">
      <c r="A65" s="1" t="s">
        <v>4655</v>
      </c>
      <c r="B65" t="s">
        <v>2366</v>
      </c>
      <c r="C65" t="s">
        <v>1733</v>
      </c>
      <c r="D65" t="s">
        <v>4994</v>
      </c>
      <c r="E65" t="s">
        <v>3467</v>
      </c>
      <c r="F65" t="s">
        <v>4749</v>
      </c>
      <c r="G65" t="s">
        <v>4783</v>
      </c>
    </row>
    <row r="66" spans="1:7" x14ac:dyDescent="0.2">
      <c r="A66" s="1" t="s">
        <v>4656</v>
      </c>
      <c r="B66" t="s">
        <v>2366</v>
      </c>
      <c r="C66" t="s">
        <v>1733</v>
      </c>
      <c r="D66" t="s">
        <v>4995</v>
      </c>
      <c r="E66" t="s">
        <v>4996</v>
      </c>
      <c r="F66" t="s">
        <v>4750</v>
      </c>
      <c r="G66" t="s">
        <v>4780</v>
      </c>
    </row>
    <row r="67" spans="1:7" x14ac:dyDescent="0.2">
      <c r="A67" s="1" t="s">
        <v>4657</v>
      </c>
      <c r="B67" t="s">
        <v>2366</v>
      </c>
      <c r="C67" t="s">
        <v>1733</v>
      </c>
      <c r="D67" t="s">
        <v>960</v>
      </c>
      <c r="E67" t="s">
        <v>5062</v>
      </c>
      <c r="F67" t="s">
        <v>3172</v>
      </c>
      <c r="G67" t="s">
        <v>4786</v>
      </c>
    </row>
    <row r="68" spans="1:7" x14ac:dyDescent="0.2">
      <c r="A68" s="1" t="s">
        <v>4658</v>
      </c>
      <c r="B68" t="s">
        <v>2366</v>
      </c>
      <c r="C68" t="s">
        <v>1733</v>
      </c>
      <c r="D68" t="s">
        <v>5001</v>
      </c>
      <c r="E68" t="s">
        <v>5002</v>
      </c>
      <c r="F68" t="s">
        <v>4751</v>
      </c>
      <c r="G68" t="s">
        <v>4788</v>
      </c>
    </row>
    <row r="69" spans="1:7" x14ac:dyDescent="0.2">
      <c r="A69" s="1" t="s">
        <v>4659</v>
      </c>
      <c r="B69" t="s">
        <v>2366</v>
      </c>
      <c r="C69" t="s">
        <v>1733</v>
      </c>
      <c r="D69" t="s">
        <v>930</v>
      </c>
      <c r="E69" t="s">
        <v>931</v>
      </c>
      <c r="F69" t="s">
        <v>4752</v>
      </c>
      <c r="G69" t="s">
        <v>4791</v>
      </c>
    </row>
    <row r="70" spans="1:7" x14ac:dyDescent="0.2">
      <c r="A70" s="1" t="s">
        <v>4660</v>
      </c>
      <c r="B70" t="s">
        <v>2366</v>
      </c>
      <c r="C70" t="s">
        <v>1733</v>
      </c>
      <c r="D70" t="s">
        <v>4999</v>
      </c>
      <c r="E70" t="s">
        <v>945</v>
      </c>
      <c r="F70" t="s">
        <v>3445</v>
      </c>
      <c r="G70" t="s">
        <v>4787</v>
      </c>
    </row>
    <row r="71" spans="1:7" x14ac:dyDescent="0.2">
      <c r="A71" s="1" t="s">
        <v>4661</v>
      </c>
      <c r="B71" t="s">
        <v>2366</v>
      </c>
      <c r="C71" t="s">
        <v>1733</v>
      </c>
      <c r="D71" t="s">
        <v>1194</v>
      </c>
      <c r="E71" t="s">
        <v>5000</v>
      </c>
      <c r="F71" t="s">
        <v>4714</v>
      </c>
      <c r="G71" t="s">
        <v>4785</v>
      </c>
    </row>
    <row r="72" spans="1:7" x14ac:dyDescent="0.2">
      <c r="A72" s="1" t="s">
        <v>4662</v>
      </c>
      <c r="B72" t="s">
        <v>2366</v>
      </c>
      <c r="C72" t="s">
        <v>1733</v>
      </c>
      <c r="D72" t="s">
        <v>962</v>
      </c>
      <c r="E72" t="s">
        <v>4513</v>
      </c>
      <c r="F72" t="s">
        <v>4753</v>
      </c>
      <c r="G72" t="s">
        <v>4815</v>
      </c>
    </row>
    <row r="73" spans="1:7" x14ac:dyDescent="0.2">
      <c r="A73" s="1" t="s">
        <v>4663</v>
      </c>
      <c r="B73" t="s">
        <v>2366</v>
      </c>
      <c r="C73" t="s">
        <v>1733</v>
      </c>
      <c r="D73" t="s">
        <v>5004</v>
      </c>
      <c r="E73" t="s">
        <v>5005</v>
      </c>
      <c r="F73" t="s">
        <v>4754</v>
      </c>
      <c r="G73" t="s">
        <v>4782</v>
      </c>
    </row>
    <row r="74" spans="1:7" x14ac:dyDescent="0.2">
      <c r="A74" s="1" t="s">
        <v>4664</v>
      </c>
      <c r="B74" t="s">
        <v>2366</v>
      </c>
      <c r="C74" t="s">
        <v>1733</v>
      </c>
      <c r="D74" t="s">
        <v>3013</v>
      </c>
      <c r="E74" t="s">
        <v>5003</v>
      </c>
      <c r="F74" t="s">
        <v>4755</v>
      </c>
      <c r="G74" t="s">
        <v>4779</v>
      </c>
    </row>
    <row r="75" spans="1:7" x14ac:dyDescent="0.2">
      <c r="A75" s="1" t="s">
        <v>4665</v>
      </c>
      <c r="B75" t="s">
        <v>2366</v>
      </c>
      <c r="C75" t="s">
        <v>1733</v>
      </c>
      <c r="D75" t="s">
        <v>4991</v>
      </c>
      <c r="E75" t="s">
        <v>4992</v>
      </c>
      <c r="F75" t="s">
        <v>2857</v>
      </c>
      <c r="G75" t="s">
        <v>4781</v>
      </c>
    </row>
    <row r="76" spans="1:7" x14ac:dyDescent="0.2">
      <c r="A76" s="1" t="s">
        <v>4666</v>
      </c>
      <c r="B76" t="s">
        <v>2366</v>
      </c>
      <c r="C76" t="s">
        <v>1733</v>
      </c>
      <c r="D76" t="s">
        <v>4993</v>
      </c>
      <c r="E76" t="s">
        <v>4278</v>
      </c>
      <c r="F76" t="s">
        <v>834</v>
      </c>
      <c r="G76" t="s">
        <v>4777</v>
      </c>
    </row>
    <row r="77" spans="1:7" x14ac:dyDescent="0.2">
      <c r="A77" s="1" t="s">
        <v>4667</v>
      </c>
      <c r="B77" t="s">
        <v>2366</v>
      </c>
      <c r="C77" t="s">
        <v>1733</v>
      </c>
      <c r="D77" t="s">
        <v>5006</v>
      </c>
      <c r="E77" t="s">
        <v>3390</v>
      </c>
      <c r="F77" t="s">
        <v>4587</v>
      </c>
      <c r="G77" t="s">
        <v>4776</v>
      </c>
    </row>
    <row r="78" spans="1:7" x14ac:dyDescent="0.2">
      <c r="A78" s="1" t="s">
        <v>4668</v>
      </c>
      <c r="B78" t="s">
        <v>2366</v>
      </c>
      <c r="C78" t="s">
        <v>1733</v>
      </c>
      <c r="D78" t="s">
        <v>956</v>
      </c>
      <c r="E78" t="s">
        <v>5007</v>
      </c>
      <c r="F78" t="s">
        <v>2921</v>
      </c>
      <c r="G78" t="s">
        <v>4774</v>
      </c>
    </row>
    <row r="79" spans="1:7" x14ac:dyDescent="0.2">
      <c r="A79" s="1" t="s">
        <v>4669</v>
      </c>
      <c r="B79" t="s">
        <v>2366</v>
      </c>
      <c r="C79" t="s">
        <v>1733</v>
      </c>
      <c r="D79" t="s">
        <v>5008</v>
      </c>
      <c r="E79" t="s">
        <v>5009</v>
      </c>
      <c r="F79" t="s">
        <v>3819</v>
      </c>
      <c r="G79" t="s">
        <v>4775</v>
      </c>
    </row>
    <row r="80" spans="1:7" x14ac:dyDescent="0.2">
      <c r="A80" s="1" t="s">
        <v>4670</v>
      </c>
      <c r="B80" t="s">
        <v>2366</v>
      </c>
      <c r="C80" t="s">
        <v>1733</v>
      </c>
      <c r="D80" t="s">
        <v>4997</v>
      </c>
      <c r="E80" t="s">
        <v>4998</v>
      </c>
      <c r="F80" t="s">
        <v>3688</v>
      </c>
      <c r="G80" t="s">
        <v>4778</v>
      </c>
    </row>
    <row r="81" spans="1:7" x14ac:dyDescent="0.2">
      <c r="A81" s="1" t="s">
        <v>4671</v>
      </c>
      <c r="B81" t="s">
        <v>2424</v>
      </c>
      <c r="C81" t="s">
        <v>1733</v>
      </c>
      <c r="D81" t="s">
        <v>5028</v>
      </c>
      <c r="E81" t="s">
        <v>3236</v>
      </c>
      <c r="F81" t="s">
        <v>4563</v>
      </c>
      <c r="G81" t="s">
        <v>4790</v>
      </c>
    </row>
    <row r="82" spans="1:7" x14ac:dyDescent="0.2">
      <c r="A82" s="1" t="s">
        <v>4672</v>
      </c>
      <c r="B82" t="s">
        <v>2424</v>
      </c>
      <c r="C82" t="s">
        <v>1733</v>
      </c>
      <c r="D82" t="s">
        <v>940</v>
      </c>
      <c r="E82" t="s">
        <v>941</v>
      </c>
      <c r="F82" t="s">
        <v>3469</v>
      </c>
      <c r="G82" t="s">
        <v>4794</v>
      </c>
    </row>
    <row r="83" spans="1:7" x14ac:dyDescent="0.2">
      <c r="A83" s="1" t="s">
        <v>4673</v>
      </c>
      <c r="B83" t="s">
        <v>2424</v>
      </c>
      <c r="C83" t="s">
        <v>1733</v>
      </c>
      <c r="D83" t="s">
        <v>1014</v>
      </c>
      <c r="E83" t="s">
        <v>5029</v>
      </c>
      <c r="F83" t="s">
        <v>4548</v>
      </c>
      <c r="G83" t="s">
        <v>4803</v>
      </c>
    </row>
    <row r="84" spans="1:7" x14ac:dyDescent="0.2">
      <c r="A84" s="1" t="s">
        <v>4674</v>
      </c>
      <c r="B84" t="s">
        <v>2424</v>
      </c>
      <c r="C84" t="s">
        <v>1733</v>
      </c>
      <c r="D84" t="s">
        <v>5020</v>
      </c>
      <c r="E84" t="s">
        <v>5021</v>
      </c>
      <c r="F84" t="s">
        <v>4756</v>
      </c>
      <c r="G84" t="s">
        <v>4799</v>
      </c>
    </row>
    <row r="85" spans="1:7" x14ac:dyDescent="0.2">
      <c r="A85" s="1" t="s">
        <v>4675</v>
      </c>
      <c r="B85" t="s">
        <v>2424</v>
      </c>
      <c r="C85" t="s">
        <v>1733</v>
      </c>
      <c r="D85" t="s">
        <v>3522</v>
      </c>
      <c r="E85" t="s">
        <v>5019</v>
      </c>
      <c r="F85" t="s">
        <v>4757</v>
      </c>
      <c r="G85" t="s">
        <v>4820</v>
      </c>
    </row>
    <row r="86" spans="1:7" x14ac:dyDescent="0.2">
      <c r="A86" s="1" t="s">
        <v>4676</v>
      </c>
      <c r="B86" t="s">
        <v>2424</v>
      </c>
      <c r="C86" t="s">
        <v>1733</v>
      </c>
      <c r="D86" t="s">
        <v>998</v>
      </c>
      <c r="E86" t="s">
        <v>999</v>
      </c>
      <c r="F86" t="s">
        <v>4567</v>
      </c>
      <c r="G86" t="s">
        <v>4812</v>
      </c>
    </row>
    <row r="87" spans="1:7" x14ac:dyDescent="0.2">
      <c r="A87" s="1" t="s">
        <v>4677</v>
      </c>
      <c r="B87" t="s">
        <v>2424</v>
      </c>
      <c r="C87" t="s">
        <v>1733</v>
      </c>
      <c r="D87" t="s">
        <v>5024</v>
      </c>
      <c r="E87" t="s">
        <v>5025</v>
      </c>
      <c r="F87" t="s">
        <v>4758</v>
      </c>
      <c r="G87" t="s">
        <v>4809</v>
      </c>
    </row>
    <row r="88" spans="1:7" x14ac:dyDescent="0.2">
      <c r="A88" s="1" t="s">
        <v>4678</v>
      </c>
      <c r="B88" t="s">
        <v>2424</v>
      </c>
      <c r="C88" t="s">
        <v>1733</v>
      </c>
      <c r="D88" t="s">
        <v>3959</v>
      </c>
      <c r="E88" t="s">
        <v>996</v>
      </c>
      <c r="F88" t="s">
        <v>4759</v>
      </c>
      <c r="G88" t="s">
        <v>4828</v>
      </c>
    </row>
    <row r="89" spans="1:7" x14ac:dyDescent="0.2">
      <c r="A89" s="1" t="s">
        <v>4679</v>
      </c>
      <c r="B89" t="s">
        <v>2424</v>
      </c>
      <c r="C89" t="s">
        <v>1733</v>
      </c>
      <c r="D89" t="s">
        <v>1011</v>
      </c>
      <c r="E89" t="s">
        <v>5027</v>
      </c>
      <c r="F89" t="s">
        <v>4760</v>
      </c>
      <c r="G89" t="s">
        <v>4816</v>
      </c>
    </row>
    <row r="90" spans="1:7" x14ac:dyDescent="0.2">
      <c r="A90" s="1" t="s">
        <v>4680</v>
      </c>
      <c r="B90" t="s">
        <v>2424</v>
      </c>
      <c r="C90" t="s">
        <v>1733</v>
      </c>
      <c r="D90" t="s">
        <v>5023</v>
      </c>
      <c r="E90" t="s">
        <v>1005</v>
      </c>
      <c r="F90" t="s">
        <v>4761</v>
      </c>
      <c r="G90" t="s">
        <v>4831</v>
      </c>
    </row>
    <row r="91" spans="1:7" x14ac:dyDescent="0.2">
      <c r="A91" s="1" t="s">
        <v>4681</v>
      </c>
      <c r="B91" t="s">
        <v>2424</v>
      </c>
      <c r="C91" t="s">
        <v>1733</v>
      </c>
      <c r="D91" t="s">
        <v>5022</v>
      </c>
      <c r="E91" t="s">
        <v>1003</v>
      </c>
      <c r="F91" t="s">
        <v>1671</v>
      </c>
      <c r="G91" t="s">
        <v>4845</v>
      </c>
    </row>
    <row r="92" spans="1:7" x14ac:dyDescent="0.2">
      <c r="A92" s="1" t="s">
        <v>4925</v>
      </c>
      <c r="B92" t="s">
        <v>2424</v>
      </c>
      <c r="C92" t="s">
        <v>1733</v>
      </c>
      <c r="D92" t="s">
        <v>3524</v>
      </c>
      <c r="E92" t="s">
        <v>1497</v>
      </c>
      <c r="F92" t="s">
        <v>5063</v>
      </c>
      <c r="G92" t="s">
        <v>4847</v>
      </c>
    </row>
    <row r="93" spans="1:7" x14ac:dyDescent="0.2">
      <c r="A93" s="1" t="s">
        <v>4682</v>
      </c>
      <c r="B93" t="s">
        <v>2424</v>
      </c>
      <c r="C93" t="s">
        <v>1733</v>
      </c>
      <c r="D93" t="s">
        <v>5030</v>
      </c>
      <c r="E93" t="s">
        <v>1016</v>
      </c>
      <c r="F93" t="s">
        <v>4762</v>
      </c>
      <c r="G93" t="s">
        <v>4855</v>
      </c>
    </row>
    <row r="94" spans="1:7" x14ac:dyDescent="0.2">
      <c r="A94" s="1" t="s">
        <v>4683</v>
      </c>
      <c r="B94" t="s">
        <v>2424</v>
      </c>
      <c r="C94" t="s">
        <v>1733</v>
      </c>
      <c r="D94" t="s">
        <v>1010</v>
      </c>
      <c r="E94" t="s">
        <v>5026</v>
      </c>
      <c r="F94" t="s">
        <v>4763</v>
      </c>
      <c r="G94" t="s">
        <v>4841</v>
      </c>
    </row>
    <row r="95" spans="1:7" x14ac:dyDescent="0.2">
      <c r="A95" s="1" t="s">
        <v>4684</v>
      </c>
      <c r="B95" t="s">
        <v>2424</v>
      </c>
      <c r="C95" t="s">
        <v>1733</v>
      </c>
      <c r="D95" t="s">
        <v>1578</v>
      </c>
      <c r="E95" t="s">
        <v>3909</v>
      </c>
      <c r="F95" t="s">
        <v>4742</v>
      </c>
      <c r="G95" t="s">
        <v>4861</v>
      </c>
    </row>
    <row r="96" spans="1:7" x14ac:dyDescent="0.2">
      <c r="A96" s="1" t="s">
        <v>4685</v>
      </c>
      <c r="B96" t="s">
        <v>2424</v>
      </c>
      <c r="C96" t="s">
        <v>1733</v>
      </c>
      <c r="D96" t="s">
        <v>3402</v>
      </c>
      <c r="E96" t="s">
        <v>890</v>
      </c>
      <c r="F96" t="s">
        <v>4764</v>
      </c>
      <c r="G96" t="s">
        <v>4864</v>
      </c>
    </row>
    <row r="97" spans="1:7" x14ac:dyDescent="0.2">
      <c r="A97" s="1" t="s">
        <v>4686</v>
      </c>
      <c r="B97" t="s">
        <v>2424</v>
      </c>
      <c r="C97" t="s">
        <v>1733</v>
      </c>
      <c r="D97" t="s">
        <v>1624</v>
      </c>
      <c r="E97" t="s">
        <v>990</v>
      </c>
      <c r="F97" t="s">
        <v>4765</v>
      </c>
      <c r="G97" t="s">
        <v>4877</v>
      </c>
    </row>
    <row r="98" spans="1:7" x14ac:dyDescent="0.2">
      <c r="A98" s="1" t="s">
        <v>4687</v>
      </c>
      <c r="B98" t="s">
        <v>2424</v>
      </c>
      <c r="C98" t="s">
        <v>1733</v>
      </c>
      <c r="D98" t="s">
        <v>987</v>
      </c>
      <c r="E98" t="s">
        <v>986</v>
      </c>
      <c r="F98" t="s">
        <v>4766</v>
      </c>
      <c r="G98" t="s">
        <v>4884</v>
      </c>
    </row>
    <row r="99" spans="1:7" x14ac:dyDescent="0.2">
      <c r="A99" s="1" t="s">
        <v>4688</v>
      </c>
      <c r="B99" t="s">
        <v>2506</v>
      </c>
      <c r="C99" t="s">
        <v>1733</v>
      </c>
      <c r="D99" t="s">
        <v>1032</v>
      </c>
      <c r="E99" t="s">
        <v>1033</v>
      </c>
      <c r="F99" t="s">
        <v>4730</v>
      </c>
      <c r="G99" t="s">
        <v>4853</v>
      </c>
    </row>
    <row r="100" spans="1:7" x14ac:dyDescent="0.2">
      <c r="A100" s="1" t="s">
        <v>4689</v>
      </c>
      <c r="B100" t="s">
        <v>2506</v>
      </c>
      <c r="C100" t="s">
        <v>1733</v>
      </c>
      <c r="D100" t="s">
        <v>5035</v>
      </c>
      <c r="E100" t="s">
        <v>835</v>
      </c>
      <c r="F100" t="s">
        <v>3583</v>
      </c>
      <c r="G100" t="s">
        <v>4870</v>
      </c>
    </row>
    <row r="101" spans="1:7" x14ac:dyDescent="0.2">
      <c r="A101" s="1" t="s">
        <v>4690</v>
      </c>
      <c r="B101" t="s">
        <v>2506</v>
      </c>
      <c r="C101" t="s">
        <v>1733</v>
      </c>
      <c r="D101" t="s">
        <v>3655</v>
      </c>
      <c r="E101" t="s">
        <v>1410</v>
      </c>
      <c r="F101" t="s">
        <v>4767</v>
      </c>
      <c r="G101" t="s">
        <v>4880</v>
      </c>
    </row>
    <row r="102" spans="1:7" x14ac:dyDescent="0.2">
      <c r="A102" s="1" t="s">
        <v>4691</v>
      </c>
      <c r="B102" t="s">
        <v>2506</v>
      </c>
      <c r="C102" t="s">
        <v>1733</v>
      </c>
      <c r="D102" t="s">
        <v>1050</v>
      </c>
      <c r="E102" t="s">
        <v>1051</v>
      </c>
      <c r="F102" t="s">
        <v>4768</v>
      </c>
      <c r="G102" t="s">
        <v>4888</v>
      </c>
    </row>
    <row r="103" spans="1:7" x14ac:dyDescent="0.2">
      <c r="A103" s="1" t="s">
        <v>4692</v>
      </c>
      <c r="B103" t="s">
        <v>2506</v>
      </c>
      <c r="C103" t="s">
        <v>1733</v>
      </c>
      <c r="D103" t="s">
        <v>3538</v>
      </c>
      <c r="E103" t="s">
        <v>1039</v>
      </c>
      <c r="F103" t="s">
        <v>2844</v>
      </c>
      <c r="G103" t="s">
        <v>4896</v>
      </c>
    </row>
    <row r="104" spans="1:7" x14ac:dyDescent="0.2">
      <c r="A104" s="1" t="s">
        <v>4693</v>
      </c>
      <c r="B104" t="s">
        <v>2506</v>
      </c>
      <c r="C104" t="s">
        <v>1733</v>
      </c>
      <c r="D104" t="s">
        <v>5036</v>
      </c>
      <c r="E104" t="s">
        <v>5037</v>
      </c>
      <c r="F104" t="s">
        <v>3865</v>
      </c>
      <c r="G104" t="s">
        <v>4902</v>
      </c>
    </row>
    <row r="105" spans="1:7" x14ac:dyDescent="0.2">
      <c r="A105" s="1" t="s">
        <v>4694</v>
      </c>
      <c r="B105" t="s">
        <v>2506</v>
      </c>
      <c r="C105" t="s">
        <v>1733</v>
      </c>
      <c r="D105" t="s">
        <v>5038</v>
      </c>
      <c r="E105" t="s">
        <v>4127</v>
      </c>
      <c r="F105" t="s">
        <v>3939</v>
      </c>
      <c r="G105" t="s">
        <v>4895</v>
      </c>
    </row>
    <row r="106" spans="1:7" x14ac:dyDescent="0.2">
      <c r="A106" s="1" t="s">
        <v>4695</v>
      </c>
      <c r="B106" t="s">
        <v>2506</v>
      </c>
      <c r="C106" t="s">
        <v>1733</v>
      </c>
      <c r="D106" t="s">
        <v>1046</v>
      </c>
      <c r="E106" t="s">
        <v>1047</v>
      </c>
      <c r="F106" t="s">
        <v>4769</v>
      </c>
      <c r="G106" t="s">
        <v>4897</v>
      </c>
    </row>
    <row r="107" spans="1:7" x14ac:dyDescent="0.2">
      <c r="A107" s="1" t="s">
        <v>4696</v>
      </c>
      <c r="B107" t="s">
        <v>2506</v>
      </c>
      <c r="C107" t="s">
        <v>1733</v>
      </c>
      <c r="D107" t="s">
        <v>5041</v>
      </c>
      <c r="E107" t="s">
        <v>5042</v>
      </c>
      <c r="F107" t="s">
        <v>4770</v>
      </c>
      <c r="G107" t="s">
        <v>4871</v>
      </c>
    </row>
    <row r="108" spans="1:7" x14ac:dyDescent="0.2">
      <c r="A108" s="1" t="s">
        <v>4697</v>
      </c>
      <c r="B108" t="s">
        <v>2506</v>
      </c>
      <c r="C108" t="s">
        <v>1733</v>
      </c>
      <c r="D108" t="s">
        <v>1056</v>
      </c>
      <c r="E108" t="s">
        <v>1057</v>
      </c>
      <c r="F108" t="s">
        <v>5064</v>
      </c>
      <c r="G108" t="s">
        <v>4868</v>
      </c>
    </row>
    <row r="109" spans="1:7" x14ac:dyDescent="0.2">
      <c r="A109" s="1" t="s">
        <v>4698</v>
      </c>
      <c r="B109" t="s">
        <v>2506</v>
      </c>
      <c r="C109" t="s">
        <v>1733</v>
      </c>
      <c r="D109" t="s">
        <v>1086</v>
      </c>
      <c r="E109" t="s">
        <v>5058</v>
      </c>
      <c r="F109" t="s">
        <v>1047</v>
      </c>
      <c r="G109" t="s">
        <v>4875</v>
      </c>
    </row>
    <row r="110" spans="1:7" x14ac:dyDescent="0.2">
      <c r="A110" s="1" t="s">
        <v>4699</v>
      </c>
      <c r="B110" t="s">
        <v>2506</v>
      </c>
      <c r="C110" t="s">
        <v>1733</v>
      </c>
      <c r="D110" t="s">
        <v>3760</v>
      </c>
      <c r="E110" t="s">
        <v>5040</v>
      </c>
      <c r="F110" t="s">
        <v>4745</v>
      </c>
      <c r="G110" t="s">
        <v>4872</v>
      </c>
    </row>
    <row r="111" spans="1:7" x14ac:dyDescent="0.2">
      <c r="A111" s="1" t="s">
        <v>4700</v>
      </c>
      <c r="B111" t="s">
        <v>2506</v>
      </c>
      <c r="C111" t="s">
        <v>1733</v>
      </c>
      <c r="D111" t="s">
        <v>5039</v>
      </c>
      <c r="E111" t="s">
        <v>1044</v>
      </c>
      <c r="F111" t="s">
        <v>1193</v>
      </c>
      <c r="G111" t="s">
        <v>4883</v>
      </c>
    </row>
    <row r="112" spans="1:7" x14ac:dyDescent="0.2">
      <c r="A112" s="1" t="s">
        <v>4701</v>
      </c>
      <c r="B112" t="s">
        <v>2596</v>
      </c>
      <c r="C112" t="s">
        <v>1733</v>
      </c>
      <c r="D112" t="s">
        <v>1442</v>
      </c>
      <c r="E112" t="s">
        <v>5034</v>
      </c>
      <c r="F112" t="s">
        <v>3720</v>
      </c>
      <c r="G112" t="s">
        <v>4850</v>
      </c>
    </row>
    <row r="113" spans="1:7" x14ac:dyDescent="0.2">
      <c r="A113" s="1" t="s">
        <v>4702</v>
      </c>
      <c r="B113" t="s">
        <v>2596</v>
      </c>
      <c r="C113" t="s">
        <v>1733</v>
      </c>
      <c r="D113" t="s">
        <v>1068</v>
      </c>
      <c r="E113" t="s">
        <v>1069</v>
      </c>
      <c r="F113" t="s">
        <v>5065</v>
      </c>
      <c r="G113" t="s">
        <v>4854</v>
      </c>
    </row>
    <row r="114" spans="1:7" x14ac:dyDescent="0.2">
      <c r="A114" s="1" t="s">
        <v>4703</v>
      </c>
      <c r="B114" t="s">
        <v>2596</v>
      </c>
      <c r="C114" t="s">
        <v>1733</v>
      </c>
      <c r="D114" t="s">
        <v>5046</v>
      </c>
      <c r="E114" t="s">
        <v>5047</v>
      </c>
      <c r="F114" t="s">
        <v>3649</v>
      </c>
      <c r="G114" t="s">
        <v>4840</v>
      </c>
    </row>
    <row r="115" spans="1:7" x14ac:dyDescent="0.2">
      <c r="A115" s="1" t="s">
        <v>4704</v>
      </c>
      <c r="B115" t="s">
        <v>2596</v>
      </c>
      <c r="C115" t="s">
        <v>1733</v>
      </c>
      <c r="D115" t="s">
        <v>5059</v>
      </c>
      <c r="E115" t="s">
        <v>1091</v>
      </c>
      <c r="F115" t="s">
        <v>4771</v>
      </c>
      <c r="G115" t="s">
        <v>4843</v>
      </c>
    </row>
    <row r="116" spans="1:7" x14ac:dyDescent="0.2">
      <c r="A116" s="1" t="s">
        <v>4705</v>
      </c>
      <c r="B116" t="s">
        <v>2596</v>
      </c>
      <c r="C116" t="s">
        <v>1733</v>
      </c>
      <c r="D116" t="s">
        <v>1533</v>
      </c>
      <c r="E116" t="s">
        <v>5050</v>
      </c>
      <c r="F116" t="s">
        <v>874</v>
      </c>
      <c r="G116" t="s">
        <v>4842</v>
      </c>
    </row>
    <row r="117" spans="1:7" x14ac:dyDescent="0.2">
      <c r="A117" s="1" t="s">
        <v>4706</v>
      </c>
      <c r="B117" t="s">
        <v>2596</v>
      </c>
      <c r="C117" t="s">
        <v>1733</v>
      </c>
      <c r="D117" t="s">
        <v>5048</v>
      </c>
      <c r="E117" t="s">
        <v>5049</v>
      </c>
      <c r="F117" t="s">
        <v>4583</v>
      </c>
      <c r="G117" t="s">
        <v>4839</v>
      </c>
    </row>
    <row r="118" spans="1:7" x14ac:dyDescent="0.2">
      <c r="A118" s="1" t="s">
        <v>4707</v>
      </c>
      <c r="B118" t="s">
        <v>2596</v>
      </c>
      <c r="C118" t="s">
        <v>1733</v>
      </c>
      <c r="D118" t="s">
        <v>5051</v>
      </c>
      <c r="E118" t="s">
        <v>5052</v>
      </c>
      <c r="F118" t="s">
        <v>4772</v>
      </c>
      <c r="G118" t="s">
        <v>5136</v>
      </c>
    </row>
    <row r="119" spans="1:7" x14ac:dyDescent="0.2">
      <c r="A119" s="1" t="s">
        <v>4708</v>
      </c>
      <c r="B119" t="s">
        <v>2596</v>
      </c>
      <c r="C119" t="s">
        <v>1733</v>
      </c>
      <c r="D119" t="s">
        <v>5053</v>
      </c>
      <c r="E119" t="s">
        <v>1078</v>
      </c>
      <c r="F119" t="s">
        <v>874</v>
      </c>
      <c r="G119" t="s">
        <v>4862</v>
      </c>
    </row>
    <row r="120" spans="1:7" x14ac:dyDescent="0.2">
      <c r="A120" s="1" t="s">
        <v>4709</v>
      </c>
      <c r="B120" t="s">
        <v>2596</v>
      </c>
      <c r="C120" t="s">
        <v>1733</v>
      </c>
      <c r="D120" t="s">
        <v>5054</v>
      </c>
      <c r="E120" t="s">
        <v>3406</v>
      </c>
      <c r="F120" t="s">
        <v>3455</v>
      </c>
      <c r="G120" t="s">
        <v>4869</v>
      </c>
    </row>
    <row r="121" spans="1:7" x14ac:dyDescent="0.2">
      <c r="A121" s="1" t="s">
        <v>4710</v>
      </c>
      <c r="B121" t="s">
        <v>2596</v>
      </c>
      <c r="C121" t="s">
        <v>1733</v>
      </c>
      <c r="D121" t="s">
        <v>3222</v>
      </c>
      <c r="E121" t="s">
        <v>5055</v>
      </c>
      <c r="F121" t="s">
        <v>4773</v>
      </c>
      <c r="G121" t="s">
        <v>4873</v>
      </c>
    </row>
  </sheetData>
  <autoFilter ref="A1:G121" xr:uid="{823B8C7C-C45E-F947-B4ED-93BCBD79419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J153"/>
  <sheetViews>
    <sheetView workbookViewId="0">
      <selection activeCell="A13" sqref="A1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4" max="5" width="10.83203125" style="7"/>
  </cols>
  <sheetData>
    <row r="1" spans="1:10" s="6" customFormat="1" x14ac:dyDescent="0.2">
      <c r="A1" s="6" t="s">
        <v>781</v>
      </c>
      <c r="B1" s="6" t="s">
        <v>8</v>
      </c>
      <c r="C1" s="6" t="s">
        <v>777</v>
      </c>
      <c r="D1" s="13" t="s">
        <v>778</v>
      </c>
      <c r="E1" s="13" t="s">
        <v>779</v>
      </c>
      <c r="F1" s="6" t="s">
        <v>780</v>
      </c>
      <c r="G1" s="11"/>
      <c r="H1" s="11"/>
      <c r="I1" s="11"/>
      <c r="J1" s="11"/>
    </row>
    <row r="2" spans="1:10" x14ac:dyDescent="0.2">
      <c r="A2" s="1" t="s">
        <v>2533</v>
      </c>
      <c r="B2" t="s">
        <v>5087</v>
      </c>
      <c r="C2" t="s">
        <v>789</v>
      </c>
      <c r="D2" s="7" t="s">
        <v>5091</v>
      </c>
      <c r="E2" s="7" t="s">
        <v>1073</v>
      </c>
      <c r="F2" s="7" t="s">
        <v>1037</v>
      </c>
      <c r="G2" s="9"/>
      <c r="H2" s="12"/>
      <c r="J2" s="12"/>
    </row>
    <row r="3" spans="1:10" x14ac:dyDescent="0.2">
      <c r="A3" s="1" t="s">
        <v>819</v>
      </c>
      <c r="B3" t="s">
        <v>5088</v>
      </c>
      <c r="C3" t="s">
        <v>789</v>
      </c>
      <c r="D3" s="7" t="s">
        <v>3585</v>
      </c>
      <c r="E3" s="7" t="s">
        <v>3586</v>
      </c>
      <c r="F3" s="7" t="s">
        <v>932</v>
      </c>
      <c r="G3" s="9"/>
      <c r="H3" s="12"/>
      <c r="J3" s="12"/>
    </row>
    <row r="4" spans="1:10" x14ac:dyDescent="0.2">
      <c r="A4" s="1" t="s">
        <v>2523</v>
      </c>
      <c r="B4" t="s">
        <v>805</v>
      </c>
      <c r="C4" t="s">
        <v>789</v>
      </c>
      <c r="D4" s="7" t="s">
        <v>5092</v>
      </c>
      <c r="E4" s="7" t="s">
        <v>909</v>
      </c>
      <c r="F4" s="7" t="s">
        <v>5093</v>
      </c>
      <c r="G4" s="9"/>
      <c r="H4" s="12"/>
      <c r="J4" s="12"/>
    </row>
    <row r="5" spans="1:10" x14ac:dyDescent="0.2">
      <c r="A5" s="1" t="s">
        <v>2686</v>
      </c>
      <c r="B5" t="s">
        <v>971</v>
      </c>
      <c r="C5" t="s">
        <v>789</v>
      </c>
      <c r="D5" s="7" t="s">
        <v>5094</v>
      </c>
      <c r="E5" s="7" t="s">
        <v>5095</v>
      </c>
      <c r="F5" s="7" t="s">
        <v>858</v>
      </c>
      <c r="G5" s="9"/>
      <c r="H5" s="12"/>
      <c r="J5" s="12"/>
    </row>
    <row r="6" spans="1:10" x14ac:dyDescent="0.2">
      <c r="A6" s="1" t="s">
        <v>1968</v>
      </c>
      <c r="B6" t="s">
        <v>2757</v>
      </c>
      <c r="C6" t="s">
        <v>789</v>
      </c>
      <c r="D6" s="7" t="s">
        <v>5096</v>
      </c>
      <c r="E6" s="7" t="s">
        <v>5097</v>
      </c>
      <c r="F6" s="7" t="s">
        <v>3325</v>
      </c>
      <c r="G6" s="9"/>
      <c r="H6" s="12"/>
      <c r="J6" s="12"/>
    </row>
    <row r="7" spans="1:10" x14ac:dyDescent="0.2">
      <c r="A7" s="1" t="s">
        <v>5089</v>
      </c>
      <c r="B7" t="s">
        <v>813</v>
      </c>
      <c r="C7" t="s">
        <v>789</v>
      </c>
      <c r="D7" s="7" t="s">
        <v>1589</v>
      </c>
      <c r="E7" s="7" t="s">
        <v>5098</v>
      </c>
      <c r="F7" s="7" t="s">
        <v>1698</v>
      </c>
      <c r="G7" s="9"/>
      <c r="H7" s="12"/>
      <c r="I7" s="12"/>
      <c r="J7" s="12"/>
    </row>
    <row r="8" spans="1:10" x14ac:dyDescent="0.2">
      <c r="A8" s="1" t="s">
        <v>877</v>
      </c>
      <c r="B8" t="s">
        <v>2324</v>
      </c>
      <c r="C8" t="s">
        <v>789</v>
      </c>
      <c r="D8" s="7" t="s">
        <v>4506</v>
      </c>
      <c r="E8" s="7" t="s">
        <v>5099</v>
      </c>
      <c r="F8" s="7" t="s">
        <v>880</v>
      </c>
      <c r="G8" s="9"/>
      <c r="H8" s="12"/>
      <c r="I8" s="12"/>
      <c r="J8" s="12"/>
    </row>
    <row r="9" spans="1:10" x14ac:dyDescent="0.2">
      <c r="A9" s="1" t="s">
        <v>2797</v>
      </c>
      <c r="B9" t="s">
        <v>2173</v>
      </c>
      <c r="C9" t="s">
        <v>789</v>
      </c>
      <c r="D9" s="7" t="s">
        <v>3984</v>
      </c>
      <c r="E9" s="7" t="s">
        <v>3637</v>
      </c>
      <c r="F9" s="7" t="s">
        <v>4356</v>
      </c>
      <c r="G9" s="9"/>
      <c r="H9" s="12"/>
      <c r="I9" s="12"/>
      <c r="J9" s="12"/>
    </row>
    <row r="10" spans="1:10" x14ac:dyDescent="0.2">
      <c r="A10" s="1" t="s">
        <v>1988</v>
      </c>
      <c r="B10" t="s">
        <v>5144</v>
      </c>
      <c r="C10" t="s">
        <v>789</v>
      </c>
      <c r="D10" s="7" t="s">
        <v>5100</v>
      </c>
      <c r="E10" s="7" t="s">
        <v>5101</v>
      </c>
      <c r="F10" s="7" t="s">
        <v>5102</v>
      </c>
      <c r="G10" s="9"/>
      <c r="H10" s="12"/>
      <c r="I10" s="12"/>
      <c r="J10" s="12"/>
    </row>
    <row r="11" spans="1:10" x14ac:dyDescent="0.2">
      <c r="A11" s="1" t="s">
        <v>1973</v>
      </c>
      <c r="B11" t="s">
        <v>5143</v>
      </c>
      <c r="C11" t="s">
        <v>789</v>
      </c>
      <c r="D11" s="7" t="s">
        <v>4130</v>
      </c>
      <c r="E11" s="7" t="s">
        <v>5106</v>
      </c>
      <c r="F11" s="7" t="s">
        <v>1070</v>
      </c>
      <c r="G11" s="9"/>
      <c r="H11" s="12"/>
      <c r="I11" s="12"/>
      <c r="J11" s="12"/>
    </row>
    <row r="12" spans="1:10" x14ac:dyDescent="0.2">
      <c r="A12" s="1" t="s">
        <v>1043</v>
      </c>
      <c r="B12" t="s">
        <v>1043</v>
      </c>
      <c r="C12" t="s">
        <v>789</v>
      </c>
      <c r="D12" s="7" t="s">
        <v>5103</v>
      </c>
      <c r="E12" s="7" t="s">
        <v>5104</v>
      </c>
      <c r="F12" s="7" t="s">
        <v>1486</v>
      </c>
      <c r="G12" s="9"/>
      <c r="H12" s="12"/>
      <c r="I12" s="12"/>
      <c r="J12" s="12"/>
    </row>
    <row r="13" spans="1:10" x14ac:dyDescent="0.2">
      <c r="A13" s="1" t="s">
        <v>2652</v>
      </c>
      <c r="B13" t="s">
        <v>1059</v>
      </c>
      <c r="C13" t="s">
        <v>789</v>
      </c>
      <c r="D13" s="7" t="s">
        <v>5105</v>
      </c>
      <c r="E13" s="7" t="s">
        <v>4032</v>
      </c>
      <c r="F13" s="7" t="s">
        <v>844</v>
      </c>
      <c r="G13" s="9"/>
      <c r="H13" s="12"/>
      <c r="I13" s="12"/>
      <c r="J13" s="12"/>
    </row>
    <row r="14" spans="1:10" x14ac:dyDescent="0.2">
      <c r="A14" s="1" t="s">
        <v>2641</v>
      </c>
      <c r="B14" t="s">
        <v>911</v>
      </c>
      <c r="C14" t="s">
        <v>789</v>
      </c>
      <c r="D14" s="7" t="s">
        <v>5107</v>
      </c>
      <c r="E14" s="7" t="s">
        <v>3490</v>
      </c>
      <c r="F14" s="7" t="s">
        <v>3236</v>
      </c>
      <c r="G14" s="9"/>
      <c r="H14" s="12"/>
      <c r="I14" s="12"/>
      <c r="J14" s="12"/>
    </row>
    <row r="15" spans="1:10" x14ac:dyDescent="0.2">
      <c r="A15" s="1" t="s">
        <v>1932</v>
      </c>
      <c r="B15" t="s">
        <v>933</v>
      </c>
      <c r="C15" t="s">
        <v>789</v>
      </c>
      <c r="D15" s="7" t="s">
        <v>5108</v>
      </c>
      <c r="E15" s="7" t="s">
        <v>5109</v>
      </c>
      <c r="F15" s="7" t="s">
        <v>1438</v>
      </c>
      <c r="G15" s="9"/>
      <c r="H15" s="12"/>
      <c r="I15" s="12"/>
      <c r="J15" s="12"/>
    </row>
    <row r="16" spans="1:10" x14ac:dyDescent="0.2">
      <c r="A16" s="1" t="s">
        <v>926</v>
      </c>
      <c r="B16" t="s">
        <v>926</v>
      </c>
      <c r="C16" t="s">
        <v>789</v>
      </c>
      <c r="D16" s="7" t="s">
        <v>4396</v>
      </c>
      <c r="E16" s="7" t="s">
        <v>5104</v>
      </c>
      <c r="F16" s="7" t="s">
        <v>836</v>
      </c>
      <c r="G16" s="9"/>
      <c r="H16" s="12"/>
      <c r="I16" s="12"/>
      <c r="J16" s="12"/>
    </row>
    <row r="17" spans="1:10" x14ac:dyDescent="0.2">
      <c r="A17" s="1"/>
      <c r="G17" s="9"/>
      <c r="H17" s="12"/>
      <c r="I17" s="12"/>
      <c r="J17" s="12"/>
    </row>
    <row r="18" spans="1:10" x14ac:dyDescent="0.2">
      <c r="A18" s="1"/>
      <c r="G18" s="9"/>
      <c r="H18" s="12"/>
      <c r="I18" s="12"/>
      <c r="J18" s="12"/>
    </row>
    <row r="19" spans="1:10" x14ac:dyDescent="0.2">
      <c r="A19" s="1"/>
      <c r="G19" s="9"/>
      <c r="H19" s="12"/>
      <c r="I19" s="12"/>
      <c r="J19" s="12"/>
    </row>
    <row r="20" spans="1:10" x14ac:dyDescent="0.2">
      <c r="A20" s="1"/>
      <c r="G20" s="9"/>
      <c r="H20" s="12"/>
      <c r="I20" s="12"/>
      <c r="J20" s="12"/>
    </row>
    <row r="21" spans="1:10" x14ac:dyDescent="0.2">
      <c r="A21" s="1"/>
      <c r="G21" s="9"/>
      <c r="H21" s="12"/>
      <c r="I21" s="12"/>
      <c r="J21" s="12"/>
    </row>
    <row r="22" spans="1:10" x14ac:dyDescent="0.2">
      <c r="A22" s="1"/>
      <c r="G22" s="9"/>
      <c r="H22" s="12"/>
      <c r="I22" s="12"/>
      <c r="J22" s="12"/>
    </row>
    <row r="23" spans="1:10" x14ac:dyDescent="0.2">
      <c r="A23" s="1"/>
      <c r="G23" s="9"/>
      <c r="H23" s="12"/>
      <c r="I23" s="12"/>
      <c r="J23" s="12"/>
    </row>
    <row r="24" spans="1:10" x14ac:dyDescent="0.2">
      <c r="A24" s="1"/>
      <c r="G24" s="9"/>
      <c r="H24" s="12"/>
      <c r="I24" s="12"/>
      <c r="J24" s="12"/>
    </row>
    <row r="25" spans="1:10" x14ac:dyDescent="0.2">
      <c r="A25" s="1"/>
      <c r="G25" s="9"/>
      <c r="H25" s="12"/>
      <c r="I25" s="12"/>
      <c r="J25" s="12"/>
    </row>
    <row r="26" spans="1:10" x14ac:dyDescent="0.2">
      <c r="A26" s="1"/>
      <c r="G26" s="9"/>
      <c r="H26" s="12"/>
      <c r="I26" s="12"/>
      <c r="J26" s="12"/>
    </row>
    <row r="27" spans="1:10" x14ac:dyDescent="0.2">
      <c r="A27" s="1"/>
      <c r="G27" s="9"/>
      <c r="H27" s="12"/>
      <c r="I27" s="12"/>
      <c r="J27" s="12"/>
    </row>
    <row r="28" spans="1:10" x14ac:dyDescent="0.2">
      <c r="A28" s="1"/>
      <c r="G28" s="9"/>
      <c r="H28" s="12"/>
      <c r="I28" s="12"/>
      <c r="J28" s="12"/>
    </row>
    <row r="29" spans="1:10" x14ac:dyDescent="0.2">
      <c r="A29" s="1"/>
      <c r="G29" s="9"/>
      <c r="H29" s="12"/>
      <c r="I29" s="12"/>
      <c r="J29" s="12"/>
    </row>
    <row r="30" spans="1:10" x14ac:dyDescent="0.2">
      <c r="A30" s="1"/>
      <c r="G30" s="9"/>
      <c r="H30" s="12"/>
      <c r="I30" s="12"/>
      <c r="J30" s="12"/>
    </row>
    <row r="31" spans="1:10" x14ac:dyDescent="0.2">
      <c r="A31" s="1"/>
      <c r="G31" s="9"/>
      <c r="H31" s="12"/>
      <c r="I31" s="12"/>
      <c r="J31" s="12"/>
    </row>
    <row r="32" spans="1:10" x14ac:dyDescent="0.2">
      <c r="A32" s="1"/>
      <c r="G32" s="9"/>
      <c r="H32" s="12"/>
      <c r="I32" s="12"/>
      <c r="J32" s="12"/>
    </row>
    <row r="33" spans="1:10" x14ac:dyDescent="0.2">
      <c r="A33" s="1"/>
      <c r="G33" s="9"/>
      <c r="H33" s="12"/>
      <c r="I33" s="12"/>
      <c r="J33" s="12"/>
    </row>
    <row r="34" spans="1:10" x14ac:dyDescent="0.2">
      <c r="A34" s="1"/>
      <c r="G34" s="9"/>
      <c r="H34" s="12"/>
      <c r="I34" s="12"/>
      <c r="J34" s="12"/>
    </row>
    <row r="35" spans="1:10" x14ac:dyDescent="0.2">
      <c r="A35" s="1"/>
      <c r="G35" s="9"/>
      <c r="H35" s="12"/>
      <c r="I35" s="12"/>
      <c r="J35" s="12"/>
    </row>
    <row r="36" spans="1:10" x14ac:dyDescent="0.2">
      <c r="A36" s="1"/>
      <c r="G36" s="9"/>
      <c r="H36" s="12"/>
      <c r="I36" s="12"/>
      <c r="J36" s="12"/>
    </row>
    <row r="37" spans="1:10" x14ac:dyDescent="0.2">
      <c r="A37" s="1"/>
      <c r="G37" s="9"/>
      <c r="H37" s="12"/>
      <c r="I37" s="12"/>
      <c r="J37" s="12"/>
    </row>
    <row r="38" spans="1:10" x14ac:dyDescent="0.2">
      <c r="A38" s="1"/>
      <c r="G38" s="9"/>
      <c r="H38" s="12"/>
      <c r="I38" s="12"/>
      <c r="J38" s="12"/>
    </row>
    <row r="39" spans="1:10" x14ac:dyDescent="0.2">
      <c r="A39" s="1"/>
      <c r="G39" s="9"/>
      <c r="H39" s="12"/>
      <c r="I39" s="12"/>
      <c r="J39" s="12"/>
    </row>
    <row r="40" spans="1:10" x14ac:dyDescent="0.2">
      <c r="A40" s="1"/>
      <c r="G40" s="9"/>
      <c r="H40" s="12"/>
      <c r="I40" s="12"/>
      <c r="J40" s="12"/>
    </row>
    <row r="41" spans="1:10" x14ac:dyDescent="0.2">
      <c r="A41" s="1"/>
      <c r="G41" s="9"/>
      <c r="H41" s="12"/>
      <c r="I41" s="12"/>
      <c r="J41" s="12"/>
    </row>
    <row r="42" spans="1:10" x14ac:dyDescent="0.2">
      <c r="A42" s="1"/>
      <c r="G42" s="9"/>
      <c r="H42" s="12"/>
      <c r="I42" s="12"/>
      <c r="J42" s="12"/>
    </row>
    <row r="43" spans="1:10" x14ac:dyDescent="0.2">
      <c r="A43" s="1"/>
      <c r="G43" s="9"/>
      <c r="H43" s="12"/>
      <c r="I43" s="12"/>
      <c r="J43" s="12"/>
    </row>
    <row r="44" spans="1:10" x14ac:dyDescent="0.2">
      <c r="A44" s="1"/>
      <c r="G44" s="9"/>
      <c r="H44" s="12"/>
      <c r="I44" s="12"/>
      <c r="J44" s="12"/>
    </row>
    <row r="45" spans="1:10" x14ac:dyDescent="0.2">
      <c r="A45" s="1"/>
      <c r="G45" s="9"/>
      <c r="H45" s="12"/>
      <c r="I45" s="12"/>
      <c r="J45" s="12"/>
    </row>
    <row r="46" spans="1:10" x14ac:dyDescent="0.2">
      <c r="A46" s="1"/>
      <c r="G46" s="9"/>
      <c r="H46" s="12"/>
      <c r="I46" s="12"/>
      <c r="J46" s="12"/>
    </row>
    <row r="47" spans="1:10" x14ac:dyDescent="0.2">
      <c r="A47" s="1"/>
      <c r="G47" s="9"/>
      <c r="H47" s="12"/>
      <c r="I47" s="12"/>
      <c r="J47" s="12"/>
    </row>
    <row r="48" spans="1:10" x14ac:dyDescent="0.2">
      <c r="A48" s="1"/>
      <c r="G48" s="9"/>
      <c r="H48" s="12"/>
      <c r="I48" s="12"/>
      <c r="J48" s="12"/>
    </row>
    <row r="49" spans="1:10" x14ac:dyDescent="0.2">
      <c r="A49" s="1"/>
      <c r="G49" s="9"/>
      <c r="H49" s="12"/>
      <c r="I49" s="12"/>
      <c r="J49" s="12"/>
    </row>
    <row r="50" spans="1:10" x14ac:dyDescent="0.2">
      <c r="A50" s="1"/>
      <c r="G50" s="9"/>
      <c r="H50" s="12"/>
      <c r="I50" s="12"/>
      <c r="J50" s="12"/>
    </row>
    <row r="51" spans="1:10" x14ac:dyDescent="0.2">
      <c r="A51" s="1"/>
      <c r="G51" s="9"/>
      <c r="H51" s="12"/>
      <c r="I51" s="12"/>
      <c r="J51" s="12"/>
    </row>
    <row r="52" spans="1:10" x14ac:dyDescent="0.2">
      <c r="A52" s="1"/>
      <c r="G52" s="9"/>
      <c r="H52" s="12"/>
      <c r="I52" s="12"/>
      <c r="J52" s="12"/>
    </row>
    <row r="53" spans="1:10" x14ac:dyDescent="0.2">
      <c r="A53" s="1"/>
      <c r="G53" s="9"/>
      <c r="H53" s="12"/>
      <c r="I53" s="12"/>
      <c r="J53" s="12"/>
    </row>
    <row r="54" spans="1:10" x14ac:dyDescent="0.2">
      <c r="A54" s="1"/>
      <c r="G54" s="9"/>
      <c r="H54" s="12"/>
      <c r="I54" s="12"/>
      <c r="J54" s="12"/>
    </row>
    <row r="55" spans="1:10" x14ac:dyDescent="0.2">
      <c r="A55" s="1"/>
      <c r="G55" s="9"/>
      <c r="H55" s="12"/>
      <c r="I55" s="12"/>
      <c r="J55" s="12"/>
    </row>
    <row r="56" spans="1:10" x14ac:dyDescent="0.2">
      <c r="A56" s="1"/>
      <c r="G56" s="9"/>
      <c r="H56" s="12"/>
      <c r="I56" s="12"/>
      <c r="J56" s="12"/>
    </row>
    <row r="57" spans="1:10" x14ac:dyDescent="0.2">
      <c r="A57" s="1"/>
      <c r="G57" s="9"/>
      <c r="H57" s="12"/>
      <c r="I57" s="12"/>
      <c r="J57" s="12"/>
    </row>
    <row r="58" spans="1:10" x14ac:dyDescent="0.2">
      <c r="A58" s="1"/>
      <c r="G58" s="9"/>
      <c r="H58" s="12"/>
      <c r="I58" s="12"/>
      <c r="J58" s="12"/>
    </row>
    <row r="59" spans="1:10" x14ac:dyDescent="0.2">
      <c r="A59" s="1"/>
      <c r="G59" s="9"/>
      <c r="H59" s="12"/>
      <c r="I59" s="12"/>
      <c r="J59" s="12"/>
    </row>
    <row r="60" spans="1:10" x14ac:dyDescent="0.2">
      <c r="A60" s="1"/>
      <c r="G60" s="9"/>
      <c r="H60" s="12"/>
      <c r="I60" s="12"/>
      <c r="J60" s="12"/>
    </row>
    <row r="61" spans="1:10" x14ac:dyDescent="0.2">
      <c r="A61" s="1"/>
      <c r="G61" s="9"/>
      <c r="H61" s="12"/>
      <c r="I61" s="12"/>
      <c r="J61" s="12"/>
    </row>
    <row r="62" spans="1:10" x14ac:dyDescent="0.2">
      <c r="A62" s="1"/>
      <c r="G62" s="9"/>
      <c r="H62" s="12"/>
      <c r="I62" s="12"/>
      <c r="J62" s="12"/>
    </row>
    <row r="63" spans="1:10" x14ac:dyDescent="0.2">
      <c r="A63" s="1"/>
      <c r="G63" s="9"/>
      <c r="H63" s="12"/>
      <c r="I63" s="12"/>
      <c r="J63" s="12"/>
    </row>
    <row r="64" spans="1:10" x14ac:dyDescent="0.2">
      <c r="A64" s="1"/>
      <c r="G64" s="9"/>
      <c r="H64" s="12"/>
      <c r="I64" s="12"/>
      <c r="J64" s="12"/>
    </row>
    <row r="65" spans="1:10" x14ac:dyDescent="0.2">
      <c r="A65" s="1"/>
      <c r="G65" s="9"/>
      <c r="H65" s="12"/>
      <c r="I65" s="12"/>
      <c r="J65" s="12"/>
    </row>
    <row r="66" spans="1:10" x14ac:dyDescent="0.2">
      <c r="A66" s="1"/>
      <c r="G66" s="9"/>
      <c r="H66" s="12"/>
      <c r="I66" s="12"/>
      <c r="J66" s="12"/>
    </row>
    <row r="67" spans="1:10" x14ac:dyDescent="0.2">
      <c r="A67" s="1"/>
      <c r="G67" s="9"/>
      <c r="H67" s="12"/>
      <c r="I67" s="12"/>
      <c r="J67" s="12"/>
    </row>
    <row r="68" spans="1:10" x14ac:dyDescent="0.2">
      <c r="A68" s="1"/>
      <c r="G68" s="9"/>
      <c r="H68" s="12"/>
      <c r="I68" s="12"/>
      <c r="J68" s="12"/>
    </row>
    <row r="69" spans="1:10" x14ac:dyDescent="0.2">
      <c r="A69" s="1"/>
      <c r="G69" s="9"/>
      <c r="H69" s="12"/>
      <c r="I69" s="12"/>
      <c r="J69" s="12"/>
    </row>
    <row r="70" spans="1:10" x14ac:dyDescent="0.2">
      <c r="A70" s="1"/>
      <c r="G70" s="9"/>
      <c r="H70" s="12"/>
      <c r="I70" s="12"/>
      <c r="J70" s="12"/>
    </row>
    <row r="71" spans="1:10" x14ac:dyDescent="0.2">
      <c r="A71" s="1"/>
      <c r="G71" s="9"/>
      <c r="H71" s="12"/>
      <c r="I71" s="12"/>
      <c r="J71" s="12"/>
    </row>
    <row r="72" spans="1:10" x14ac:dyDescent="0.2">
      <c r="A72" s="1"/>
      <c r="G72" s="9"/>
      <c r="H72" s="12"/>
      <c r="I72" s="12"/>
      <c r="J72" s="12"/>
    </row>
    <row r="73" spans="1:10" x14ac:dyDescent="0.2">
      <c r="A73" s="1"/>
      <c r="G73" s="9"/>
      <c r="H73" s="12"/>
      <c r="I73" s="12"/>
      <c r="J73" s="12"/>
    </row>
    <row r="74" spans="1:10" x14ac:dyDescent="0.2">
      <c r="A74" s="1"/>
      <c r="G74" s="9"/>
      <c r="H74" s="12"/>
      <c r="I74" s="12"/>
      <c r="J74" s="12"/>
    </row>
    <row r="75" spans="1:10" x14ac:dyDescent="0.2">
      <c r="A75" s="1"/>
      <c r="G75" s="9"/>
      <c r="H75" s="12"/>
      <c r="I75" s="12"/>
      <c r="J75" s="12"/>
    </row>
    <row r="76" spans="1:10" x14ac:dyDescent="0.2">
      <c r="A76" s="1"/>
      <c r="G76" s="9"/>
      <c r="H76" s="12"/>
      <c r="I76" s="12"/>
      <c r="J76" s="12"/>
    </row>
    <row r="77" spans="1:10" x14ac:dyDescent="0.2">
      <c r="A77" s="1"/>
      <c r="G77" s="9"/>
      <c r="H77" s="12"/>
      <c r="I77" s="12"/>
      <c r="J77" s="12"/>
    </row>
    <row r="78" spans="1:10" x14ac:dyDescent="0.2">
      <c r="A78" s="1"/>
      <c r="G78" s="9"/>
      <c r="H78" s="12"/>
      <c r="I78" s="12"/>
      <c r="J78" s="12"/>
    </row>
    <row r="79" spans="1:10" x14ac:dyDescent="0.2">
      <c r="A79" s="1"/>
      <c r="G79" s="9"/>
      <c r="H79" s="12"/>
      <c r="I79" s="12"/>
      <c r="J79" s="12"/>
    </row>
    <row r="80" spans="1:10" x14ac:dyDescent="0.2">
      <c r="A80" s="1"/>
      <c r="G80" s="9"/>
      <c r="H80" s="12"/>
      <c r="I80" s="12"/>
      <c r="J80" s="12"/>
    </row>
    <row r="81" spans="1:10" x14ac:dyDescent="0.2">
      <c r="A81" s="1"/>
      <c r="G81" s="9"/>
      <c r="H81" s="12"/>
      <c r="I81" s="12"/>
      <c r="J81" s="12"/>
    </row>
    <row r="82" spans="1:10" x14ac:dyDescent="0.2">
      <c r="A82" s="1"/>
      <c r="G82" s="9"/>
      <c r="H82" s="12"/>
      <c r="I82" s="12"/>
      <c r="J82" s="12"/>
    </row>
    <row r="83" spans="1:10" x14ac:dyDescent="0.2">
      <c r="A83" s="1"/>
      <c r="G83" s="9"/>
      <c r="H83" s="12"/>
      <c r="I83" s="12"/>
      <c r="J83" s="12"/>
    </row>
    <row r="84" spans="1:10" x14ac:dyDescent="0.2">
      <c r="A84" s="1"/>
      <c r="G84" s="9"/>
      <c r="H84" s="12"/>
      <c r="I84" s="12"/>
      <c r="J84" s="12"/>
    </row>
    <row r="85" spans="1:10" x14ac:dyDescent="0.2">
      <c r="A85" s="1"/>
      <c r="G85" s="9"/>
      <c r="H85" s="12"/>
      <c r="I85" s="12"/>
      <c r="J85" s="12"/>
    </row>
    <row r="86" spans="1:10" x14ac:dyDescent="0.2">
      <c r="A86" s="1"/>
      <c r="G86" s="9"/>
      <c r="H86" s="12"/>
      <c r="I86" s="12"/>
      <c r="J86" s="12"/>
    </row>
    <row r="87" spans="1:10" x14ac:dyDescent="0.2">
      <c r="A87" s="1"/>
      <c r="G87" s="9"/>
      <c r="H87" s="12"/>
      <c r="I87" s="12"/>
      <c r="J87" s="12"/>
    </row>
    <row r="88" spans="1:10" x14ac:dyDescent="0.2">
      <c r="A88" s="1"/>
      <c r="G88" s="9"/>
      <c r="H88" s="12"/>
      <c r="I88" s="12"/>
      <c r="J88" s="12"/>
    </row>
    <row r="89" spans="1:10" x14ac:dyDescent="0.2">
      <c r="A89" s="1"/>
      <c r="D89"/>
      <c r="G89" s="9"/>
      <c r="H89" s="12"/>
      <c r="I89" s="12"/>
      <c r="J89" s="12"/>
    </row>
    <row r="90" spans="1:10" x14ac:dyDescent="0.2">
      <c r="A90" s="1"/>
      <c r="G90" s="9"/>
      <c r="H90" s="12"/>
      <c r="I90" s="12"/>
      <c r="J90" s="12"/>
    </row>
    <row r="91" spans="1:10" x14ac:dyDescent="0.2">
      <c r="A91" s="1"/>
      <c r="G91" s="9"/>
      <c r="H91" s="12"/>
      <c r="I91" s="12"/>
      <c r="J91" s="12"/>
    </row>
    <row r="92" spans="1:10" x14ac:dyDescent="0.2">
      <c r="A92" s="1"/>
      <c r="G92" s="9"/>
      <c r="H92" s="12"/>
      <c r="I92" s="12"/>
      <c r="J92" s="12"/>
    </row>
    <row r="93" spans="1:10" x14ac:dyDescent="0.2">
      <c r="A93" s="1"/>
      <c r="G93" s="9"/>
      <c r="H93" s="12"/>
      <c r="I93" s="12"/>
      <c r="J93" s="12"/>
    </row>
    <row r="94" spans="1:10" x14ac:dyDescent="0.2">
      <c r="A94" s="1"/>
      <c r="E94"/>
      <c r="G94" s="9"/>
      <c r="H94" s="12"/>
      <c r="I94" s="12"/>
      <c r="J94" s="12"/>
    </row>
    <row r="95" spans="1:10" x14ac:dyDescent="0.2">
      <c r="A95" s="1"/>
      <c r="G95" s="9"/>
      <c r="H95" s="12"/>
      <c r="I95" s="12"/>
      <c r="J95" s="12"/>
    </row>
    <row r="96" spans="1:10" x14ac:dyDescent="0.2">
      <c r="A96" s="1"/>
      <c r="G96" s="9"/>
      <c r="H96" s="12"/>
      <c r="I96" s="12"/>
      <c r="J96" s="12"/>
    </row>
    <row r="97" spans="1:10" x14ac:dyDescent="0.2">
      <c r="A97" s="1"/>
      <c r="G97" s="9"/>
      <c r="H97" s="12"/>
      <c r="I97" s="12"/>
      <c r="J97" s="12"/>
    </row>
    <row r="98" spans="1:10" x14ac:dyDescent="0.2">
      <c r="A98" s="1"/>
      <c r="G98" s="9"/>
      <c r="H98" s="12"/>
      <c r="I98" s="12"/>
      <c r="J98" s="12"/>
    </row>
    <row r="99" spans="1:10" x14ac:dyDescent="0.2">
      <c r="A99" s="1"/>
      <c r="G99" s="9"/>
      <c r="H99" s="12"/>
      <c r="I99" s="12"/>
      <c r="J99" s="12"/>
    </row>
    <row r="100" spans="1:10" x14ac:dyDescent="0.2">
      <c r="A100" s="1"/>
      <c r="G100" s="9"/>
      <c r="H100" s="12"/>
      <c r="I100" s="12"/>
      <c r="J100" s="12"/>
    </row>
    <row r="101" spans="1:10" x14ac:dyDescent="0.2">
      <c r="A101" s="1"/>
      <c r="G101" s="9"/>
      <c r="H101" s="12"/>
      <c r="I101" s="12"/>
      <c r="J101" s="12"/>
    </row>
    <row r="102" spans="1:10" x14ac:dyDescent="0.2">
      <c r="A102" s="1"/>
      <c r="G102" s="9"/>
      <c r="H102" s="12"/>
      <c r="I102" s="12"/>
      <c r="J102" s="12"/>
    </row>
    <row r="103" spans="1:10" x14ac:dyDescent="0.2">
      <c r="A103" s="1"/>
      <c r="G103" s="9"/>
      <c r="H103" s="12"/>
      <c r="I103" s="12"/>
      <c r="J103" s="12"/>
    </row>
    <row r="104" spans="1:10" x14ac:dyDescent="0.2">
      <c r="A104" s="1"/>
      <c r="G104" s="9"/>
      <c r="H104" s="12"/>
      <c r="I104" s="12"/>
      <c r="J104" s="12"/>
    </row>
    <row r="105" spans="1:10" x14ac:dyDescent="0.2">
      <c r="A105" s="1"/>
      <c r="G105" s="9"/>
      <c r="H105" s="12"/>
      <c r="I105" s="12"/>
      <c r="J105" s="12"/>
    </row>
    <row r="106" spans="1:10" x14ac:dyDescent="0.2">
      <c r="A106" s="1"/>
      <c r="G106" s="9"/>
      <c r="H106" s="12"/>
      <c r="I106" s="12"/>
      <c r="J106" s="12"/>
    </row>
    <row r="107" spans="1:10" x14ac:dyDescent="0.2">
      <c r="A107" s="1"/>
      <c r="G107" s="9"/>
      <c r="H107" s="12"/>
      <c r="I107" s="12"/>
      <c r="J107" s="12"/>
    </row>
    <row r="108" spans="1:10" x14ac:dyDescent="0.2">
      <c r="A108" s="1"/>
      <c r="G108" s="9"/>
      <c r="H108" s="12"/>
      <c r="I108" s="12"/>
      <c r="J108" s="12"/>
    </row>
    <row r="109" spans="1:10" x14ac:dyDescent="0.2">
      <c r="A109" s="1"/>
      <c r="G109" s="9"/>
      <c r="H109" s="12"/>
      <c r="I109" s="12"/>
      <c r="J109" s="12"/>
    </row>
    <row r="110" spans="1:10" x14ac:dyDescent="0.2">
      <c r="A110" s="1"/>
      <c r="G110" s="9"/>
      <c r="H110" s="12"/>
      <c r="I110" s="12"/>
      <c r="J110" s="12"/>
    </row>
    <row r="111" spans="1:10" x14ac:dyDescent="0.2">
      <c r="A111" s="1"/>
      <c r="G111" s="9"/>
      <c r="H111" s="12"/>
      <c r="I111" s="12"/>
      <c r="J111" s="12"/>
    </row>
    <row r="112" spans="1:10" x14ac:dyDescent="0.2">
      <c r="A112" s="1"/>
      <c r="G112" s="9"/>
      <c r="H112" s="12"/>
      <c r="I112" s="12"/>
      <c r="J112" s="12"/>
    </row>
    <row r="113" spans="1:10" x14ac:dyDescent="0.2">
      <c r="A113" s="1"/>
      <c r="G113" s="9"/>
      <c r="H113" s="12"/>
      <c r="I113" s="12"/>
      <c r="J113" s="12"/>
    </row>
    <row r="114" spans="1:10" x14ac:dyDescent="0.2">
      <c r="A114" s="1"/>
      <c r="G114" s="9"/>
      <c r="H114" s="12"/>
      <c r="I114" s="12"/>
      <c r="J114" s="12"/>
    </row>
    <row r="115" spans="1:10" x14ac:dyDescent="0.2">
      <c r="A115" s="1"/>
      <c r="G115" s="9"/>
      <c r="H115" s="12"/>
      <c r="I115" s="12"/>
      <c r="J115" s="12"/>
    </row>
    <row r="116" spans="1:10" x14ac:dyDescent="0.2">
      <c r="A116" s="1"/>
      <c r="G116" s="9"/>
      <c r="H116" s="12"/>
      <c r="I116" s="12"/>
      <c r="J116" s="12"/>
    </row>
    <row r="117" spans="1:10" x14ac:dyDescent="0.2">
      <c r="A117" s="1"/>
      <c r="G117" s="9"/>
      <c r="H117" s="12"/>
      <c r="I117" s="12"/>
      <c r="J117" s="12"/>
    </row>
    <row r="118" spans="1:10" x14ac:dyDescent="0.2">
      <c r="A118" s="1"/>
      <c r="G118" s="9"/>
      <c r="H118" s="12"/>
      <c r="I118" s="12"/>
      <c r="J118" s="12"/>
    </row>
    <row r="119" spans="1:10" x14ac:dyDescent="0.2">
      <c r="A119" s="1"/>
      <c r="G119" s="9"/>
      <c r="H119" s="12"/>
      <c r="I119" s="12"/>
      <c r="J119" s="12"/>
    </row>
    <row r="120" spans="1:10" x14ac:dyDescent="0.2">
      <c r="A120" s="1"/>
      <c r="G120" s="9"/>
      <c r="H120" s="12"/>
      <c r="I120" s="12"/>
      <c r="J120" s="12"/>
    </row>
    <row r="121" spans="1:10" x14ac:dyDescent="0.2">
      <c r="A121" s="1"/>
      <c r="G121" s="9"/>
      <c r="H121" s="12"/>
      <c r="I121" s="12"/>
      <c r="J121" s="12"/>
    </row>
    <row r="122" spans="1:10" x14ac:dyDescent="0.2">
      <c r="A122" s="1"/>
      <c r="G122" s="9"/>
      <c r="H122" s="12"/>
      <c r="I122" s="12"/>
      <c r="J122" s="12"/>
    </row>
    <row r="123" spans="1:10" x14ac:dyDescent="0.2">
      <c r="A123" s="1"/>
      <c r="G123" s="9"/>
      <c r="H123" s="12"/>
      <c r="I123" s="12"/>
      <c r="J123" s="12"/>
    </row>
    <row r="124" spans="1:10" x14ac:dyDescent="0.2">
      <c r="A124" s="1"/>
      <c r="G124" s="9"/>
      <c r="H124" s="12"/>
      <c r="I124" s="12"/>
      <c r="J124" s="12"/>
    </row>
    <row r="125" spans="1:10" x14ac:dyDescent="0.2">
      <c r="A125" s="1"/>
      <c r="G125" s="9"/>
      <c r="H125" s="12"/>
      <c r="I125" s="12"/>
      <c r="J125" s="12"/>
    </row>
    <row r="126" spans="1:10" x14ac:dyDescent="0.2">
      <c r="A126" s="1"/>
      <c r="G126" s="9"/>
      <c r="H126" s="12"/>
      <c r="I126" s="12"/>
      <c r="J126" s="12"/>
    </row>
    <row r="127" spans="1:10" x14ac:dyDescent="0.2">
      <c r="A127" s="1"/>
      <c r="G127" s="9"/>
      <c r="H127" s="12"/>
      <c r="I127" s="12"/>
      <c r="J127" s="12"/>
    </row>
    <row r="128" spans="1:10" x14ac:dyDescent="0.2">
      <c r="A128" s="1"/>
      <c r="G128" s="9"/>
      <c r="H128" s="12"/>
      <c r="I128" s="12"/>
      <c r="J128" s="12"/>
    </row>
    <row r="129" spans="1:10" x14ac:dyDescent="0.2">
      <c r="A129" s="1"/>
      <c r="G129" s="9"/>
      <c r="H129" s="12"/>
      <c r="I129" s="12"/>
      <c r="J129" s="12"/>
    </row>
    <row r="130" spans="1:10" x14ac:dyDescent="0.2">
      <c r="A130" s="1"/>
      <c r="G130" s="9"/>
      <c r="H130" s="12"/>
      <c r="I130" s="12"/>
      <c r="J130" s="12"/>
    </row>
    <row r="131" spans="1:10" x14ac:dyDescent="0.2">
      <c r="A131" s="1"/>
      <c r="G131" s="9"/>
      <c r="H131" s="12"/>
      <c r="I131" s="12"/>
      <c r="J131" s="12"/>
    </row>
    <row r="132" spans="1:10" x14ac:dyDescent="0.2">
      <c r="A132" s="1"/>
      <c r="G132" s="9"/>
      <c r="H132" s="12"/>
      <c r="I132" s="12"/>
      <c r="J132" s="12"/>
    </row>
    <row r="133" spans="1:10" x14ac:dyDescent="0.2">
      <c r="A133" s="1"/>
      <c r="G133" s="9"/>
      <c r="H133" s="12"/>
      <c r="I133" s="12"/>
      <c r="J133" s="12"/>
    </row>
    <row r="134" spans="1:10" x14ac:dyDescent="0.2">
      <c r="A134" s="1"/>
      <c r="G134" s="9"/>
      <c r="H134" s="12"/>
      <c r="I134" s="12"/>
      <c r="J134" s="12"/>
    </row>
    <row r="135" spans="1:10" x14ac:dyDescent="0.2">
      <c r="A135" s="1"/>
      <c r="G135" s="9"/>
      <c r="H135" s="12"/>
      <c r="I135" s="12"/>
      <c r="J135" s="12"/>
    </row>
    <row r="136" spans="1:10" x14ac:dyDescent="0.2">
      <c r="A136" s="1"/>
      <c r="G136" s="9"/>
      <c r="H136" s="12"/>
      <c r="I136" s="12"/>
      <c r="J136" s="12"/>
    </row>
    <row r="137" spans="1:10" x14ac:dyDescent="0.2">
      <c r="A137" s="1"/>
      <c r="G137" s="9"/>
      <c r="H137" s="12"/>
      <c r="I137" s="12"/>
      <c r="J137" s="12"/>
    </row>
    <row r="138" spans="1:10" x14ac:dyDescent="0.2">
      <c r="A138" s="1"/>
      <c r="G138" s="9"/>
      <c r="H138" s="12"/>
      <c r="I138" s="12"/>
      <c r="J138" s="12"/>
    </row>
    <row r="139" spans="1:10" x14ac:dyDescent="0.2">
      <c r="A139" s="1"/>
      <c r="G139" s="9"/>
      <c r="H139" s="12"/>
      <c r="I139" s="12"/>
      <c r="J139" s="12"/>
    </row>
    <row r="140" spans="1:10" x14ac:dyDescent="0.2">
      <c r="A140" s="1"/>
      <c r="G140" s="9"/>
      <c r="H140" s="12"/>
      <c r="I140" s="12"/>
      <c r="J140" s="12"/>
    </row>
    <row r="141" spans="1:10" x14ac:dyDescent="0.2">
      <c r="A141" s="1"/>
      <c r="G141" s="9"/>
      <c r="H141" s="12"/>
      <c r="I141" s="12"/>
      <c r="J141" s="12"/>
    </row>
    <row r="142" spans="1:10" x14ac:dyDescent="0.2">
      <c r="A142" s="1"/>
      <c r="G142" s="9"/>
      <c r="H142" s="12"/>
      <c r="I142" s="12"/>
      <c r="J142" s="12"/>
    </row>
    <row r="143" spans="1:10" x14ac:dyDescent="0.2">
      <c r="A143" s="1"/>
      <c r="G143" s="9"/>
      <c r="H143" s="12"/>
      <c r="I143" s="12"/>
      <c r="J143" s="12"/>
    </row>
    <row r="144" spans="1:10" x14ac:dyDescent="0.2">
      <c r="A144" s="1"/>
      <c r="G144" s="9"/>
      <c r="H144" s="12"/>
      <c r="I144" s="12"/>
      <c r="J144" s="12"/>
    </row>
    <row r="145" spans="1:10" x14ac:dyDescent="0.2">
      <c r="A145" s="1"/>
      <c r="G145" s="9"/>
      <c r="H145" s="12"/>
      <c r="I145" s="12"/>
      <c r="J145" s="12"/>
    </row>
    <row r="146" spans="1:10" x14ac:dyDescent="0.2">
      <c r="A146" s="1"/>
      <c r="G146" s="9"/>
      <c r="H146" s="12"/>
      <c r="I146" s="12"/>
      <c r="J146" s="12"/>
    </row>
    <row r="147" spans="1:10" x14ac:dyDescent="0.2">
      <c r="A147" s="1"/>
      <c r="G147" s="9"/>
      <c r="H147" s="12"/>
      <c r="I147" s="12"/>
      <c r="J147" s="12"/>
    </row>
    <row r="148" spans="1:10" x14ac:dyDescent="0.2">
      <c r="A148" s="1"/>
      <c r="G148" s="9"/>
      <c r="H148" s="12"/>
      <c r="I148" s="12"/>
      <c r="J148" s="12"/>
    </row>
    <row r="149" spans="1:10" x14ac:dyDescent="0.2">
      <c r="A149" s="1"/>
      <c r="G149" s="9"/>
      <c r="H149" s="12"/>
      <c r="I149" s="12"/>
      <c r="J149" s="12"/>
    </row>
    <row r="150" spans="1:10" x14ac:dyDescent="0.2">
      <c r="A150" s="1"/>
      <c r="G150" s="9"/>
      <c r="H150" s="12"/>
      <c r="I150" s="12"/>
      <c r="J150" s="12"/>
    </row>
    <row r="151" spans="1:10" x14ac:dyDescent="0.2">
      <c r="A151" s="1"/>
      <c r="G151" s="9"/>
      <c r="H151" s="12"/>
      <c r="I151" s="12"/>
      <c r="J151" s="12"/>
    </row>
    <row r="152" spans="1:10" x14ac:dyDescent="0.2">
      <c r="A152" s="1"/>
      <c r="G152" s="9"/>
      <c r="H152" s="12"/>
      <c r="I152" s="12"/>
      <c r="J152" s="12"/>
    </row>
    <row r="153" spans="1:10" x14ac:dyDescent="0.2">
      <c r="A153" s="1"/>
      <c r="G153" s="9"/>
      <c r="H153" s="12"/>
      <c r="I153" s="12"/>
      <c r="J153" s="12"/>
    </row>
  </sheetData>
  <autoFilter ref="A1:F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M155"/>
  <sheetViews>
    <sheetView tabSelected="1" topLeftCell="B1" workbookViewId="0">
      <selection activeCell="P2" sqref="P2:P3"/>
    </sheetView>
  </sheetViews>
  <sheetFormatPr baseColWidth="10" defaultRowHeight="16" x14ac:dyDescent="0.2"/>
  <cols>
    <col min="1" max="1" width="19.33203125" style="18" bestFit="1" customWidth="1"/>
    <col min="2" max="2" width="18.5" style="2" bestFit="1" customWidth="1"/>
    <col min="3" max="3" width="10.5" style="2" customWidth="1"/>
    <col min="5" max="6" width="10.83203125" style="7"/>
    <col min="10" max="10" width="18" bestFit="1" customWidth="1"/>
  </cols>
  <sheetData>
    <row r="1" spans="1:13" s="6" customFormat="1" x14ac:dyDescent="0.2">
      <c r="A1" s="22" t="s">
        <v>781</v>
      </c>
      <c r="B1" s="4" t="s">
        <v>8</v>
      </c>
      <c r="C1" s="4" t="s">
        <v>8</v>
      </c>
      <c r="D1" s="6" t="s">
        <v>777</v>
      </c>
      <c r="E1" s="13" t="s">
        <v>778</v>
      </c>
      <c r="F1" s="13" t="s">
        <v>779</v>
      </c>
      <c r="G1" s="6" t="s">
        <v>780</v>
      </c>
      <c r="H1" s="11"/>
      <c r="I1" s="11"/>
      <c r="J1" s="23"/>
      <c r="K1" s="23"/>
      <c r="L1" s="22"/>
      <c r="M1" s="22"/>
    </row>
    <row r="2" spans="1:13" x14ac:dyDescent="0.2">
      <c r="A2" s="21" t="s">
        <v>4838</v>
      </c>
      <c r="B2" s="2" t="s">
        <v>5087</v>
      </c>
      <c r="C2" s="2">
        <v>1</v>
      </c>
      <c r="D2" t="s">
        <v>789</v>
      </c>
      <c r="E2" s="7" t="s">
        <v>4953</v>
      </c>
      <c r="F2" s="7" t="s">
        <v>3124</v>
      </c>
      <c r="G2" t="s">
        <v>837</v>
      </c>
      <c r="H2" s="9"/>
      <c r="I2" s="12" t="str">
        <f>"{ name: """&amp;A2&amp;""", type: "&amp;CHAR(34)&amp;"Shrine"&amp;CHAR(34)&amp;", region: "&amp;C2&amp;", level: "&amp;CHAR(34)&amp;D2&amp;CHAR(34)&amp;", x: "&amp;E2&amp;", y: "&amp;F2&amp;", z: "&amp;G2&amp;", details: "&amp;CHAR(34)&amp;CHAR(34)&amp;" },"</f>
        <v>{ name: "Ishodag Shrine", type: "Shrine", region: 1, level: "Surface", x: -0885, y: 0418, z: 0049, details: "" },</v>
      </c>
      <c r="J2" s="18"/>
      <c r="K2" s="18"/>
      <c r="L2" s="18"/>
      <c r="M2" s="18"/>
    </row>
    <row r="3" spans="1:13" x14ac:dyDescent="0.2">
      <c r="A3" s="21" t="s">
        <v>4837</v>
      </c>
      <c r="B3" s="2" t="s">
        <v>5087</v>
      </c>
      <c r="C3" s="2">
        <v>1</v>
      </c>
      <c r="D3" t="s">
        <v>789</v>
      </c>
      <c r="E3" s="7" t="s">
        <v>828</v>
      </c>
      <c r="F3" s="7" t="s">
        <v>4948</v>
      </c>
      <c r="G3" t="s">
        <v>829</v>
      </c>
      <c r="H3" s="9"/>
      <c r="I3" s="12" t="str">
        <f t="shared" ref="I3:I66" si="0">"{ name: """&amp;A3&amp;""", type: "&amp;CHAR(34)&amp;"Shrine"&amp;CHAR(34)&amp;", region: "&amp;C3&amp;", level: "&amp;CHAR(34)&amp;D3&amp;CHAR(34)&amp;", x: "&amp;E3&amp;", y: "&amp;F3&amp;", z: "&amp;G3&amp;", details: "&amp;CHAR(34)&amp;CHAR(34)&amp;" },"</f>
        <v>{ name: "Jiosin Shrine", type: "Shrine", region: 1, level: "Surface", x: -0240, y: -0374, z: 0027, details: "" },</v>
      </c>
      <c r="J3" s="18"/>
      <c r="K3" s="18"/>
      <c r="L3" s="18"/>
      <c r="M3" s="18"/>
    </row>
    <row r="4" spans="1:13" x14ac:dyDescent="0.2">
      <c r="A4" s="21" t="s">
        <v>4849</v>
      </c>
      <c r="B4" s="2" t="s">
        <v>5087</v>
      </c>
      <c r="C4" s="2">
        <v>1</v>
      </c>
      <c r="D4" t="s">
        <v>789</v>
      </c>
      <c r="E4" s="7" t="s">
        <v>826</v>
      </c>
      <c r="F4" s="7" t="s">
        <v>827</v>
      </c>
      <c r="G4" t="s">
        <v>820</v>
      </c>
      <c r="H4" s="9"/>
      <c r="I4" s="12" t="str">
        <f t="shared" si="0"/>
        <v>{ name: "Kyononis Shrine", type: "Shrine", region: 1, level: "Surface", x: -0205, y: 0451, z: 0021, details: "" },</v>
      </c>
      <c r="J4" s="18"/>
      <c r="K4" s="18"/>
      <c r="L4" s="18"/>
      <c r="M4" s="18"/>
    </row>
    <row r="5" spans="1:13" x14ac:dyDescent="0.2">
      <c r="A5" s="21" t="s">
        <v>4863</v>
      </c>
      <c r="B5" s="2" t="s">
        <v>5087</v>
      </c>
      <c r="C5" s="2">
        <v>1</v>
      </c>
      <c r="D5" t="s">
        <v>789</v>
      </c>
      <c r="E5" s="7" t="s">
        <v>3250</v>
      </c>
      <c r="F5" s="7" t="s">
        <v>4958</v>
      </c>
      <c r="G5" t="s">
        <v>845</v>
      </c>
      <c r="H5" s="9"/>
      <c r="I5" s="12" t="str">
        <f t="shared" si="0"/>
        <v>{ name: "Sepapa Shrine", type: "Shrine", region: 1, level: "Surface", x: 0219, y: 1082, z: 0026, details: "" },</v>
      </c>
      <c r="J5" s="18"/>
      <c r="K5" s="18"/>
      <c r="L5" s="18"/>
      <c r="M5" s="18"/>
    </row>
    <row r="6" spans="1:13" x14ac:dyDescent="0.2">
      <c r="A6" s="21" t="s">
        <v>4860</v>
      </c>
      <c r="B6" s="2" t="s">
        <v>5087</v>
      </c>
      <c r="C6" s="2">
        <v>1</v>
      </c>
      <c r="D6" t="s">
        <v>789</v>
      </c>
      <c r="E6" s="7" t="s">
        <v>823</v>
      </c>
      <c r="F6" s="7" t="s">
        <v>824</v>
      </c>
      <c r="G6" t="s">
        <v>825</v>
      </c>
      <c r="H6" s="9"/>
      <c r="I6" s="12" t="str">
        <f t="shared" si="0"/>
        <v>{ name: "Serutabomac Shrine", type: "Shrine", region: 1, level: "Surface", x: -0180, y: 1170, z: 0280, details: "" },</v>
      </c>
      <c r="J6" s="18"/>
      <c r="K6" s="18"/>
      <c r="L6" s="18"/>
      <c r="M6" s="18"/>
    </row>
    <row r="7" spans="1:13" x14ac:dyDescent="0.2">
      <c r="A7" s="21" t="s">
        <v>4824</v>
      </c>
      <c r="B7" s="2" t="s">
        <v>5087</v>
      </c>
      <c r="C7" s="2">
        <v>1</v>
      </c>
      <c r="D7" t="s">
        <v>789</v>
      </c>
      <c r="E7" s="7" t="s">
        <v>833</v>
      </c>
      <c r="F7" s="7" t="s">
        <v>4952</v>
      </c>
      <c r="G7" t="s">
        <v>835</v>
      </c>
      <c r="H7" s="9"/>
      <c r="I7" s="12" t="str">
        <f t="shared" si="0"/>
        <v>{ name: "Susuyai Shrine", type: "Shrine", region: 1, level: "Surface", x: -0785, y: -0433, z: 0018, details: "" },</v>
      </c>
      <c r="J7" s="18"/>
      <c r="K7" s="18"/>
      <c r="L7" s="18"/>
      <c r="M7" s="18"/>
    </row>
    <row r="8" spans="1:13" x14ac:dyDescent="0.2">
      <c r="A8" s="21" t="s">
        <v>4856</v>
      </c>
      <c r="B8" s="2" t="s">
        <v>5087</v>
      </c>
      <c r="C8" s="2">
        <v>1</v>
      </c>
      <c r="D8" t="s">
        <v>789</v>
      </c>
      <c r="E8" s="7" t="s">
        <v>4959</v>
      </c>
      <c r="F8" s="7" t="s">
        <v>982</v>
      </c>
      <c r="G8" t="s">
        <v>847</v>
      </c>
      <c r="H8" s="9"/>
      <c r="I8" s="12" t="str">
        <f t="shared" si="0"/>
        <v>{ name: "Yamiyo Shrine", type: "Shrine", region: 1, level: "Surface", x: 0333, y: 0468, z: 0029, details: "" },</v>
      </c>
      <c r="J8" s="18"/>
      <c r="K8" s="18"/>
      <c r="L8" s="18"/>
      <c r="M8" s="18"/>
    </row>
    <row r="9" spans="1:13" x14ac:dyDescent="0.2">
      <c r="A9" s="21" t="s">
        <v>4819</v>
      </c>
      <c r="B9" s="2" t="s">
        <v>5088</v>
      </c>
      <c r="C9" s="2">
        <v>2</v>
      </c>
      <c r="D9" t="s">
        <v>783</v>
      </c>
      <c r="E9" s="7" t="s">
        <v>829</v>
      </c>
      <c r="F9" s="7" t="s">
        <v>1168</v>
      </c>
      <c r="G9" t="s">
        <v>965</v>
      </c>
      <c r="H9" s="9"/>
      <c r="I9" s="12" t="str">
        <f t="shared" si="0"/>
        <v>{ name: "In-isa Shrine", type: "Shrine", region: 2, level: "Sky", x: 0027, y: -1506, z: 1408, details: "" },</v>
      </c>
      <c r="J9" s="18"/>
      <c r="K9" s="18"/>
      <c r="L9" s="18"/>
      <c r="M9" s="18"/>
    </row>
    <row r="10" spans="1:13" x14ac:dyDescent="0.2">
      <c r="A10" s="21" t="s">
        <v>4801</v>
      </c>
      <c r="B10" s="2" t="s">
        <v>5088</v>
      </c>
      <c r="C10" s="2">
        <v>2</v>
      </c>
      <c r="D10" t="s">
        <v>783</v>
      </c>
      <c r="E10" s="7" t="s">
        <v>810</v>
      </c>
      <c r="F10" s="7" t="s">
        <v>811</v>
      </c>
      <c r="G10" t="s">
        <v>812</v>
      </c>
      <c r="H10" s="9"/>
      <c r="I10" s="12" t="str">
        <f t="shared" si="0"/>
        <v>{ name: "Jinodok Shrine", type: "Shrine", region: 2, level: "Sky", x: -1257, y: -1487, z: 1008, details: "" },</v>
      </c>
      <c r="J10" s="18"/>
      <c r="K10" s="18"/>
      <c r="L10" s="18"/>
      <c r="M10" s="18"/>
    </row>
    <row r="11" spans="1:13" x14ac:dyDescent="0.2">
      <c r="A11" s="21" t="s">
        <v>4835</v>
      </c>
      <c r="B11" s="2" t="s">
        <v>5088</v>
      </c>
      <c r="C11" s="2">
        <v>2</v>
      </c>
      <c r="D11" t="s">
        <v>783</v>
      </c>
      <c r="E11" s="7" t="s">
        <v>5010</v>
      </c>
      <c r="F11" s="7" t="s">
        <v>5011</v>
      </c>
      <c r="G11" t="s">
        <v>5060</v>
      </c>
      <c r="H11" s="9"/>
      <c r="I11" s="12" t="str">
        <f t="shared" si="0"/>
        <v>{ name: "Ukouh Shrine", type: "Shrine", region: 2, level: "Sky", x: 0275, y: -0910, z: 1474, details: "" },</v>
      </c>
      <c r="J11" s="18"/>
      <c r="K11" s="18"/>
      <c r="L11" s="18"/>
      <c r="M11" s="18"/>
    </row>
    <row r="12" spans="1:13" x14ac:dyDescent="0.2">
      <c r="A12" s="21" t="s">
        <v>4813</v>
      </c>
      <c r="B12" s="2" t="s">
        <v>5088</v>
      </c>
      <c r="C12" s="2">
        <v>2</v>
      </c>
      <c r="D12" t="s">
        <v>789</v>
      </c>
      <c r="E12" s="7" t="s">
        <v>4947</v>
      </c>
      <c r="F12" s="7" t="s">
        <v>821</v>
      </c>
      <c r="G12" t="s">
        <v>822</v>
      </c>
      <c r="H12" s="9"/>
      <c r="I12" s="12" t="str">
        <f t="shared" si="0"/>
        <v>{ name: "Kamizun Shrine", type: "Shrine", region: 2, level: "Surface", x: -0176, y: -1557, z: 0023, details: "" },</v>
      </c>
      <c r="J12" s="18"/>
      <c r="K12" s="18"/>
      <c r="L12" s="18"/>
      <c r="M12" s="18"/>
    </row>
    <row r="13" spans="1:13" x14ac:dyDescent="0.2">
      <c r="A13" s="21" t="s">
        <v>4807</v>
      </c>
      <c r="B13" s="2" t="s">
        <v>5088</v>
      </c>
      <c r="C13" s="2">
        <v>2</v>
      </c>
      <c r="D13" t="s">
        <v>789</v>
      </c>
      <c r="E13" s="7" t="s">
        <v>4950</v>
      </c>
      <c r="F13" s="7" t="s">
        <v>4951</v>
      </c>
      <c r="G13" t="s">
        <v>832</v>
      </c>
      <c r="H13" s="9"/>
      <c r="I13" s="12" t="str">
        <f t="shared" si="0"/>
        <v>{ name: "Kyokugon Shrine", type: "Shrine", region: 2, level: "Surface", x: -0710, y: -1550, z: 0006, details: "" },</v>
      </c>
      <c r="J13" s="18"/>
      <c r="K13" s="18"/>
      <c r="L13" s="18"/>
      <c r="M13" s="18"/>
    </row>
    <row r="14" spans="1:13" x14ac:dyDescent="0.2">
      <c r="A14" s="21" t="s">
        <v>4818</v>
      </c>
      <c r="B14" s="2" t="s">
        <v>5088</v>
      </c>
      <c r="C14" s="2">
        <v>2</v>
      </c>
      <c r="D14" t="s">
        <v>789</v>
      </c>
      <c r="E14" s="7" t="s">
        <v>830</v>
      </c>
      <c r="F14" s="7" t="s">
        <v>4949</v>
      </c>
      <c r="G14" t="s">
        <v>831</v>
      </c>
      <c r="H14" s="9"/>
      <c r="I14" s="12" t="str">
        <f t="shared" si="0"/>
        <v>{ name: "Mayachin Shrine", type: "Shrine", region: 2, level: "Surface", x: -0705, y: -0866, z: 0031, details: "" },</v>
      </c>
      <c r="J14" s="18"/>
      <c r="K14" s="18"/>
      <c r="L14" s="18"/>
      <c r="M14" s="18"/>
    </row>
    <row r="15" spans="1:13" x14ac:dyDescent="0.2">
      <c r="A15" s="21" t="s">
        <v>4796</v>
      </c>
      <c r="B15" s="2" t="s">
        <v>5088</v>
      </c>
      <c r="C15" s="2">
        <v>2</v>
      </c>
      <c r="D15" t="s">
        <v>789</v>
      </c>
      <c r="E15" s="7" t="s">
        <v>4957</v>
      </c>
      <c r="F15" s="7" t="s">
        <v>843</v>
      </c>
      <c r="G15" t="s">
        <v>840</v>
      </c>
      <c r="H15" s="9"/>
      <c r="I15" s="12" t="str">
        <f t="shared" si="0"/>
        <v>{ name: "Riogok Shrine", type: "Shrine", region: 2, level: "Surface", x: -1443, y: -1616, z: 0089, details: "" },</v>
      </c>
      <c r="J15" s="18"/>
      <c r="K15" s="18"/>
      <c r="L15" s="18"/>
      <c r="M15" s="18"/>
    </row>
    <row r="16" spans="1:13" x14ac:dyDescent="0.2">
      <c r="A16" s="21" t="s">
        <v>4805</v>
      </c>
      <c r="B16" s="2" t="s">
        <v>5088</v>
      </c>
      <c r="C16" s="2">
        <v>2</v>
      </c>
      <c r="D16" t="s">
        <v>789</v>
      </c>
      <c r="E16" s="7" t="s">
        <v>861</v>
      </c>
      <c r="F16" s="7" t="s">
        <v>3315</v>
      </c>
      <c r="G16" t="s">
        <v>862</v>
      </c>
      <c r="H16" s="9"/>
      <c r="I16" s="12" t="str">
        <f t="shared" si="0"/>
        <v>{ name: "Sonapan Shrine", type: "Shrine", region: 2, level: "Surface", x: -1921, y: -0356, z: 0228, details: "" },</v>
      </c>
      <c r="J16" s="18"/>
      <c r="K16" s="18"/>
      <c r="L16" s="18"/>
      <c r="M16" s="18"/>
    </row>
    <row r="17" spans="1:13" x14ac:dyDescent="0.2">
      <c r="A17" s="21" t="s">
        <v>4795</v>
      </c>
      <c r="B17" s="2" t="s">
        <v>5088</v>
      </c>
      <c r="C17" s="2">
        <v>2</v>
      </c>
      <c r="D17" t="s">
        <v>789</v>
      </c>
      <c r="E17" s="7" t="s">
        <v>4961</v>
      </c>
      <c r="F17" s="7" t="s">
        <v>3832</v>
      </c>
      <c r="G17" t="s">
        <v>854</v>
      </c>
      <c r="H17" s="9"/>
      <c r="I17" s="12" t="str">
        <f t="shared" si="0"/>
        <v>{ name: "Tadarok Shrine", type: "Shrine", region: 2, level: "Surface", x: -1082, y: -2187, z: 0128, details: "" },</v>
      </c>
      <c r="J17" s="24"/>
      <c r="K17" s="24"/>
      <c r="L17" s="18"/>
      <c r="M17" s="18"/>
    </row>
    <row r="18" spans="1:13" x14ac:dyDescent="0.2">
      <c r="A18" s="21" t="s">
        <v>4833</v>
      </c>
      <c r="B18" s="2" t="s">
        <v>5088</v>
      </c>
      <c r="C18" s="2">
        <v>2</v>
      </c>
      <c r="D18" t="s">
        <v>789</v>
      </c>
      <c r="E18" s="7" t="s">
        <v>848</v>
      </c>
      <c r="F18" s="7" t="s">
        <v>4960</v>
      </c>
      <c r="G18" t="s">
        <v>849</v>
      </c>
      <c r="H18" s="9"/>
      <c r="I18" s="12" t="str">
        <f t="shared" si="0"/>
        <v>{ name: "Tajikats Shrine", type: "Shrine", region: 2, level: "Surface", x: 0344, y: -1007, z: 0016, details: "" },</v>
      </c>
      <c r="J18" s="24"/>
      <c r="K18" s="24"/>
      <c r="L18" s="18"/>
      <c r="M18" s="18"/>
    </row>
    <row r="19" spans="1:13" x14ac:dyDescent="0.2">
      <c r="A19" s="21" t="s">
        <v>4825</v>
      </c>
      <c r="B19" s="2" t="s">
        <v>5088</v>
      </c>
      <c r="C19" s="2">
        <v>2</v>
      </c>
      <c r="D19" t="s">
        <v>789</v>
      </c>
      <c r="E19" s="7" t="s">
        <v>4945</v>
      </c>
      <c r="F19" s="7" t="s">
        <v>4946</v>
      </c>
      <c r="G19" t="s">
        <v>820</v>
      </c>
      <c r="H19" s="9"/>
      <c r="I19" s="12" t="str">
        <f t="shared" si="0"/>
        <v>{ name: "Teniten Shrine", type: "Shrine", region: 2, level: "Surface", x: -0073, y: -1115, z: 0021, details: "" },</v>
      </c>
      <c r="J19" s="24"/>
      <c r="K19" s="24"/>
      <c r="L19" s="18"/>
      <c r="M19" s="18"/>
    </row>
    <row r="20" spans="1:13" x14ac:dyDescent="0.2">
      <c r="A20" s="21" t="s">
        <v>4800</v>
      </c>
      <c r="B20" s="2" t="s">
        <v>5088</v>
      </c>
      <c r="C20" s="2">
        <v>2</v>
      </c>
      <c r="D20" t="s">
        <v>789</v>
      </c>
      <c r="E20" s="7" t="s">
        <v>4955</v>
      </c>
      <c r="F20" s="7" t="s">
        <v>4956</v>
      </c>
      <c r="G20" t="s">
        <v>842</v>
      </c>
      <c r="H20" s="9"/>
      <c r="I20" s="12" t="str">
        <f t="shared" si="0"/>
        <v>{ name: "Tsutsu-um Shrine", type: "Shrine", region: 2, level: "Surface", x: -1422, y: -1350, z: 0068, details: "" },</v>
      </c>
      <c r="J20" s="12"/>
      <c r="K20" s="12"/>
    </row>
    <row r="21" spans="1:13" x14ac:dyDescent="0.2">
      <c r="A21" s="21" t="s">
        <v>4797</v>
      </c>
      <c r="B21" s="2" t="s">
        <v>5088</v>
      </c>
      <c r="C21" s="2">
        <v>2</v>
      </c>
      <c r="D21" t="s">
        <v>789</v>
      </c>
      <c r="E21" s="7" t="s">
        <v>4965</v>
      </c>
      <c r="F21" s="7" t="s">
        <v>2027</v>
      </c>
      <c r="G21" t="s">
        <v>863</v>
      </c>
      <c r="H21" s="9"/>
      <c r="I21" s="12" t="str">
        <f t="shared" si="0"/>
        <v>{ name: "Usazum Shrine", type: "Shrine", region: 2, level: "Surface", x: -2140, y: -0873, z: 0093, details: "" },</v>
      </c>
      <c r="J21" s="12"/>
      <c r="K21" s="12"/>
    </row>
    <row r="22" spans="1:13" x14ac:dyDescent="0.2">
      <c r="A22" s="21" t="s">
        <v>5135</v>
      </c>
      <c r="B22" s="2" t="s">
        <v>805</v>
      </c>
      <c r="C22" s="2">
        <v>3</v>
      </c>
      <c r="D22" t="s">
        <v>783</v>
      </c>
      <c r="E22" s="7" t="s">
        <v>984</v>
      </c>
      <c r="F22" s="7" t="s">
        <v>5017</v>
      </c>
      <c r="G22" t="s">
        <v>985</v>
      </c>
      <c r="H22" s="9"/>
      <c r="I22" s="12" t="str">
        <f t="shared" si="0"/>
        <v>{ name: "Ga-ahisas Shrine", type: "Shrine", region: 3, level: "Sky", x: -3596, y: 0962, z: 1699, details: "" },</v>
      </c>
      <c r="J22" s="12"/>
      <c r="K22" s="12"/>
    </row>
    <row r="23" spans="1:13" x14ac:dyDescent="0.2">
      <c r="A23" s="21" t="s">
        <v>4798</v>
      </c>
      <c r="B23" s="2" t="s">
        <v>805</v>
      </c>
      <c r="C23" s="2">
        <v>3</v>
      </c>
      <c r="D23" t="s">
        <v>783</v>
      </c>
      <c r="E23" s="7" t="s">
        <v>5015</v>
      </c>
      <c r="F23" s="7" t="s">
        <v>5016</v>
      </c>
      <c r="G23" t="s">
        <v>983</v>
      </c>
      <c r="H23" s="9"/>
      <c r="I23" s="12" t="str">
        <f t="shared" si="0"/>
        <v>{ name: "Ganos Shrine", type: "Shrine", region: 3, level: "Sky", x: -3366, y: 0469, z: 1695, details: "" },</v>
      </c>
      <c r="J23" s="12"/>
      <c r="K23" s="12"/>
    </row>
    <row r="24" spans="1:13" x14ac:dyDescent="0.2">
      <c r="A24" s="21" t="s">
        <v>4817</v>
      </c>
      <c r="B24" s="2" t="s">
        <v>805</v>
      </c>
      <c r="C24" s="2">
        <v>3</v>
      </c>
      <c r="D24" t="s">
        <v>783</v>
      </c>
      <c r="E24" s="7" t="s">
        <v>806</v>
      </c>
      <c r="F24" s="7" t="s">
        <v>807</v>
      </c>
      <c r="G24" t="s">
        <v>808</v>
      </c>
      <c r="H24" s="9"/>
      <c r="I24" s="12" t="str">
        <f t="shared" si="0"/>
        <v>{ name: "Taunhiy Shrine", type: "Shrine", region: 3, level: "Sky", x: -2400, y: 0824, z: 0615, details: "" },</v>
      </c>
      <c r="J24" s="12"/>
      <c r="K24" s="12"/>
    </row>
    <row r="25" spans="1:13" x14ac:dyDescent="0.2">
      <c r="A25" s="21" t="s">
        <v>4799</v>
      </c>
      <c r="B25" s="2" t="s">
        <v>805</v>
      </c>
      <c r="C25" s="2">
        <v>3</v>
      </c>
      <c r="D25" t="s">
        <v>789</v>
      </c>
      <c r="E25" s="7" t="s">
        <v>5020</v>
      </c>
      <c r="F25" s="7" t="s">
        <v>5021</v>
      </c>
      <c r="G25" t="s">
        <v>1001</v>
      </c>
      <c r="H25" s="9"/>
      <c r="I25" s="12" t="str">
        <f t="shared" si="0"/>
        <v>{ name: "Ikatak Shrine", type: "Shrine", region: 3, level: "Surface", x: -3950, y: 1138, z: 0111, details: "" },</v>
      </c>
      <c r="J25" s="12"/>
      <c r="K25" s="12"/>
    </row>
    <row r="26" spans="1:13" x14ac:dyDescent="0.2">
      <c r="A26" s="21" t="s">
        <v>4803</v>
      </c>
      <c r="B26" s="2" t="s">
        <v>805</v>
      </c>
      <c r="C26" s="2">
        <v>3</v>
      </c>
      <c r="D26" t="s">
        <v>789</v>
      </c>
      <c r="E26" s="7" t="s">
        <v>1014</v>
      </c>
      <c r="F26" s="7" t="s">
        <v>5029</v>
      </c>
      <c r="G26" t="s">
        <v>1015</v>
      </c>
      <c r="H26" s="9"/>
      <c r="I26" s="12" t="str">
        <f t="shared" si="0"/>
        <v>{ name: "Iun-orok Shrine", type: "Shrine", region: 3, level: "Surface", x: -3538, y: 0853, z: -0133, details: "" },</v>
      </c>
      <c r="J26" s="12"/>
      <c r="K26" s="12"/>
    </row>
    <row r="27" spans="1:13" x14ac:dyDescent="0.2">
      <c r="A27" s="21" t="s">
        <v>4859</v>
      </c>
      <c r="B27" s="2" t="s">
        <v>805</v>
      </c>
      <c r="C27" s="2">
        <v>3</v>
      </c>
      <c r="D27" t="s">
        <v>789</v>
      </c>
      <c r="E27" s="7" t="s">
        <v>865</v>
      </c>
      <c r="F27" s="7" t="s">
        <v>4967</v>
      </c>
      <c r="G27" t="s">
        <v>867</v>
      </c>
      <c r="H27" s="9"/>
      <c r="I27" s="12" t="str">
        <f t="shared" si="0"/>
        <v>{ name: "Kiuyoyou Shrine", type: "Shrine", region: 3, level: "Surface", x: -1106, y: 2086, z: 0104, details: "" },</v>
      </c>
      <c r="J27" s="12"/>
      <c r="K27" s="12"/>
    </row>
    <row r="28" spans="1:13" x14ac:dyDescent="0.2">
      <c r="A28" s="21" t="s">
        <v>4808</v>
      </c>
      <c r="B28" s="2" t="s">
        <v>805</v>
      </c>
      <c r="C28" s="2">
        <v>3</v>
      </c>
      <c r="D28" t="s">
        <v>789</v>
      </c>
      <c r="E28" s="7" t="s">
        <v>4962</v>
      </c>
      <c r="F28" s="7" t="s">
        <v>857</v>
      </c>
      <c r="G28" t="s">
        <v>858</v>
      </c>
      <c r="H28" s="9"/>
      <c r="I28" s="12" t="str">
        <f t="shared" si="0"/>
        <v>{ name: "Makurukis Shrine", type: "Shrine", region: 3, level: "Surface", x: -2848, y: 0629, z: 0233, details: "" },</v>
      </c>
      <c r="J28" s="12"/>
      <c r="K28" s="12"/>
    </row>
    <row r="29" spans="1:13" x14ac:dyDescent="0.2">
      <c r="A29" s="21" t="s">
        <v>4820</v>
      </c>
      <c r="B29" s="2" t="s">
        <v>805</v>
      </c>
      <c r="C29" s="2">
        <v>3</v>
      </c>
      <c r="D29" t="s">
        <v>789</v>
      </c>
      <c r="E29" s="7" t="s">
        <v>3522</v>
      </c>
      <c r="F29" s="7" t="s">
        <v>5019</v>
      </c>
      <c r="G29" t="s">
        <v>994</v>
      </c>
      <c r="H29" s="9"/>
      <c r="I29" s="12" t="str">
        <f t="shared" si="0"/>
        <v>{ name: "Oromuwak Shrine", type: "Shrine", region: 3, level: "Surface", x: -3079, y: 1618, z: -0241, details: "" },</v>
      </c>
      <c r="J29" s="12"/>
      <c r="K29" s="12"/>
    </row>
    <row r="30" spans="1:13" x14ac:dyDescent="0.2">
      <c r="A30" s="21" t="s">
        <v>4822</v>
      </c>
      <c r="B30" s="2" t="s">
        <v>805</v>
      </c>
      <c r="C30" s="2">
        <v>3</v>
      </c>
      <c r="D30" t="s">
        <v>789</v>
      </c>
      <c r="E30" s="7" t="s">
        <v>3663</v>
      </c>
      <c r="F30" s="7" t="s">
        <v>3542</v>
      </c>
      <c r="G30" t="s">
        <v>856</v>
      </c>
      <c r="H30" s="9"/>
      <c r="I30" s="12" t="str">
        <f t="shared" si="0"/>
        <v>{ name: "Runakit Shrine", type: "Shrine", region: 3, level: "Surface", x: -2534, y: 1167, z: 0177, details: "" },</v>
      </c>
      <c r="J30" s="12"/>
      <c r="K30" s="12"/>
    </row>
    <row r="31" spans="1:13" x14ac:dyDescent="0.2">
      <c r="A31" s="21" t="s">
        <v>4834</v>
      </c>
      <c r="B31" s="2" t="s">
        <v>805</v>
      </c>
      <c r="C31" s="2">
        <v>3</v>
      </c>
      <c r="D31" t="s">
        <v>789</v>
      </c>
      <c r="E31" s="7" t="s">
        <v>838</v>
      </c>
      <c r="F31" s="7" t="s">
        <v>4954</v>
      </c>
      <c r="G31" t="s">
        <v>840</v>
      </c>
      <c r="H31" s="9"/>
      <c r="I31" s="12" t="str">
        <f t="shared" si="0"/>
        <v>{ name: "Sinakawak Shrine", type: "Shrine", region: 3, level: "Surface", x: -1413, y: 0757, z: 0089, details: "" },</v>
      </c>
      <c r="J31" s="12"/>
      <c r="K31" s="12"/>
    </row>
    <row r="32" spans="1:13" x14ac:dyDescent="0.2">
      <c r="A32" s="21" t="s">
        <v>4836</v>
      </c>
      <c r="B32" s="2" t="s">
        <v>805</v>
      </c>
      <c r="C32" s="2">
        <v>3</v>
      </c>
      <c r="D32" t="s">
        <v>789</v>
      </c>
      <c r="E32" s="7" t="s">
        <v>4963</v>
      </c>
      <c r="F32" s="7" t="s">
        <v>4964</v>
      </c>
      <c r="G32" t="s">
        <v>860</v>
      </c>
      <c r="H32" s="9"/>
      <c r="I32" s="12" t="str">
        <f t="shared" si="0"/>
        <v>{ name: "Taki-ihaban Shrine", type: "Shrine", region: 3, level: "Surface", x: -1828, y: 1196, z: 0147, details: "" },</v>
      </c>
      <c r="J32" s="12"/>
      <c r="K32" s="12"/>
    </row>
    <row r="33" spans="1:11" x14ac:dyDescent="0.2">
      <c r="A33" s="21" t="s">
        <v>4826</v>
      </c>
      <c r="B33" s="2" t="s">
        <v>971</v>
      </c>
      <c r="C33" s="2">
        <v>4</v>
      </c>
      <c r="D33" t="s">
        <v>783</v>
      </c>
      <c r="E33" s="7" t="s">
        <v>5013</v>
      </c>
      <c r="F33" s="7" t="s">
        <v>5014</v>
      </c>
      <c r="G33" t="s">
        <v>981</v>
      </c>
      <c r="H33" s="9"/>
      <c r="I33" s="12" t="str">
        <f t="shared" si="0"/>
        <v>{ name: "Ijo-o Shrine", type: "Shrine", region: 4, level: "Sky", x: -3863, y: 2684, z: 0702, details: "" },</v>
      </c>
      <c r="J33" s="12"/>
      <c r="K33" s="12"/>
    </row>
    <row r="34" spans="1:11" x14ac:dyDescent="0.2">
      <c r="A34" s="21" t="s">
        <v>4848</v>
      </c>
      <c r="B34" s="2" t="s">
        <v>971</v>
      </c>
      <c r="C34" s="2">
        <v>4</v>
      </c>
      <c r="D34" t="s">
        <v>783</v>
      </c>
      <c r="E34" s="7" t="s">
        <v>976</v>
      </c>
      <c r="F34" s="7" t="s">
        <v>977</v>
      </c>
      <c r="G34" t="s">
        <v>978</v>
      </c>
      <c r="H34" s="9"/>
      <c r="I34" s="12" t="str">
        <f t="shared" si="0"/>
        <v>{ name: "Kahatanaum Shrine", type: "Shrine", region: 4, level: "Sky", x: -3294, y: 3430, z: 1347, details: "" },</v>
      </c>
      <c r="J34" s="12"/>
      <c r="K34" s="12"/>
    </row>
    <row r="35" spans="1:11" x14ac:dyDescent="0.2">
      <c r="A35" s="21" t="s">
        <v>4846</v>
      </c>
      <c r="B35" s="2" t="s">
        <v>971</v>
      </c>
      <c r="C35" s="2">
        <v>4</v>
      </c>
      <c r="D35" t="s">
        <v>783</v>
      </c>
      <c r="E35" s="7" t="s">
        <v>974</v>
      </c>
      <c r="F35" s="7" t="s">
        <v>1509</v>
      </c>
      <c r="G35" t="s">
        <v>975</v>
      </c>
      <c r="H35" s="9"/>
      <c r="I35" s="12" t="str">
        <f t="shared" si="0"/>
        <v>{ name: "Mayaumekis Shrine", type: "Shrine", region: 4, level: "Sky", x: -2947, y: 3051, z: 0897, details: "" },</v>
      </c>
      <c r="J35" s="12"/>
      <c r="K35" s="12"/>
    </row>
    <row r="36" spans="1:11" x14ac:dyDescent="0.2">
      <c r="A36" s="21" t="s">
        <v>4845</v>
      </c>
      <c r="B36" s="2" t="s">
        <v>971</v>
      </c>
      <c r="C36" s="2">
        <v>4</v>
      </c>
      <c r="D36" t="s">
        <v>789</v>
      </c>
      <c r="E36" s="7" t="s">
        <v>5022</v>
      </c>
      <c r="F36" s="7" t="s">
        <v>1003</v>
      </c>
      <c r="G36" t="s">
        <v>1004</v>
      </c>
      <c r="H36" s="9"/>
      <c r="I36" s="12" t="str">
        <f t="shared" si="0"/>
        <v>{ name: "Eutoum Shrine", type: "Shrine", region: 4, level: "Surface", x: -3506, y: 3570, z: 0387, details: "" },</v>
      </c>
      <c r="J36" s="12"/>
      <c r="K36" s="12"/>
    </row>
    <row r="37" spans="1:11" x14ac:dyDescent="0.2">
      <c r="A37" s="21" t="s">
        <v>4812</v>
      </c>
      <c r="B37" s="2" t="s">
        <v>971</v>
      </c>
      <c r="C37" s="2">
        <v>4</v>
      </c>
      <c r="D37" t="s">
        <v>789</v>
      </c>
      <c r="E37" s="7" t="s">
        <v>998</v>
      </c>
      <c r="F37" s="7" t="s">
        <v>999</v>
      </c>
      <c r="G37" t="s">
        <v>1000</v>
      </c>
      <c r="H37" s="9"/>
      <c r="I37" s="12" t="str">
        <f t="shared" si="0"/>
        <v>{ name: "Gatakis Shrine", type: "Shrine", region: 4, level: "Surface", x: -3650, y: 1805, z: 0168, details: "" },</v>
      </c>
      <c r="J37" s="12"/>
      <c r="K37" s="12"/>
    </row>
    <row r="38" spans="1:11" x14ac:dyDescent="0.2">
      <c r="A38" s="21" t="s">
        <v>4831</v>
      </c>
      <c r="B38" s="2" t="s">
        <v>971</v>
      </c>
      <c r="C38" s="2">
        <v>4</v>
      </c>
      <c r="D38" t="s">
        <v>789</v>
      </c>
      <c r="E38" s="7" t="s">
        <v>5023</v>
      </c>
      <c r="F38" s="7" t="s">
        <v>1005</v>
      </c>
      <c r="G38" t="s">
        <v>1006</v>
      </c>
      <c r="H38" s="9"/>
      <c r="I38" s="12" t="str">
        <f t="shared" si="0"/>
        <v>{ name: "Otak Shrine", type: "Shrine", region: 4, level: "Surface", x: -4391, y: 3714, z: 0212, details: "" },</v>
      </c>
      <c r="J38" s="12"/>
      <c r="K38" s="12"/>
    </row>
    <row r="39" spans="1:11" x14ac:dyDescent="0.2">
      <c r="A39" s="21" t="s">
        <v>4847</v>
      </c>
      <c r="B39" s="2" t="s">
        <v>971</v>
      </c>
      <c r="C39" s="2">
        <v>4</v>
      </c>
      <c r="D39" t="s">
        <v>789</v>
      </c>
      <c r="E39" s="7" t="s">
        <v>3524</v>
      </c>
      <c r="F39" s="7" t="s">
        <v>1497</v>
      </c>
      <c r="G39" t="s">
        <v>5061</v>
      </c>
      <c r="H39" s="9"/>
      <c r="I39" s="12" t="str">
        <f t="shared" si="0"/>
        <v>{ name: "Rutafu-um Shrine", type: "Shrine", region: 4, level: "Surface", x: -2996, y: 3102, z: 0529, details: "" },</v>
      </c>
      <c r="J39" s="12"/>
      <c r="K39" s="12"/>
    </row>
    <row r="40" spans="1:11" x14ac:dyDescent="0.2">
      <c r="A40" s="21" t="s">
        <v>4828</v>
      </c>
      <c r="B40" s="2" t="s">
        <v>971</v>
      </c>
      <c r="C40" s="2">
        <v>4</v>
      </c>
      <c r="D40" t="s">
        <v>789</v>
      </c>
      <c r="E40" s="7" t="s">
        <v>3959</v>
      </c>
      <c r="F40" s="7" t="s">
        <v>996</v>
      </c>
      <c r="G40" t="s">
        <v>997</v>
      </c>
      <c r="H40" s="9"/>
      <c r="I40" s="12" t="str">
        <f t="shared" si="0"/>
        <v>{ name: "Sahirow Shrine", type: "Shrine", region: 4, level: "Surface", x: -3355, y: 2387, z: 0361, details: "" },</v>
      </c>
      <c r="J40" s="12"/>
      <c r="K40" s="12"/>
    </row>
    <row r="41" spans="1:11" x14ac:dyDescent="0.2">
      <c r="A41" s="21" t="s">
        <v>4855</v>
      </c>
      <c r="B41" s="2" t="s">
        <v>971</v>
      </c>
      <c r="C41" s="2">
        <v>4</v>
      </c>
      <c r="D41" t="s">
        <v>789</v>
      </c>
      <c r="E41" s="7" t="s">
        <v>5030</v>
      </c>
      <c r="F41" s="7" t="s">
        <v>1016</v>
      </c>
      <c r="G41" t="s">
        <v>1017</v>
      </c>
      <c r="H41" s="9"/>
      <c r="I41" s="12" t="str">
        <f t="shared" si="0"/>
        <v>{ name: "Sisuran Shrine", type: "Shrine", region: 4, level: "Surface", x: -2559, y: 3353, z: 0245, details: "" },</v>
      </c>
      <c r="J41" s="12"/>
      <c r="K41" s="12"/>
    </row>
    <row r="42" spans="1:11" x14ac:dyDescent="0.2">
      <c r="A42" s="21" t="s">
        <v>4816</v>
      </c>
      <c r="B42" s="2" t="s">
        <v>971</v>
      </c>
      <c r="C42" s="2">
        <v>4</v>
      </c>
      <c r="D42" t="s">
        <v>789</v>
      </c>
      <c r="E42" s="7" t="s">
        <v>1011</v>
      </c>
      <c r="F42" s="7" t="s">
        <v>5027</v>
      </c>
      <c r="G42" t="s">
        <v>1012</v>
      </c>
      <c r="H42" s="9"/>
      <c r="I42" s="12" t="str">
        <f t="shared" si="0"/>
        <v>{ name: "Tauyosipun Shrine", type: "Shrine", region: 4, level: "Surface", x: -4539, y: 2881, z: 0262, details: "" },</v>
      </c>
      <c r="J42" s="12"/>
      <c r="K42" s="12"/>
    </row>
    <row r="43" spans="1:11" x14ac:dyDescent="0.2">
      <c r="A43" s="21" t="s">
        <v>4809</v>
      </c>
      <c r="B43" s="2" t="s">
        <v>971</v>
      </c>
      <c r="C43" s="2">
        <v>4</v>
      </c>
      <c r="D43" t="s">
        <v>789</v>
      </c>
      <c r="E43" s="7" t="s">
        <v>5024</v>
      </c>
      <c r="F43" s="7" t="s">
        <v>5025</v>
      </c>
      <c r="G43" t="s">
        <v>1007</v>
      </c>
      <c r="H43" s="9"/>
      <c r="I43" s="12" t="str">
        <f t="shared" si="0"/>
        <v>{ name: "Wao-os Shrine", type: "Shrine", region: 4, level: "Surface", x: -4059, y: 1991, z: 0183, details: "" },</v>
      </c>
      <c r="J43" s="12"/>
      <c r="K43" s="12"/>
    </row>
    <row r="44" spans="1:11" x14ac:dyDescent="0.2">
      <c r="A44" s="21" t="s">
        <v>4867</v>
      </c>
      <c r="B44" s="2" t="s">
        <v>2757</v>
      </c>
      <c r="C44" s="2">
        <v>5</v>
      </c>
      <c r="D44" t="s">
        <v>783</v>
      </c>
      <c r="E44" s="7" t="s">
        <v>2159</v>
      </c>
      <c r="F44" s="7" t="s">
        <v>972</v>
      </c>
      <c r="G44" t="s">
        <v>973</v>
      </c>
      <c r="H44" s="9"/>
      <c r="I44" s="12" t="str">
        <f t="shared" si="0"/>
        <v>{ name: "Taninoud Shrine", type: "Shrine", region: 5, level: "Sky", x: -1800, y: 3406, z: 0949, details: "" },</v>
      </c>
      <c r="J44" s="12"/>
      <c r="K44" s="12"/>
    </row>
    <row r="45" spans="1:11" x14ac:dyDescent="0.2">
      <c r="A45" s="21" t="s">
        <v>4891</v>
      </c>
      <c r="B45" s="2" t="s">
        <v>2757</v>
      </c>
      <c r="C45" s="2">
        <v>5</v>
      </c>
      <c r="D45" t="s">
        <v>783</v>
      </c>
      <c r="E45" s="7" t="s">
        <v>5018</v>
      </c>
      <c r="F45" s="7" t="s">
        <v>1048</v>
      </c>
      <c r="G45" t="s">
        <v>929</v>
      </c>
      <c r="H45" s="9"/>
      <c r="I45" s="12" t="str">
        <f t="shared" si="0"/>
        <v>{ name: "Tenbez Shrine", type: "Shrine", region: 5, level: "Sky", x: -0970, y: 3536, z: 1011, details: "" },</v>
      </c>
      <c r="J45" s="12"/>
      <c r="K45" s="12"/>
    </row>
    <row r="46" spans="1:11" x14ac:dyDescent="0.2">
      <c r="A46" s="21" t="s">
        <v>4884</v>
      </c>
      <c r="B46" s="2" t="s">
        <v>2757</v>
      </c>
      <c r="C46" s="2">
        <v>5</v>
      </c>
      <c r="D46" t="s">
        <v>789</v>
      </c>
      <c r="E46" s="7" t="s">
        <v>987</v>
      </c>
      <c r="F46" s="7" t="s">
        <v>986</v>
      </c>
      <c r="G46" t="s">
        <v>988</v>
      </c>
      <c r="H46" s="9"/>
      <c r="I46" s="12" t="str">
        <f t="shared" si="0"/>
        <v>{ name: "Mayaotaki Shrine", type: "Shrine", region: 5, level: "Surface", x: -0823, y: 3535, z: 0235, details: "" },</v>
      </c>
      <c r="J46" s="12"/>
      <c r="K46" s="12"/>
    </row>
    <row r="47" spans="1:11" x14ac:dyDescent="0.2">
      <c r="A47" s="21" t="s">
        <v>4864</v>
      </c>
      <c r="B47" s="2" t="s">
        <v>2757</v>
      </c>
      <c r="C47" s="2">
        <v>5</v>
      </c>
      <c r="D47" t="s">
        <v>789</v>
      </c>
      <c r="E47" s="7" t="s">
        <v>3402</v>
      </c>
      <c r="F47" s="7" t="s">
        <v>890</v>
      </c>
      <c r="G47" t="s">
        <v>1009</v>
      </c>
      <c r="H47" s="9"/>
      <c r="I47" s="12" t="str">
        <f t="shared" si="0"/>
        <v>{ name: "Mayausiy Shrine", type: "Shrine", region: 5, level: "Surface", x: -1165, y: 2602, z: 0086, details: "" },</v>
      </c>
      <c r="J47" s="12"/>
      <c r="K47" s="12"/>
    </row>
    <row r="48" spans="1:11" x14ac:dyDescent="0.2">
      <c r="A48" s="21" t="s">
        <v>4841</v>
      </c>
      <c r="B48" s="2" t="s">
        <v>2757</v>
      </c>
      <c r="C48" s="2">
        <v>5</v>
      </c>
      <c r="D48" t="s">
        <v>789</v>
      </c>
      <c r="E48" s="7" t="s">
        <v>1010</v>
      </c>
      <c r="F48" s="7" t="s">
        <v>5026</v>
      </c>
      <c r="G48" t="s">
        <v>910</v>
      </c>
      <c r="H48" s="9"/>
      <c r="I48" s="12" t="str">
        <f t="shared" si="0"/>
        <v>{ name: "Nouda Shrine", type: "Shrine", region: 5, level: "Surface", x: -2319, y: 2201, z: 0173, details: "" },</v>
      </c>
      <c r="J48" s="12"/>
      <c r="K48" s="12"/>
    </row>
    <row r="49" spans="1:11" x14ac:dyDescent="0.2">
      <c r="A49" s="21" t="s">
        <v>4861</v>
      </c>
      <c r="B49" s="2" t="s">
        <v>2757</v>
      </c>
      <c r="C49" s="2">
        <v>5</v>
      </c>
      <c r="D49" t="s">
        <v>789</v>
      </c>
      <c r="E49" s="7" t="s">
        <v>1578</v>
      </c>
      <c r="F49" s="7" t="s">
        <v>3909</v>
      </c>
      <c r="G49" t="s">
        <v>993</v>
      </c>
      <c r="H49" s="9"/>
      <c r="I49" s="12" t="str">
        <f t="shared" si="0"/>
        <v>{ name: "Orochium Shrine", type: "Shrine", region: 5, level: "Surface", x: -1638, y: 2643, z: 0238, details: "" },</v>
      </c>
      <c r="J49" s="12"/>
      <c r="K49" s="12"/>
    </row>
    <row r="50" spans="1:11" x14ac:dyDescent="0.2">
      <c r="A50" s="21" t="s">
        <v>4877</v>
      </c>
      <c r="B50" s="2" t="s">
        <v>2757</v>
      </c>
      <c r="C50" s="2">
        <v>5</v>
      </c>
      <c r="D50" t="s">
        <v>789</v>
      </c>
      <c r="E50" s="7" t="s">
        <v>1624</v>
      </c>
      <c r="F50" s="7" t="s">
        <v>990</v>
      </c>
      <c r="G50" t="s">
        <v>991</v>
      </c>
      <c r="H50" s="9"/>
      <c r="I50" s="12" t="str">
        <f t="shared" si="0"/>
        <v>{ name: "Oshozan-u Shrine", type: "Shrine", region: 5, level: "Surface", x: -1404, y: 3677, z: 0288, details: "" },</v>
      </c>
      <c r="J50" s="12"/>
      <c r="K50" s="12"/>
    </row>
    <row r="51" spans="1:11" x14ac:dyDescent="0.2">
      <c r="A51" s="21" t="s">
        <v>4887</v>
      </c>
      <c r="B51" s="2" t="s">
        <v>813</v>
      </c>
      <c r="C51" s="2">
        <v>6</v>
      </c>
      <c r="D51" t="s">
        <v>783</v>
      </c>
      <c r="E51" s="7" t="s">
        <v>4943</v>
      </c>
      <c r="F51" s="7" t="s">
        <v>815</v>
      </c>
      <c r="G51" t="s">
        <v>816</v>
      </c>
      <c r="H51" s="9"/>
      <c r="I51" s="12" t="str">
        <f t="shared" si="0"/>
        <v>{ name: "Mayam Shrine", type: "Shrine", region: 6, level: "Sky", x: 0341, y: 2814, z: 1821, details: "" },</v>
      </c>
      <c r="J51" s="12"/>
      <c r="K51" s="12"/>
    </row>
    <row r="52" spans="1:11" x14ac:dyDescent="0.2">
      <c r="A52" s="21" t="s">
        <v>4874</v>
      </c>
      <c r="B52" s="2" t="s">
        <v>813</v>
      </c>
      <c r="C52" s="2">
        <v>6</v>
      </c>
      <c r="D52" t="s">
        <v>783</v>
      </c>
      <c r="E52" s="7" t="s">
        <v>817</v>
      </c>
      <c r="F52" s="7" t="s">
        <v>4944</v>
      </c>
      <c r="G52" t="s">
        <v>818</v>
      </c>
      <c r="H52" s="9"/>
      <c r="I52" s="12" t="str">
        <f t="shared" si="0"/>
        <v>{ name: "Simosiwak Shrine", type: "Shrine", region: 6, level: "Sky", x: 0163, y: 1973, z: 0759, details: "" },</v>
      </c>
      <c r="J52" s="12"/>
      <c r="K52" s="12"/>
    </row>
    <row r="53" spans="1:11" x14ac:dyDescent="0.2">
      <c r="A53" s="21" t="s">
        <v>4879</v>
      </c>
      <c r="B53" s="2" t="s">
        <v>813</v>
      </c>
      <c r="C53" s="2">
        <v>6</v>
      </c>
      <c r="D53" t="s">
        <v>789</v>
      </c>
      <c r="E53" s="7" t="s">
        <v>4969</v>
      </c>
      <c r="F53" s="7" t="s">
        <v>4970</v>
      </c>
      <c r="G53" t="s">
        <v>870</v>
      </c>
      <c r="H53" s="9"/>
      <c r="I53" s="12" t="str">
        <f t="shared" si="0"/>
        <v>{ name: "Kikakin Shrine", type: "Shrine", region: 6, level: "Surface", x: -0395, y: 2736, z: 0287, details: "" },</v>
      </c>
      <c r="J53" s="12"/>
      <c r="K53" s="12"/>
    </row>
    <row r="54" spans="1:11" x14ac:dyDescent="0.2">
      <c r="A54" s="21" t="s">
        <v>4908</v>
      </c>
      <c r="B54" s="2" t="s">
        <v>813</v>
      </c>
      <c r="C54" s="2">
        <v>6</v>
      </c>
      <c r="D54" t="s">
        <v>789</v>
      </c>
      <c r="E54" s="7" t="s">
        <v>897</v>
      </c>
      <c r="F54" s="7" t="s">
        <v>898</v>
      </c>
      <c r="G54" t="s">
        <v>899</v>
      </c>
      <c r="H54" s="9"/>
      <c r="I54" s="12" t="str">
        <f t="shared" si="0"/>
        <v>{ name: "Mayak Shrine", type: "Shrine", region: 6, level: "Surface", x: 1270, y: 3733, z: 0106, details: "" },</v>
      </c>
      <c r="J54" s="12"/>
      <c r="K54" s="12"/>
    </row>
    <row r="55" spans="1:11" x14ac:dyDescent="0.2">
      <c r="A55" s="21" t="s">
        <v>4899</v>
      </c>
      <c r="B55" s="2" t="s">
        <v>813</v>
      </c>
      <c r="C55" s="2">
        <v>6</v>
      </c>
      <c r="D55" t="s">
        <v>789</v>
      </c>
      <c r="E55" s="7" t="s">
        <v>1900</v>
      </c>
      <c r="F55" s="7" t="s">
        <v>901</v>
      </c>
      <c r="G55" t="s">
        <v>842</v>
      </c>
      <c r="H55" s="9"/>
      <c r="I55" s="12" t="str">
        <f t="shared" si="0"/>
        <v>{ name: "Minetak Shrine", type: "Shrine", region: 6, level: "Surface", x: 0393, y: 3485, z: 0068, details: "" },</v>
      </c>
      <c r="J55" s="12"/>
      <c r="K55" s="12"/>
    </row>
    <row r="56" spans="1:11" x14ac:dyDescent="0.2">
      <c r="A56" s="21" t="s">
        <v>4882</v>
      </c>
      <c r="B56" s="2" t="s">
        <v>813</v>
      </c>
      <c r="C56" s="2">
        <v>6</v>
      </c>
      <c r="D56" t="s">
        <v>789</v>
      </c>
      <c r="E56" s="7" t="s">
        <v>4968</v>
      </c>
      <c r="F56" s="7" t="s">
        <v>2963</v>
      </c>
      <c r="G56" t="s">
        <v>869</v>
      </c>
      <c r="H56" s="9"/>
      <c r="I56" s="12" t="str">
        <f t="shared" si="0"/>
        <v>{ name: "Musanokir Shrine", type: "Shrine", region: 6, level: "Surface", x: 0408, y: 2133, z: 0143, details: "" },</v>
      </c>
      <c r="J56" s="12"/>
      <c r="K56" s="12"/>
    </row>
    <row r="57" spans="1:11" x14ac:dyDescent="0.2">
      <c r="A57" s="21" t="s">
        <v>4876</v>
      </c>
      <c r="B57" s="2" t="s">
        <v>813</v>
      </c>
      <c r="C57" s="2">
        <v>6</v>
      </c>
      <c r="D57" t="s">
        <v>789</v>
      </c>
      <c r="E57" s="7" t="s">
        <v>4972</v>
      </c>
      <c r="F57" s="7" t="s">
        <v>4973</v>
      </c>
      <c r="G57" t="s">
        <v>864</v>
      </c>
      <c r="H57" s="9"/>
      <c r="I57" s="12" t="str">
        <f t="shared" si="0"/>
        <v>{ name: "Ninjis Shrine", type: "Shrine", region: 6, level: "Surface", x: 0353, y: 1890, z: 0178, details: "" },</v>
      </c>
      <c r="J57" s="12"/>
      <c r="K57" s="12"/>
    </row>
    <row r="58" spans="1:11" x14ac:dyDescent="0.2">
      <c r="A58" s="21" t="s">
        <v>4885</v>
      </c>
      <c r="B58" s="2" t="s">
        <v>813</v>
      </c>
      <c r="C58" s="2">
        <v>6</v>
      </c>
      <c r="D58" t="s">
        <v>789</v>
      </c>
      <c r="E58" s="7" t="s">
        <v>4974</v>
      </c>
      <c r="F58" s="7" t="s">
        <v>4975</v>
      </c>
      <c r="G58" t="s">
        <v>797</v>
      </c>
      <c r="H58" s="9"/>
      <c r="I58" s="12" t="str">
        <f t="shared" si="0"/>
        <v>{ name: "Pupunke Shrine", type: "Shrine", region: 6, level: "Surface", x: 0619, y: 2211, z: 0164, details: "" },</v>
      </c>
      <c r="J58" s="12"/>
      <c r="K58" s="12"/>
    </row>
    <row r="59" spans="1:11" x14ac:dyDescent="0.2">
      <c r="A59" s="21" t="s">
        <v>4881</v>
      </c>
      <c r="B59" s="2" t="s">
        <v>813</v>
      </c>
      <c r="C59" s="2">
        <v>6</v>
      </c>
      <c r="D59" t="s">
        <v>789</v>
      </c>
      <c r="E59" s="7" t="s">
        <v>1070</v>
      </c>
      <c r="F59" s="7" t="s">
        <v>4966</v>
      </c>
      <c r="G59" t="s">
        <v>864</v>
      </c>
      <c r="H59" s="9"/>
      <c r="I59" s="12" t="str">
        <f t="shared" si="0"/>
        <v>{ name: "Sakunbomar Shrine", type: "Shrine", region: 6, level: "Surface", x: 0166, y: 2319, z: 0178, details: "" },</v>
      </c>
      <c r="J59" s="12"/>
      <c r="K59" s="12"/>
    </row>
    <row r="60" spans="1:11" x14ac:dyDescent="0.2">
      <c r="A60" s="21" t="s">
        <v>4892</v>
      </c>
      <c r="B60" s="2" t="s">
        <v>813</v>
      </c>
      <c r="C60" s="2">
        <v>6</v>
      </c>
      <c r="D60" t="s">
        <v>789</v>
      </c>
      <c r="E60" s="7" t="s">
        <v>3922</v>
      </c>
      <c r="F60" s="7" t="s">
        <v>4271</v>
      </c>
      <c r="G60" t="s">
        <v>880</v>
      </c>
      <c r="H60" s="9"/>
      <c r="I60" s="12" t="str">
        <f t="shared" si="0"/>
        <v>{ name: "Sikukuu Shrine", type: "Shrine", region: 6, level: "Surface", x: 0700, y: 2793, z: 0225, details: "" },</v>
      </c>
      <c r="J60" s="12"/>
      <c r="K60" s="12"/>
    </row>
    <row r="61" spans="1:11" x14ac:dyDescent="0.2">
      <c r="A61" s="21" t="s">
        <v>4858</v>
      </c>
      <c r="B61" s="2" t="s">
        <v>813</v>
      </c>
      <c r="C61" s="2">
        <v>6</v>
      </c>
      <c r="D61" t="s">
        <v>789</v>
      </c>
      <c r="E61" s="7" t="s">
        <v>874</v>
      </c>
      <c r="F61" s="7" t="s">
        <v>875</v>
      </c>
      <c r="G61" t="s">
        <v>876</v>
      </c>
      <c r="H61" s="9"/>
      <c r="I61" s="12" t="str">
        <f t="shared" si="0"/>
        <v>{ name: "Tenmaten Shrine", type: "Shrine", region: 6, level: "Surface", x: -0594, y: 1551, z: -0014, details: "" },</v>
      </c>
      <c r="J61" s="12"/>
      <c r="K61" s="12"/>
    </row>
    <row r="62" spans="1:11" x14ac:dyDescent="0.2">
      <c r="A62" s="21" t="s">
        <v>4886</v>
      </c>
      <c r="B62" s="2" t="s">
        <v>2324</v>
      </c>
      <c r="C62" s="2">
        <v>7</v>
      </c>
      <c r="D62" t="s">
        <v>783</v>
      </c>
      <c r="E62" s="7" t="s">
        <v>3693</v>
      </c>
      <c r="F62" s="7" t="s">
        <v>852</v>
      </c>
      <c r="G62" t="s">
        <v>878</v>
      </c>
      <c r="H62" s="9"/>
      <c r="I62" s="12" t="str">
        <f t="shared" si="0"/>
        <v>{ name: "Kadaunar Shrine", type: "Shrine", region: 7, level: "Sky", x: 1883, y: 1202, z: 1251, details: "" },</v>
      </c>
      <c r="J62" s="12"/>
      <c r="K62" s="12"/>
    </row>
    <row r="63" spans="1:11" x14ac:dyDescent="0.2">
      <c r="A63" s="21" t="s">
        <v>4878</v>
      </c>
      <c r="B63" s="2" t="s">
        <v>2324</v>
      </c>
      <c r="C63" s="2">
        <v>7</v>
      </c>
      <c r="D63" t="s">
        <v>789</v>
      </c>
      <c r="E63" s="7" t="s">
        <v>3847</v>
      </c>
      <c r="F63" s="7" t="s">
        <v>4971</v>
      </c>
      <c r="G63" t="s">
        <v>873</v>
      </c>
      <c r="H63" s="9"/>
      <c r="I63" s="12" t="str">
        <f t="shared" si="0"/>
        <v>{ name: "Ekochiu Shrine", type: "Shrine", region: 7, level: "Surface", x: 1059, y: 1276, z: 0045, details: "" },</v>
      </c>
      <c r="J63" s="12"/>
      <c r="K63" s="12"/>
    </row>
    <row r="64" spans="1:11" x14ac:dyDescent="0.2">
      <c r="A64" s="21" t="s">
        <v>4904</v>
      </c>
      <c r="B64" s="2" t="s">
        <v>2324</v>
      </c>
      <c r="C64" s="2">
        <v>7</v>
      </c>
      <c r="D64" t="s">
        <v>789</v>
      </c>
      <c r="E64" s="7" t="s">
        <v>4977</v>
      </c>
      <c r="F64" s="7" t="s">
        <v>887</v>
      </c>
      <c r="G64" t="s">
        <v>888</v>
      </c>
      <c r="H64" s="9"/>
      <c r="I64" s="12" t="str">
        <f t="shared" si="0"/>
        <v>{ name: "Isisim Shrine", type: "Shrine", region: 7, level: "Surface", x: 1842, y: 2841, z: 0363, details: "" },</v>
      </c>
      <c r="J64" s="12"/>
      <c r="K64" s="12"/>
    </row>
    <row r="65" spans="1:11" x14ac:dyDescent="0.2">
      <c r="A65" s="21" t="s">
        <v>4909</v>
      </c>
      <c r="B65" s="2" t="s">
        <v>2324</v>
      </c>
      <c r="C65" s="2">
        <v>7</v>
      </c>
      <c r="D65" t="s">
        <v>789</v>
      </c>
      <c r="E65" s="7" t="s">
        <v>902</v>
      </c>
      <c r="F65" s="7" t="s">
        <v>903</v>
      </c>
      <c r="G65" t="s">
        <v>904</v>
      </c>
      <c r="H65" s="9"/>
      <c r="I65" s="12" t="str">
        <f t="shared" si="0"/>
        <v>{ name: "Jiotak Shrine", type: "Shrine", region: 7, level: "Surface", x: 1833, y: 3179, z: 0257, details: "" },</v>
      </c>
      <c r="J65" s="12"/>
      <c r="K65" s="12"/>
    </row>
    <row r="66" spans="1:11" x14ac:dyDescent="0.2">
      <c r="A66" s="21" t="s">
        <v>4917</v>
      </c>
      <c r="B66" s="2" t="s">
        <v>2324</v>
      </c>
      <c r="C66" s="2">
        <v>7</v>
      </c>
      <c r="D66" t="s">
        <v>789</v>
      </c>
      <c r="E66" s="7" t="s">
        <v>1685</v>
      </c>
      <c r="F66" s="7" t="s">
        <v>4980</v>
      </c>
      <c r="G66" t="s">
        <v>893</v>
      </c>
      <c r="H66" s="9"/>
      <c r="I66" s="12" t="str">
        <f t="shared" si="0"/>
        <v>{ name: "Kimayat Shrine", type: "Shrine", region: 7, level: "Surface", x: 2863, y: 3637, z: 0239, details: "" },</v>
      </c>
      <c r="J66" s="12"/>
      <c r="K66" s="12"/>
    </row>
    <row r="67" spans="1:11" x14ac:dyDescent="0.2">
      <c r="A67" s="21" t="s">
        <v>4898</v>
      </c>
      <c r="B67" s="2" t="s">
        <v>2324</v>
      </c>
      <c r="C67" s="2">
        <v>7</v>
      </c>
      <c r="D67" t="s">
        <v>789</v>
      </c>
      <c r="E67" s="7" t="s">
        <v>4342</v>
      </c>
      <c r="F67" s="7" t="s">
        <v>909</v>
      </c>
      <c r="G67" t="s">
        <v>910</v>
      </c>
      <c r="H67" s="9"/>
      <c r="I67" s="12" t="str">
        <f t="shared" ref="I67:I130" si="1">"{ name: """&amp;A67&amp;""", type: "&amp;CHAR(34)&amp;"Shrine"&amp;CHAR(34)&amp;", region: "&amp;C67&amp;", level: "&amp;CHAR(34)&amp;D67&amp;CHAR(34)&amp;", x: "&amp;E67&amp;", y: "&amp;F67&amp;", z: "&amp;G67&amp;", details: "&amp;CHAR(34)&amp;CHAR(34)&amp;" },"</f>
        <v>{ name: "Kisinona Shrine", type: "Shrine", region: 7, level: "Surface", x: 2567, y: 1245, z: 0173, details: "" },</v>
      </c>
      <c r="J67" s="12"/>
      <c r="K67" s="12"/>
    </row>
    <row r="68" spans="1:11" x14ac:dyDescent="0.2">
      <c r="A68" s="21" t="s">
        <v>4901</v>
      </c>
      <c r="B68" s="2" t="s">
        <v>2324</v>
      </c>
      <c r="C68" s="2">
        <v>7</v>
      </c>
      <c r="D68" t="s">
        <v>789</v>
      </c>
      <c r="E68" s="7" t="s">
        <v>881</v>
      </c>
      <c r="F68" s="7" t="s">
        <v>882</v>
      </c>
      <c r="G68" t="s">
        <v>883</v>
      </c>
      <c r="H68" s="9"/>
      <c r="I68" s="12" t="str">
        <f t="shared" si="1"/>
        <v>{ name: "Marakuguc Shrine", type: "Shrine", region: 7, level: "Surface", x: 1761, y: 2508, z: 0437, details: "" },</v>
      </c>
      <c r="J68" s="12"/>
      <c r="K68" s="12"/>
    </row>
    <row r="69" spans="1:11" x14ac:dyDescent="0.2">
      <c r="A69" s="21" t="s">
        <v>4915</v>
      </c>
      <c r="B69" s="2" t="s">
        <v>2324</v>
      </c>
      <c r="C69" s="2">
        <v>7</v>
      </c>
      <c r="D69" t="s">
        <v>789</v>
      </c>
      <c r="E69" s="7" t="s">
        <v>4035</v>
      </c>
      <c r="F69" s="7" t="s">
        <v>4983</v>
      </c>
      <c r="G69" t="s">
        <v>906</v>
      </c>
      <c r="H69" s="9"/>
      <c r="I69" s="12" t="str">
        <f t="shared" si="1"/>
        <v>{ name: "Momosik Shrine", type: "Shrine", region: 7, level: "Surface", x: 2959, y: 2758, z: 0524, details: "" },</v>
      </c>
      <c r="J69" s="12"/>
      <c r="K69" s="12"/>
    </row>
    <row r="70" spans="1:11" x14ac:dyDescent="0.2">
      <c r="A70" s="21" t="s">
        <v>4903</v>
      </c>
      <c r="B70" s="2" t="s">
        <v>2324</v>
      </c>
      <c r="C70" s="2">
        <v>7</v>
      </c>
      <c r="D70" t="s">
        <v>789</v>
      </c>
      <c r="E70" s="7" t="s">
        <v>907</v>
      </c>
      <c r="F70" s="7" t="s">
        <v>908</v>
      </c>
      <c r="G70" t="s">
        <v>804</v>
      </c>
      <c r="H70" s="9"/>
      <c r="I70" s="12" t="str">
        <f t="shared" si="1"/>
        <v>{ name: "Moshapin Shrine", type: "Shrine", region: 7, level: "Surface", x: 2678, y: 1905, z: 0131, details: "" },</v>
      </c>
      <c r="J70" s="12"/>
      <c r="K70" s="12"/>
    </row>
    <row r="71" spans="1:11" x14ac:dyDescent="0.2">
      <c r="A71" s="21" t="s">
        <v>4914</v>
      </c>
      <c r="B71" s="2" t="s">
        <v>2324</v>
      </c>
      <c r="C71" s="2">
        <v>7</v>
      </c>
      <c r="D71" t="s">
        <v>789</v>
      </c>
      <c r="E71" s="7" t="s">
        <v>4979</v>
      </c>
      <c r="F71" s="7" t="s">
        <v>4200</v>
      </c>
      <c r="G71" t="s">
        <v>892</v>
      </c>
      <c r="H71" s="9"/>
      <c r="I71" s="12" t="str">
        <f t="shared" si="1"/>
        <v>{ name: "Sibajitak Shrine", type: "Shrine", region: 7, level: "Surface", x: 2401, y: 3273, z: 0402, details: "" },</v>
      </c>
      <c r="J71" s="12"/>
      <c r="K71" s="12"/>
    </row>
    <row r="72" spans="1:11" x14ac:dyDescent="0.2">
      <c r="A72" s="21" t="s">
        <v>4907</v>
      </c>
      <c r="B72" s="2" t="s">
        <v>2324</v>
      </c>
      <c r="C72" s="2">
        <v>7</v>
      </c>
      <c r="D72" t="s">
        <v>789</v>
      </c>
      <c r="E72" s="7" t="s">
        <v>4978</v>
      </c>
      <c r="F72" s="7" t="s">
        <v>3683</v>
      </c>
      <c r="G72" t="s">
        <v>891</v>
      </c>
      <c r="H72" s="9"/>
      <c r="I72" s="12" t="str">
        <f t="shared" si="1"/>
        <v>{ name: "Sitsum Shrine", type: "Shrine", region: 7, level: "Surface", x: 2367, y: 2598, z: 0790, details: "" },</v>
      </c>
      <c r="J72" s="12"/>
      <c r="K72" s="12"/>
    </row>
    <row r="73" spans="1:11" x14ac:dyDescent="0.2">
      <c r="A73" s="21" t="s">
        <v>4889</v>
      </c>
      <c r="B73" s="2" t="s">
        <v>2324</v>
      </c>
      <c r="C73" s="2">
        <v>7</v>
      </c>
      <c r="D73" t="s">
        <v>789</v>
      </c>
      <c r="E73" s="7" t="s">
        <v>884</v>
      </c>
      <c r="F73" s="7" t="s">
        <v>4976</v>
      </c>
      <c r="G73" t="s">
        <v>886</v>
      </c>
      <c r="H73" s="9"/>
      <c r="I73" s="12" t="str">
        <f t="shared" si="1"/>
        <v>{ name: "Timawak Shrine", type: "Shrine", region: 7, level: "Surface", x: 1798, y: 1639, z: 0311, details: "" },</v>
      </c>
      <c r="J73" s="12"/>
      <c r="K73" s="12"/>
    </row>
    <row r="74" spans="1:11" x14ac:dyDescent="0.2">
      <c r="A74" s="21" t="s">
        <v>4919</v>
      </c>
      <c r="B74" s="2" t="s">
        <v>2173</v>
      </c>
      <c r="C74" s="2">
        <v>8</v>
      </c>
      <c r="D74" t="s">
        <v>783</v>
      </c>
      <c r="E74" s="7" t="s">
        <v>4929</v>
      </c>
      <c r="F74" s="7" t="s">
        <v>2140</v>
      </c>
      <c r="G74" t="s">
        <v>785</v>
      </c>
      <c r="H74" s="9"/>
      <c r="I74" s="12" t="str">
        <f t="shared" si="1"/>
        <v>{ name: "Gikaku Shrine", type: "Shrine", region: 8, level: "Sky", x: 4506, y: 2164, z: 1155, details: "" },</v>
      </c>
      <c r="J74" s="12"/>
      <c r="K74" s="12"/>
    </row>
    <row r="75" spans="1:11" x14ac:dyDescent="0.2">
      <c r="A75" s="21" t="s">
        <v>4921</v>
      </c>
      <c r="B75" s="2" t="s">
        <v>2173</v>
      </c>
      <c r="C75" s="2">
        <v>8</v>
      </c>
      <c r="D75" t="s">
        <v>783</v>
      </c>
      <c r="E75" s="7" t="s">
        <v>787</v>
      </c>
      <c r="F75" s="7" t="s">
        <v>4930</v>
      </c>
      <c r="G75" t="s">
        <v>788</v>
      </c>
      <c r="H75" s="9"/>
      <c r="I75" s="12" t="str">
        <f t="shared" si="1"/>
        <v>{ name: "Mogisari Shrine", type: "Shrine", region: 8, level: "Sky", x: 4655, y: 3501, z: 1010, details: "" },</v>
      </c>
      <c r="J75" s="12"/>
      <c r="K75" s="12"/>
    </row>
    <row r="76" spans="1:11" x14ac:dyDescent="0.2">
      <c r="A76" s="21" t="s">
        <v>4911</v>
      </c>
      <c r="B76" s="2" t="s">
        <v>2173</v>
      </c>
      <c r="C76" s="2">
        <v>8</v>
      </c>
      <c r="D76" t="s">
        <v>783</v>
      </c>
      <c r="E76" s="7" t="s">
        <v>4927</v>
      </c>
      <c r="F76" s="7" t="s">
        <v>4928</v>
      </c>
      <c r="G76" t="s">
        <v>4926</v>
      </c>
      <c r="H76" s="9"/>
      <c r="I76" s="12" t="str">
        <f t="shared" si="1"/>
        <v>{ name: "Natak Shrine", type: "Shrine", region: 8, level: "Sky", x: 3669, y: 1488, z: 1157, details: "" },</v>
      </c>
      <c r="J76" s="12"/>
      <c r="K76" s="12"/>
    </row>
    <row r="77" spans="1:11" x14ac:dyDescent="0.2">
      <c r="A77" s="21" t="s">
        <v>4905</v>
      </c>
      <c r="B77" s="2" t="s">
        <v>2173</v>
      </c>
      <c r="C77" s="2">
        <v>8</v>
      </c>
      <c r="D77" t="s">
        <v>789</v>
      </c>
      <c r="E77" s="7" t="s">
        <v>790</v>
      </c>
      <c r="F77" s="7" t="s">
        <v>791</v>
      </c>
      <c r="G77" t="s">
        <v>792</v>
      </c>
      <c r="H77" s="9"/>
      <c r="I77" s="12" t="str">
        <f t="shared" si="1"/>
        <v>{ name: "Domizuin Shrine", type: "Shrine", region: 8, level: "Surface", x: 3305, y: 1443, z: 0426, details: "" },</v>
      </c>
      <c r="J77" s="12"/>
      <c r="K77" s="12"/>
    </row>
    <row r="78" spans="1:11" x14ac:dyDescent="0.2">
      <c r="A78" s="21" t="s">
        <v>4918</v>
      </c>
      <c r="B78" s="2" t="s">
        <v>2173</v>
      </c>
      <c r="C78" s="2">
        <v>8</v>
      </c>
      <c r="D78" t="s">
        <v>789</v>
      </c>
      <c r="E78" s="7" t="s">
        <v>4936</v>
      </c>
      <c r="F78" s="7" t="s">
        <v>4937</v>
      </c>
      <c r="G78" t="s">
        <v>798</v>
      </c>
      <c r="H78" s="9"/>
      <c r="I78" s="12" t="str">
        <f t="shared" si="1"/>
        <v>{ name: "Gemimik Shrine", type: "Shrine", region: 8, level: "Surface", x: 4513, y: 2116, z: 0001, details: "" },</v>
      </c>
      <c r="J78" s="12"/>
      <c r="K78" s="12"/>
    </row>
    <row r="79" spans="1:11" x14ac:dyDescent="0.2">
      <c r="A79" s="21" t="s">
        <v>4924</v>
      </c>
      <c r="B79" s="2" t="s">
        <v>2173</v>
      </c>
      <c r="C79" s="2">
        <v>8</v>
      </c>
      <c r="D79" t="s">
        <v>789</v>
      </c>
      <c r="E79" s="7" t="s">
        <v>3643</v>
      </c>
      <c r="F79" s="7" t="s">
        <v>4942</v>
      </c>
      <c r="G79" t="s">
        <v>804</v>
      </c>
      <c r="H79" s="9"/>
      <c r="I79" s="12" t="str">
        <f t="shared" si="1"/>
        <v>{ name: "Igashuk Shrine", type: "Shrine", region: 8, level: "Surface", x: 4653, y: 3702, z: 0131, details: "" },</v>
      </c>
      <c r="J79" s="12"/>
      <c r="K79" s="12"/>
    </row>
    <row r="80" spans="1:11" x14ac:dyDescent="0.2">
      <c r="A80" s="21" t="s">
        <v>4910</v>
      </c>
      <c r="B80" s="2" t="s">
        <v>2173</v>
      </c>
      <c r="C80" s="2">
        <v>8</v>
      </c>
      <c r="D80" t="s">
        <v>789</v>
      </c>
      <c r="E80" s="7" t="s">
        <v>1606</v>
      </c>
      <c r="F80" s="7" t="s">
        <v>1083</v>
      </c>
      <c r="G80" t="s">
        <v>800</v>
      </c>
      <c r="H80" s="9"/>
      <c r="I80" s="12" t="str">
        <f t="shared" si="1"/>
        <v>{ name: "Jochi-ihiga Shrine", type: "Shrine", region: 8, level: "Surface", x: 3809, y: 1219, z: 0090, details: "" },</v>
      </c>
      <c r="J80" s="12"/>
      <c r="K80" s="12"/>
    </row>
    <row r="81" spans="1:11" x14ac:dyDescent="0.2">
      <c r="A81" s="21" t="s">
        <v>4922</v>
      </c>
      <c r="B81" s="2" t="s">
        <v>2173</v>
      </c>
      <c r="C81" s="2">
        <v>8</v>
      </c>
      <c r="D81" t="s">
        <v>789</v>
      </c>
      <c r="E81" s="7" t="s">
        <v>4935</v>
      </c>
      <c r="F81" s="7" t="s">
        <v>3967</v>
      </c>
      <c r="G81" t="s">
        <v>797</v>
      </c>
      <c r="H81" s="9"/>
      <c r="I81" s="12" t="str">
        <f t="shared" si="1"/>
        <v>{ name: "Jochi-iu Shrine", type: "Shrine", region: 8, level: "Surface", x: 4346, y: 2875, z: 0164, details: "" },</v>
      </c>
      <c r="J81" s="12"/>
      <c r="K81" s="12"/>
    </row>
    <row r="82" spans="1:11" x14ac:dyDescent="0.2">
      <c r="A82" s="21" t="s">
        <v>4920</v>
      </c>
      <c r="B82" s="2" t="s">
        <v>2173</v>
      </c>
      <c r="C82" s="2">
        <v>8</v>
      </c>
      <c r="D82" t="s">
        <v>789</v>
      </c>
      <c r="E82" s="7" t="s">
        <v>4931</v>
      </c>
      <c r="F82" s="7" t="s">
        <v>4932</v>
      </c>
      <c r="G82" t="s">
        <v>794</v>
      </c>
      <c r="H82" s="9"/>
      <c r="I82" s="12" t="str">
        <f t="shared" si="1"/>
        <v>{ name: "Kamatukis Shrine", type: "Shrine", region: 8, level: "Surface", x: 3431, y: 3355, z: 0070, details: "" },</v>
      </c>
      <c r="J82" s="12"/>
      <c r="K82" s="12"/>
    </row>
    <row r="83" spans="1:11" x14ac:dyDescent="0.2">
      <c r="A83" s="21" t="s">
        <v>4906</v>
      </c>
      <c r="B83" s="2" t="s">
        <v>2173</v>
      </c>
      <c r="C83" s="2">
        <v>8</v>
      </c>
      <c r="D83" t="s">
        <v>789</v>
      </c>
      <c r="E83" s="7" t="s">
        <v>4981</v>
      </c>
      <c r="F83" s="7" t="s">
        <v>4982</v>
      </c>
      <c r="G83" t="s">
        <v>896</v>
      </c>
      <c r="H83" s="9"/>
      <c r="I83" s="12" t="str">
        <f t="shared" si="1"/>
        <v>{ name: "Mayachideg Shrine", type: "Shrine", region: 8, level: "Surface", x: 3061, y: 1823, z: 0216, details: "" },</v>
      </c>
      <c r="J83" s="12"/>
      <c r="K83" s="12"/>
    </row>
    <row r="84" spans="1:11" x14ac:dyDescent="0.2">
      <c r="A84" s="21" t="s">
        <v>4923</v>
      </c>
      <c r="B84" s="2" t="s">
        <v>2173</v>
      </c>
      <c r="C84" s="2">
        <v>8</v>
      </c>
      <c r="D84" t="s">
        <v>789</v>
      </c>
      <c r="E84" s="7" t="s">
        <v>4940</v>
      </c>
      <c r="F84" s="7" t="s">
        <v>4941</v>
      </c>
      <c r="G84" t="s">
        <v>802</v>
      </c>
      <c r="H84" s="9"/>
      <c r="I84" s="12" t="str">
        <f t="shared" si="1"/>
        <v>{ name: "Rasiwak Shrine", type: "Shrine", region: 8, level: "Surface", x: 4664, y: 3262, z: 0002, details: "" },</v>
      </c>
      <c r="J84" s="12"/>
      <c r="K84" s="12"/>
    </row>
    <row r="85" spans="1:11" x14ac:dyDescent="0.2">
      <c r="A85" s="21" t="s">
        <v>4916</v>
      </c>
      <c r="B85" s="2" t="s">
        <v>2173</v>
      </c>
      <c r="C85" s="2">
        <v>8</v>
      </c>
      <c r="D85" t="s">
        <v>789</v>
      </c>
      <c r="E85" s="7" t="s">
        <v>4933</v>
      </c>
      <c r="F85" s="7" t="s">
        <v>4934</v>
      </c>
      <c r="G85" t="s">
        <v>796</v>
      </c>
      <c r="H85" s="9"/>
      <c r="I85" s="12" t="str">
        <f t="shared" si="1"/>
        <v>{ name: "Sinatanika Shrine", type: "Shrine", region: 8, level: "Surface", x: 3839, y: 2301, z: 0048, details: "" },</v>
      </c>
      <c r="J85" s="12"/>
      <c r="K85" s="12"/>
    </row>
    <row r="86" spans="1:11" x14ac:dyDescent="0.2">
      <c r="A86" s="21" t="s">
        <v>4900</v>
      </c>
      <c r="B86" s="2" t="s">
        <v>1018</v>
      </c>
      <c r="C86" s="2">
        <v>9</v>
      </c>
      <c r="D86" t="s">
        <v>783</v>
      </c>
      <c r="E86" s="7" t="s">
        <v>1022</v>
      </c>
      <c r="F86" s="7" t="s">
        <v>1023</v>
      </c>
      <c r="G86" t="s">
        <v>1024</v>
      </c>
      <c r="H86" s="9"/>
      <c r="I86" s="12" t="str">
        <f t="shared" si="1"/>
        <v>{ name: "Igoshon Shrine", type: "Shrine", region: 9, level: "Sky", x: 3480, y: 0664, z: 1325, details: "" },</v>
      </c>
      <c r="J86" s="12"/>
      <c r="K86" s="12"/>
    </row>
    <row r="87" spans="1:11" x14ac:dyDescent="0.2">
      <c r="A87" s="21" t="s">
        <v>4890</v>
      </c>
      <c r="B87" s="2" t="s">
        <v>1018</v>
      </c>
      <c r="C87" s="2">
        <v>9</v>
      </c>
      <c r="D87" t="s">
        <v>783</v>
      </c>
      <c r="E87" s="7" t="s">
        <v>1019</v>
      </c>
      <c r="F87" s="7" t="s">
        <v>1020</v>
      </c>
      <c r="G87" t="s">
        <v>1021</v>
      </c>
      <c r="H87" s="9"/>
      <c r="I87" s="12" t="str">
        <f t="shared" si="1"/>
        <v>{ name: "Jirutagumac Shrine", type: "Shrine", region: 9, level: "Sky", x: 2916, y: 0533, z: 0951, details: "" },</v>
      </c>
      <c r="J87" s="12"/>
      <c r="K87" s="12"/>
    </row>
    <row r="88" spans="1:11" x14ac:dyDescent="0.2">
      <c r="A88" s="21" t="s">
        <v>4895</v>
      </c>
      <c r="B88" s="2" t="s">
        <v>1018</v>
      </c>
      <c r="C88" s="2">
        <v>9</v>
      </c>
      <c r="D88" t="s">
        <v>789</v>
      </c>
      <c r="E88" s="7" t="s">
        <v>5038</v>
      </c>
      <c r="F88" s="7" t="s">
        <v>4127</v>
      </c>
      <c r="G88" t="s">
        <v>817</v>
      </c>
      <c r="H88" s="9"/>
      <c r="I88" s="12" t="str">
        <f t="shared" si="1"/>
        <v>{ name: "Apogek Shrine", type: "Shrine", region: 9, level: "Surface", x: 3887, y: -0217, z: 0163, details: "" },</v>
      </c>
      <c r="J88" s="12"/>
      <c r="K88" s="12"/>
    </row>
    <row r="89" spans="1:11" x14ac:dyDescent="0.2">
      <c r="A89" s="21" t="s">
        <v>4912</v>
      </c>
      <c r="B89" s="2" t="s">
        <v>1018</v>
      </c>
      <c r="C89" s="2">
        <v>9</v>
      </c>
      <c r="D89" t="s">
        <v>789</v>
      </c>
      <c r="E89" s="7" t="s">
        <v>4330</v>
      </c>
      <c r="F89" s="7" t="s">
        <v>3940</v>
      </c>
      <c r="G89" t="s">
        <v>803</v>
      </c>
      <c r="H89" s="9"/>
      <c r="I89" s="12" t="str">
        <f t="shared" si="1"/>
        <v>{ name: "Gatanisis Shrine", type: "Shrine", region: 9, level: "Surface", x: 4498, y: 0825, z: 0095, details: "" },</v>
      </c>
      <c r="J89" s="12"/>
      <c r="K89" s="12"/>
    </row>
    <row r="90" spans="1:11" x14ac:dyDescent="0.2">
      <c r="A90" s="21" t="s">
        <v>4902</v>
      </c>
      <c r="B90" s="2" t="s">
        <v>1018</v>
      </c>
      <c r="C90" s="2">
        <v>9</v>
      </c>
      <c r="D90" t="s">
        <v>789</v>
      </c>
      <c r="E90" s="7" t="s">
        <v>5036</v>
      </c>
      <c r="F90" s="7" t="s">
        <v>5037</v>
      </c>
      <c r="G90" t="s">
        <v>1041</v>
      </c>
      <c r="H90" s="9"/>
      <c r="I90" s="12" t="str">
        <f t="shared" si="1"/>
        <v>{ name: "Ihen-a Shrine", type: "Shrine", region: 9, level: "Surface", x: 3784, y: 0579, z: 0486, details: "" },</v>
      </c>
      <c r="J90" s="12"/>
      <c r="K90" s="12"/>
    </row>
    <row r="91" spans="1:11" x14ac:dyDescent="0.2">
      <c r="A91" s="21" t="s">
        <v>4888</v>
      </c>
      <c r="B91" s="2" t="s">
        <v>1018</v>
      </c>
      <c r="C91" s="2">
        <v>9</v>
      </c>
      <c r="D91" t="s">
        <v>789</v>
      </c>
      <c r="E91" s="7" t="s">
        <v>1050</v>
      </c>
      <c r="F91" s="7" t="s">
        <v>1051</v>
      </c>
      <c r="G91" t="s">
        <v>1052</v>
      </c>
      <c r="H91" s="9"/>
      <c r="I91" s="12" t="str">
        <f t="shared" si="1"/>
        <v>{ name: "Joniu Shrine", type: "Shrine", region: 9, level: "Surface", x: 2918, y: 0505, z: 0155, details: "" },</v>
      </c>
      <c r="J91" s="12"/>
      <c r="K91" s="12"/>
    </row>
    <row r="92" spans="1:11" x14ac:dyDescent="0.2">
      <c r="A92" s="21" t="s">
        <v>4880</v>
      </c>
      <c r="B92" s="2" t="s">
        <v>1018</v>
      </c>
      <c r="C92" s="2">
        <v>9</v>
      </c>
      <c r="D92" t="s">
        <v>789</v>
      </c>
      <c r="E92" s="7" t="s">
        <v>3655</v>
      </c>
      <c r="F92" s="7" t="s">
        <v>1410</v>
      </c>
      <c r="G92" t="s">
        <v>1054</v>
      </c>
      <c r="H92" s="9"/>
      <c r="I92" s="12" t="str">
        <f t="shared" si="1"/>
        <v>{ name: "Maoikes Shrine", type: "Shrine", region: 9, level: "Surface", x: 2277, y: 0150, z: 0079, details: "" },</v>
      </c>
      <c r="J92" s="12"/>
      <c r="K92" s="12"/>
    </row>
    <row r="93" spans="1:11" x14ac:dyDescent="0.2">
      <c r="A93" s="21" t="s">
        <v>4896</v>
      </c>
      <c r="B93" s="2" t="s">
        <v>1018</v>
      </c>
      <c r="C93" s="2">
        <v>9</v>
      </c>
      <c r="D93" t="s">
        <v>789</v>
      </c>
      <c r="E93" s="7" t="s">
        <v>3538</v>
      </c>
      <c r="F93" s="7" t="s">
        <v>1039</v>
      </c>
      <c r="G93" t="s">
        <v>1040</v>
      </c>
      <c r="H93" s="9"/>
      <c r="I93" s="12" t="str">
        <f t="shared" si="1"/>
        <v>{ name: "Mogawak Shrine", type: "Shrine", region: 9, level: "Surface", x: 3298, y: 0424, z: 0112, details: "" },</v>
      </c>
      <c r="J93" s="12"/>
      <c r="K93" s="12"/>
    </row>
    <row r="94" spans="1:11" x14ac:dyDescent="0.2">
      <c r="A94" s="21" t="s">
        <v>4913</v>
      </c>
      <c r="B94" s="2" t="s">
        <v>1018</v>
      </c>
      <c r="C94" s="2">
        <v>9</v>
      </c>
      <c r="D94" t="s">
        <v>789</v>
      </c>
      <c r="E94" s="7" t="s">
        <v>4938</v>
      </c>
      <c r="F94" s="7" t="s">
        <v>4939</v>
      </c>
      <c r="G94" t="s">
        <v>799</v>
      </c>
      <c r="H94" s="9"/>
      <c r="I94" s="12" t="str">
        <f t="shared" si="1"/>
        <v>{ name: "Rasitakiwak Shrine", type: "Shrine", region: 9, level: "Surface", x: 4166, y: 1323, z: 0229, details: "" },</v>
      </c>
      <c r="J94" s="12"/>
      <c r="K94" s="12"/>
    </row>
    <row r="95" spans="1:11" x14ac:dyDescent="0.2">
      <c r="A95" s="21" t="s">
        <v>4897</v>
      </c>
      <c r="B95" s="2" t="s">
        <v>1018</v>
      </c>
      <c r="C95" s="2">
        <v>9</v>
      </c>
      <c r="D95" t="s">
        <v>789</v>
      </c>
      <c r="E95" s="7" t="s">
        <v>1046</v>
      </c>
      <c r="F95" s="7" t="s">
        <v>1047</v>
      </c>
      <c r="G95" t="s">
        <v>1034</v>
      </c>
      <c r="H95" s="9"/>
      <c r="I95" s="12" t="str">
        <f t="shared" si="1"/>
        <v>{ name: "Yomizuk Shrine", type: "Shrine", region: 9, level: "Surface", x: 4412, y: -0610, z: 0034, details: "" },</v>
      </c>
      <c r="J95" s="12"/>
      <c r="K95" s="12"/>
    </row>
    <row r="96" spans="1:11" x14ac:dyDescent="0.2">
      <c r="A96" s="21" t="s">
        <v>4851</v>
      </c>
      <c r="B96" s="2" t="s">
        <v>1031</v>
      </c>
      <c r="C96" s="2">
        <v>10</v>
      </c>
      <c r="D96" t="s">
        <v>783</v>
      </c>
      <c r="E96" s="7" t="s">
        <v>5043</v>
      </c>
      <c r="F96" s="7" t="s">
        <v>5044</v>
      </c>
      <c r="G96" t="s">
        <v>1064</v>
      </c>
      <c r="H96" s="9"/>
      <c r="I96" s="12" t="str">
        <f t="shared" si="1"/>
        <v>{ name: "Josiu Shrine", type: "Shrine", region: 10, level: "Sky", x: 1759, y: -1208, z: 0924, details: "" },</v>
      </c>
      <c r="J96" s="12"/>
      <c r="K96" s="12"/>
    </row>
    <row r="97" spans="1:11" x14ac:dyDescent="0.2">
      <c r="A97" s="21" t="s">
        <v>4830</v>
      </c>
      <c r="B97" s="2" t="s">
        <v>1031</v>
      </c>
      <c r="C97" s="2">
        <v>10</v>
      </c>
      <c r="D97" t="s">
        <v>783</v>
      </c>
      <c r="E97" s="7" t="s">
        <v>5045</v>
      </c>
      <c r="F97" s="7" t="s">
        <v>4510</v>
      </c>
      <c r="G97" t="s">
        <v>1065</v>
      </c>
      <c r="H97" s="9"/>
      <c r="I97" s="12" t="str">
        <f t="shared" si="1"/>
        <v>{ name: "Ukoojisi Shrine", type: "Shrine", region: 10, level: "Sky", x: 1470, y: -2170, z: 0585, details: "" },</v>
      </c>
      <c r="J97" s="12"/>
      <c r="K97" s="12"/>
    </row>
    <row r="98" spans="1:11" x14ac:dyDescent="0.2">
      <c r="A98" s="21" t="s">
        <v>4852</v>
      </c>
      <c r="B98" s="2" t="s">
        <v>1031</v>
      </c>
      <c r="C98" s="2">
        <v>10</v>
      </c>
      <c r="D98" t="s">
        <v>783</v>
      </c>
      <c r="E98" s="7" t="s">
        <v>4448</v>
      </c>
      <c r="F98" s="7" t="s">
        <v>3201</v>
      </c>
      <c r="G98" t="s">
        <v>1067</v>
      </c>
      <c r="H98" s="9"/>
      <c r="I98" s="12" t="str">
        <f t="shared" si="1"/>
        <v>{ name: "Yansamin Shrine", type: "Shrine", region: 10, level: "Sky", x: 2349, y: -1782, z: 1475, details: "" },</v>
      </c>
      <c r="J98" s="12"/>
      <c r="K98" s="12"/>
    </row>
    <row r="99" spans="1:11" x14ac:dyDescent="0.2">
      <c r="A99" s="21" t="s">
        <v>4840</v>
      </c>
      <c r="B99" s="2" t="s">
        <v>1031</v>
      </c>
      <c r="C99" s="2">
        <v>10</v>
      </c>
      <c r="D99" t="s">
        <v>789</v>
      </c>
      <c r="E99" s="7" t="s">
        <v>5046</v>
      </c>
      <c r="F99" s="7" t="s">
        <v>5047</v>
      </c>
      <c r="G99" t="s">
        <v>1075</v>
      </c>
      <c r="H99" s="9"/>
      <c r="I99" s="12" t="str">
        <f t="shared" si="1"/>
        <v>{ name: "Eshos Shrine", type: "Shrine", region: 10, level: "Surface", x: 1564, y: -1945, z: 0157, details: "" },</v>
      </c>
      <c r="J99" s="12"/>
      <c r="K99" s="12"/>
    </row>
    <row r="100" spans="1:11" x14ac:dyDescent="0.2">
      <c r="A100" s="21" t="s">
        <v>4865</v>
      </c>
      <c r="B100" s="2" t="s">
        <v>1031</v>
      </c>
      <c r="C100" s="2">
        <v>10</v>
      </c>
      <c r="D100" t="s">
        <v>789</v>
      </c>
      <c r="E100" s="7" t="s">
        <v>852</v>
      </c>
      <c r="F100" s="7" t="s">
        <v>853</v>
      </c>
      <c r="G100" t="s">
        <v>847</v>
      </c>
      <c r="H100" s="9"/>
      <c r="I100" s="12" t="str">
        <f t="shared" si="1"/>
        <v>{ name: "Jojon Shrine", type: "Shrine", region: 10, level: "Surface", x: 1202, y: 0329, z: 0029, details: "" },</v>
      </c>
      <c r="J100" s="12"/>
      <c r="K100" s="12"/>
    </row>
    <row r="101" spans="1:11" x14ac:dyDescent="0.2">
      <c r="A101" s="21" t="s">
        <v>4870</v>
      </c>
      <c r="B101" s="2" t="s">
        <v>1031</v>
      </c>
      <c r="C101" s="2">
        <v>10</v>
      </c>
      <c r="D101" t="s">
        <v>789</v>
      </c>
      <c r="E101" s="7" t="s">
        <v>5035</v>
      </c>
      <c r="F101" s="7" t="s">
        <v>835</v>
      </c>
      <c r="G101" t="s">
        <v>1037</v>
      </c>
      <c r="H101" s="9"/>
      <c r="I101" s="12" t="str">
        <f t="shared" si="1"/>
        <v>{ name: "Jonsau Shrine", type: "Shrine", region: 10, level: "Surface", x: 1743, y: 0018, z: 0025, details: "" },</v>
      </c>
      <c r="J101" s="12"/>
      <c r="K101" s="12"/>
    </row>
    <row r="102" spans="1:11" x14ac:dyDescent="0.2">
      <c r="A102" s="21" t="s">
        <v>4871</v>
      </c>
      <c r="B102" s="2" t="s">
        <v>1031</v>
      </c>
      <c r="C102" s="2">
        <v>10</v>
      </c>
      <c r="D102" t="s">
        <v>789</v>
      </c>
      <c r="E102" s="7" t="s">
        <v>5041</v>
      </c>
      <c r="F102" s="7" t="s">
        <v>5042</v>
      </c>
      <c r="G102" t="s">
        <v>1052</v>
      </c>
      <c r="H102" s="9"/>
      <c r="I102" s="12" t="str">
        <f t="shared" si="1"/>
        <v>{ name: "Kurakat Shrine", type: "Shrine", region: 10, level: "Surface", x: 2362, y: -0511, z: 0155, details: "" },</v>
      </c>
      <c r="J102" s="12"/>
      <c r="K102" s="12"/>
    </row>
    <row r="103" spans="1:11" x14ac:dyDescent="0.2">
      <c r="A103" s="21" t="s">
        <v>4854</v>
      </c>
      <c r="B103" s="2" t="s">
        <v>1031</v>
      </c>
      <c r="C103" s="2">
        <v>10</v>
      </c>
      <c r="D103" t="s">
        <v>789</v>
      </c>
      <c r="E103" s="7" t="s">
        <v>1068</v>
      </c>
      <c r="F103" s="7" t="s">
        <v>1069</v>
      </c>
      <c r="G103" t="s">
        <v>1070</v>
      </c>
      <c r="H103" s="9"/>
      <c r="I103" s="12" t="str">
        <f t="shared" si="1"/>
        <v>{ name: "Makasura Shrine", type: "Shrine", region: 10, level: "Surface", x: 1770, y: -1050, z: 0166, details: "" },</v>
      </c>
      <c r="J103" s="12"/>
      <c r="K103" s="12"/>
    </row>
    <row r="104" spans="1:11" x14ac:dyDescent="0.2">
      <c r="A104" s="21" t="s">
        <v>4850</v>
      </c>
      <c r="B104" s="2" t="s">
        <v>1031</v>
      </c>
      <c r="C104" s="2">
        <v>10</v>
      </c>
      <c r="D104" t="s">
        <v>789</v>
      </c>
      <c r="E104" s="7" t="s">
        <v>1442</v>
      </c>
      <c r="F104" s="7" t="s">
        <v>5034</v>
      </c>
      <c r="G104" t="s">
        <v>1035</v>
      </c>
      <c r="H104" s="9"/>
      <c r="I104" s="12" t="str">
        <f t="shared" si="1"/>
        <v>{ name: "Morok Shrine", type: "Shrine", region: 10, level: "Surface", x: 1183, y: -0780, z: 0133, details: "" },</v>
      </c>
      <c r="J104" s="12"/>
      <c r="K104" s="12"/>
    </row>
    <row r="105" spans="1:11" x14ac:dyDescent="0.2">
      <c r="A105" s="21" t="s">
        <v>4868</v>
      </c>
      <c r="B105" s="2" t="s">
        <v>1031</v>
      </c>
      <c r="C105" s="2">
        <v>10</v>
      </c>
      <c r="D105" t="s">
        <v>789</v>
      </c>
      <c r="E105" s="7" t="s">
        <v>1056</v>
      </c>
      <c r="F105" s="7" t="s">
        <v>1057</v>
      </c>
      <c r="G105" t="s">
        <v>1058</v>
      </c>
      <c r="H105" s="9"/>
      <c r="I105" s="12" t="str">
        <f t="shared" si="1"/>
        <v>{ name: "O-ogim Shrine", type: "Shrine", region: 10, level: "Surface", x: 2755, y: -1089, z: 0100, details: "" },</v>
      </c>
      <c r="J105" s="12"/>
      <c r="K105" s="12"/>
    </row>
    <row r="106" spans="1:11" x14ac:dyDescent="0.2">
      <c r="A106" s="21" t="s">
        <v>4866</v>
      </c>
      <c r="B106" s="2" t="s">
        <v>1031</v>
      </c>
      <c r="C106" s="2">
        <v>10</v>
      </c>
      <c r="D106" t="s">
        <v>789</v>
      </c>
      <c r="E106" s="7" t="s">
        <v>839</v>
      </c>
      <c r="F106" s="7" t="s">
        <v>850</v>
      </c>
      <c r="G106" t="s">
        <v>851</v>
      </c>
      <c r="H106" s="9"/>
      <c r="I106" s="12" t="str">
        <f t="shared" si="1"/>
        <v>{ name: "Ren-iz Shrine", type: "Shrine", region: 10, level: "Surface", x: 0756, y: 0823, z: 0081, details: "" },</v>
      </c>
      <c r="J106" s="12"/>
      <c r="K106" s="12"/>
    </row>
    <row r="107" spans="1:11" x14ac:dyDescent="0.2">
      <c r="A107" s="21" t="s">
        <v>4853</v>
      </c>
      <c r="B107" s="2" t="s">
        <v>1031</v>
      </c>
      <c r="C107" s="2">
        <v>10</v>
      </c>
      <c r="D107" t="s">
        <v>789</v>
      </c>
      <c r="E107" s="7" t="s">
        <v>1032</v>
      </c>
      <c r="F107" s="7" t="s">
        <v>1033</v>
      </c>
      <c r="G107" t="s">
        <v>1034</v>
      </c>
      <c r="H107" s="9"/>
      <c r="I107" s="12" t="str">
        <f t="shared" si="1"/>
        <v>{ name: "Tukarok Shrine", type: "Shrine", region: 10, level: "Surface", x: 0915, y: -0250, z: 0034, details: "" },</v>
      </c>
      <c r="J107" s="12"/>
      <c r="K107" s="12"/>
    </row>
    <row r="108" spans="1:11" x14ac:dyDescent="0.2">
      <c r="A108" s="21" t="s">
        <v>4893</v>
      </c>
      <c r="B108" s="2" t="s">
        <v>1043</v>
      </c>
      <c r="C108" s="2">
        <v>11</v>
      </c>
      <c r="D108" t="s">
        <v>783</v>
      </c>
      <c r="E108" s="7" t="s">
        <v>5031</v>
      </c>
      <c r="F108" s="7" t="s">
        <v>5032</v>
      </c>
      <c r="G108" t="s">
        <v>1027</v>
      </c>
      <c r="H108" s="9"/>
      <c r="I108" s="12" t="str">
        <f t="shared" si="1"/>
        <v>{ name: "Mayanas Shrine", type: "Shrine", region: 11, level: "Sky", x: 4613, y: -0947, z: 1790, details: "" },</v>
      </c>
      <c r="J108" s="12"/>
      <c r="K108" s="12"/>
    </row>
    <row r="109" spans="1:11" x14ac:dyDescent="0.2">
      <c r="A109" s="21" t="s">
        <v>4894</v>
      </c>
      <c r="B109" s="2" t="s">
        <v>1043</v>
      </c>
      <c r="C109" s="2">
        <v>11</v>
      </c>
      <c r="D109" t="s">
        <v>783</v>
      </c>
      <c r="E109" s="7" t="s">
        <v>1028</v>
      </c>
      <c r="F109" s="7" t="s">
        <v>5033</v>
      </c>
      <c r="G109" t="s">
        <v>1030</v>
      </c>
      <c r="H109" s="9"/>
      <c r="I109" s="12" t="str">
        <f t="shared" si="1"/>
        <v>{ name: "Sihajog Shrine", type: "Shrine", region: 11, level: "Sky", x: 4545, y: -0845, z: 1121, details: "" },</v>
      </c>
      <c r="J109" s="12"/>
      <c r="K109" s="12"/>
    </row>
    <row r="110" spans="1:11" x14ac:dyDescent="0.2">
      <c r="A110" s="21" t="s">
        <v>4873</v>
      </c>
      <c r="B110" s="2" t="s">
        <v>1043</v>
      </c>
      <c r="C110" s="2">
        <v>11</v>
      </c>
      <c r="D110" t="s">
        <v>789</v>
      </c>
      <c r="E110" s="7" t="s">
        <v>3222</v>
      </c>
      <c r="F110" s="7" t="s">
        <v>5055</v>
      </c>
      <c r="G110" t="s">
        <v>1082</v>
      </c>
      <c r="H110" s="9"/>
      <c r="I110" s="12" t="str">
        <f t="shared" si="1"/>
        <v>{ name: "Anedamimik Shrine", type: "Shrine", region: 11, level: "Surface", x: 4231, y: -2178, z: -0007, details: "" },</v>
      </c>
      <c r="J110" s="12"/>
      <c r="K110" s="12"/>
    </row>
    <row r="111" spans="1:11" x14ac:dyDescent="0.2">
      <c r="A111" s="21" t="s">
        <v>4883</v>
      </c>
      <c r="B111" s="2" t="s">
        <v>1043</v>
      </c>
      <c r="C111" s="2">
        <v>11</v>
      </c>
      <c r="D111" t="s">
        <v>789</v>
      </c>
      <c r="E111" s="7" t="s">
        <v>5039</v>
      </c>
      <c r="F111" s="7" t="s">
        <v>1044</v>
      </c>
      <c r="G111" t="s">
        <v>1045</v>
      </c>
      <c r="H111" s="9"/>
      <c r="I111" s="12" t="str">
        <f t="shared" si="1"/>
        <v>{ name: "Jikais Shrine", type: "Shrine", region: 11, level: "Surface", x: 4266, y: -1674, z: 0181, details: "" },</v>
      </c>
      <c r="J111" s="12"/>
      <c r="K111" s="12"/>
    </row>
    <row r="112" spans="1:11" x14ac:dyDescent="0.2">
      <c r="A112" s="21" t="s">
        <v>4875</v>
      </c>
      <c r="B112" s="2" t="s">
        <v>1043</v>
      </c>
      <c r="C112" s="2">
        <v>11</v>
      </c>
      <c r="D112" t="s">
        <v>789</v>
      </c>
      <c r="E112" s="7" t="s">
        <v>1086</v>
      </c>
      <c r="F112" s="7" t="s">
        <v>5058</v>
      </c>
      <c r="G112" t="s">
        <v>1087</v>
      </c>
      <c r="H112" s="9"/>
      <c r="I112" s="12" t="str">
        <f t="shared" si="1"/>
        <v>{ name: "Jogou Shrine", type: "Shrine", region: 11, level: "Surface", x: 3346, y: -1188, z: 0057, details: "" },</v>
      </c>
      <c r="J112" s="12"/>
      <c r="K112" s="12"/>
    </row>
    <row r="113" spans="1:11" x14ac:dyDescent="0.2">
      <c r="A113" s="21" t="s">
        <v>4869</v>
      </c>
      <c r="B113" s="2" t="s">
        <v>1043</v>
      </c>
      <c r="C113" s="2">
        <v>11</v>
      </c>
      <c r="D113" t="s">
        <v>789</v>
      </c>
      <c r="E113" s="7" t="s">
        <v>5054</v>
      </c>
      <c r="F113" s="7" t="s">
        <v>3406</v>
      </c>
      <c r="G113" t="s">
        <v>1081</v>
      </c>
      <c r="H113" s="9"/>
      <c r="I113" s="12" t="str">
        <f t="shared" si="1"/>
        <v>{ name: "Mayahisik Shrine", type: "Shrine", region: 11, level: "Surface", x: 3730, y: -2057, z: 0189, details: "" },</v>
      </c>
      <c r="J113" s="12"/>
      <c r="K113" s="12"/>
    </row>
    <row r="114" spans="1:11" x14ac:dyDescent="0.2">
      <c r="A114" s="21" t="s">
        <v>4872</v>
      </c>
      <c r="B114" s="2" t="s">
        <v>1043</v>
      </c>
      <c r="C114" s="2">
        <v>11</v>
      </c>
      <c r="D114" t="s">
        <v>789</v>
      </c>
      <c r="E114" s="7" t="s">
        <v>3760</v>
      </c>
      <c r="F114" s="7" t="s">
        <v>5040</v>
      </c>
      <c r="G114" t="s">
        <v>1049</v>
      </c>
      <c r="H114" s="9"/>
      <c r="I114" s="12" t="str">
        <f t="shared" si="1"/>
        <v>{ name: "Zakusu Shrine", type: "Shrine", region: 11, level: "Surface", x: 3527, y: -1481, z: 0167, details: "" },</v>
      </c>
      <c r="J114" s="12"/>
      <c r="K114" s="12"/>
    </row>
    <row r="115" spans="1:11" x14ac:dyDescent="0.2">
      <c r="A115" s="21" t="s">
        <v>4862</v>
      </c>
      <c r="B115" s="2" t="s">
        <v>1043</v>
      </c>
      <c r="C115" s="2">
        <v>11</v>
      </c>
      <c r="D115" t="s">
        <v>789</v>
      </c>
      <c r="E115" s="7" t="s">
        <v>5053</v>
      </c>
      <c r="F115" s="7" t="s">
        <v>1078</v>
      </c>
      <c r="G115" t="s">
        <v>1079</v>
      </c>
      <c r="H115" s="9"/>
      <c r="I115" s="12" t="str">
        <f t="shared" si="1"/>
        <v>{ name: "Zanmik Shrine", type: "Shrine", region: 11, level: "Surface", x: 3469, y: -2180, z: 0148, details: "" },</v>
      </c>
      <c r="J115" s="12"/>
      <c r="K115" s="12"/>
    </row>
    <row r="116" spans="1:11" x14ac:dyDescent="0.2">
      <c r="A116" s="21" t="s">
        <v>4844</v>
      </c>
      <c r="B116" s="2" t="s">
        <v>1059</v>
      </c>
      <c r="C116" s="2">
        <v>12</v>
      </c>
      <c r="D116" t="s">
        <v>783</v>
      </c>
      <c r="E116" s="7" t="s">
        <v>1060</v>
      </c>
      <c r="F116" s="7" t="s">
        <v>3008</v>
      </c>
      <c r="G116" t="s">
        <v>1062</v>
      </c>
      <c r="H116" s="9"/>
      <c r="I116" s="12" t="str">
        <f t="shared" si="1"/>
        <v>{ name: "Kumamayn Shrine", type: "Shrine", region: 12, level: "Sky", x: 2856, y: -2857, z: 1212, details: "" },</v>
      </c>
      <c r="J116" s="12"/>
      <c r="K116" s="12"/>
    </row>
    <row r="117" spans="1:11" x14ac:dyDescent="0.2">
      <c r="A117" s="21" t="s">
        <v>4842</v>
      </c>
      <c r="B117" s="2" t="s">
        <v>1059</v>
      </c>
      <c r="C117" s="2">
        <v>12</v>
      </c>
      <c r="D117" t="s">
        <v>789</v>
      </c>
      <c r="E117" s="7" t="s">
        <v>1533</v>
      </c>
      <c r="F117" s="7" t="s">
        <v>5050</v>
      </c>
      <c r="G117" t="s">
        <v>851</v>
      </c>
      <c r="H117" s="9"/>
      <c r="I117" s="12" t="str">
        <f t="shared" si="1"/>
        <v>{ name: "Bamitok Shrine", type: "Shrine", region: 12, level: "Surface", x: 3094, y: -3209, z: 0081, details: "" },</v>
      </c>
      <c r="J117" s="12"/>
      <c r="K117" s="12"/>
    </row>
    <row r="118" spans="1:11" x14ac:dyDescent="0.2">
      <c r="A118" s="21" t="s">
        <v>4857</v>
      </c>
      <c r="B118" s="2" t="s">
        <v>1059</v>
      </c>
      <c r="C118" s="2">
        <v>12</v>
      </c>
      <c r="D118" t="s">
        <v>789</v>
      </c>
      <c r="E118" s="7" t="s">
        <v>5051</v>
      </c>
      <c r="F118" s="7" t="s">
        <v>5052</v>
      </c>
      <c r="G118" t="s">
        <v>835</v>
      </c>
      <c r="H118" s="9"/>
      <c r="I118" s="12" t="str">
        <f t="shared" si="1"/>
        <v>{ name: "Marari-In Shrine", type: "Shrine", region: 12, level: "Surface", x: 4632, y: -3712, z: 0018, details: "" },</v>
      </c>
      <c r="J118" s="12"/>
      <c r="K118" s="12"/>
    </row>
    <row r="119" spans="1:11" x14ac:dyDescent="0.2">
      <c r="A119" s="21" t="s">
        <v>4839</v>
      </c>
      <c r="B119" s="2" t="s">
        <v>1059</v>
      </c>
      <c r="C119" s="2">
        <v>12</v>
      </c>
      <c r="D119" t="s">
        <v>789</v>
      </c>
      <c r="E119" s="7" t="s">
        <v>5048</v>
      </c>
      <c r="F119" s="7" t="s">
        <v>5049</v>
      </c>
      <c r="G119" t="s">
        <v>1076</v>
      </c>
      <c r="H119" s="9"/>
      <c r="I119" s="12" t="str">
        <f t="shared" si="1"/>
        <v>{ name: "Sifumim Shrine", type: "Shrine", region: 12, level: "Surface", x: 2826, y: -3271, z: 0078, details: "" },</v>
      </c>
      <c r="J119" s="12"/>
      <c r="K119" s="12"/>
    </row>
    <row r="120" spans="1:11" x14ac:dyDescent="0.2">
      <c r="A120" s="21" t="s">
        <v>4843</v>
      </c>
      <c r="B120" s="2" t="s">
        <v>1059</v>
      </c>
      <c r="C120" s="2">
        <v>12</v>
      </c>
      <c r="D120" t="s">
        <v>789</v>
      </c>
      <c r="E120" s="7" t="s">
        <v>5059</v>
      </c>
      <c r="F120" s="7" t="s">
        <v>1091</v>
      </c>
      <c r="G120" t="s">
        <v>1092</v>
      </c>
      <c r="H120" s="9"/>
      <c r="I120" s="12" t="str">
        <f t="shared" si="1"/>
        <v>{ name: "Tokiy Shrine", type: "Shrine", region: 12, level: "Surface", x: 2304, y: -2377, z: -0028, details: "" },</v>
      </c>
      <c r="J120" s="12"/>
      <c r="K120" s="12"/>
    </row>
    <row r="121" spans="1:11" x14ac:dyDescent="0.2">
      <c r="A121" s="21" t="s">
        <v>4832</v>
      </c>
      <c r="B121" s="2" t="s">
        <v>911</v>
      </c>
      <c r="C121" s="2">
        <v>13</v>
      </c>
      <c r="D121" t="s">
        <v>783</v>
      </c>
      <c r="E121" s="7" t="s">
        <v>966</v>
      </c>
      <c r="F121" s="7" t="s">
        <v>967</v>
      </c>
      <c r="G121" t="s">
        <v>968</v>
      </c>
      <c r="H121" s="9"/>
      <c r="I121" s="12" t="str">
        <f t="shared" si="1"/>
        <v>{ name: "Gutanbac Shrine", type: "Shrine", region: 13, level: "Sky", x: 0709, y: -1381, z: 1584, details: "" },</v>
      </c>
      <c r="J121" s="12"/>
      <c r="K121" s="12"/>
    </row>
    <row r="122" spans="1:11" x14ac:dyDescent="0.2">
      <c r="A122" s="21" t="s">
        <v>4811</v>
      </c>
      <c r="B122" s="2" t="s">
        <v>911</v>
      </c>
      <c r="C122" s="2">
        <v>13</v>
      </c>
      <c r="D122" t="s">
        <v>783</v>
      </c>
      <c r="E122" s="7" t="s">
        <v>1071</v>
      </c>
      <c r="F122" s="7" t="s">
        <v>1072</v>
      </c>
      <c r="G122" t="s">
        <v>915</v>
      </c>
      <c r="H122" s="9"/>
      <c r="I122" s="12" t="str">
        <f t="shared" si="1"/>
        <v>{ name: "Joku-u Shrine", type: "Shrine", region: 13, level: "Sky", x: 1516, y: -3576, z: 0428, details: "" },</v>
      </c>
      <c r="J122" s="12"/>
      <c r="K122" s="12"/>
    </row>
    <row r="123" spans="1:11" x14ac:dyDescent="0.2">
      <c r="A123" s="21" t="s">
        <v>4806</v>
      </c>
      <c r="B123" s="2" t="s">
        <v>911</v>
      </c>
      <c r="C123" s="2">
        <v>13</v>
      </c>
      <c r="D123" t="s">
        <v>783</v>
      </c>
      <c r="E123" s="7" t="s">
        <v>912</v>
      </c>
      <c r="F123" s="7" t="s">
        <v>4984</v>
      </c>
      <c r="G123" t="s">
        <v>913</v>
      </c>
      <c r="H123" s="9"/>
      <c r="I123" s="12" t="str">
        <f t="shared" si="1"/>
        <v>{ name: "Joku-usin Shrine", type: "Shrine", region: 13, level: "Sky", x: 1070, y: -3347, z: 0785, details: "" },</v>
      </c>
      <c r="J123" s="12"/>
      <c r="K123" s="12"/>
    </row>
    <row r="124" spans="1:11" x14ac:dyDescent="0.2">
      <c r="A124" s="21" t="s">
        <v>4829</v>
      </c>
      <c r="B124" s="2" t="s">
        <v>911</v>
      </c>
      <c r="C124" s="2">
        <v>13</v>
      </c>
      <c r="D124" t="s">
        <v>783</v>
      </c>
      <c r="E124" s="7" t="s">
        <v>5012</v>
      </c>
      <c r="F124" t="s">
        <v>970</v>
      </c>
      <c r="G124" t="s">
        <v>795</v>
      </c>
      <c r="H124" s="9"/>
      <c r="I124" s="12" t="str">
        <f t="shared" si="1"/>
        <v>{ name: "Nachoyah Shrine", type: "Shrine", region: 13, level: "Sky", x: 0390, y: -1660, z: 2299, details: "" },</v>
      </c>
      <c r="J124" s="12"/>
      <c r="K124" s="12"/>
    </row>
    <row r="125" spans="1:11" x14ac:dyDescent="0.2">
      <c r="A125" s="21" t="s">
        <v>4804</v>
      </c>
      <c r="B125" s="2" t="s">
        <v>911</v>
      </c>
      <c r="C125" s="2">
        <v>13</v>
      </c>
      <c r="D125" t="s">
        <v>789</v>
      </c>
      <c r="E125" s="7" t="s">
        <v>867</v>
      </c>
      <c r="F125" s="7" t="s">
        <v>934</v>
      </c>
      <c r="G125" t="s">
        <v>923</v>
      </c>
      <c r="H125" s="9"/>
      <c r="I125" s="12" t="str">
        <f t="shared" si="1"/>
        <v>{ name: "En-oma Shrine", type: "Shrine", region: 13, level: "Surface", x: 0104, y: -2517, z: 0088, details: "" },</v>
      </c>
      <c r="J125" s="12"/>
      <c r="K125" s="12"/>
    </row>
    <row r="126" spans="1:11" x14ac:dyDescent="0.2">
      <c r="A126" s="21" t="s">
        <v>4789</v>
      </c>
      <c r="B126" s="2" t="s">
        <v>911</v>
      </c>
      <c r="C126" s="2">
        <v>13</v>
      </c>
      <c r="D126" t="s">
        <v>789</v>
      </c>
      <c r="E126" s="7" t="s">
        <v>4727</v>
      </c>
      <c r="F126" s="7" t="s">
        <v>4987</v>
      </c>
      <c r="G126" t="s">
        <v>925</v>
      </c>
      <c r="H126" s="9"/>
      <c r="I126" s="12" t="str">
        <f t="shared" si="1"/>
        <v>{ name: "Ishokin Shrine", type: "Shrine", region: 13, level: "Surface", x: -0562, y: -3524, z: 0129, details: "" },</v>
      </c>
      <c r="J126" s="12"/>
      <c r="K126" s="12"/>
    </row>
    <row r="127" spans="1:11" x14ac:dyDescent="0.2">
      <c r="A127" s="21" t="s">
        <v>4821</v>
      </c>
      <c r="B127" s="2" t="s">
        <v>911</v>
      </c>
      <c r="C127" s="2">
        <v>13</v>
      </c>
      <c r="D127" t="s">
        <v>789</v>
      </c>
      <c r="E127" s="7" t="s">
        <v>4985</v>
      </c>
      <c r="F127" s="7" t="s">
        <v>4986</v>
      </c>
      <c r="G127" t="s">
        <v>917</v>
      </c>
      <c r="H127" s="9"/>
      <c r="I127" s="12" t="str">
        <f t="shared" si="1"/>
        <v>{ name: "Jiukoum Shrine", type: "Shrine", region: 13, level: "Surface", x: 0867, y: -2280, z: 0141, details: "" },</v>
      </c>
      <c r="J127" s="12"/>
      <c r="K127" s="12"/>
    </row>
    <row r="128" spans="1:11" x14ac:dyDescent="0.2">
      <c r="A128" s="21" t="s">
        <v>4827</v>
      </c>
      <c r="B128" s="2" t="s">
        <v>911</v>
      </c>
      <c r="C128" s="2">
        <v>13</v>
      </c>
      <c r="D128" t="s">
        <v>789</v>
      </c>
      <c r="E128" s="7" t="s">
        <v>1085</v>
      </c>
      <c r="F128" s="7" t="s">
        <v>4508</v>
      </c>
      <c r="G128" t="s">
        <v>847</v>
      </c>
      <c r="H128" s="9"/>
      <c r="I128" s="12" t="str">
        <f t="shared" si="1"/>
        <v>{ name: "Jochisiu Shrine", type: "Shrine", region: 13, level: "Surface", x: 0931, y: -1902, z: 0029, details: "" },</v>
      </c>
      <c r="J128" s="12"/>
      <c r="K128" s="12"/>
    </row>
    <row r="129" spans="1:11" x14ac:dyDescent="0.2">
      <c r="A129" s="21" t="s">
        <v>4810</v>
      </c>
      <c r="B129" s="2" t="s">
        <v>911</v>
      </c>
      <c r="C129" s="2">
        <v>13</v>
      </c>
      <c r="D129" t="s">
        <v>789</v>
      </c>
      <c r="E129" s="7" t="s">
        <v>1071</v>
      </c>
      <c r="F129" s="7" t="s">
        <v>1072</v>
      </c>
      <c r="G129" t="s">
        <v>1073</v>
      </c>
      <c r="H129" s="9"/>
      <c r="I129" s="12" t="str">
        <f t="shared" si="1"/>
        <v>{ name: "Joju-u-u Shrine", type: "Shrine", region: 13, level: "Surface", x: 1516, y: -3576, z: 0142, details: "" },</v>
      </c>
      <c r="J129" s="12"/>
      <c r="K129" s="12"/>
    </row>
    <row r="130" spans="1:11" x14ac:dyDescent="0.2">
      <c r="A130" s="21" t="s">
        <v>4814</v>
      </c>
      <c r="B130" s="2" t="s">
        <v>911</v>
      </c>
      <c r="C130" s="2">
        <v>13</v>
      </c>
      <c r="D130" t="s">
        <v>789</v>
      </c>
      <c r="E130" s="7" t="s">
        <v>1088</v>
      </c>
      <c r="F130" s="7" t="s">
        <v>3507</v>
      </c>
      <c r="G130" t="s">
        <v>1089</v>
      </c>
      <c r="H130" s="9"/>
      <c r="I130" s="12" t="str">
        <f t="shared" si="1"/>
        <v>{ name: "Susub Shrine", type: "Shrine", region: 13, level: "Surface", x: 0348, y: -2050, z: -0026, details: "" },</v>
      </c>
      <c r="J130" s="12"/>
      <c r="K130" s="12"/>
    </row>
    <row r="131" spans="1:11" x14ac:dyDescent="0.2">
      <c r="A131" s="21" t="s">
        <v>4823</v>
      </c>
      <c r="B131" s="2" t="s">
        <v>911</v>
      </c>
      <c r="C131" s="2">
        <v>13</v>
      </c>
      <c r="D131" t="s">
        <v>789</v>
      </c>
      <c r="E131" s="7" t="s">
        <v>5056</v>
      </c>
      <c r="F131" s="7" t="s">
        <v>5057</v>
      </c>
      <c r="G131" t="s">
        <v>1084</v>
      </c>
      <c r="H131" s="9"/>
      <c r="I131" s="12" t="str">
        <f t="shared" ref="I131:I153" si="2">"{ name: """&amp;A131&amp;""", type: "&amp;CHAR(34)&amp;"Shrine"&amp;CHAR(34)&amp;", region: "&amp;C131&amp;", level: "&amp;CHAR(34)&amp;D131&amp;CHAR(34)&amp;", x: "&amp;E131&amp;", y: "&amp;F131&amp;", z: "&amp;G131&amp;", details: "&amp;CHAR(34)&amp;CHAR(34)&amp;" },"</f>
        <v>{ name: "Utojis Shrine", type: "Shrine", region: 13, level: "Surface", x: 1217, y: -2542, z: 0096, details: "" },</v>
      </c>
      <c r="J131" s="12"/>
      <c r="K131" s="12"/>
    </row>
    <row r="132" spans="1:11" x14ac:dyDescent="0.2">
      <c r="A132" s="21" t="s">
        <v>4802</v>
      </c>
      <c r="B132" s="2" t="s">
        <v>911</v>
      </c>
      <c r="C132" s="2">
        <v>13</v>
      </c>
      <c r="D132" t="s">
        <v>789</v>
      </c>
      <c r="E132" s="7" t="s">
        <v>918</v>
      </c>
      <c r="F132" s="7" t="s">
        <v>3508</v>
      </c>
      <c r="G132" t="s">
        <v>919</v>
      </c>
      <c r="H132" s="9"/>
      <c r="I132" s="12" t="str">
        <f t="shared" si="2"/>
        <v>{ name: "Utsushok Shrine", type: "Shrine", region: 13, level: "Surface", x: 0669, y: -3358, z: 0072, details: "" },</v>
      </c>
      <c r="J132" s="12"/>
      <c r="K132" s="12"/>
    </row>
    <row r="133" spans="1:11" x14ac:dyDescent="0.2">
      <c r="A133" s="21" t="s">
        <v>4793</v>
      </c>
      <c r="B133" s="2" t="s">
        <v>933</v>
      </c>
      <c r="C133" s="2">
        <v>14</v>
      </c>
      <c r="D133" t="s">
        <v>783</v>
      </c>
      <c r="E133" s="7" t="s">
        <v>4989</v>
      </c>
      <c r="F133" s="7" t="s">
        <v>3554</v>
      </c>
      <c r="G133" t="s">
        <v>928</v>
      </c>
      <c r="H133" s="9"/>
      <c r="I133" s="12" t="str">
        <f t="shared" si="2"/>
        <v>{ name: "Rakashog Shrine", type: "Shrine", region: 14, level: "Sky", x: -1715, y: -2119, z: 1149, details: "" },</v>
      </c>
      <c r="J133" s="12"/>
      <c r="K133" s="12"/>
    </row>
    <row r="134" spans="1:11" x14ac:dyDescent="0.2">
      <c r="A134" s="21" t="s">
        <v>4784</v>
      </c>
      <c r="B134" s="2" t="s">
        <v>933</v>
      </c>
      <c r="C134" s="2">
        <v>14</v>
      </c>
      <c r="D134" t="s">
        <v>783</v>
      </c>
      <c r="E134" s="7" t="s">
        <v>4990</v>
      </c>
      <c r="F134" s="7" t="s">
        <v>1903</v>
      </c>
      <c r="G134" t="s">
        <v>929</v>
      </c>
      <c r="H134" s="9"/>
      <c r="I134" s="12" t="str">
        <f t="shared" si="2"/>
        <v>{ name: "Siyamotsus Shrine", type: "Shrine", region: 14, level: "Sky", x: -1793, y: -3331, z: 1011, details: "" },</v>
      </c>
      <c r="J134" s="12"/>
      <c r="K134" s="12"/>
    </row>
    <row r="135" spans="1:11" x14ac:dyDescent="0.2">
      <c r="A135" s="21" t="s">
        <v>4779</v>
      </c>
      <c r="B135" s="2" t="s">
        <v>933</v>
      </c>
      <c r="C135" s="2">
        <v>14</v>
      </c>
      <c r="D135" t="s">
        <v>789</v>
      </c>
      <c r="E135" s="7" t="s">
        <v>3013</v>
      </c>
      <c r="F135" s="7" t="s">
        <v>5003</v>
      </c>
      <c r="G135" t="s">
        <v>952</v>
      </c>
      <c r="H135" s="9"/>
      <c r="I135" s="12" t="str">
        <f t="shared" si="2"/>
        <v>{ name: "Chichim Shrine", type: "Shrine", region: 14, level: "Surface", x: -3211, y: -3007, z: -0049, details: "" },</v>
      </c>
      <c r="J135" s="12"/>
      <c r="K135" s="12"/>
    </row>
    <row r="136" spans="1:11" x14ac:dyDescent="0.2">
      <c r="A136" s="21" t="s">
        <v>4774</v>
      </c>
      <c r="B136" s="2" t="s">
        <v>933</v>
      </c>
      <c r="C136" s="2">
        <v>14</v>
      </c>
      <c r="D136" t="s">
        <v>789</v>
      </c>
      <c r="E136" s="7" t="s">
        <v>956</v>
      </c>
      <c r="F136" s="7" t="s">
        <v>5007</v>
      </c>
      <c r="G136" t="s">
        <v>957</v>
      </c>
      <c r="H136" s="9"/>
      <c r="I136" s="12" t="str">
        <f t="shared" si="2"/>
        <v>{ name: "Irasak Shrine", type: "Shrine", region: 14, level: "Surface", x: -4159, y: -3824, z: 0028, details: "" },</v>
      </c>
      <c r="J136" s="12"/>
      <c r="K136" s="12"/>
    </row>
    <row r="137" spans="1:11" x14ac:dyDescent="0.2">
      <c r="A137" s="21" t="s">
        <v>4776</v>
      </c>
      <c r="B137" s="2" t="s">
        <v>933</v>
      </c>
      <c r="C137" s="2">
        <v>14</v>
      </c>
      <c r="D137" t="s">
        <v>789</v>
      </c>
      <c r="E137" s="7" t="s">
        <v>5006</v>
      </c>
      <c r="F137" s="7" t="s">
        <v>3390</v>
      </c>
      <c r="G137" t="s">
        <v>955</v>
      </c>
      <c r="H137" s="9"/>
      <c r="I137" s="12" t="str">
        <f t="shared" si="2"/>
        <v>{ name: "Karahatag Shrine", type: "Shrine", region: 14, level: "Surface", x: -3726, y: -3625, z: 0043, details: "" },</v>
      </c>
      <c r="J137" s="12"/>
      <c r="K137" s="12"/>
    </row>
    <row r="138" spans="1:11" x14ac:dyDescent="0.2">
      <c r="A138" s="21" t="s">
        <v>4787</v>
      </c>
      <c r="B138" s="2" t="s">
        <v>933</v>
      </c>
      <c r="C138" s="2">
        <v>14</v>
      </c>
      <c r="D138" t="s">
        <v>789</v>
      </c>
      <c r="E138" s="7" t="s">
        <v>4999</v>
      </c>
      <c r="F138" s="7" t="s">
        <v>945</v>
      </c>
      <c r="G138" t="s">
        <v>946</v>
      </c>
      <c r="H138" s="9"/>
      <c r="I138" s="12" t="str">
        <f t="shared" si="2"/>
        <v>{ name: "Kitawak Shrine", type: "Shrine", region: 14, level: "Surface", x: -1529, y: -2928, z: 0321, details: "" },</v>
      </c>
      <c r="J138" s="12"/>
      <c r="K138" s="12"/>
    </row>
    <row r="139" spans="1:11" x14ac:dyDescent="0.2">
      <c r="A139" s="21" t="s">
        <v>4778</v>
      </c>
      <c r="B139" s="2" t="s">
        <v>933</v>
      </c>
      <c r="C139" s="2">
        <v>14</v>
      </c>
      <c r="D139" t="s">
        <v>789</v>
      </c>
      <c r="E139" s="7" t="s">
        <v>4997</v>
      </c>
      <c r="F139" s="7" t="s">
        <v>4998</v>
      </c>
      <c r="G139" t="s">
        <v>943</v>
      </c>
      <c r="H139" s="9"/>
      <c r="I139" s="12" t="str">
        <f t="shared" si="2"/>
        <v>{ name: "Kudanisar Shrine", type: "Shrine", region: 14, level: "Surface", x: -4168, y: -2144, z: 0050, details: "" },</v>
      </c>
      <c r="J139" s="12"/>
      <c r="K139" s="12"/>
    </row>
    <row r="140" spans="1:11" x14ac:dyDescent="0.2">
      <c r="A140" s="21" t="s">
        <v>4781</v>
      </c>
      <c r="B140" s="2" t="s">
        <v>933</v>
      </c>
      <c r="C140" s="2">
        <v>14</v>
      </c>
      <c r="D140" t="s">
        <v>789</v>
      </c>
      <c r="E140" s="7" t="s">
        <v>4991</v>
      </c>
      <c r="F140" s="7" t="s">
        <v>4992</v>
      </c>
      <c r="G140" t="s">
        <v>822</v>
      </c>
      <c r="H140" s="9"/>
      <c r="I140" s="12" t="str">
        <f t="shared" si="2"/>
        <v>{ name: "Mayatat Shrine", type: "Shrine", region: 14, level: "Surface", x: -3292, y: -2509, z: 0023, details: "" },</v>
      </c>
      <c r="J140" s="12"/>
      <c r="K140" s="12"/>
    </row>
    <row r="141" spans="1:11" x14ac:dyDescent="0.2">
      <c r="A141" s="21" t="s">
        <v>4775</v>
      </c>
      <c r="B141" s="2" t="s">
        <v>933</v>
      </c>
      <c r="C141" s="2">
        <v>14</v>
      </c>
      <c r="D141" t="s">
        <v>789</v>
      </c>
      <c r="E141" s="7" t="s">
        <v>5008</v>
      </c>
      <c r="F141" s="7" t="s">
        <v>5009</v>
      </c>
      <c r="G141" t="s">
        <v>959</v>
      </c>
      <c r="H141" s="9"/>
      <c r="I141" s="12" t="str">
        <f t="shared" si="2"/>
        <v>{ name: "Miryotanog Shrine", type: "Shrine", region: 14, level: "Surface", x: -4679, y: -3086, z: 0056, details: "" },</v>
      </c>
      <c r="J141" s="12"/>
      <c r="K141" s="12"/>
    </row>
    <row r="142" spans="1:11" x14ac:dyDescent="0.2">
      <c r="A142" s="21" t="s">
        <v>4815</v>
      </c>
      <c r="B142" s="2" t="s">
        <v>933</v>
      </c>
      <c r="C142" s="2">
        <v>14</v>
      </c>
      <c r="D142" t="s">
        <v>789</v>
      </c>
      <c r="E142" s="7" t="s">
        <v>962</v>
      </c>
      <c r="F142" s="7" t="s">
        <v>4513</v>
      </c>
      <c r="G142" t="s">
        <v>873</v>
      </c>
      <c r="H142" s="9"/>
      <c r="I142" s="12" t="str">
        <f t="shared" si="2"/>
        <v>{ name: "Motsusis Shrine", type: "Shrine", region: 14, level: "Surface", x: -1795, y: -3485, z: 0045, details: "" },</v>
      </c>
      <c r="J142" s="12"/>
      <c r="K142" s="12"/>
    </row>
    <row r="143" spans="1:11" x14ac:dyDescent="0.2">
      <c r="A143" s="21" t="s">
        <v>4791</v>
      </c>
      <c r="B143" s="2" t="s">
        <v>933</v>
      </c>
      <c r="C143" s="2">
        <v>14</v>
      </c>
      <c r="D143" t="s">
        <v>789</v>
      </c>
      <c r="E143" s="7" t="s">
        <v>930</v>
      </c>
      <c r="F143" s="7" t="s">
        <v>931</v>
      </c>
      <c r="G143" t="s">
        <v>932</v>
      </c>
      <c r="H143" s="9"/>
      <c r="I143" s="12" t="str">
        <f t="shared" si="2"/>
        <v>{ name: "Rakakudaj Shrine", type: "Shrine", region: 14, level: "Surface", x: -2031, y: -1847, z: 0064, details: "" },</v>
      </c>
      <c r="J143" s="12"/>
      <c r="K143" s="12"/>
    </row>
    <row r="144" spans="1:11" x14ac:dyDescent="0.2">
      <c r="A144" s="21" t="s">
        <v>4782</v>
      </c>
      <c r="B144" s="2" t="s">
        <v>933</v>
      </c>
      <c r="C144" s="2">
        <v>14</v>
      </c>
      <c r="D144" t="s">
        <v>789</v>
      </c>
      <c r="E144" s="7" t="s">
        <v>5004</v>
      </c>
      <c r="F144" s="7" t="s">
        <v>5005</v>
      </c>
      <c r="G144" t="s">
        <v>953</v>
      </c>
      <c r="H144" s="9"/>
      <c r="I144" s="12" t="str">
        <f t="shared" si="2"/>
        <v>{ name: "Siwakama Shrine", type: "Shrine", region: 14, level: "Surface", x: -2445, y: -3345, z: 0041, details: "" },</v>
      </c>
      <c r="J144" s="12"/>
      <c r="K144" s="12"/>
    </row>
    <row r="145" spans="1:11" x14ac:dyDescent="0.2">
      <c r="A145" s="21" t="s">
        <v>4777</v>
      </c>
      <c r="B145" s="2" t="s">
        <v>933</v>
      </c>
      <c r="C145" s="2">
        <v>14</v>
      </c>
      <c r="D145" t="s">
        <v>789</v>
      </c>
      <c r="E145" s="7" t="s">
        <v>4993</v>
      </c>
      <c r="F145" s="7" t="s">
        <v>4278</v>
      </c>
      <c r="G145" t="s">
        <v>935</v>
      </c>
      <c r="H145" s="9"/>
      <c r="I145" s="12" t="str">
        <f t="shared" si="2"/>
        <v>{ name: "Soryotanog Shrine", type: "Shrine", region: 14, level: "Surface", x: -3883, y: -2964, z: 0125, details: "" },</v>
      </c>
      <c r="J145" s="12"/>
      <c r="K145" s="12"/>
    </row>
    <row r="146" spans="1:11" x14ac:dyDescent="0.2">
      <c r="A146" s="21" t="s">
        <v>4785</v>
      </c>
      <c r="B146" s="2" t="s">
        <v>933</v>
      </c>
      <c r="C146" s="2">
        <v>14</v>
      </c>
      <c r="D146" t="s">
        <v>789</v>
      </c>
      <c r="E146" s="7" t="s">
        <v>1194</v>
      </c>
      <c r="F146" s="7" t="s">
        <v>5000</v>
      </c>
      <c r="G146" t="s">
        <v>948</v>
      </c>
      <c r="H146" s="9"/>
      <c r="I146" s="12" t="str">
        <f t="shared" si="2"/>
        <v>{ name: "Turakamik Shrine", type: "Shrine", region: 14, level: "Surface", x: -2658, y: -2236, z: 0067, details: "" },</v>
      </c>
      <c r="J146" s="12"/>
      <c r="K146" s="12"/>
    </row>
    <row r="147" spans="1:11" x14ac:dyDescent="0.2">
      <c r="A147" s="21" t="s">
        <v>4792</v>
      </c>
      <c r="B147" s="2" t="s">
        <v>926</v>
      </c>
      <c r="C147" s="2">
        <v>15</v>
      </c>
      <c r="D147" t="s">
        <v>783</v>
      </c>
      <c r="E147" s="7" t="s">
        <v>4988</v>
      </c>
      <c r="F147" s="7" t="s">
        <v>2891</v>
      </c>
      <c r="G147" t="s">
        <v>927</v>
      </c>
      <c r="H147" s="9"/>
      <c r="I147" s="12" t="str">
        <f t="shared" si="2"/>
        <v>{ name: "Mayasiar Shrine", type: "Shrine", region: 15, level: "Sky", x: -3544, y: -0320, z: 1964, details: "" },</v>
      </c>
      <c r="J147" s="12"/>
      <c r="K147" s="12"/>
    </row>
    <row r="148" spans="1:11" x14ac:dyDescent="0.2">
      <c r="A148" s="21" t="s">
        <v>4790</v>
      </c>
      <c r="B148" s="2" t="s">
        <v>926</v>
      </c>
      <c r="C148" s="2">
        <v>15</v>
      </c>
      <c r="D148" t="s">
        <v>789</v>
      </c>
      <c r="E148" s="7" t="s">
        <v>5028</v>
      </c>
      <c r="F148" s="7" t="s">
        <v>3236</v>
      </c>
      <c r="G148" t="s">
        <v>1013</v>
      </c>
      <c r="H148" s="9"/>
      <c r="I148" s="12" t="str">
        <f t="shared" si="2"/>
        <v>{ name: "Gasas Shrine", type: "Shrine", region: 15, level: "Surface", x: -4152, y: 0098, z: 0040, details: "" },</v>
      </c>
      <c r="J148" s="12"/>
      <c r="K148" s="12"/>
    </row>
    <row r="149" spans="1:11" x14ac:dyDescent="0.2">
      <c r="A149" s="21" t="s">
        <v>4780</v>
      </c>
      <c r="B149" s="2" t="s">
        <v>926</v>
      </c>
      <c r="C149" s="2">
        <v>15</v>
      </c>
      <c r="D149" t="s">
        <v>789</v>
      </c>
      <c r="E149" s="7" t="s">
        <v>4995</v>
      </c>
      <c r="F149" s="7" t="s">
        <v>4996</v>
      </c>
      <c r="G149" t="s">
        <v>938</v>
      </c>
      <c r="H149" s="9"/>
      <c r="I149" s="12" t="str">
        <f t="shared" si="2"/>
        <v>{ name: "Mayamats Shrine", type: "Shrine", region: 15, level: "Surface", x: -4637, y: -1514, z: 0452, details: "" },</v>
      </c>
      <c r="J149" s="12"/>
      <c r="K149" s="12"/>
    </row>
    <row r="150" spans="1:11" x14ac:dyDescent="0.2">
      <c r="A150" s="21" t="s">
        <v>4783</v>
      </c>
      <c r="B150" s="2" t="s">
        <v>926</v>
      </c>
      <c r="C150" s="2">
        <v>15</v>
      </c>
      <c r="D150" t="s">
        <v>789</v>
      </c>
      <c r="E150" s="7" t="s">
        <v>4994</v>
      </c>
      <c r="F150" s="7" t="s">
        <v>3467</v>
      </c>
      <c r="G150" t="s">
        <v>937</v>
      </c>
      <c r="H150" s="9"/>
      <c r="I150" s="12" t="str">
        <f t="shared" si="2"/>
        <v>{ name: "Otutsum Shrine", type: "Shrine", region: 15, level: "Surface", x: -4468, y: -0670, z: 0509, details: "" },</v>
      </c>
      <c r="J150" s="12"/>
      <c r="K150" s="12"/>
    </row>
    <row r="151" spans="1:11" x14ac:dyDescent="0.2">
      <c r="A151" s="21" t="s">
        <v>4786</v>
      </c>
      <c r="B151" s="2" t="s">
        <v>926</v>
      </c>
      <c r="C151" s="2">
        <v>15</v>
      </c>
      <c r="D151" t="s">
        <v>789</v>
      </c>
      <c r="E151" t="s">
        <v>960</v>
      </c>
      <c r="F151" s="7" t="s">
        <v>5062</v>
      </c>
      <c r="G151" t="s">
        <v>961</v>
      </c>
      <c r="H151" s="9"/>
      <c r="I151" s="12" t="str">
        <f t="shared" si="2"/>
        <v>{ name: "Rotsumamu Shrine", type: "Shrine", region: 15, level: "Surface", x: -3407, y: -1362, z: 0035, details: "" },</v>
      </c>
      <c r="J151" s="12"/>
      <c r="K151" s="12"/>
    </row>
    <row r="152" spans="1:11" x14ac:dyDescent="0.2">
      <c r="A152" s="21" t="s">
        <v>4788</v>
      </c>
      <c r="B152" s="2" t="s">
        <v>926</v>
      </c>
      <c r="C152" s="2">
        <v>15</v>
      </c>
      <c r="D152" t="s">
        <v>789</v>
      </c>
      <c r="E152" s="7" t="s">
        <v>5001</v>
      </c>
      <c r="F152" s="7" t="s">
        <v>5002</v>
      </c>
      <c r="G152" t="s">
        <v>949</v>
      </c>
      <c r="H152" s="9"/>
      <c r="I152" s="12" t="str">
        <f t="shared" si="2"/>
        <v>{ name: "Suariwak Shrine", type: "Shrine", region: 15, level: "Surface", x: -2523, y: -1770, z: 0132, details: "" },</v>
      </c>
      <c r="J152" s="12"/>
      <c r="K152" s="12"/>
    </row>
    <row r="153" spans="1:11" x14ac:dyDescent="0.2">
      <c r="A153" s="21" t="s">
        <v>4794</v>
      </c>
      <c r="B153" s="2" t="s">
        <v>926</v>
      </c>
      <c r="C153" s="2">
        <v>15</v>
      </c>
      <c r="D153" t="s">
        <v>789</v>
      </c>
      <c r="E153" s="7" t="s">
        <v>940</v>
      </c>
      <c r="F153" s="7" t="s">
        <v>941</v>
      </c>
      <c r="G153" t="s">
        <v>942</v>
      </c>
      <c r="H153" s="9"/>
      <c r="I153" s="12" t="str">
        <f t="shared" si="2"/>
        <v>{ name: "Turakawak Shrine", type: "Shrine", region: 15, level: "Surface", x: -3496, y: -0197, z: 0066, details: "" },</v>
      </c>
      <c r="J153" s="12"/>
      <c r="K153" s="12"/>
    </row>
    <row r="154" spans="1:11" x14ac:dyDescent="0.2">
      <c r="A154" s="21"/>
    </row>
    <row r="155" spans="1:11" x14ac:dyDescent="0.2">
      <c r="A155" s="18" t="s">
        <v>5146</v>
      </c>
      <c r="B155" s="2" t="s">
        <v>5147</v>
      </c>
      <c r="C155" s="2" t="s">
        <v>5148</v>
      </c>
      <c r="D155" t="s">
        <v>5149</v>
      </c>
      <c r="E155" s="7" t="s">
        <v>5150</v>
      </c>
      <c r="F155" s="7" t="s">
        <v>5151</v>
      </c>
      <c r="G155" t="s">
        <v>5152</v>
      </c>
      <c r="H155" t="s">
        <v>5153</v>
      </c>
    </row>
  </sheetData>
  <autoFilter ref="A1:G153" xr:uid="{3781161B-E3B8-6A41-B5B5-EF88E67723E0}">
    <sortState xmlns:xlrd2="http://schemas.microsoft.com/office/spreadsheetml/2017/richdata2" ref="A2:G153">
      <sortCondition ref="C1:C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G149"/>
  <sheetViews>
    <sheetView workbookViewId="0">
      <selection activeCell="B2" sqref="B2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1219</v>
      </c>
      <c r="B2" t="str">
        <f>IF(A2="",A1,"")</f>
        <v/>
      </c>
      <c r="C2" t="str">
        <f>IF(A2="",RIGHT(A3,LEN(A3)-7),"")</f>
        <v/>
      </c>
      <c r="D2" t="str">
        <f>IF(A2="","Surface","")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1219</v>
      </c>
      <c r="C3" t="s">
        <v>782</v>
      </c>
      <c r="D3" t="s">
        <v>789</v>
      </c>
      <c r="E3" t="s">
        <v>1367</v>
      </c>
      <c r="F3" t="s">
        <v>1368</v>
      </c>
      <c r="G3" t="s">
        <v>1369</v>
      </c>
    </row>
    <row r="4" spans="1:7" x14ac:dyDescent="0.2">
      <c r="B4" t="s">
        <v>1221</v>
      </c>
      <c r="C4" t="s">
        <v>782</v>
      </c>
      <c r="D4" t="s">
        <v>789</v>
      </c>
      <c r="E4" t="s">
        <v>1370</v>
      </c>
      <c r="F4" t="s">
        <v>1371</v>
      </c>
      <c r="G4" t="s">
        <v>900</v>
      </c>
    </row>
    <row r="5" spans="1:7" x14ac:dyDescent="0.2">
      <c r="B5" t="s">
        <v>1222</v>
      </c>
      <c r="C5" t="s">
        <v>933</v>
      </c>
      <c r="D5" t="s">
        <v>789</v>
      </c>
      <c r="E5" s="7">
        <v>-2519</v>
      </c>
      <c r="F5" s="7">
        <v>-3672</v>
      </c>
      <c r="G5" t="s">
        <v>1721</v>
      </c>
    </row>
    <row r="6" spans="1:7" x14ac:dyDescent="0.2">
      <c r="B6" t="s">
        <v>1223</v>
      </c>
      <c r="C6" t="s">
        <v>939</v>
      </c>
      <c r="D6" t="s">
        <v>789</v>
      </c>
      <c r="E6" t="s">
        <v>1374</v>
      </c>
      <c r="F6" t="s">
        <v>1375</v>
      </c>
      <c r="G6" t="s">
        <v>1376</v>
      </c>
    </row>
    <row r="7" spans="1:7" x14ac:dyDescent="0.2">
      <c r="B7" t="s">
        <v>1224</v>
      </c>
      <c r="C7" t="s">
        <v>933</v>
      </c>
      <c r="D7" t="s">
        <v>789</v>
      </c>
      <c r="E7" t="s">
        <v>1377</v>
      </c>
      <c r="F7" t="s">
        <v>1378</v>
      </c>
      <c r="G7" t="s">
        <v>1379</v>
      </c>
    </row>
    <row r="8" spans="1:7" x14ac:dyDescent="0.2">
      <c r="B8" t="s">
        <v>1225</v>
      </c>
      <c r="C8" t="s">
        <v>809</v>
      </c>
      <c r="D8" t="s">
        <v>789</v>
      </c>
      <c r="E8" t="s">
        <v>1380</v>
      </c>
      <c r="F8" t="s">
        <v>1381</v>
      </c>
      <c r="G8" t="s">
        <v>1382</v>
      </c>
    </row>
    <row r="9" spans="1:7" x14ac:dyDescent="0.2">
      <c r="B9" t="s">
        <v>1226</v>
      </c>
      <c r="C9" t="s">
        <v>1018</v>
      </c>
      <c r="D9" t="s">
        <v>789</v>
      </c>
      <c r="E9" t="s">
        <v>1383</v>
      </c>
      <c r="F9" t="s">
        <v>1384</v>
      </c>
      <c r="G9" t="s">
        <v>1385</v>
      </c>
    </row>
    <row r="10" spans="1:7" x14ac:dyDescent="0.2">
      <c r="B10" t="s">
        <v>1227</v>
      </c>
      <c r="C10" t="s">
        <v>1059</v>
      </c>
      <c r="D10" t="s">
        <v>789</v>
      </c>
      <c r="E10" t="s">
        <v>1386</v>
      </c>
      <c r="F10" t="s">
        <v>1387</v>
      </c>
      <c r="G10" t="s">
        <v>932</v>
      </c>
    </row>
    <row r="11" spans="1:7" x14ac:dyDescent="0.2">
      <c r="B11" t="s">
        <v>1228</v>
      </c>
      <c r="C11" t="s">
        <v>1031</v>
      </c>
      <c r="D11" t="s">
        <v>789</v>
      </c>
      <c r="E11" t="s">
        <v>1388</v>
      </c>
      <c r="F11" t="s">
        <v>1073</v>
      </c>
      <c r="G11" t="s">
        <v>1389</v>
      </c>
    </row>
    <row r="12" spans="1:7" x14ac:dyDescent="0.2">
      <c r="B12" t="s">
        <v>1229</v>
      </c>
      <c r="C12" t="s">
        <v>1390</v>
      </c>
      <c r="D12" t="s">
        <v>789</v>
      </c>
      <c r="E12" t="s">
        <v>1391</v>
      </c>
      <c r="F12" t="s">
        <v>1392</v>
      </c>
      <c r="G12" t="s">
        <v>1393</v>
      </c>
    </row>
    <row r="13" spans="1:7" x14ac:dyDescent="0.2">
      <c r="B13" t="s">
        <v>1230</v>
      </c>
      <c r="C13" t="s">
        <v>939</v>
      </c>
      <c r="D13" t="s">
        <v>789</v>
      </c>
      <c r="E13" t="s">
        <v>951</v>
      </c>
      <c r="F13" t="s">
        <v>885</v>
      </c>
      <c r="G13" t="s">
        <v>1394</v>
      </c>
    </row>
    <row r="14" spans="1:7" x14ac:dyDescent="0.2">
      <c r="B14" t="s">
        <v>1231</v>
      </c>
      <c r="C14" t="s">
        <v>1063</v>
      </c>
      <c r="D14" t="s">
        <v>789</v>
      </c>
      <c r="E14" t="s">
        <v>1395</v>
      </c>
      <c r="F14" t="s">
        <v>1396</v>
      </c>
      <c r="G14" t="s">
        <v>832</v>
      </c>
    </row>
    <row r="15" spans="1:7" x14ac:dyDescent="0.2">
      <c r="B15" t="s">
        <v>1232</v>
      </c>
      <c r="C15" t="s">
        <v>1063</v>
      </c>
      <c r="D15" t="s">
        <v>789</v>
      </c>
      <c r="E15" t="s">
        <v>1397</v>
      </c>
      <c r="F15" t="s">
        <v>1398</v>
      </c>
      <c r="G15" t="s">
        <v>1399</v>
      </c>
    </row>
    <row r="16" spans="1:7" x14ac:dyDescent="0.2">
      <c r="B16" t="s">
        <v>1233</v>
      </c>
      <c r="C16" t="s">
        <v>1059</v>
      </c>
      <c r="D16" t="s">
        <v>789</v>
      </c>
      <c r="E16" t="s">
        <v>1400</v>
      </c>
      <c r="F16" t="s">
        <v>950</v>
      </c>
      <c r="G16" t="s">
        <v>1401</v>
      </c>
    </row>
    <row r="17" spans="2:7" x14ac:dyDescent="0.2">
      <c r="B17" t="s">
        <v>1234</v>
      </c>
      <c r="C17" t="s">
        <v>1018</v>
      </c>
      <c r="D17" t="s">
        <v>789</v>
      </c>
      <c r="E17" t="s">
        <v>1402</v>
      </c>
      <c r="F17" t="s">
        <v>1403</v>
      </c>
      <c r="G17" t="s">
        <v>1404</v>
      </c>
    </row>
    <row r="18" spans="2:7" x14ac:dyDescent="0.2">
      <c r="B18" t="s">
        <v>1235</v>
      </c>
      <c r="C18" t="s">
        <v>933</v>
      </c>
      <c r="D18" t="s">
        <v>789</v>
      </c>
      <c r="E18" t="s">
        <v>1405</v>
      </c>
      <c r="F18" t="s">
        <v>1406</v>
      </c>
      <c r="G18" t="s">
        <v>1407</v>
      </c>
    </row>
    <row r="19" spans="2:7" x14ac:dyDescent="0.2">
      <c r="B19" t="s">
        <v>1236</v>
      </c>
      <c r="C19" t="s">
        <v>877</v>
      </c>
      <c r="D19" t="s">
        <v>789</v>
      </c>
      <c r="E19" t="s">
        <v>1408</v>
      </c>
      <c r="F19" t="s">
        <v>1409</v>
      </c>
      <c r="G19" t="s">
        <v>1410</v>
      </c>
    </row>
    <row r="20" spans="2:7" x14ac:dyDescent="0.2">
      <c r="B20" t="s">
        <v>1237</v>
      </c>
      <c r="C20" t="s">
        <v>809</v>
      </c>
      <c r="D20" t="s">
        <v>789</v>
      </c>
      <c r="E20" t="s">
        <v>1411</v>
      </c>
      <c r="F20" t="s">
        <v>1192</v>
      </c>
      <c r="G20" t="s">
        <v>1382</v>
      </c>
    </row>
    <row r="21" spans="2:7" x14ac:dyDescent="0.2">
      <c r="B21" t="s">
        <v>1238</v>
      </c>
      <c r="C21" t="s">
        <v>782</v>
      </c>
      <c r="D21" t="s">
        <v>789</v>
      </c>
      <c r="E21" t="s">
        <v>1412</v>
      </c>
      <c r="F21" t="s">
        <v>1413</v>
      </c>
      <c r="G21" t="s">
        <v>1414</v>
      </c>
    </row>
    <row r="22" spans="2:7" x14ac:dyDescent="0.2">
      <c r="B22" t="s">
        <v>1239</v>
      </c>
      <c r="C22" t="s">
        <v>911</v>
      </c>
      <c r="D22" t="s">
        <v>789</v>
      </c>
      <c r="E22" t="s">
        <v>1415</v>
      </c>
      <c r="F22" t="s">
        <v>1416</v>
      </c>
      <c r="G22" t="s">
        <v>1407</v>
      </c>
    </row>
    <row r="23" spans="2:7" x14ac:dyDescent="0.2">
      <c r="B23" t="s">
        <v>1240</v>
      </c>
      <c r="C23" t="s">
        <v>1063</v>
      </c>
      <c r="D23" t="s">
        <v>789</v>
      </c>
      <c r="E23" t="s">
        <v>1417</v>
      </c>
      <c r="F23" t="s">
        <v>1418</v>
      </c>
      <c r="G23" t="s">
        <v>797</v>
      </c>
    </row>
    <row r="24" spans="2:7" x14ac:dyDescent="0.2">
      <c r="B24" t="s">
        <v>1241</v>
      </c>
      <c r="C24" t="s">
        <v>809</v>
      </c>
      <c r="D24" t="s">
        <v>789</v>
      </c>
      <c r="E24" t="s">
        <v>1419</v>
      </c>
      <c r="F24" t="s">
        <v>1420</v>
      </c>
      <c r="G24" t="s">
        <v>1013</v>
      </c>
    </row>
    <row r="25" spans="2:7" x14ac:dyDescent="0.2">
      <c r="B25" t="s">
        <v>1242</v>
      </c>
      <c r="C25" t="s">
        <v>809</v>
      </c>
      <c r="D25" t="s">
        <v>789</v>
      </c>
      <c r="E25" t="s">
        <v>1421</v>
      </c>
      <c r="F25" t="s">
        <v>1422</v>
      </c>
      <c r="G25" t="s">
        <v>1087</v>
      </c>
    </row>
    <row r="26" spans="2:7" x14ac:dyDescent="0.2">
      <c r="B26" t="s">
        <v>1243</v>
      </c>
      <c r="C26" t="s">
        <v>1063</v>
      </c>
      <c r="D26" t="s">
        <v>789</v>
      </c>
      <c r="E26" t="s">
        <v>1423</v>
      </c>
      <c r="F26" t="s">
        <v>1424</v>
      </c>
      <c r="G26" t="s">
        <v>1425</v>
      </c>
    </row>
    <row r="27" spans="2:7" x14ac:dyDescent="0.2">
      <c r="B27" t="s">
        <v>1244</v>
      </c>
      <c r="C27" t="s">
        <v>889</v>
      </c>
      <c r="D27" t="s">
        <v>789</v>
      </c>
      <c r="E27" t="s">
        <v>1426</v>
      </c>
      <c r="F27" t="s">
        <v>1427</v>
      </c>
      <c r="G27" t="s">
        <v>1428</v>
      </c>
    </row>
    <row r="28" spans="2:7" x14ac:dyDescent="0.2">
      <c r="B28" t="s">
        <v>1245</v>
      </c>
      <c r="C28" t="s">
        <v>877</v>
      </c>
      <c r="D28" t="s">
        <v>789</v>
      </c>
      <c r="E28" t="s">
        <v>1429</v>
      </c>
      <c r="F28" t="s">
        <v>1430</v>
      </c>
      <c r="G28" t="s">
        <v>1431</v>
      </c>
    </row>
    <row r="29" spans="2:7" x14ac:dyDescent="0.2">
      <c r="B29" t="s">
        <v>1246</v>
      </c>
      <c r="C29" t="s">
        <v>889</v>
      </c>
      <c r="D29" t="s">
        <v>789</v>
      </c>
      <c r="E29" t="s">
        <v>1432</v>
      </c>
      <c r="F29" t="s">
        <v>1433</v>
      </c>
      <c r="G29" t="s">
        <v>1434</v>
      </c>
    </row>
    <row r="30" spans="2:7" x14ac:dyDescent="0.2">
      <c r="B30" t="s">
        <v>1247</v>
      </c>
      <c r="C30" t="s">
        <v>1059</v>
      </c>
      <c r="D30" t="s">
        <v>789</v>
      </c>
      <c r="E30" t="s">
        <v>1435</v>
      </c>
      <c r="F30" t="s">
        <v>1436</v>
      </c>
      <c r="G30" t="s">
        <v>1437</v>
      </c>
    </row>
    <row r="31" spans="2:7" x14ac:dyDescent="0.2">
      <c r="B31" t="s">
        <v>1248</v>
      </c>
      <c r="C31" t="s">
        <v>879</v>
      </c>
      <c r="D31" t="s">
        <v>789</v>
      </c>
      <c r="E31" t="s">
        <v>1438</v>
      </c>
      <c r="F31" t="s">
        <v>1439</v>
      </c>
      <c r="G31" t="s">
        <v>1440</v>
      </c>
    </row>
    <row r="32" spans="2:7" x14ac:dyDescent="0.2">
      <c r="B32" t="s">
        <v>1249</v>
      </c>
      <c r="C32" t="s">
        <v>1063</v>
      </c>
      <c r="D32" t="s">
        <v>789</v>
      </c>
      <c r="E32" t="s">
        <v>859</v>
      </c>
      <c r="F32" t="s">
        <v>1441</v>
      </c>
      <c r="G32" t="s">
        <v>1075</v>
      </c>
    </row>
    <row r="33" spans="2:7" x14ac:dyDescent="0.2">
      <c r="B33" t="s">
        <v>1250</v>
      </c>
      <c r="C33" t="s">
        <v>1063</v>
      </c>
      <c r="D33" t="s">
        <v>789</v>
      </c>
      <c r="E33" t="s">
        <v>1442</v>
      </c>
      <c r="F33" t="s">
        <v>1443</v>
      </c>
      <c r="G33" t="s">
        <v>1017</v>
      </c>
    </row>
    <row r="34" spans="2:7" x14ac:dyDescent="0.2">
      <c r="B34" t="s">
        <v>1251</v>
      </c>
      <c r="C34" t="s">
        <v>971</v>
      </c>
      <c r="D34" t="s">
        <v>789</v>
      </c>
      <c r="E34" t="s">
        <v>1444</v>
      </c>
      <c r="F34" t="s">
        <v>1445</v>
      </c>
      <c r="G34" t="s">
        <v>1446</v>
      </c>
    </row>
    <row r="35" spans="2:7" x14ac:dyDescent="0.2">
      <c r="B35" t="s">
        <v>1252</v>
      </c>
      <c r="C35" t="s">
        <v>933</v>
      </c>
      <c r="D35" t="s">
        <v>789</v>
      </c>
      <c r="E35" t="s">
        <v>1447</v>
      </c>
      <c r="F35" t="s">
        <v>1448</v>
      </c>
      <c r="G35" t="s">
        <v>1449</v>
      </c>
    </row>
    <row r="36" spans="2:7" x14ac:dyDescent="0.2">
      <c r="B36" t="s">
        <v>1253</v>
      </c>
      <c r="C36" t="s">
        <v>877</v>
      </c>
      <c r="D36" t="s">
        <v>789</v>
      </c>
      <c r="E36" t="s">
        <v>1450</v>
      </c>
      <c r="F36" t="s">
        <v>1451</v>
      </c>
      <c r="G36" t="s">
        <v>1452</v>
      </c>
    </row>
    <row r="37" spans="2:7" x14ac:dyDescent="0.2">
      <c r="B37" t="s">
        <v>1254</v>
      </c>
      <c r="C37" t="s">
        <v>1077</v>
      </c>
      <c r="D37" t="s">
        <v>789</v>
      </c>
      <c r="E37" t="s">
        <v>1453</v>
      </c>
      <c r="F37" t="s">
        <v>1454</v>
      </c>
      <c r="G37" t="s">
        <v>1401</v>
      </c>
    </row>
    <row r="38" spans="2:7" x14ac:dyDescent="0.2">
      <c r="B38" t="s">
        <v>1255</v>
      </c>
      <c r="C38" t="s">
        <v>1063</v>
      </c>
      <c r="D38" t="s">
        <v>789</v>
      </c>
      <c r="E38" t="s">
        <v>1455</v>
      </c>
      <c r="F38" t="s">
        <v>1456</v>
      </c>
      <c r="G38" t="s">
        <v>1457</v>
      </c>
    </row>
    <row r="39" spans="2:7" x14ac:dyDescent="0.2">
      <c r="B39" t="s">
        <v>1256</v>
      </c>
      <c r="C39" t="s">
        <v>911</v>
      </c>
      <c r="D39" t="s">
        <v>789</v>
      </c>
      <c r="E39" t="s">
        <v>1458</v>
      </c>
      <c r="F39" t="s">
        <v>1459</v>
      </c>
      <c r="G39" t="s">
        <v>1161</v>
      </c>
    </row>
    <row r="40" spans="2:7" x14ac:dyDescent="0.2">
      <c r="B40" t="s">
        <v>1257</v>
      </c>
      <c r="C40" t="s">
        <v>877</v>
      </c>
      <c r="D40" t="s">
        <v>789</v>
      </c>
      <c r="E40" t="s">
        <v>1053</v>
      </c>
      <c r="F40" t="s">
        <v>1460</v>
      </c>
      <c r="G40" t="s">
        <v>1075</v>
      </c>
    </row>
    <row r="41" spans="2:7" x14ac:dyDescent="0.2">
      <c r="B41" t="s">
        <v>1258</v>
      </c>
      <c r="C41" t="s">
        <v>1063</v>
      </c>
      <c r="D41" t="s">
        <v>789</v>
      </c>
      <c r="E41" t="s">
        <v>1461</v>
      </c>
      <c r="F41" t="s">
        <v>1462</v>
      </c>
      <c r="G41" t="s">
        <v>822</v>
      </c>
    </row>
    <row r="42" spans="2:7" x14ac:dyDescent="0.2">
      <c r="B42" t="s">
        <v>1259</v>
      </c>
      <c r="C42" t="s">
        <v>926</v>
      </c>
      <c r="D42" t="s">
        <v>789</v>
      </c>
      <c r="E42" t="s">
        <v>1463</v>
      </c>
      <c r="F42" t="s">
        <v>1464</v>
      </c>
      <c r="G42" t="s">
        <v>1040</v>
      </c>
    </row>
    <row r="43" spans="2:7" x14ac:dyDescent="0.2">
      <c r="B43" t="s">
        <v>1260</v>
      </c>
      <c r="C43" t="s">
        <v>933</v>
      </c>
      <c r="D43" t="s">
        <v>789</v>
      </c>
      <c r="E43" t="s">
        <v>1465</v>
      </c>
      <c r="F43" t="s">
        <v>1466</v>
      </c>
      <c r="G43" t="s">
        <v>1385</v>
      </c>
    </row>
    <row r="44" spans="2:7" x14ac:dyDescent="0.2">
      <c r="B44" t="s">
        <v>1261</v>
      </c>
      <c r="C44" t="s">
        <v>933</v>
      </c>
      <c r="D44" t="s">
        <v>789</v>
      </c>
      <c r="E44" t="s">
        <v>1467</v>
      </c>
      <c r="F44" t="s">
        <v>1468</v>
      </c>
      <c r="G44" t="s">
        <v>1469</v>
      </c>
    </row>
    <row r="45" spans="2:7" x14ac:dyDescent="0.2">
      <c r="B45" t="s">
        <v>1262</v>
      </c>
      <c r="C45" t="s">
        <v>939</v>
      </c>
      <c r="D45" t="s">
        <v>789</v>
      </c>
      <c r="E45" t="s">
        <v>1470</v>
      </c>
      <c r="F45" t="s">
        <v>929</v>
      </c>
      <c r="G45" t="s">
        <v>919</v>
      </c>
    </row>
    <row r="46" spans="2:7" x14ac:dyDescent="0.2">
      <c r="B46" t="s">
        <v>1263</v>
      </c>
      <c r="C46" t="s">
        <v>877</v>
      </c>
      <c r="D46" t="s">
        <v>789</v>
      </c>
      <c r="E46" t="s">
        <v>1471</v>
      </c>
      <c r="F46" t="s">
        <v>1472</v>
      </c>
      <c r="G46" t="s">
        <v>1473</v>
      </c>
    </row>
    <row r="47" spans="2:7" x14ac:dyDescent="0.2">
      <c r="B47" t="s">
        <v>1264</v>
      </c>
      <c r="C47" t="s">
        <v>877</v>
      </c>
      <c r="D47" t="s">
        <v>789</v>
      </c>
      <c r="E47" t="s">
        <v>1474</v>
      </c>
      <c r="F47" t="s">
        <v>1475</v>
      </c>
      <c r="G47" t="s">
        <v>1476</v>
      </c>
    </row>
    <row r="48" spans="2:7" x14ac:dyDescent="0.2">
      <c r="B48" t="s">
        <v>1265</v>
      </c>
      <c r="C48" t="s">
        <v>809</v>
      </c>
      <c r="D48" t="s">
        <v>789</v>
      </c>
      <c r="E48" t="s">
        <v>1477</v>
      </c>
      <c r="F48" t="s">
        <v>1478</v>
      </c>
      <c r="G48" t="s">
        <v>845</v>
      </c>
    </row>
    <row r="49" spans="2:7" x14ac:dyDescent="0.2">
      <c r="B49" t="s">
        <v>1266</v>
      </c>
      <c r="C49" t="s">
        <v>971</v>
      </c>
      <c r="D49" t="s">
        <v>789</v>
      </c>
      <c r="E49" t="s">
        <v>1479</v>
      </c>
      <c r="F49" t="s">
        <v>1480</v>
      </c>
      <c r="G49" t="s">
        <v>1481</v>
      </c>
    </row>
    <row r="50" spans="2:7" x14ac:dyDescent="0.2">
      <c r="B50" t="s">
        <v>1267</v>
      </c>
      <c r="C50" t="s">
        <v>939</v>
      </c>
      <c r="D50" t="s">
        <v>789</v>
      </c>
      <c r="E50" t="s">
        <v>1482</v>
      </c>
      <c r="F50" t="s">
        <v>1483</v>
      </c>
      <c r="G50" t="s">
        <v>1004</v>
      </c>
    </row>
    <row r="51" spans="2:7" x14ac:dyDescent="0.2">
      <c r="B51" t="s">
        <v>1268</v>
      </c>
      <c r="C51" t="s">
        <v>971</v>
      </c>
      <c r="D51" t="s">
        <v>789</v>
      </c>
      <c r="E51" t="s">
        <v>1484</v>
      </c>
      <c r="F51" t="s">
        <v>1485</v>
      </c>
      <c r="G51" t="s">
        <v>1486</v>
      </c>
    </row>
    <row r="52" spans="2:7" x14ac:dyDescent="0.2">
      <c r="B52" t="s">
        <v>1269</v>
      </c>
      <c r="C52" t="s">
        <v>971</v>
      </c>
      <c r="D52" t="s">
        <v>789</v>
      </c>
      <c r="E52" t="s">
        <v>1487</v>
      </c>
      <c r="F52" t="s">
        <v>1488</v>
      </c>
      <c r="G52" t="s">
        <v>1489</v>
      </c>
    </row>
    <row r="53" spans="2:7" x14ac:dyDescent="0.2">
      <c r="B53" t="s">
        <v>1270</v>
      </c>
      <c r="C53" t="s">
        <v>1025</v>
      </c>
      <c r="D53" t="s">
        <v>789</v>
      </c>
      <c r="E53" t="s">
        <v>1490</v>
      </c>
      <c r="F53" t="s">
        <v>1491</v>
      </c>
      <c r="G53" t="s">
        <v>1492</v>
      </c>
    </row>
    <row r="54" spans="2:7" x14ac:dyDescent="0.2">
      <c r="B54" t="s">
        <v>1271</v>
      </c>
      <c r="C54" t="s">
        <v>971</v>
      </c>
      <c r="D54" t="s">
        <v>789</v>
      </c>
      <c r="E54" t="s">
        <v>1493</v>
      </c>
      <c r="F54" t="s">
        <v>1494</v>
      </c>
      <c r="G54" t="s">
        <v>1495</v>
      </c>
    </row>
    <row r="55" spans="2:7" x14ac:dyDescent="0.2">
      <c r="B55" t="s">
        <v>1272</v>
      </c>
      <c r="C55" t="s">
        <v>877</v>
      </c>
      <c r="D55" t="s">
        <v>789</v>
      </c>
      <c r="E55" t="s">
        <v>1496</v>
      </c>
      <c r="F55" t="s">
        <v>1497</v>
      </c>
      <c r="G55" t="s">
        <v>1498</v>
      </c>
    </row>
    <row r="56" spans="2:7" x14ac:dyDescent="0.2">
      <c r="B56" t="s">
        <v>1273</v>
      </c>
      <c r="C56" t="s">
        <v>1063</v>
      </c>
      <c r="D56" t="s">
        <v>789</v>
      </c>
      <c r="E56" t="s">
        <v>1499</v>
      </c>
      <c r="F56" t="s">
        <v>1500</v>
      </c>
      <c r="G56" t="s">
        <v>1075</v>
      </c>
    </row>
    <row r="57" spans="2:7" x14ac:dyDescent="0.2">
      <c r="B57" t="s">
        <v>1274</v>
      </c>
      <c r="C57" t="s">
        <v>911</v>
      </c>
      <c r="D57" t="s">
        <v>789</v>
      </c>
      <c r="E57" t="s">
        <v>1041</v>
      </c>
      <c r="F57" t="s">
        <v>1501</v>
      </c>
      <c r="G57" t="s">
        <v>1502</v>
      </c>
    </row>
    <row r="58" spans="2:7" x14ac:dyDescent="0.2">
      <c r="B58" t="s">
        <v>1275</v>
      </c>
      <c r="C58" t="s">
        <v>939</v>
      </c>
      <c r="D58" t="s">
        <v>789</v>
      </c>
      <c r="E58" t="s">
        <v>1503</v>
      </c>
      <c r="F58" t="s">
        <v>1504</v>
      </c>
      <c r="G58" t="s">
        <v>1505</v>
      </c>
    </row>
    <row r="59" spans="2:7" x14ac:dyDescent="0.2">
      <c r="B59" t="s">
        <v>1276</v>
      </c>
      <c r="C59" t="s">
        <v>926</v>
      </c>
      <c r="D59" t="s">
        <v>789</v>
      </c>
      <c r="E59" t="s">
        <v>1506</v>
      </c>
      <c r="F59" t="s">
        <v>1507</v>
      </c>
      <c r="G59" t="s">
        <v>959</v>
      </c>
    </row>
    <row r="60" spans="2:7" x14ac:dyDescent="0.2">
      <c r="B60" t="s">
        <v>1277</v>
      </c>
      <c r="C60" t="s">
        <v>877</v>
      </c>
      <c r="D60" t="s">
        <v>789</v>
      </c>
      <c r="E60" t="s">
        <v>1508</v>
      </c>
      <c r="F60" t="s">
        <v>1509</v>
      </c>
      <c r="G60" t="s">
        <v>1510</v>
      </c>
    </row>
    <row r="61" spans="2:7" x14ac:dyDescent="0.2">
      <c r="B61" t="s">
        <v>1278</v>
      </c>
      <c r="C61" t="s">
        <v>877</v>
      </c>
      <c r="D61" t="s">
        <v>789</v>
      </c>
      <c r="E61" t="s">
        <v>1511</v>
      </c>
      <c r="F61" t="s">
        <v>1512</v>
      </c>
      <c r="G61" t="s">
        <v>1513</v>
      </c>
    </row>
    <row r="62" spans="2:7" x14ac:dyDescent="0.2">
      <c r="B62" t="s">
        <v>1279</v>
      </c>
      <c r="C62" t="s">
        <v>920</v>
      </c>
      <c r="D62" t="s">
        <v>789</v>
      </c>
      <c r="E62" t="s">
        <v>935</v>
      </c>
      <c r="F62" t="s">
        <v>1514</v>
      </c>
      <c r="G62" t="s">
        <v>1515</v>
      </c>
    </row>
    <row r="63" spans="2:7" x14ac:dyDescent="0.2">
      <c r="B63" t="s">
        <v>1280</v>
      </c>
      <c r="C63" t="s">
        <v>877</v>
      </c>
      <c r="D63" t="s">
        <v>789</v>
      </c>
      <c r="E63" t="s">
        <v>1516</v>
      </c>
      <c r="F63" t="s">
        <v>1517</v>
      </c>
      <c r="G63" t="s">
        <v>1075</v>
      </c>
    </row>
    <row r="64" spans="2:7" x14ac:dyDescent="0.2">
      <c r="B64" t="s">
        <v>1281</v>
      </c>
      <c r="C64" t="s">
        <v>971</v>
      </c>
      <c r="D64" t="s">
        <v>789</v>
      </c>
      <c r="E64" t="s">
        <v>1518</v>
      </c>
      <c r="F64" t="s">
        <v>1519</v>
      </c>
      <c r="G64" t="s">
        <v>1407</v>
      </c>
    </row>
    <row r="65" spans="2:7" x14ac:dyDescent="0.2">
      <c r="B65" t="s">
        <v>1282</v>
      </c>
      <c r="C65" t="s">
        <v>1059</v>
      </c>
      <c r="D65" t="s">
        <v>789</v>
      </c>
      <c r="E65" t="s">
        <v>1520</v>
      </c>
      <c r="F65" t="s">
        <v>1521</v>
      </c>
      <c r="G65" t="s">
        <v>1522</v>
      </c>
    </row>
    <row r="66" spans="2:7" x14ac:dyDescent="0.2">
      <c r="B66" t="s">
        <v>1283</v>
      </c>
      <c r="C66" t="s">
        <v>1059</v>
      </c>
      <c r="D66" t="s">
        <v>789</v>
      </c>
      <c r="E66" t="s">
        <v>1523</v>
      </c>
      <c r="F66" t="s">
        <v>1524</v>
      </c>
      <c r="G66" t="s">
        <v>1001</v>
      </c>
    </row>
    <row r="67" spans="2:7" x14ac:dyDescent="0.2">
      <c r="B67" t="s">
        <v>1284</v>
      </c>
      <c r="C67" t="s">
        <v>805</v>
      </c>
      <c r="D67" t="s">
        <v>789</v>
      </c>
      <c r="E67" t="s">
        <v>1525</v>
      </c>
      <c r="F67" t="s">
        <v>1526</v>
      </c>
      <c r="G67" t="s">
        <v>862</v>
      </c>
    </row>
    <row r="68" spans="2:7" x14ac:dyDescent="0.2">
      <c r="B68" t="s">
        <v>1285</v>
      </c>
      <c r="C68" t="s">
        <v>877</v>
      </c>
      <c r="D68" t="s">
        <v>789</v>
      </c>
      <c r="E68" t="s">
        <v>1527</v>
      </c>
      <c r="F68" t="s">
        <v>1528</v>
      </c>
      <c r="G68" t="s">
        <v>1529</v>
      </c>
    </row>
    <row r="69" spans="2:7" x14ac:dyDescent="0.2">
      <c r="B69" t="s">
        <v>1286</v>
      </c>
      <c r="C69" t="s">
        <v>926</v>
      </c>
      <c r="D69" t="s">
        <v>789</v>
      </c>
      <c r="E69" t="s">
        <v>1530</v>
      </c>
      <c r="F69" t="s">
        <v>1531</v>
      </c>
      <c r="G69" t="s">
        <v>1532</v>
      </c>
    </row>
    <row r="70" spans="2:7" x14ac:dyDescent="0.2">
      <c r="B70" t="s">
        <v>1287</v>
      </c>
      <c r="C70" t="s">
        <v>1018</v>
      </c>
      <c r="D70" t="s">
        <v>789</v>
      </c>
      <c r="E70" t="s">
        <v>1533</v>
      </c>
      <c r="F70" t="s">
        <v>1379</v>
      </c>
      <c r="G70" t="s">
        <v>1054</v>
      </c>
    </row>
    <row r="71" spans="2:7" x14ac:dyDescent="0.2">
      <c r="B71" t="s">
        <v>1288</v>
      </c>
      <c r="C71" t="s">
        <v>1059</v>
      </c>
      <c r="D71" t="s">
        <v>789</v>
      </c>
      <c r="E71" t="s">
        <v>1534</v>
      </c>
      <c r="F71" t="s">
        <v>1535</v>
      </c>
      <c r="G71" t="s">
        <v>1385</v>
      </c>
    </row>
    <row r="72" spans="2:7" x14ac:dyDescent="0.2">
      <c r="B72" t="s">
        <v>1289</v>
      </c>
      <c r="C72" t="s">
        <v>926</v>
      </c>
      <c r="D72" t="s">
        <v>789</v>
      </c>
      <c r="E72" t="s">
        <v>1536</v>
      </c>
      <c r="F72" t="s">
        <v>1537</v>
      </c>
      <c r="G72" t="s">
        <v>792</v>
      </c>
    </row>
    <row r="73" spans="2:7" x14ac:dyDescent="0.2">
      <c r="B73" t="s">
        <v>1290</v>
      </c>
      <c r="C73" t="s">
        <v>1390</v>
      </c>
      <c r="D73" t="s">
        <v>789</v>
      </c>
      <c r="E73" t="s">
        <v>1538</v>
      </c>
      <c r="F73" t="s">
        <v>1539</v>
      </c>
      <c r="G73" t="s">
        <v>1540</v>
      </c>
    </row>
    <row r="74" spans="2:7" x14ac:dyDescent="0.2">
      <c r="B74" t="s">
        <v>1291</v>
      </c>
      <c r="C74" t="s">
        <v>971</v>
      </c>
      <c r="D74" t="s">
        <v>789</v>
      </c>
      <c r="E74" t="s">
        <v>1541</v>
      </c>
      <c r="F74" t="s">
        <v>1519</v>
      </c>
      <c r="G74" t="s">
        <v>1542</v>
      </c>
    </row>
    <row r="75" spans="2:7" x14ac:dyDescent="0.2">
      <c r="B75" t="s">
        <v>1292</v>
      </c>
      <c r="C75" t="s">
        <v>1059</v>
      </c>
      <c r="D75" t="s">
        <v>789</v>
      </c>
      <c r="E75" t="s">
        <v>1543</v>
      </c>
      <c r="F75" t="s">
        <v>1544</v>
      </c>
      <c r="G75" t="s">
        <v>1545</v>
      </c>
    </row>
    <row r="76" spans="2:7" x14ac:dyDescent="0.2">
      <c r="B76" t="s">
        <v>1293</v>
      </c>
      <c r="C76" t="s">
        <v>1059</v>
      </c>
      <c r="D76" t="s">
        <v>789</v>
      </c>
      <c r="E76" t="s">
        <v>1546</v>
      </c>
      <c r="F76" t="s">
        <v>1463</v>
      </c>
      <c r="G76" t="s">
        <v>1165</v>
      </c>
    </row>
    <row r="77" spans="2:7" x14ac:dyDescent="0.2">
      <c r="B77" t="s">
        <v>1294</v>
      </c>
      <c r="C77" t="s">
        <v>926</v>
      </c>
      <c r="D77" t="s">
        <v>789</v>
      </c>
      <c r="E77" t="s">
        <v>1547</v>
      </c>
      <c r="F77" t="s">
        <v>1080</v>
      </c>
      <c r="G77" t="s">
        <v>1548</v>
      </c>
    </row>
    <row r="78" spans="2:7" x14ac:dyDescent="0.2">
      <c r="B78" t="s">
        <v>1295</v>
      </c>
      <c r="C78" t="s">
        <v>926</v>
      </c>
      <c r="D78" t="s">
        <v>789</v>
      </c>
      <c r="E78" t="s">
        <v>1549</v>
      </c>
      <c r="F78" t="s">
        <v>1550</v>
      </c>
      <c r="G78" t="s">
        <v>1551</v>
      </c>
    </row>
    <row r="79" spans="2:7" x14ac:dyDescent="0.2">
      <c r="B79" t="s">
        <v>1296</v>
      </c>
      <c r="C79" t="s">
        <v>926</v>
      </c>
      <c r="D79" t="s">
        <v>789</v>
      </c>
      <c r="E79" t="s">
        <v>1552</v>
      </c>
      <c r="F79" t="s">
        <v>1553</v>
      </c>
      <c r="G79" t="s">
        <v>1554</v>
      </c>
    </row>
    <row r="80" spans="2:7" x14ac:dyDescent="0.2">
      <c r="B80" t="s">
        <v>1297</v>
      </c>
      <c r="C80" t="s">
        <v>786</v>
      </c>
      <c r="D80" t="s">
        <v>789</v>
      </c>
      <c r="E80" t="s">
        <v>1555</v>
      </c>
      <c r="F80" t="s">
        <v>1556</v>
      </c>
      <c r="G80" t="s">
        <v>1379</v>
      </c>
    </row>
    <row r="81" spans="2:7" x14ac:dyDescent="0.2">
      <c r="B81" t="s">
        <v>1298</v>
      </c>
      <c r="C81" t="s">
        <v>971</v>
      </c>
      <c r="D81" t="s">
        <v>789</v>
      </c>
      <c r="E81" t="s">
        <v>1557</v>
      </c>
      <c r="F81" t="s">
        <v>1134</v>
      </c>
      <c r="G81" t="s">
        <v>1558</v>
      </c>
    </row>
    <row r="82" spans="2:7" x14ac:dyDescent="0.2">
      <c r="B82" t="s">
        <v>1299</v>
      </c>
      <c r="C82" t="s">
        <v>809</v>
      </c>
      <c r="D82" t="s">
        <v>789</v>
      </c>
      <c r="E82" t="s">
        <v>1559</v>
      </c>
      <c r="F82" t="s">
        <v>1560</v>
      </c>
      <c r="G82" t="s">
        <v>1561</v>
      </c>
    </row>
    <row r="83" spans="2:7" x14ac:dyDescent="0.2">
      <c r="B83" t="s">
        <v>1300</v>
      </c>
      <c r="C83" t="s">
        <v>1063</v>
      </c>
      <c r="D83" t="s">
        <v>789</v>
      </c>
      <c r="E83" t="s">
        <v>1562</v>
      </c>
      <c r="F83" t="s">
        <v>1563</v>
      </c>
      <c r="G83" t="s">
        <v>832</v>
      </c>
    </row>
    <row r="84" spans="2:7" x14ac:dyDescent="0.2">
      <c r="B84" t="s">
        <v>1301</v>
      </c>
      <c r="C84" t="s">
        <v>933</v>
      </c>
      <c r="D84" t="s">
        <v>789</v>
      </c>
      <c r="E84" t="s">
        <v>995</v>
      </c>
      <c r="F84" t="s">
        <v>1564</v>
      </c>
      <c r="G84" t="s">
        <v>1565</v>
      </c>
    </row>
    <row r="85" spans="2:7" x14ac:dyDescent="0.2">
      <c r="B85" t="s">
        <v>1302</v>
      </c>
      <c r="C85" t="s">
        <v>1018</v>
      </c>
      <c r="D85" t="s">
        <v>789</v>
      </c>
      <c r="E85" t="s">
        <v>1566</v>
      </c>
      <c r="F85" t="s">
        <v>1180</v>
      </c>
      <c r="G85" t="s">
        <v>851</v>
      </c>
    </row>
    <row r="86" spans="2:7" x14ac:dyDescent="0.2">
      <c r="B86" t="s">
        <v>1303</v>
      </c>
      <c r="C86" t="s">
        <v>911</v>
      </c>
      <c r="D86" t="s">
        <v>789</v>
      </c>
      <c r="E86" t="s">
        <v>1567</v>
      </c>
      <c r="F86" t="s">
        <v>1568</v>
      </c>
      <c r="G86" t="s">
        <v>822</v>
      </c>
    </row>
    <row r="87" spans="2:7" x14ac:dyDescent="0.2">
      <c r="B87" t="s">
        <v>1304</v>
      </c>
      <c r="C87" t="s">
        <v>809</v>
      </c>
      <c r="D87" t="s">
        <v>789</v>
      </c>
      <c r="E87" t="s">
        <v>1569</v>
      </c>
      <c r="F87" t="s">
        <v>1570</v>
      </c>
      <c r="G87" t="s">
        <v>1571</v>
      </c>
    </row>
    <row r="88" spans="2:7" x14ac:dyDescent="0.2">
      <c r="B88" t="s">
        <v>1305</v>
      </c>
      <c r="C88" t="s">
        <v>877</v>
      </c>
      <c r="D88" t="s">
        <v>789</v>
      </c>
      <c r="E88" t="s">
        <v>1572</v>
      </c>
      <c r="F88" t="s">
        <v>1573</v>
      </c>
      <c r="G88" t="s">
        <v>1037</v>
      </c>
    </row>
    <row r="89" spans="2:7" x14ac:dyDescent="0.2">
      <c r="B89" t="s">
        <v>1306</v>
      </c>
      <c r="C89" t="s">
        <v>971</v>
      </c>
      <c r="D89" t="s">
        <v>789</v>
      </c>
      <c r="E89" t="s">
        <v>1574</v>
      </c>
      <c r="F89" t="s">
        <v>1575</v>
      </c>
      <c r="G89" t="s">
        <v>1576</v>
      </c>
    </row>
    <row r="90" spans="2:7" x14ac:dyDescent="0.2">
      <c r="B90" t="s">
        <v>1307</v>
      </c>
      <c r="C90" t="s">
        <v>1390</v>
      </c>
      <c r="D90" t="s">
        <v>789</v>
      </c>
      <c r="E90" t="s">
        <v>1577</v>
      </c>
      <c r="F90" t="s">
        <v>1578</v>
      </c>
      <c r="G90" t="s">
        <v>1579</v>
      </c>
    </row>
    <row r="91" spans="2:7" x14ac:dyDescent="0.2">
      <c r="B91" t="s">
        <v>1308</v>
      </c>
      <c r="C91" t="s">
        <v>1018</v>
      </c>
      <c r="D91" t="s">
        <v>789</v>
      </c>
      <c r="E91" t="s">
        <v>1580</v>
      </c>
      <c r="F91" t="s">
        <v>1581</v>
      </c>
      <c r="G91" t="s">
        <v>1582</v>
      </c>
    </row>
    <row r="92" spans="2:7" x14ac:dyDescent="0.2">
      <c r="B92" t="s">
        <v>1309</v>
      </c>
      <c r="C92" t="s">
        <v>1390</v>
      </c>
      <c r="D92" t="s">
        <v>789</v>
      </c>
      <c r="E92" t="s">
        <v>1583</v>
      </c>
      <c r="F92" t="s">
        <v>1584</v>
      </c>
      <c r="G92" t="s">
        <v>1585</v>
      </c>
    </row>
    <row r="93" spans="2:7" x14ac:dyDescent="0.2">
      <c r="B93" t="s">
        <v>1310</v>
      </c>
      <c r="C93" t="s">
        <v>1063</v>
      </c>
      <c r="D93" t="s">
        <v>789</v>
      </c>
      <c r="E93" t="s">
        <v>1586</v>
      </c>
      <c r="F93" t="s">
        <v>1587</v>
      </c>
      <c r="G93" t="s">
        <v>943</v>
      </c>
    </row>
    <row r="94" spans="2:7" x14ac:dyDescent="0.2">
      <c r="B94" t="s">
        <v>1311</v>
      </c>
      <c r="C94" t="s">
        <v>1018</v>
      </c>
      <c r="D94" t="s">
        <v>789</v>
      </c>
      <c r="E94" t="s">
        <v>1588</v>
      </c>
      <c r="F94" t="s">
        <v>1586</v>
      </c>
      <c r="G94" t="s">
        <v>1589</v>
      </c>
    </row>
    <row r="95" spans="2:7" x14ac:dyDescent="0.2">
      <c r="B95" t="s">
        <v>1312</v>
      </c>
      <c r="C95" t="s">
        <v>911</v>
      </c>
      <c r="D95" t="s">
        <v>789</v>
      </c>
      <c r="E95" t="s">
        <v>1590</v>
      </c>
      <c r="F95" t="s">
        <v>1591</v>
      </c>
      <c r="G95" t="s">
        <v>1592</v>
      </c>
    </row>
    <row r="96" spans="2:7" x14ac:dyDescent="0.2">
      <c r="B96" t="s">
        <v>1313</v>
      </c>
      <c r="C96" t="s">
        <v>933</v>
      </c>
      <c r="D96" t="s">
        <v>789</v>
      </c>
      <c r="E96" t="s">
        <v>1593</v>
      </c>
      <c r="F96" t="s">
        <v>1594</v>
      </c>
      <c r="G96" t="s">
        <v>1180</v>
      </c>
    </row>
    <row r="97" spans="2:7" x14ac:dyDescent="0.2">
      <c r="B97" t="s">
        <v>1314</v>
      </c>
      <c r="C97" t="s">
        <v>1018</v>
      </c>
      <c r="D97" t="s">
        <v>789</v>
      </c>
      <c r="E97" t="s">
        <v>1595</v>
      </c>
      <c r="F97" t="s">
        <v>1596</v>
      </c>
      <c r="G97" t="s">
        <v>1597</v>
      </c>
    </row>
    <row r="98" spans="2:7" x14ac:dyDescent="0.2">
      <c r="B98" t="s">
        <v>1315</v>
      </c>
      <c r="C98" t="s">
        <v>809</v>
      </c>
      <c r="D98" t="s">
        <v>789</v>
      </c>
      <c r="E98" t="s">
        <v>1389</v>
      </c>
      <c r="F98" t="s">
        <v>1598</v>
      </c>
      <c r="G98" t="s">
        <v>835</v>
      </c>
    </row>
    <row r="99" spans="2:7" x14ac:dyDescent="0.2">
      <c r="B99" t="s">
        <v>1316</v>
      </c>
      <c r="C99" t="s">
        <v>1063</v>
      </c>
      <c r="D99" t="s">
        <v>789</v>
      </c>
      <c r="E99" t="s">
        <v>1599</v>
      </c>
      <c r="F99" t="s">
        <v>1600</v>
      </c>
      <c r="G99" t="s">
        <v>1601</v>
      </c>
    </row>
    <row r="100" spans="2:7" x14ac:dyDescent="0.2">
      <c r="B100" t="s">
        <v>1317</v>
      </c>
      <c r="C100" t="s">
        <v>813</v>
      </c>
      <c r="D100" t="s">
        <v>789</v>
      </c>
      <c r="E100" t="s">
        <v>1602</v>
      </c>
      <c r="F100" t="s">
        <v>1603</v>
      </c>
      <c r="G100" t="s">
        <v>873</v>
      </c>
    </row>
    <row r="101" spans="2:7" x14ac:dyDescent="0.2">
      <c r="B101" t="s">
        <v>1318</v>
      </c>
      <c r="C101" t="s">
        <v>809</v>
      </c>
      <c r="D101" t="s">
        <v>789</v>
      </c>
      <c r="E101" t="s">
        <v>1604</v>
      </c>
      <c r="F101" t="s">
        <v>1605</v>
      </c>
      <c r="G101" t="s">
        <v>1036</v>
      </c>
    </row>
    <row r="102" spans="2:7" x14ac:dyDescent="0.2">
      <c r="B102" t="s">
        <v>1319</v>
      </c>
      <c r="C102" t="s">
        <v>1018</v>
      </c>
      <c r="D102" t="s">
        <v>789</v>
      </c>
      <c r="E102" t="s">
        <v>1606</v>
      </c>
      <c r="F102" t="s">
        <v>1607</v>
      </c>
      <c r="G102" t="s">
        <v>1608</v>
      </c>
    </row>
    <row r="103" spans="2:7" x14ac:dyDescent="0.2">
      <c r="B103" t="s">
        <v>1320</v>
      </c>
      <c r="C103" t="s">
        <v>1059</v>
      </c>
      <c r="D103" t="s">
        <v>789</v>
      </c>
      <c r="E103" t="s">
        <v>1609</v>
      </c>
      <c r="F103" t="s">
        <v>1610</v>
      </c>
      <c r="G103" t="s">
        <v>1611</v>
      </c>
    </row>
    <row r="104" spans="2:7" x14ac:dyDescent="0.2">
      <c r="B104" t="s">
        <v>1321</v>
      </c>
      <c r="C104" t="s">
        <v>809</v>
      </c>
      <c r="D104" t="s">
        <v>789</v>
      </c>
      <c r="E104" t="s">
        <v>1612</v>
      </c>
      <c r="F104" t="s">
        <v>1613</v>
      </c>
      <c r="G104" t="s">
        <v>869</v>
      </c>
    </row>
    <row r="105" spans="2:7" x14ac:dyDescent="0.2">
      <c r="B105" t="s">
        <v>1322</v>
      </c>
      <c r="C105" t="s">
        <v>1059</v>
      </c>
      <c r="D105" t="s">
        <v>789</v>
      </c>
      <c r="E105" t="s">
        <v>1614</v>
      </c>
      <c r="F105" t="s">
        <v>1615</v>
      </c>
      <c r="G105" t="s">
        <v>1457</v>
      </c>
    </row>
    <row r="106" spans="2:7" x14ac:dyDescent="0.2">
      <c r="B106" t="s">
        <v>1323</v>
      </c>
      <c r="C106" t="s">
        <v>1063</v>
      </c>
      <c r="D106" t="s">
        <v>789</v>
      </c>
      <c r="E106" t="s">
        <v>1616</v>
      </c>
      <c r="F106" t="s">
        <v>1617</v>
      </c>
      <c r="G106" t="s">
        <v>949</v>
      </c>
    </row>
    <row r="107" spans="2:7" x14ac:dyDescent="0.2">
      <c r="B107" t="s">
        <v>1324</v>
      </c>
      <c r="C107" t="s">
        <v>971</v>
      </c>
      <c r="D107" t="s">
        <v>789</v>
      </c>
      <c r="E107" t="s">
        <v>1618</v>
      </c>
      <c r="F107" t="s">
        <v>1619</v>
      </c>
      <c r="G107" t="s">
        <v>1620</v>
      </c>
    </row>
    <row r="108" spans="2:7" x14ac:dyDescent="0.2">
      <c r="B108" t="s">
        <v>1325</v>
      </c>
      <c r="C108" t="s">
        <v>809</v>
      </c>
      <c r="D108" t="s">
        <v>789</v>
      </c>
      <c r="E108" t="s">
        <v>1621</v>
      </c>
      <c r="F108" t="s">
        <v>1622</v>
      </c>
      <c r="G108" t="s">
        <v>1623</v>
      </c>
    </row>
    <row r="109" spans="2:7" x14ac:dyDescent="0.2">
      <c r="B109" t="s">
        <v>1326</v>
      </c>
      <c r="C109" t="s">
        <v>809</v>
      </c>
      <c r="D109" t="s">
        <v>789</v>
      </c>
      <c r="E109" t="s">
        <v>1624</v>
      </c>
      <c r="F109" t="s">
        <v>1415</v>
      </c>
      <c r="G109" t="s">
        <v>1625</v>
      </c>
    </row>
    <row r="110" spans="2:7" x14ac:dyDescent="0.2">
      <c r="B110" t="s">
        <v>1327</v>
      </c>
      <c r="C110" t="s">
        <v>1063</v>
      </c>
      <c r="D110" t="s">
        <v>789</v>
      </c>
      <c r="E110" t="s">
        <v>1626</v>
      </c>
      <c r="F110" t="s">
        <v>1627</v>
      </c>
      <c r="G110" t="s">
        <v>925</v>
      </c>
    </row>
    <row r="111" spans="2:7" x14ac:dyDescent="0.2">
      <c r="B111" t="s">
        <v>1328</v>
      </c>
      <c r="C111" t="s">
        <v>1063</v>
      </c>
      <c r="D111" t="s">
        <v>789</v>
      </c>
      <c r="E111" t="s">
        <v>1628</v>
      </c>
      <c r="F111" t="s">
        <v>1629</v>
      </c>
      <c r="G111" t="s">
        <v>1037</v>
      </c>
    </row>
    <row r="112" spans="2:7" x14ac:dyDescent="0.2">
      <c r="B112" t="s">
        <v>1329</v>
      </c>
      <c r="C112" t="s">
        <v>805</v>
      </c>
      <c r="D112" t="s">
        <v>789</v>
      </c>
      <c r="E112" t="s">
        <v>1630</v>
      </c>
      <c r="F112" t="s">
        <v>1631</v>
      </c>
      <c r="G112" t="s">
        <v>1632</v>
      </c>
    </row>
    <row r="113" spans="2:7" x14ac:dyDescent="0.2">
      <c r="B113" t="s">
        <v>1330</v>
      </c>
      <c r="C113" t="s">
        <v>805</v>
      </c>
      <c r="D113" t="s">
        <v>789</v>
      </c>
      <c r="E113" t="s">
        <v>1633</v>
      </c>
      <c r="F113" t="s">
        <v>1634</v>
      </c>
      <c r="G113" t="s">
        <v>1200</v>
      </c>
    </row>
    <row r="114" spans="2:7" x14ac:dyDescent="0.2">
      <c r="B114" t="s">
        <v>1331</v>
      </c>
      <c r="C114" t="s">
        <v>809</v>
      </c>
      <c r="D114" t="s">
        <v>789</v>
      </c>
      <c r="E114" t="s">
        <v>1635</v>
      </c>
      <c r="F114" t="s">
        <v>1636</v>
      </c>
      <c r="G114" t="s">
        <v>1073</v>
      </c>
    </row>
    <row r="115" spans="2:7" x14ac:dyDescent="0.2">
      <c r="B115" t="s">
        <v>1332</v>
      </c>
      <c r="C115" t="s">
        <v>793</v>
      </c>
      <c r="D115" t="s">
        <v>789</v>
      </c>
      <c r="E115" t="s">
        <v>1637</v>
      </c>
      <c r="F115" t="s">
        <v>1638</v>
      </c>
      <c r="G115" t="s">
        <v>1639</v>
      </c>
    </row>
    <row r="116" spans="2:7" x14ac:dyDescent="0.2">
      <c r="B116" t="s">
        <v>1333</v>
      </c>
      <c r="C116" t="s">
        <v>933</v>
      </c>
      <c r="D116" t="s">
        <v>789</v>
      </c>
      <c r="E116" t="s">
        <v>1594</v>
      </c>
      <c r="F116" t="s">
        <v>979</v>
      </c>
      <c r="G116" t="s">
        <v>1640</v>
      </c>
    </row>
    <row r="117" spans="2:7" x14ac:dyDescent="0.2">
      <c r="B117" t="s">
        <v>1334</v>
      </c>
      <c r="C117" t="s">
        <v>877</v>
      </c>
      <c r="D117" t="s">
        <v>789</v>
      </c>
      <c r="E117" t="s">
        <v>1641</v>
      </c>
      <c r="F117" t="s">
        <v>1642</v>
      </c>
      <c r="G117" t="s">
        <v>1643</v>
      </c>
    </row>
    <row r="118" spans="2:7" x14ac:dyDescent="0.2">
      <c r="B118" t="s">
        <v>1335</v>
      </c>
      <c r="C118" t="s">
        <v>926</v>
      </c>
      <c r="D118" t="s">
        <v>789</v>
      </c>
      <c r="E118" t="s">
        <v>1644</v>
      </c>
      <c r="F118" t="s">
        <v>1503</v>
      </c>
      <c r="G118" t="s">
        <v>1422</v>
      </c>
    </row>
    <row r="119" spans="2:7" x14ac:dyDescent="0.2">
      <c r="B119" t="s">
        <v>1336</v>
      </c>
      <c r="C119" t="s">
        <v>926</v>
      </c>
      <c r="D119" t="s">
        <v>789</v>
      </c>
      <c r="E119" t="s">
        <v>1645</v>
      </c>
      <c r="F119" t="s">
        <v>1646</v>
      </c>
      <c r="G119" t="s">
        <v>1647</v>
      </c>
    </row>
    <row r="120" spans="2:7" x14ac:dyDescent="0.2">
      <c r="B120" t="s">
        <v>1337</v>
      </c>
      <c r="C120" t="s">
        <v>926</v>
      </c>
      <c r="D120" t="s">
        <v>789</v>
      </c>
      <c r="E120" t="s">
        <v>1648</v>
      </c>
      <c r="F120" t="s">
        <v>1649</v>
      </c>
      <c r="G120" t="s">
        <v>1650</v>
      </c>
    </row>
    <row r="121" spans="2:7" x14ac:dyDescent="0.2">
      <c r="B121" t="s">
        <v>1338</v>
      </c>
      <c r="C121" t="s">
        <v>971</v>
      </c>
      <c r="D121" t="s">
        <v>789</v>
      </c>
      <c r="E121" t="s">
        <v>1651</v>
      </c>
      <c r="F121" t="s">
        <v>1652</v>
      </c>
      <c r="G121" t="s">
        <v>822</v>
      </c>
    </row>
    <row r="122" spans="2:7" x14ac:dyDescent="0.2">
      <c r="B122" t="s">
        <v>1339</v>
      </c>
      <c r="C122" t="s">
        <v>926</v>
      </c>
      <c r="D122" t="s">
        <v>789</v>
      </c>
      <c r="E122" t="s">
        <v>1653</v>
      </c>
      <c r="F122" t="s">
        <v>1654</v>
      </c>
      <c r="G122" t="s">
        <v>1655</v>
      </c>
    </row>
    <row r="123" spans="2:7" x14ac:dyDescent="0.2">
      <c r="B123" t="s">
        <v>1340</v>
      </c>
      <c r="C123" t="s">
        <v>1018</v>
      </c>
      <c r="D123" t="s">
        <v>789</v>
      </c>
      <c r="E123" t="s">
        <v>1656</v>
      </c>
      <c r="F123" t="s">
        <v>870</v>
      </c>
      <c r="G123" t="s">
        <v>840</v>
      </c>
    </row>
    <row r="124" spans="2:7" x14ac:dyDescent="0.2">
      <c r="B124" t="s">
        <v>1341</v>
      </c>
      <c r="C124" t="s">
        <v>939</v>
      </c>
      <c r="D124" t="s">
        <v>789</v>
      </c>
      <c r="E124" t="s">
        <v>1657</v>
      </c>
      <c r="F124" t="s">
        <v>1658</v>
      </c>
      <c r="G124" t="s">
        <v>844</v>
      </c>
    </row>
    <row r="125" spans="2:7" x14ac:dyDescent="0.2">
      <c r="B125" t="s">
        <v>1342</v>
      </c>
      <c r="C125" t="s">
        <v>971</v>
      </c>
      <c r="D125" t="s">
        <v>789</v>
      </c>
      <c r="E125" t="s">
        <v>1659</v>
      </c>
      <c r="F125" t="s">
        <v>1660</v>
      </c>
      <c r="G125" t="s">
        <v>1661</v>
      </c>
    </row>
    <row r="126" spans="2:7" x14ac:dyDescent="0.2">
      <c r="B126" t="s">
        <v>1343</v>
      </c>
      <c r="C126" t="s">
        <v>926</v>
      </c>
      <c r="D126" t="s">
        <v>789</v>
      </c>
      <c r="E126" t="s">
        <v>1662</v>
      </c>
      <c r="F126" t="s">
        <v>1663</v>
      </c>
      <c r="G126" t="s">
        <v>1502</v>
      </c>
    </row>
    <row r="127" spans="2:7" x14ac:dyDescent="0.2">
      <c r="B127" t="s">
        <v>1344</v>
      </c>
      <c r="C127" t="s">
        <v>805</v>
      </c>
      <c r="D127" t="s">
        <v>789</v>
      </c>
      <c r="E127" t="s">
        <v>1664</v>
      </c>
      <c r="F127" t="s">
        <v>1665</v>
      </c>
      <c r="G127" t="s">
        <v>1666</v>
      </c>
    </row>
    <row r="128" spans="2:7" x14ac:dyDescent="0.2">
      <c r="B128" t="s">
        <v>1345</v>
      </c>
      <c r="C128" t="s">
        <v>939</v>
      </c>
      <c r="D128" t="s">
        <v>789</v>
      </c>
      <c r="E128" t="s">
        <v>1667</v>
      </c>
      <c r="F128" t="s">
        <v>1668</v>
      </c>
      <c r="G128" t="s">
        <v>1669</v>
      </c>
    </row>
    <row r="129" spans="2:7" x14ac:dyDescent="0.2">
      <c r="B129" t="s">
        <v>1346</v>
      </c>
      <c r="C129" t="s">
        <v>1018</v>
      </c>
      <c r="D129" t="s">
        <v>789</v>
      </c>
      <c r="E129" t="s">
        <v>1670</v>
      </c>
      <c r="F129" t="s">
        <v>1671</v>
      </c>
      <c r="G129" t="s">
        <v>831</v>
      </c>
    </row>
    <row r="130" spans="2:7" x14ac:dyDescent="0.2">
      <c r="B130" t="s">
        <v>1347</v>
      </c>
      <c r="C130" t="s">
        <v>782</v>
      </c>
      <c r="D130" t="s">
        <v>789</v>
      </c>
      <c r="E130" t="s">
        <v>1672</v>
      </c>
      <c r="F130" t="s">
        <v>1673</v>
      </c>
      <c r="G130" t="s">
        <v>1674</v>
      </c>
    </row>
    <row r="131" spans="2:7" x14ac:dyDescent="0.2">
      <c r="B131" t="s">
        <v>1348</v>
      </c>
      <c r="C131" t="s">
        <v>805</v>
      </c>
      <c r="D131" t="s">
        <v>789</v>
      </c>
      <c r="E131" t="s">
        <v>1675</v>
      </c>
      <c r="F131" t="s">
        <v>1676</v>
      </c>
      <c r="G131" t="s">
        <v>1009</v>
      </c>
    </row>
    <row r="132" spans="2:7" x14ac:dyDescent="0.2">
      <c r="B132" t="s">
        <v>1349</v>
      </c>
      <c r="C132" t="s">
        <v>1059</v>
      </c>
      <c r="D132" t="s">
        <v>789</v>
      </c>
      <c r="E132" t="s">
        <v>1677</v>
      </c>
      <c r="F132" t="s">
        <v>1678</v>
      </c>
      <c r="G132" t="s">
        <v>856</v>
      </c>
    </row>
    <row r="133" spans="2:7" x14ac:dyDescent="0.2">
      <c r="B133" t="s">
        <v>1350</v>
      </c>
      <c r="C133" t="s">
        <v>1063</v>
      </c>
      <c r="D133" t="s">
        <v>789</v>
      </c>
      <c r="E133" t="s">
        <v>1679</v>
      </c>
      <c r="F133" t="s">
        <v>1680</v>
      </c>
      <c r="G133" t="s">
        <v>1561</v>
      </c>
    </row>
    <row r="134" spans="2:7" x14ac:dyDescent="0.2">
      <c r="B134" t="s">
        <v>1351</v>
      </c>
      <c r="C134" t="s">
        <v>782</v>
      </c>
      <c r="D134" t="s">
        <v>789</v>
      </c>
      <c r="E134" t="s">
        <v>784</v>
      </c>
      <c r="F134" t="s">
        <v>1681</v>
      </c>
      <c r="G134" t="s">
        <v>1084</v>
      </c>
    </row>
    <row r="135" spans="2:7" x14ac:dyDescent="0.2">
      <c r="B135" t="s">
        <v>1352</v>
      </c>
      <c r="C135" t="s">
        <v>782</v>
      </c>
      <c r="D135" t="s">
        <v>789</v>
      </c>
      <c r="E135" t="s">
        <v>1682</v>
      </c>
      <c r="F135" t="s">
        <v>1683</v>
      </c>
      <c r="G135" t="s">
        <v>1684</v>
      </c>
    </row>
    <row r="136" spans="2:7" x14ac:dyDescent="0.2">
      <c r="B136" t="s">
        <v>1353</v>
      </c>
      <c r="C136" t="s">
        <v>1018</v>
      </c>
      <c r="D136" t="s">
        <v>789</v>
      </c>
      <c r="E136" t="s">
        <v>1685</v>
      </c>
      <c r="F136" t="s">
        <v>1686</v>
      </c>
      <c r="G136" t="s">
        <v>1620</v>
      </c>
    </row>
    <row r="137" spans="2:7" x14ac:dyDescent="0.2">
      <c r="B137" t="s">
        <v>1354</v>
      </c>
      <c r="C137" t="s">
        <v>1018</v>
      </c>
      <c r="D137" t="s">
        <v>789</v>
      </c>
      <c r="E137" t="s">
        <v>1687</v>
      </c>
      <c r="F137" t="s">
        <v>1688</v>
      </c>
      <c r="G137" t="s">
        <v>856</v>
      </c>
    </row>
    <row r="138" spans="2:7" x14ac:dyDescent="0.2">
      <c r="B138" t="s">
        <v>1355</v>
      </c>
      <c r="C138" t="s">
        <v>1018</v>
      </c>
      <c r="D138" t="s">
        <v>789</v>
      </c>
      <c r="E138" t="s">
        <v>1689</v>
      </c>
      <c r="F138" t="s">
        <v>1690</v>
      </c>
      <c r="G138" t="s">
        <v>797</v>
      </c>
    </row>
    <row r="139" spans="2:7" x14ac:dyDescent="0.2">
      <c r="B139" t="s">
        <v>1356</v>
      </c>
      <c r="C139" t="s">
        <v>1018</v>
      </c>
      <c r="D139" t="s">
        <v>789</v>
      </c>
      <c r="E139" t="s">
        <v>1691</v>
      </c>
      <c r="F139" t="s">
        <v>1692</v>
      </c>
      <c r="G139" t="s">
        <v>1693</v>
      </c>
    </row>
    <row r="140" spans="2:7" x14ac:dyDescent="0.2">
      <c r="B140" t="s">
        <v>1357</v>
      </c>
      <c r="C140" t="s">
        <v>933</v>
      </c>
      <c r="D140" t="s">
        <v>789</v>
      </c>
      <c r="E140" t="s">
        <v>1694</v>
      </c>
      <c r="F140" t="s">
        <v>1695</v>
      </c>
      <c r="G140" t="s">
        <v>961</v>
      </c>
    </row>
    <row r="141" spans="2:7" x14ac:dyDescent="0.2">
      <c r="B141" t="s">
        <v>1358</v>
      </c>
      <c r="C141" t="s">
        <v>1043</v>
      </c>
      <c r="D141" t="s">
        <v>789</v>
      </c>
      <c r="E141" t="s">
        <v>1696</v>
      </c>
      <c r="F141" t="s">
        <v>1697</v>
      </c>
      <c r="G141" t="s">
        <v>1698</v>
      </c>
    </row>
    <row r="142" spans="2:7" x14ac:dyDescent="0.2">
      <c r="B142" t="s">
        <v>1359</v>
      </c>
      <c r="C142" t="s">
        <v>933</v>
      </c>
      <c r="D142" t="s">
        <v>789</v>
      </c>
      <c r="E142" t="s">
        <v>1699</v>
      </c>
      <c r="F142" t="s">
        <v>1700</v>
      </c>
      <c r="G142" t="s">
        <v>1184</v>
      </c>
    </row>
    <row r="143" spans="2:7" x14ac:dyDescent="0.2">
      <c r="B143" t="s">
        <v>1360</v>
      </c>
      <c r="C143" t="s">
        <v>971</v>
      </c>
      <c r="D143" t="s">
        <v>789</v>
      </c>
      <c r="E143" t="s">
        <v>1701</v>
      </c>
      <c r="F143" t="s">
        <v>1702</v>
      </c>
      <c r="G143" t="s">
        <v>1703</v>
      </c>
    </row>
    <row r="144" spans="2:7" x14ac:dyDescent="0.2">
      <c r="B144" t="s">
        <v>1361</v>
      </c>
      <c r="C144" t="s">
        <v>877</v>
      </c>
      <c r="D144" t="s">
        <v>789</v>
      </c>
      <c r="E144" t="s">
        <v>1704</v>
      </c>
      <c r="F144" t="s">
        <v>1705</v>
      </c>
      <c r="G144" t="s">
        <v>1706</v>
      </c>
    </row>
    <row r="145" spans="2:7" x14ac:dyDescent="0.2">
      <c r="B145" t="s">
        <v>1362</v>
      </c>
      <c r="C145" t="s">
        <v>809</v>
      </c>
      <c r="D145" t="s">
        <v>789</v>
      </c>
      <c r="E145" t="s">
        <v>1707</v>
      </c>
      <c r="F145" t="s">
        <v>1708</v>
      </c>
      <c r="G145" t="s">
        <v>1215</v>
      </c>
    </row>
    <row r="146" spans="2:7" x14ac:dyDescent="0.2">
      <c r="B146" t="s">
        <v>1363</v>
      </c>
      <c r="C146" t="s">
        <v>926</v>
      </c>
      <c r="D146" t="s">
        <v>789</v>
      </c>
      <c r="E146" t="s">
        <v>1709</v>
      </c>
      <c r="F146" t="s">
        <v>1710</v>
      </c>
      <c r="G146" t="s">
        <v>1711</v>
      </c>
    </row>
    <row r="147" spans="2:7" x14ac:dyDescent="0.2">
      <c r="B147" t="s">
        <v>1364</v>
      </c>
      <c r="C147" t="s">
        <v>813</v>
      </c>
      <c r="D147" t="s">
        <v>789</v>
      </c>
      <c r="E147" t="s">
        <v>1712</v>
      </c>
      <c r="F147" t="s">
        <v>1713</v>
      </c>
      <c r="G147" t="s">
        <v>1714</v>
      </c>
    </row>
    <row r="148" spans="2:7" x14ac:dyDescent="0.2">
      <c r="B148" t="s">
        <v>1365</v>
      </c>
      <c r="C148" t="s">
        <v>877</v>
      </c>
      <c r="D148" t="s">
        <v>789</v>
      </c>
      <c r="E148" t="s">
        <v>1715</v>
      </c>
      <c r="F148" t="s">
        <v>1716</v>
      </c>
      <c r="G148" t="s">
        <v>1717</v>
      </c>
    </row>
    <row r="149" spans="2:7" x14ac:dyDescent="0.2">
      <c r="B149" t="s">
        <v>1366</v>
      </c>
      <c r="C149" t="s">
        <v>877</v>
      </c>
      <c r="D149" t="s">
        <v>789</v>
      </c>
      <c r="E149" t="s">
        <v>1718</v>
      </c>
      <c r="F149" t="s">
        <v>1719</v>
      </c>
      <c r="G149" t="s">
        <v>1720</v>
      </c>
    </row>
  </sheetData>
  <autoFilter ref="A1:G149" xr:uid="{9F268EE0-ED4E-D644-BE8D-34069771440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G29"/>
  <sheetViews>
    <sheetView workbookViewId="0">
      <selection activeCell="C2" sqref="C2:C29"/>
    </sheetView>
  </sheetViews>
  <sheetFormatPr baseColWidth="10" defaultRowHeight="16" x14ac:dyDescent="0.2"/>
  <sheetData>
    <row r="1" spans="1:7" x14ac:dyDescent="0.2">
      <c r="A1" s="10" t="s">
        <v>1121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s="1" t="s">
        <v>1093</v>
      </c>
      <c r="B2" t="s">
        <v>1093</v>
      </c>
      <c r="C2" t="s">
        <v>1122</v>
      </c>
      <c r="D2" t="s">
        <v>789</v>
      </c>
      <c r="E2" t="s">
        <v>1123</v>
      </c>
      <c r="F2" t="s">
        <v>1124</v>
      </c>
      <c r="G2" t="s">
        <v>847</v>
      </c>
    </row>
    <row r="3" spans="1:7" x14ac:dyDescent="0.2">
      <c r="A3" s="1" t="s">
        <v>1094</v>
      </c>
      <c r="B3" t="s">
        <v>1094</v>
      </c>
      <c r="C3" t="s">
        <v>1125</v>
      </c>
      <c r="D3" t="s">
        <v>789</v>
      </c>
      <c r="E3" t="s">
        <v>1126</v>
      </c>
      <c r="F3" t="s">
        <v>1127</v>
      </c>
      <c r="G3" t="s">
        <v>1128</v>
      </c>
    </row>
    <row r="4" spans="1:7" x14ac:dyDescent="0.2">
      <c r="A4" s="1" t="s">
        <v>1095</v>
      </c>
      <c r="B4" t="s">
        <v>1095</v>
      </c>
      <c r="C4" t="s">
        <v>1129</v>
      </c>
      <c r="D4" t="s">
        <v>789</v>
      </c>
      <c r="E4" t="s">
        <v>1130</v>
      </c>
      <c r="F4" t="s">
        <v>1131</v>
      </c>
      <c r="G4" t="s">
        <v>1132</v>
      </c>
    </row>
    <row r="5" spans="1:7" x14ac:dyDescent="0.2">
      <c r="A5" s="1" t="s">
        <v>1096</v>
      </c>
      <c r="B5" t="s">
        <v>1096</v>
      </c>
      <c r="C5" t="s">
        <v>1133</v>
      </c>
      <c r="D5" t="s">
        <v>789</v>
      </c>
      <c r="E5" t="s">
        <v>1134</v>
      </c>
      <c r="F5" t="s">
        <v>1135</v>
      </c>
      <c r="G5" t="s">
        <v>1136</v>
      </c>
    </row>
    <row r="6" spans="1:7" x14ac:dyDescent="0.2">
      <c r="A6" s="1" t="s">
        <v>1097</v>
      </c>
      <c r="B6" t="s">
        <v>1097</v>
      </c>
      <c r="C6" t="s">
        <v>889</v>
      </c>
      <c r="D6" t="s">
        <v>789</v>
      </c>
      <c r="E6" t="s">
        <v>1137</v>
      </c>
      <c r="F6" t="s">
        <v>1138</v>
      </c>
      <c r="G6" t="s">
        <v>1139</v>
      </c>
    </row>
    <row r="7" spans="1:7" x14ac:dyDescent="0.2">
      <c r="A7" s="1" t="s">
        <v>1098</v>
      </c>
      <c r="B7" t="s">
        <v>1098</v>
      </c>
      <c r="C7" t="s">
        <v>1140</v>
      </c>
      <c r="D7" t="s">
        <v>789</v>
      </c>
      <c r="E7" t="s">
        <v>1141</v>
      </c>
      <c r="F7" t="s">
        <v>1142</v>
      </c>
      <c r="G7" t="s">
        <v>1143</v>
      </c>
    </row>
    <row r="8" spans="1:7" x14ac:dyDescent="0.2">
      <c r="A8" s="1" t="s">
        <v>1099</v>
      </c>
      <c r="B8" t="s">
        <v>1099</v>
      </c>
      <c r="C8" t="s">
        <v>1144</v>
      </c>
      <c r="D8" t="s">
        <v>789</v>
      </c>
      <c r="E8" t="s">
        <v>1145</v>
      </c>
      <c r="F8" t="s">
        <v>958</v>
      </c>
      <c r="G8" t="s">
        <v>851</v>
      </c>
    </row>
    <row r="9" spans="1:7" x14ac:dyDescent="0.2">
      <c r="A9" s="1" t="s">
        <v>1100</v>
      </c>
      <c r="B9" t="s">
        <v>1100</v>
      </c>
      <c r="C9" t="s">
        <v>1146</v>
      </c>
      <c r="D9" t="s">
        <v>789</v>
      </c>
      <c r="E9" t="s">
        <v>1147</v>
      </c>
      <c r="F9" t="s">
        <v>1148</v>
      </c>
      <c r="G9" t="s">
        <v>1149</v>
      </c>
    </row>
    <row r="10" spans="1:7" x14ac:dyDescent="0.2">
      <c r="A10" s="1" t="s">
        <v>1101</v>
      </c>
      <c r="B10" t="s">
        <v>1101</v>
      </c>
      <c r="C10" t="s">
        <v>1150</v>
      </c>
      <c r="D10" t="s">
        <v>789</v>
      </c>
      <c r="E10" t="s">
        <v>1151</v>
      </c>
      <c r="F10" t="s">
        <v>1152</v>
      </c>
      <c r="G10" t="s">
        <v>1153</v>
      </c>
    </row>
    <row r="11" spans="1:7" x14ac:dyDescent="0.2">
      <c r="A11" s="1" t="s">
        <v>1102</v>
      </c>
      <c r="B11" t="s">
        <v>1102</v>
      </c>
      <c r="C11" t="s">
        <v>1154</v>
      </c>
      <c r="D11" t="s">
        <v>789</v>
      </c>
      <c r="E11" t="s">
        <v>1155</v>
      </c>
      <c r="F11" t="s">
        <v>1156</v>
      </c>
      <c r="G11" t="s">
        <v>1157</v>
      </c>
    </row>
    <row r="12" spans="1:7" x14ac:dyDescent="0.2">
      <c r="A12" s="1" t="s">
        <v>1103</v>
      </c>
      <c r="B12" t="s">
        <v>1103</v>
      </c>
      <c r="C12" t="s">
        <v>1158</v>
      </c>
      <c r="D12" t="s">
        <v>789</v>
      </c>
      <c r="E12" t="s">
        <v>1159</v>
      </c>
      <c r="F12" t="s">
        <v>1160</v>
      </c>
      <c r="G12" t="s">
        <v>1161</v>
      </c>
    </row>
    <row r="13" spans="1:7" x14ac:dyDescent="0.2">
      <c r="A13" s="1" t="s">
        <v>1104</v>
      </c>
      <c r="B13" t="s">
        <v>1104</v>
      </c>
      <c r="C13" t="s">
        <v>1162</v>
      </c>
      <c r="D13" t="s">
        <v>789</v>
      </c>
      <c r="E13" t="s">
        <v>1163</v>
      </c>
      <c r="F13" t="s">
        <v>1164</v>
      </c>
      <c r="G13" t="s">
        <v>1165</v>
      </c>
    </row>
    <row r="14" spans="1:7" x14ac:dyDescent="0.2">
      <c r="A14" s="1" t="s">
        <v>1105</v>
      </c>
      <c r="B14" t="s">
        <v>1105</v>
      </c>
      <c r="C14" t="s">
        <v>1166</v>
      </c>
      <c r="D14" t="s">
        <v>789</v>
      </c>
      <c r="E14" t="s">
        <v>1167</v>
      </c>
      <c r="F14" t="s">
        <v>1168</v>
      </c>
      <c r="G14" t="s">
        <v>1169</v>
      </c>
    </row>
    <row r="15" spans="1:7" x14ac:dyDescent="0.2">
      <c r="A15" s="1" t="s">
        <v>1106</v>
      </c>
      <c r="B15" t="s">
        <v>1106</v>
      </c>
      <c r="C15" t="s">
        <v>1170</v>
      </c>
      <c r="D15" t="s">
        <v>789</v>
      </c>
      <c r="E15" t="s">
        <v>1171</v>
      </c>
      <c r="F15" t="s">
        <v>1172</v>
      </c>
      <c r="G15" t="s">
        <v>1049</v>
      </c>
    </row>
    <row r="16" spans="1:7" x14ac:dyDescent="0.2">
      <c r="A16" s="1" t="s">
        <v>1107</v>
      </c>
      <c r="B16" t="s">
        <v>1107</v>
      </c>
      <c r="C16" t="s">
        <v>1173</v>
      </c>
      <c r="D16" t="s">
        <v>789</v>
      </c>
      <c r="E16" t="s">
        <v>1174</v>
      </c>
      <c r="F16" t="s">
        <v>1175</v>
      </c>
      <c r="G16" t="s">
        <v>1176</v>
      </c>
    </row>
    <row r="17" spans="1:7" x14ac:dyDescent="0.2">
      <c r="A17" s="1" t="s">
        <v>1108</v>
      </c>
      <c r="B17" t="s">
        <v>1108</v>
      </c>
      <c r="C17" t="s">
        <v>1177</v>
      </c>
      <c r="D17" t="s">
        <v>789</v>
      </c>
      <c r="E17" t="s">
        <v>1178</v>
      </c>
      <c r="F17" t="s">
        <v>1179</v>
      </c>
      <c r="G17" t="s">
        <v>1180</v>
      </c>
    </row>
    <row r="18" spans="1:7" x14ac:dyDescent="0.2">
      <c r="A18" s="1" t="s">
        <v>1109</v>
      </c>
      <c r="B18" t="s">
        <v>1109</v>
      </c>
      <c r="C18" t="s">
        <v>1181</v>
      </c>
      <c r="D18" t="s">
        <v>789</v>
      </c>
      <c r="E18" t="s">
        <v>1182</v>
      </c>
      <c r="F18" t="s">
        <v>1183</v>
      </c>
      <c r="G18" t="s">
        <v>1184</v>
      </c>
    </row>
    <row r="19" spans="1:7" x14ac:dyDescent="0.2">
      <c r="A19" s="1" t="s">
        <v>1110</v>
      </c>
      <c r="B19" t="s">
        <v>1110</v>
      </c>
      <c r="C19" t="s">
        <v>1185</v>
      </c>
      <c r="D19" t="s">
        <v>789</v>
      </c>
      <c r="E19" t="s">
        <v>1186</v>
      </c>
      <c r="F19" t="s">
        <v>1187</v>
      </c>
      <c r="G19" t="s">
        <v>1036</v>
      </c>
    </row>
    <row r="20" spans="1:7" x14ac:dyDescent="0.2">
      <c r="A20" s="1" t="s">
        <v>1111</v>
      </c>
      <c r="B20" t="s">
        <v>1111</v>
      </c>
      <c r="C20" t="s">
        <v>819</v>
      </c>
      <c r="D20" t="s">
        <v>789</v>
      </c>
      <c r="E20" t="s">
        <v>1188</v>
      </c>
      <c r="F20" t="s">
        <v>1189</v>
      </c>
      <c r="G20" t="s">
        <v>1190</v>
      </c>
    </row>
    <row r="21" spans="1:7" x14ac:dyDescent="0.2">
      <c r="A21" s="1" t="s">
        <v>1112</v>
      </c>
      <c r="B21" t="s">
        <v>1112</v>
      </c>
      <c r="C21" t="s">
        <v>1191</v>
      </c>
      <c r="D21" t="s">
        <v>789</v>
      </c>
      <c r="E21" t="s">
        <v>1192</v>
      </c>
      <c r="F21" t="s">
        <v>1193</v>
      </c>
      <c r="G21" t="s">
        <v>1184</v>
      </c>
    </row>
    <row r="22" spans="1:7" x14ac:dyDescent="0.2">
      <c r="A22" s="1" t="s">
        <v>1113</v>
      </c>
      <c r="B22" t="s">
        <v>1113</v>
      </c>
      <c r="C22" t="s">
        <v>805</v>
      </c>
      <c r="D22" t="s">
        <v>789</v>
      </c>
      <c r="E22" t="s">
        <v>1194</v>
      </c>
      <c r="F22" t="s">
        <v>1195</v>
      </c>
      <c r="G22" t="s">
        <v>1196</v>
      </c>
    </row>
    <row r="23" spans="1:7" x14ac:dyDescent="0.2">
      <c r="A23" s="1" t="s">
        <v>1114</v>
      </c>
      <c r="B23" t="s">
        <v>1114</v>
      </c>
      <c r="C23" t="s">
        <v>1197</v>
      </c>
      <c r="D23" t="s">
        <v>789</v>
      </c>
      <c r="E23" t="s">
        <v>1198</v>
      </c>
      <c r="F23" t="s">
        <v>1199</v>
      </c>
      <c r="G23" t="s">
        <v>1200</v>
      </c>
    </row>
    <row r="24" spans="1:7" x14ac:dyDescent="0.2">
      <c r="A24" s="1" t="s">
        <v>1115</v>
      </c>
      <c r="B24" t="s">
        <v>1115</v>
      </c>
      <c r="C24" t="s">
        <v>1201</v>
      </c>
      <c r="D24" t="s">
        <v>789</v>
      </c>
      <c r="E24" t="s">
        <v>1202</v>
      </c>
      <c r="F24" t="s">
        <v>1203</v>
      </c>
      <c r="G24" t="s">
        <v>864</v>
      </c>
    </row>
    <row r="25" spans="1:7" x14ac:dyDescent="0.2">
      <c r="A25" s="1" t="s">
        <v>1116</v>
      </c>
      <c r="B25" t="s">
        <v>1116</v>
      </c>
      <c r="C25" t="s">
        <v>1204</v>
      </c>
      <c r="D25" t="s">
        <v>789</v>
      </c>
      <c r="E25" t="s">
        <v>1205</v>
      </c>
      <c r="F25" t="s">
        <v>1206</v>
      </c>
      <c r="G25" t="s">
        <v>1207</v>
      </c>
    </row>
    <row r="26" spans="1:7" x14ac:dyDescent="0.2">
      <c r="A26" s="1" t="s">
        <v>1117</v>
      </c>
      <c r="B26" t="s">
        <v>1117</v>
      </c>
      <c r="C26" t="s">
        <v>1208</v>
      </c>
      <c r="D26" t="s">
        <v>789</v>
      </c>
      <c r="E26" t="s">
        <v>1209</v>
      </c>
      <c r="F26" t="s">
        <v>1210</v>
      </c>
      <c r="G26" t="s">
        <v>988</v>
      </c>
    </row>
    <row r="27" spans="1:7" x14ac:dyDescent="0.2">
      <c r="A27" s="1" t="s">
        <v>1118</v>
      </c>
      <c r="B27" t="s">
        <v>1118</v>
      </c>
      <c r="C27" t="s">
        <v>1211</v>
      </c>
      <c r="D27" t="s">
        <v>789</v>
      </c>
      <c r="E27" t="s">
        <v>1212</v>
      </c>
      <c r="F27" t="s">
        <v>895</v>
      </c>
      <c r="G27" t="s">
        <v>1213</v>
      </c>
    </row>
    <row r="28" spans="1:7" x14ac:dyDescent="0.2">
      <c r="A28" s="1" t="s">
        <v>1119</v>
      </c>
      <c r="B28" t="s">
        <v>1119</v>
      </c>
      <c r="C28" t="s">
        <v>1119</v>
      </c>
      <c r="D28" t="s">
        <v>789</v>
      </c>
      <c r="E28" t="s">
        <v>1038</v>
      </c>
      <c r="F28" t="s">
        <v>1214</v>
      </c>
      <c r="G28" t="s">
        <v>1215</v>
      </c>
    </row>
    <row r="29" spans="1:7" x14ac:dyDescent="0.2">
      <c r="A29" s="1" t="s">
        <v>1120</v>
      </c>
      <c r="B29" t="s">
        <v>1120</v>
      </c>
      <c r="C29" t="s">
        <v>1216</v>
      </c>
      <c r="D29" t="s">
        <v>789</v>
      </c>
      <c r="E29" t="s">
        <v>801</v>
      </c>
      <c r="F29" t="s">
        <v>1217</v>
      </c>
      <c r="G29" t="s">
        <v>943</v>
      </c>
    </row>
  </sheetData>
  <autoFilter ref="A1:G29" xr:uid="{D3556292-572C-6940-86CF-28B5941B8F64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K32"/>
  <sheetViews>
    <sheetView workbookViewId="0">
      <selection activeCell="B3" sqref="B3:B32"/>
    </sheetView>
  </sheetViews>
  <sheetFormatPr baseColWidth="10" defaultRowHeight="16" x14ac:dyDescent="0.2"/>
  <cols>
    <col min="1" max="1" width="18.1640625" customWidth="1"/>
  </cols>
  <sheetData>
    <row r="1" spans="1:11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1831</v>
      </c>
      <c r="I1" s="6" t="s">
        <v>1832</v>
      </c>
      <c r="J1" s="6" t="s">
        <v>1833</v>
      </c>
      <c r="K1" s="6" t="s">
        <v>1834</v>
      </c>
    </row>
    <row r="2" spans="1:11" x14ac:dyDescent="0.2">
      <c r="A2" t="s">
        <v>1219</v>
      </c>
      <c r="B2" t="str">
        <f>IF(A2="",A1,"")</f>
        <v/>
      </c>
      <c r="D2" t="str">
        <f>IF(A2="",#REF!,"")</f>
        <v/>
      </c>
      <c r="E2" t="str">
        <f>IF(A2="",TEXT(LEFT(A3,FIND(",",A3)-1),"0000"),"")</f>
        <v/>
      </c>
      <c r="F2" t="str">
        <f>IF(A2="",TEXT(SUBSTITUTE(MID(A3,FIND(",",A3)+2,5),",",""),"0000"),"")</f>
        <v/>
      </c>
      <c r="G2" t="str">
        <f>IF(A2="",TEXT(RIGHT(A3,LEN(A3)-FIND(",",A3,7)-1),"0000"),"")</f>
        <v/>
      </c>
      <c r="H2" t="str">
        <f>IF(A2="",#REF!,"")</f>
        <v/>
      </c>
      <c r="I2" t="str">
        <f>IF(A2="",#REF!,"")</f>
        <v/>
      </c>
      <c r="J2" t="str">
        <f>IF(A2="",#REF!,"")</f>
        <v/>
      </c>
      <c r="K2" t="str">
        <f>IF(A2="",#REF!,"")</f>
        <v/>
      </c>
    </row>
    <row r="3" spans="1:11" x14ac:dyDescent="0.2">
      <c r="B3" t="s">
        <v>1722</v>
      </c>
      <c r="D3" t="s">
        <v>783</v>
      </c>
      <c r="E3" t="s">
        <v>1835</v>
      </c>
      <c r="F3" t="s">
        <v>1836</v>
      </c>
      <c r="G3" t="s">
        <v>1837</v>
      </c>
      <c r="H3" t="s">
        <v>1723</v>
      </c>
      <c r="I3" t="s">
        <v>1724</v>
      </c>
      <c r="J3" t="s">
        <v>1725</v>
      </c>
      <c r="K3" t="s">
        <v>1726</v>
      </c>
    </row>
    <row r="4" spans="1:11" x14ac:dyDescent="0.2">
      <c r="B4" t="s">
        <v>1727</v>
      </c>
      <c r="D4" t="s">
        <v>783</v>
      </c>
      <c r="E4" t="s">
        <v>1838</v>
      </c>
      <c r="F4" t="s">
        <v>1839</v>
      </c>
      <c r="G4" t="s">
        <v>1840</v>
      </c>
      <c r="H4" t="s">
        <v>1728</v>
      </c>
      <c r="I4" t="s">
        <v>1729</v>
      </c>
      <c r="J4" t="s">
        <v>1730</v>
      </c>
      <c r="K4" t="s">
        <v>1731</v>
      </c>
    </row>
    <row r="5" spans="1:11" x14ac:dyDescent="0.2">
      <c r="B5" t="s">
        <v>1732</v>
      </c>
      <c r="D5" t="s">
        <v>1733</v>
      </c>
      <c r="E5" t="s">
        <v>1841</v>
      </c>
      <c r="F5" t="s">
        <v>1842</v>
      </c>
      <c r="G5" t="s">
        <v>1139</v>
      </c>
      <c r="H5" t="s">
        <v>1734</v>
      </c>
      <c r="I5" t="s">
        <v>1735</v>
      </c>
      <c r="J5" t="s">
        <v>1736</v>
      </c>
      <c r="K5" t="s">
        <v>1737</v>
      </c>
    </row>
    <row r="6" spans="1:11" x14ac:dyDescent="0.2">
      <c r="B6" t="s">
        <v>914</v>
      </c>
      <c r="D6" t="s">
        <v>783</v>
      </c>
      <c r="E6" t="s">
        <v>1843</v>
      </c>
      <c r="F6" t="s">
        <v>1844</v>
      </c>
      <c r="G6" t="s">
        <v>1845</v>
      </c>
      <c r="H6" t="s">
        <v>1738</v>
      </c>
      <c r="I6" t="s">
        <v>1739</v>
      </c>
      <c r="J6" t="s">
        <v>1740</v>
      </c>
      <c r="K6" t="s">
        <v>1741</v>
      </c>
    </row>
    <row r="7" spans="1:11" x14ac:dyDescent="0.2">
      <c r="B7" t="s">
        <v>1742</v>
      </c>
      <c r="D7" t="s">
        <v>783</v>
      </c>
      <c r="E7" t="s">
        <v>1846</v>
      </c>
      <c r="F7" t="s">
        <v>1847</v>
      </c>
      <c r="G7" t="s">
        <v>1848</v>
      </c>
      <c r="H7" t="s">
        <v>1743</v>
      </c>
      <c r="I7" t="s">
        <v>1744</v>
      </c>
      <c r="J7" t="s">
        <v>1745</v>
      </c>
      <c r="K7" t="s">
        <v>1746</v>
      </c>
    </row>
    <row r="8" spans="1:11" x14ac:dyDescent="0.2">
      <c r="B8" t="s">
        <v>1748</v>
      </c>
      <c r="D8" t="s">
        <v>783</v>
      </c>
      <c r="E8" t="s">
        <v>1849</v>
      </c>
      <c r="F8" t="s">
        <v>1850</v>
      </c>
      <c r="G8" t="s">
        <v>1851</v>
      </c>
      <c r="H8" t="s">
        <v>1749</v>
      </c>
      <c r="I8" t="s">
        <v>1750</v>
      </c>
      <c r="J8" t="s">
        <v>1751</v>
      </c>
      <c r="K8" t="s">
        <v>1752</v>
      </c>
    </row>
    <row r="9" spans="1:11" x14ac:dyDescent="0.2">
      <c r="B9" t="s">
        <v>1753</v>
      </c>
      <c r="D9" t="s">
        <v>789</v>
      </c>
      <c r="E9" t="s">
        <v>1852</v>
      </c>
      <c r="F9" t="s">
        <v>1853</v>
      </c>
      <c r="G9" t="s">
        <v>798</v>
      </c>
      <c r="H9" t="s">
        <v>1734</v>
      </c>
      <c r="I9" t="s">
        <v>1735</v>
      </c>
      <c r="J9" t="s">
        <v>1736</v>
      </c>
      <c r="K9" t="s">
        <v>1754</v>
      </c>
    </row>
    <row r="10" spans="1:11" x14ac:dyDescent="0.2">
      <c r="B10" t="s">
        <v>1755</v>
      </c>
      <c r="D10" t="s">
        <v>783</v>
      </c>
      <c r="E10" t="s">
        <v>1854</v>
      </c>
      <c r="F10" t="s">
        <v>1855</v>
      </c>
      <c r="G10" t="s">
        <v>1856</v>
      </c>
      <c r="H10" t="s">
        <v>1756</v>
      </c>
      <c r="I10" t="s">
        <v>1757</v>
      </c>
      <c r="J10" t="s">
        <v>1758</v>
      </c>
      <c r="K10" t="s">
        <v>1759</v>
      </c>
    </row>
    <row r="11" spans="1:11" x14ac:dyDescent="0.2">
      <c r="B11" t="s">
        <v>1760</v>
      </c>
      <c r="D11" t="s">
        <v>783</v>
      </c>
      <c r="E11" t="s">
        <v>1857</v>
      </c>
      <c r="F11" t="s">
        <v>1858</v>
      </c>
      <c r="G11" t="s">
        <v>1859</v>
      </c>
      <c r="H11" t="s">
        <v>1761</v>
      </c>
      <c r="I11" t="s">
        <v>1725</v>
      </c>
      <c r="J11" t="s">
        <v>1762</v>
      </c>
      <c r="K11" t="s">
        <v>1763</v>
      </c>
    </row>
    <row r="12" spans="1:11" x14ac:dyDescent="0.2">
      <c r="B12" t="s">
        <v>1763</v>
      </c>
      <c r="D12" t="s">
        <v>789</v>
      </c>
      <c r="E12" t="s">
        <v>1860</v>
      </c>
      <c r="F12" t="s">
        <v>1861</v>
      </c>
      <c r="G12" t="s">
        <v>840</v>
      </c>
      <c r="H12" t="s">
        <v>1764</v>
      </c>
      <c r="I12" t="s">
        <v>1765</v>
      </c>
      <c r="J12" t="s">
        <v>1750</v>
      </c>
      <c r="K12" t="s">
        <v>1766</v>
      </c>
    </row>
    <row r="13" spans="1:11" x14ac:dyDescent="0.2">
      <c r="B13" t="s">
        <v>1767</v>
      </c>
      <c r="D13" t="s">
        <v>789</v>
      </c>
      <c r="E13" t="s">
        <v>1862</v>
      </c>
      <c r="F13" t="s">
        <v>1863</v>
      </c>
      <c r="G13" t="s">
        <v>1714</v>
      </c>
      <c r="H13" t="s">
        <v>1768</v>
      </c>
      <c r="I13" t="s">
        <v>1769</v>
      </c>
      <c r="J13" t="s">
        <v>1729</v>
      </c>
      <c r="K13" t="s">
        <v>1770</v>
      </c>
    </row>
    <row r="14" spans="1:11" x14ac:dyDescent="0.2">
      <c r="B14" t="s">
        <v>1771</v>
      </c>
      <c r="D14" t="s">
        <v>783</v>
      </c>
      <c r="E14" t="s">
        <v>1864</v>
      </c>
      <c r="F14" t="s">
        <v>1865</v>
      </c>
      <c r="G14" t="s">
        <v>1866</v>
      </c>
      <c r="H14" t="s">
        <v>1772</v>
      </c>
      <c r="I14" t="s">
        <v>1773</v>
      </c>
      <c r="J14" t="s">
        <v>1729</v>
      </c>
      <c r="K14" t="s">
        <v>1774</v>
      </c>
    </row>
    <row r="15" spans="1:11" x14ac:dyDescent="0.2">
      <c r="B15" t="s">
        <v>1775</v>
      </c>
      <c r="D15" t="s">
        <v>1733</v>
      </c>
      <c r="E15" t="s">
        <v>1867</v>
      </c>
      <c r="F15" t="s">
        <v>1868</v>
      </c>
      <c r="G15" t="s">
        <v>1869</v>
      </c>
      <c r="H15" t="s">
        <v>1769</v>
      </c>
      <c r="I15" t="s">
        <v>1776</v>
      </c>
      <c r="J15" t="s">
        <v>1766</v>
      </c>
      <c r="K15" t="s">
        <v>1777</v>
      </c>
    </row>
    <row r="16" spans="1:11" x14ac:dyDescent="0.2">
      <c r="B16" t="s">
        <v>1778</v>
      </c>
      <c r="D16" t="s">
        <v>783</v>
      </c>
      <c r="E16" t="s">
        <v>1870</v>
      </c>
      <c r="F16" t="s">
        <v>1871</v>
      </c>
      <c r="G16" t="s">
        <v>1872</v>
      </c>
      <c r="H16" t="s">
        <v>1764</v>
      </c>
      <c r="I16" t="s">
        <v>1779</v>
      </c>
      <c r="J16" t="s">
        <v>1780</v>
      </c>
      <c r="K16" t="s">
        <v>1754</v>
      </c>
    </row>
    <row r="17" spans="2:11" x14ac:dyDescent="0.2">
      <c r="B17" t="s">
        <v>1782</v>
      </c>
      <c r="D17" t="s">
        <v>783</v>
      </c>
      <c r="E17" t="s">
        <v>1873</v>
      </c>
      <c r="F17" t="s">
        <v>1874</v>
      </c>
      <c r="G17" t="s">
        <v>1875</v>
      </c>
      <c r="H17" t="s">
        <v>1783</v>
      </c>
      <c r="I17" t="s">
        <v>1784</v>
      </c>
      <c r="J17" t="s">
        <v>1785</v>
      </c>
      <c r="K17" t="s">
        <v>1747</v>
      </c>
    </row>
    <row r="18" spans="2:11" x14ac:dyDescent="0.2">
      <c r="B18" t="s">
        <v>1786</v>
      </c>
      <c r="D18" t="s">
        <v>783</v>
      </c>
      <c r="E18" t="s">
        <v>1876</v>
      </c>
      <c r="F18" t="s">
        <v>1877</v>
      </c>
      <c r="G18" t="s">
        <v>1878</v>
      </c>
      <c r="H18" t="s">
        <v>1787</v>
      </c>
      <c r="I18" t="s">
        <v>1788</v>
      </c>
      <c r="J18" t="s">
        <v>1789</v>
      </c>
      <c r="K18" t="s">
        <v>1781</v>
      </c>
    </row>
    <row r="19" spans="2:11" x14ac:dyDescent="0.2">
      <c r="B19" t="s">
        <v>1790</v>
      </c>
      <c r="D19" t="s">
        <v>783</v>
      </c>
      <c r="E19" t="s">
        <v>1879</v>
      </c>
      <c r="F19" t="s">
        <v>1880</v>
      </c>
      <c r="G19" t="s">
        <v>1881</v>
      </c>
      <c r="H19" t="s">
        <v>1791</v>
      </c>
      <c r="I19" t="s">
        <v>1792</v>
      </c>
      <c r="J19" t="s">
        <v>1793</v>
      </c>
      <c r="K19" t="s">
        <v>1731</v>
      </c>
    </row>
    <row r="20" spans="2:11" x14ac:dyDescent="0.2">
      <c r="B20" t="s">
        <v>1794</v>
      </c>
      <c r="D20" t="s">
        <v>783</v>
      </c>
      <c r="E20" t="s">
        <v>1882</v>
      </c>
      <c r="F20" t="s">
        <v>1883</v>
      </c>
      <c r="G20" t="s">
        <v>1884</v>
      </c>
      <c r="H20" t="s">
        <v>1795</v>
      </c>
      <c r="I20" t="s">
        <v>1749</v>
      </c>
      <c r="J20" t="s">
        <v>1796</v>
      </c>
      <c r="K20" t="s">
        <v>1797</v>
      </c>
    </row>
    <row r="21" spans="2:11" x14ac:dyDescent="0.2">
      <c r="B21" t="s">
        <v>1798</v>
      </c>
      <c r="D21" t="s">
        <v>783</v>
      </c>
      <c r="E21" t="s">
        <v>1642</v>
      </c>
      <c r="F21" t="s">
        <v>1885</v>
      </c>
      <c r="G21" t="s">
        <v>1886</v>
      </c>
      <c r="H21" t="s">
        <v>1799</v>
      </c>
      <c r="I21" t="s">
        <v>1769</v>
      </c>
      <c r="J21" t="s">
        <v>1729</v>
      </c>
      <c r="K21" t="s">
        <v>1800</v>
      </c>
    </row>
    <row r="22" spans="2:11" x14ac:dyDescent="0.2">
      <c r="B22" t="s">
        <v>1801</v>
      </c>
      <c r="D22" t="s">
        <v>783</v>
      </c>
      <c r="E22" t="s">
        <v>1887</v>
      </c>
      <c r="F22" t="s">
        <v>1888</v>
      </c>
      <c r="G22" t="s">
        <v>1889</v>
      </c>
      <c r="H22" t="s">
        <v>1726</v>
      </c>
      <c r="I22" t="s">
        <v>1802</v>
      </c>
      <c r="J22" t="s">
        <v>1803</v>
      </c>
      <c r="K22" t="s">
        <v>1789</v>
      </c>
    </row>
    <row r="23" spans="2:11" x14ac:dyDescent="0.2">
      <c r="B23" t="s">
        <v>1804</v>
      </c>
      <c r="D23" t="s">
        <v>783</v>
      </c>
      <c r="E23" t="s">
        <v>1890</v>
      </c>
      <c r="F23" t="s">
        <v>1891</v>
      </c>
      <c r="G23" t="s">
        <v>1892</v>
      </c>
      <c r="H23" t="s">
        <v>1723</v>
      </c>
      <c r="I23" t="s">
        <v>1805</v>
      </c>
      <c r="J23" t="s">
        <v>1744</v>
      </c>
      <c r="K23" t="s">
        <v>1781</v>
      </c>
    </row>
    <row r="24" spans="2:11" x14ac:dyDescent="0.2">
      <c r="B24" t="s">
        <v>1806</v>
      </c>
      <c r="D24" t="s">
        <v>783</v>
      </c>
      <c r="E24" t="s">
        <v>1893</v>
      </c>
      <c r="F24" t="s">
        <v>1894</v>
      </c>
      <c r="G24" t="s">
        <v>1895</v>
      </c>
      <c r="H24" t="s">
        <v>1787</v>
      </c>
      <c r="I24" t="s">
        <v>1807</v>
      </c>
      <c r="J24" t="s">
        <v>1803</v>
      </c>
      <c r="K24" t="s">
        <v>1747</v>
      </c>
    </row>
    <row r="25" spans="2:11" x14ac:dyDescent="0.2">
      <c r="B25" t="s">
        <v>1808</v>
      </c>
      <c r="D25" t="s">
        <v>783</v>
      </c>
      <c r="E25" t="s">
        <v>1896</v>
      </c>
      <c r="F25" t="s">
        <v>1897</v>
      </c>
      <c r="G25" t="s">
        <v>1898</v>
      </c>
      <c r="H25" t="s">
        <v>1809</v>
      </c>
      <c r="I25" t="s">
        <v>1785</v>
      </c>
      <c r="J25" t="s">
        <v>1810</v>
      </c>
      <c r="K25" t="s">
        <v>1811</v>
      </c>
    </row>
    <row r="26" spans="2:11" x14ac:dyDescent="0.2">
      <c r="B26" t="s">
        <v>1812</v>
      </c>
      <c r="D26" t="s">
        <v>783</v>
      </c>
      <c r="E26" t="s">
        <v>1899</v>
      </c>
      <c r="F26" t="s">
        <v>1900</v>
      </c>
      <c r="G26" t="s">
        <v>1901</v>
      </c>
      <c r="H26" t="s">
        <v>1809</v>
      </c>
      <c r="I26" t="s">
        <v>1813</v>
      </c>
      <c r="J26" t="s">
        <v>1814</v>
      </c>
      <c r="K26" t="s">
        <v>1774</v>
      </c>
    </row>
    <row r="27" spans="2:11" x14ac:dyDescent="0.2">
      <c r="B27" t="s">
        <v>1815</v>
      </c>
      <c r="D27" t="s">
        <v>783</v>
      </c>
      <c r="E27" t="s">
        <v>1902</v>
      </c>
      <c r="F27" t="s">
        <v>1903</v>
      </c>
      <c r="G27" t="s">
        <v>1904</v>
      </c>
      <c r="H27" t="s">
        <v>1734</v>
      </c>
      <c r="I27" t="s">
        <v>1816</v>
      </c>
      <c r="J27" t="s">
        <v>1736</v>
      </c>
      <c r="K27" t="s">
        <v>1817</v>
      </c>
    </row>
    <row r="28" spans="2:11" x14ac:dyDescent="0.2">
      <c r="B28" t="s">
        <v>1818</v>
      </c>
      <c r="D28" t="s">
        <v>783</v>
      </c>
      <c r="E28" t="s">
        <v>1905</v>
      </c>
      <c r="F28" t="s">
        <v>1906</v>
      </c>
      <c r="G28" t="s">
        <v>1907</v>
      </c>
      <c r="H28" t="s">
        <v>1772</v>
      </c>
      <c r="I28" t="s">
        <v>1819</v>
      </c>
      <c r="J28" t="s">
        <v>1820</v>
      </c>
      <c r="K28" t="s">
        <v>1740</v>
      </c>
    </row>
    <row r="29" spans="2:11" x14ac:dyDescent="0.2">
      <c r="B29" t="s">
        <v>1821</v>
      </c>
      <c r="D29" t="s">
        <v>783</v>
      </c>
      <c r="E29" t="s">
        <v>977</v>
      </c>
      <c r="F29" t="s">
        <v>1908</v>
      </c>
      <c r="G29" t="s">
        <v>1909</v>
      </c>
      <c r="H29" t="s">
        <v>1734</v>
      </c>
      <c r="I29" t="s">
        <v>1750</v>
      </c>
      <c r="J29" t="s">
        <v>1792</v>
      </c>
      <c r="K29" t="s">
        <v>1822</v>
      </c>
    </row>
    <row r="30" spans="2:11" x14ac:dyDescent="0.2">
      <c r="B30" t="s">
        <v>1823</v>
      </c>
      <c r="D30" t="s">
        <v>783</v>
      </c>
      <c r="E30" t="s">
        <v>1910</v>
      </c>
      <c r="F30" t="s">
        <v>1911</v>
      </c>
      <c r="G30" t="s">
        <v>1912</v>
      </c>
      <c r="H30" t="s">
        <v>1824</v>
      </c>
      <c r="I30" t="s">
        <v>1736</v>
      </c>
      <c r="J30" t="s">
        <v>1825</v>
      </c>
      <c r="K30" t="s">
        <v>1731</v>
      </c>
    </row>
    <row r="31" spans="2:11" x14ac:dyDescent="0.2">
      <c r="B31" t="s">
        <v>1826</v>
      </c>
      <c r="D31" t="s">
        <v>783</v>
      </c>
      <c r="E31" t="s">
        <v>1913</v>
      </c>
      <c r="F31" t="s">
        <v>1630</v>
      </c>
      <c r="G31" t="s">
        <v>1914</v>
      </c>
      <c r="H31" t="s">
        <v>1827</v>
      </c>
      <c r="I31" t="s">
        <v>1828</v>
      </c>
      <c r="J31" t="s">
        <v>1796</v>
      </c>
      <c r="K31" t="s">
        <v>1829</v>
      </c>
    </row>
    <row r="32" spans="2:11" x14ac:dyDescent="0.2">
      <c r="B32" t="s">
        <v>1830</v>
      </c>
      <c r="D32" t="s">
        <v>783</v>
      </c>
      <c r="E32" t="s">
        <v>1915</v>
      </c>
      <c r="F32" t="s">
        <v>1916</v>
      </c>
      <c r="G32" t="s">
        <v>1917</v>
      </c>
      <c r="H32" t="s">
        <v>1772</v>
      </c>
      <c r="I32" t="s">
        <v>1725</v>
      </c>
      <c r="J32" t="s">
        <v>1809</v>
      </c>
      <c r="K32" t="s">
        <v>1783</v>
      </c>
    </row>
  </sheetData>
  <autoFilter ref="A1:K32" xr:uid="{9224B9E3-8783-154E-9ABB-C6A7605FBA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G83"/>
  <sheetViews>
    <sheetView topLeftCell="A49" workbookViewId="0">
      <selection activeCell="B3" sqref="B3:B83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1918</v>
      </c>
      <c r="B2" t="str">
        <f>IF(A2="",#REF!,"")</f>
        <v/>
      </c>
      <c r="D2" t="str">
        <f>IF(A2="",#REF!,"")</f>
        <v/>
      </c>
      <c r="E2" t="str">
        <f t="shared" ref="E2" si="0">IF(A2="",TEXT(LEFT(A3,FIND(",",A3)-1),"0000"),"")</f>
        <v/>
      </c>
      <c r="F2" t="str">
        <f t="shared" ref="F2" si="1">IF(A2="",TEXT(SUBSTITUTE(MID(A3,FIND(",",A3)+2,5),",",""),"0000"),"")</f>
        <v/>
      </c>
      <c r="G2" t="str">
        <f t="shared" ref="G2" si="2">IF(A2="",TEXT(RIGHT(A3,LEN(A3)-FIND(",",A3,7)-1),"0000"),"")</f>
        <v/>
      </c>
    </row>
    <row r="3" spans="1:7" x14ac:dyDescent="0.2">
      <c r="B3" t="s">
        <v>1918</v>
      </c>
      <c r="D3" t="s">
        <v>789</v>
      </c>
      <c r="E3" t="s">
        <v>1991</v>
      </c>
      <c r="F3" t="s">
        <v>1528</v>
      </c>
      <c r="G3" t="s">
        <v>880</v>
      </c>
    </row>
    <row r="4" spans="1:7" x14ac:dyDescent="0.2">
      <c r="B4" t="s">
        <v>1919</v>
      </c>
      <c r="D4" t="s">
        <v>789</v>
      </c>
      <c r="E4" t="s">
        <v>1992</v>
      </c>
      <c r="F4" t="s">
        <v>1993</v>
      </c>
      <c r="G4" t="s">
        <v>1382</v>
      </c>
    </row>
    <row r="5" spans="1:7" x14ac:dyDescent="0.2">
      <c r="B5" t="s">
        <v>1920</v>
      </c>
      <c r="D5" t="s">
        <v>789</v>
      </c>
      <c r="E5" t="s">
        <v>1994</v>
      </c>
      <c r="F5" t="s">
        <v>1995</v>
      </c>
      <c r="G5" t="s">
        <v>1996</v>
      </c>
    </row>
    <row r="6" spans="1:7" x14ac:dyDescent="0.2">
      <c r="B6" t="s">
        <v>1921</v>
      </c>
      <c r="D6" t="s">
        <v>789</v>
      </c>
      <c r="E6" t="s">
        <v>1997</v>
      </c>
      <c r="F6" t="s">
        <v>1998</v>
      </c>
      <c r="G6" t="s">
        <v>1999</v>
      </c>
    </row>
    <row r="7" spans="1:7" x14ac:dyDescent="0.2">
      <c r="B7" t="s">
        <v>1922</v>
      </c>
      <c r="D7" t="s">
        <v>789</v>
      </c>
      <c r="E7" t="s">
        <v>2000</v>
      </c>
      <c r="F7" t="s">
        <v>2001</v>
      </c>
      <c r="G7" t="s">
        <v>955</v>
      </c>
    </row>
    <row r="8" spans="1:7" x14ac:dyDescent="0.2">
      <c r="B8" t="s">
        <v>1923</v>
      </c>
      <c r="D8" t="s">
        <v>789</v>
      </c>
      <c r="E8" t="s">
        <v>1656</v>
      </c>
      <c r="F8" t="s">
        <v>2002</v>
      </c>
      <c r="G8" t="s">
        <v>2003</v>
      </c>
    </row>
    <row r="9" spans="1:7" x14ac:dyDescent="0.2">
      <c r="B9" t="s">
        <v>889</v>
      </c>
      <c r="D9" t="s">
        <v>789</v>
      </c>
      <c r="E9" t="s">
        <v>2004</v>
      </c>
      <c r="F9" t="s">
        <v>2005</v>
      </c>
      <c r="G9" t="s">
        <v>2006</v>
      </c>
    </row>
    <row r="10" spans="1:7" x14ac:dyDescent="0.2">
      <c r="B10" t="s">
        <v>1924</v>
      </c>
      <c r="D10" t="s">
        <v>789</v>
      </c>
      <c r="E10" t="s">
        <v>2007</v>
      </c>
      <c r="F10" t="s">
        <v>2008</v>
      </c>
      <c r="G10" t="s">
        <v>2009</v>
      </c>
    </row>
    <row r="11" spans="1:7" x14ac:dyDescent="0.2">
      <c r="B11" t="s">
        <v>1925</v>
      </c>
      <c r="D11" t="s">
        <v>789</v>
      </c>
      <c r="E11" t="s">
        <v>2010</v>
      </c>
      <c r="F11" t="s">
        <v>2011</v>
      </c>
      <c r="G11" t="s">
        <v>2012</v>
      </c>
    </row>
    <row r="12" spans="1:7" x14ac:dyDescent="0.2">
      <c r="B12" t="s">
        <v>1926</v>
      </c>
      <c r="D12" t="s">
        <v>789</v>
      </c>
      <c r="E12" t="s">
        <v>2013</v>
      </c>
      <c r="F12" t="s">
        <v>2014</v>
      </c>
      <c r="G12" t="s">
        <v>796</v>
      </c>
    </row>
    <row r="13" spans="1:7" x14ac:dyDescent="0.2">
      <c r="B13" t="s">
        <v>1927</v>
      </c>
      <c r="D13" t="s">
        <v>789</v>
      </c>
      <c r="E13" t="s">
        <v>2015</v>
      </c>
      <c r="F13" t="s">
        <v>2016</v>
      </c>
      <c r="G13" t="s">
        <v>925</v>
      </c>
    </row>
    <row r="14" spans="1:7" x14ac:dyDescent="0.2">
      <c r="B14" t="s">
        <v>1928</v>
      </c>
      <c r="D14" t="s">
        <v>789</v>
      </c>
      <c r="E14" t="s">
        <v>2017</v>
      </c>
      <c r="F14" t="s">
        <v>2018</v>
      </c>
      <c r="G14" t="s">
        <v>2019</v>
      </c>
    </row>
    <row r="15" spans="1:7" x14ac:dyDescent="0.2">
      <c r="B15" t="s">
        <v>879</v>
      </c>
      <c r="D15" t="s">
        <v>789</v>
      </c>
      <c r="E15" t="s">
        <v>2020</v>
      </c>
      <c r="F15" t="s">
        <v>2021</v>
      </c>
      <c r="G15" t="s">
        <v>2022</v>
      </c>
    </row>
    <row r="16" spans="1:7" x14ac:dyDescent="0.2">
      <c r="B16" t="s">
        <v>1929</v>
      </c>
      <c r="D16" t="s">
        <v>789</v>
      </c>
      <c r="E16" t="s">
        <v>2023</v>
      </c>
      <c r="F16" t="s">
        <v>2024</v>
      </c>
      <c r="G16" t="s">
        <v>1207</v>
      </c>
    </row>
    <row r="17" spans="2:7" x14ac:dyDescent="0.2">
      <c r="B17" t="s">
        <v>1930</v>
      </c>
      <c r="D17" t="s">
        <v>789</v>
      </c>
      <c r="E17" t="s">
        <v>2025</v>
      </c>
      <c r="F17" t="s">
        <v>2026</v>
      </c>
      <c r="G17" t="s">
        <v>860</v>
      </c>
    </row>
    <row r="18" spans="2:7" x14ac:dyDescent="0.2">
      <c r="B18" t="s">
        <v>1931</v>
      </c>
      <c r="D18" t="s">
        <v>789</v>
      </c>
      <c r="E18" t="s">
        <v>2027</v>
      </c>
      <c r="F18" t="s">
        <v>2028</v>
      </c>
      <c r="G18" t="s">
        <v>961</v>
      </c>
    </row>
    <row r="19" spans="2:7" x14ac:dyDescent="0.2">
      <c r="B19" t="s">
        <v>1932</v>
      </c>
      <c r="D19" t="s">
        <v>789</v>
      </c>
      <c r="E19" t="s">
        <v>2029</v>
      </c>
      <c r="F19" t="s">
        <v>2030</v>
      </c>
      <c r="G19" t="s">
        <v>1632</v>
      </c>
    </row>
    <row r="20" spans="2:7" x14ac:dyDescent="0.2">
      <c r="B20" t="s">
        <v>1753</v>
      </c>
      <c r="D20" t="s">
        <v>789</v>
      </c>
      <c r="E20" t="s">
        <v>2031</v>
      </c>
      <c r="F20" t="s">
        <v>2032</v>
      </c>
      <c r="G20" t="s">
        <v>1565</v>
      </c>
    </row>
    <row r="21" spans="2:7" x14ac:dyDescent="0.2">
      <c r="B21" t="s">
        <v>1933</v>
      </c>
      <c r="D21" t="s">
        <v>789</v>
      </c>
      <c r="E21" t="s">
        <v>2033</v>
      </c>
      <c r="F21" t="s">
        <v>2034</v>
      </c>
      <c r="G21" t="s">
        <v>1153</v>
      </c>
    </row>
    <row r="22" spans="2:7" x14ac:dyDescent="0.2">
      <c r="B22" t="s">
        <v>1934</v>
      </c>
      <c r="D22" t="s">
        <v>789</v>
      </c>
      <c r="E22" t="s">
        <v>2035</v>
      </c>
      <c r="F22" t="s">
        <v>2036</v>
      </c>
      <c r="G22" t="s">
        <v>1422</v>
      </c>
    </row>
    <row r="23" spans="2:7" x14ac:dyDescent="0.2">
      <c r="B23" t="s">
        <v>1935</v>
      </c>
      <c r="D23" t="s">
        <v>789</v>
      </c>
      <c r="E23" t="s">
        <v>1376</v>
      </c>
      <c r="F23" t="s">
        <v>2037</v>
      </c>
      <c r="G23" t="s">
        <v>840</v>
      </c>
    </row>
    <row r="24" spans="2:7" x14ac:dyDescent="0.2">
      <c r="B24" t="s">
        <v>1936</v>
      </c>
      <c r="D24" t="s">
        <v>789</v>
      </c>
      <c r="E24" t="s">
        <v>2038</v>
      </c>
      <c r="F24" t="s">
        <v>2039</v>
      </c>
      <c r="G24" t="s">
        <v>1714</v>
      </c>
    </row>
    <row r="25" spans="2:7" x14ac:dyDescent="0.2">
      <c r="B25" t="s">
        <v>1937</v>
      </c>
      <c r="D25" t="s">
        <v>789</v>
      </c>
      <c r="E25" t="s">
        <v>2040</v>
      </c>
      <c r="F25" t="s">
        <v>1913</v>
      </c>
      <c r="G25" t="s">
        <v>1382</v>
      </c>
    </row>
    <row r="26" spans="2:7" x14ac:dyDescent="0.2">
      <c r="B26" t="s">
        <v>1938</v>
      </c>
      <c r="D26" t="s">
        <v>789</v>
      </c>
      <c r="E26" t="s">
        <v>2041</v>
      </c>
      <c r="F26" t="s">
        <v>2042</v>
      </c>
      <c r="G26" t="s">
        <v>1592</v>
      </c>
    </row>
    <row r="27" spans="2:7" x14ac:dyDescent="0.2">
      <c r="B27" t="s">
        <v>805</v>
      </c>
      <c r="D27" t="s">
        <v>789</v>
      </c>
      <c r="E27" t="s">
        <v>2043</v>
      </c>
      <c r="F27" t="s">
        <v>2044</v>
      </c>
      <c r="G27" t="s">
        <v>1052</v>
      </c>
    </row>
    <row r="28" spans="2:7" x14ac:dyDescent="0.2">
      <c r="B28" t="s">
        <v>1939</v>
      </c>
      <c r="D28" t="s">
        <v>789</v>
      </c>
      <c r="E28" t="s">
        <v>2045</v>
      </c>
      <c r="F28" t="s">
        <v>2046</v>
      </c>
      <c r="G28" t="s">
        <v>1620</v>
      </c>
    </row>
    <row r="29" spans="2:7" x14ac:dyDescent="0.2">
      <c r="B29" t="s">
        <v>1940</v>
      </c>
      <c r="D29" t="s">
        <v>789</v>
      </c>
      <c r="E29" t="s">
        <v>2047</v>
      </c>
      <c r="F29" t="s">
        <v>2048</v>
      </c>
      <c r="G29" t="s">
        <v>817</v>
      </c>
    </row>
    <row r="30" spans="2:7" x14ac:dyDescent="0.2">
      <c r="B30" t="s">
        <v>1941</v>
      </c>
      <c r="D30" t="s">
        <v>789</v>
      </c>
      <c r="E30" t="s">
        <v>2049</v>
      </c>
      <c r="F30" t="s">
        <v>2050</v>
      </c>
      <c r="G30" t="s">
        <v>2051</v>
      </c>
    </row>
    <row r="31" spans="2:7" x14ac:dyDescent="0.2">
      <c r="B31" t="s">
        <v>1942</v>
      </c>
      <c r="D31" t="s">
        <v>789</v>
      </c>
      <c r="E31" t="s">
        <v>2052</v>
      </c>
      <c r="F31" t="s">
        <v>2053</v>
      </c>
      <c r="G31" t="s">
        <v>1674</v>
      </c>
    </row>
    <row r="32" spans="2:7" x14ac:dyDescent="0.2">
      <c r="B32" t="s">
        <v>920</v>
      </c>
      <c r="D32" t="s">
        <v>789</v>
      </c>
      <c r="E32" t="s">
        <v>867</v>
      </c>
      <c r="F32" t="s">
        <v>2054</v>
      </c>
      <c r="G32" t="s">
        <v>2055</v>
      </c>
    </row>
    <row r="33" spans="2:7" x14ac:dyDescent="0.2">
      <c r="B33" t="s">
        <v>1943</v>
      </c>
      <c r="D33" t="s">
        <v>789</v>
      </c>
      <c r="E33" t="s">
        <v>2056</v>
      </c>
      <c r="F33" t="s">
        <v>1042</v>
      </c>
      <c r="G33" t="s">
        <v>1054</v>
      </c>
    </row>
    <row r="34" spans="2:7" x14ac:dyDescent="0.2">
      <c r="B34" t="s">
        <v>1944</v>
      </c>
      <c r="D34" t="s">
        <v>789</v>
      </c>
      <c r="E34" t="s">
        <v>1618</v>
      </c>
      <c r="F34" t="s">
        <v>2057</v>
      </c>
      <c r="G34" t="s">
        <v>1079</v>
      </c>
    </row>
    <row r="35" spans="2:7" x14ac:dyDescent="0.2">
      <c r="B35" t="s">
        <v>1945</v>
      </c>
      <c r="D35" t="s">
        <v>789</v>
      </c>
      <c r="E35" t="s">
        <v>2058</v>
      </c>
      <c r="F35" t="s">
        <v>2059</v>
      </c>
      <c r="G35" t="s">
        <v>1165</v>
      </c>
    </row>
    <row r="36" spans="2:7" x14ac:dyDescent="0.2">
      <c r="B36" t="s">
        <v>1946</v>
      </c>
      <c r="D36" t="s">
        <v>789</v>
      </c>
      <c r="E36" t="s">
        <v>2060</v>
      </c>
      <c r="F36" t="s">
        <v>2061</v>
      </c>
      <c r="G36" t="s">
        <v>1035</v>
      </c>
    </row>
    <row r="37" spans="2:7" x14ac:dyDescent="0.2">
      <c r="B37" t="s">
        <v>1947</v>
      </c>
      <c r="D37" t="s">
        <v>789</v>
      </c>
      <c r="E37" t="s">
        <v>2062</v>
      </c>
      <c r="F37" t="s">
        <v>2063</v>
      </c>
      <c r="G37" t="s">
        <v>1165</v>
      </c>
    </row>
    <row r="38" spans="2:7" x14ac:dyDescent="0.2">
      <c r="B38" t="s">
        <v>1948</v>
      </c>
      <c r="D38" t="s">
        <v>789</v>
      </c>
      <c r="E38" t="s">
        <v>2064</v>
      </c>
      <c r="F38" t="s">
        <v>2065</v>
      </c>
      <c r="G38" t="s">
        <v>2066</v>
      </c>
    </row>
    <row r="39" spans="2:7" x14ac:dyDescent="0.2">
      <c r="B39" t="s">
        <v>1949</v>
      </c>
      <c r="D39" t="s">
        <v>789</v>
      </c>
      <c r="E39" t="s">
        <v>2067</v>
      </c>
      <c r="F39" t="s">
        <v>1582</v>
      </c>
      <c r="G39" t="s">
        <v>2068</v>
      </c>
    </row>
    <row r="40" spans="2:7" x14ac:dyDescent="0.2">
      <c r="B40" t="s">
        <v>1950</v>
      </c>
      <c r="D40" t="s">
        <v>789</v>
      </c>
      <c r="E40" t="s">
        <v>2069</v>
      </c>
      <c r="F40" t="s">
        <v>2070</v>
      </c>
      <c r="G40" t="s">
        <v>943</v>
      </c>
    </row>
    <row r="41" spans="2:7" x14ac:dyDescent="0.2">
      <c r="B41" t="s">
        <v>1951</v>
      </c>
      <c r="D41" t="s">
        <v>789</v>
      </c>
      <c r="E41" t="s">
        <v>2071</v>
      </c>
      <c r="F41" t="s">
        <v>2072</v>
      </c>
      <c r="G41" t="s">
        <v>948</v>
      </c>
    </row>
    <row r="42" spans="2:7" x14ac:dyDescent="0.2">
      <c r="B42" t="s">
        <v>1952</v>
      </c>
      <c r="D42" t="s">
        <v>789</v>
      </c>
      <c r="E42" t="s">
        <v>2073</v>
      </c>
      <c r="F42" t="s">
        <v>2074</v>
      </c>
      <c r="G42" t="s">
        <v>2075</v>
      </c>
    </row>
    <row r="43" spans="2:7" x14ac:dyDescent="0.2">
      <c r="B43" t="s">
        <v>1953</v>
      </c>
      <c r="D43" t="s">
        <v>789</v>
      </c>
      <c r="E43" t="s">
        <v>2076</v>
      </c>
      <c r="F43" t="s">
        <v>2077</v>
      </c>
      <c r="G43" t="s">
        <v>1545</v>
      </c>
    </row>
    <row r="44" spans="2:7" x14ac:dyDescent="0.2">
      <c r="B44" t="s">
        <v>1954</v>
      </c>
      <c r="D44" t="s">
        <v>789</v>
      </c>
      <c r="E44" t="s">
        <v>2078</v>
      </c>
      <c r="F44" t="s">
        <v>2079</v>
      </c>
      <c r="G44" t="s">
        <v>1414</v>
      </c>
    </row>
    <row r="45" spans="2:7" x14ac:dyDescent="0.2">
      <c r="B45" t="s">
        <v>1955</v>
      </c>
      <c r="D45" t="s">
        <v>789</v>
      </c>
      <c r="E45" t="s">
        <v>2080</v>
      </c>
      <c r="F45" t="s">
        <v>2004</v>
      </c>
      <c r="G45" t="s">
        <v>2044</v>
      </c>
    </row>
    <row r="46" spans="2:7" x14ac:dyDescent="0.2">
      <c r="B46" t="s">
        <v>1956</v>
      </c>
      <c r="D46" t="s">
        <v>789</v>
      </c>
      <c r="E46" t="s">
        <v>2081</v>
      </c>
      <c r="F46" t="s">
        <v>2082</v>
      </c>
      <c r="G46" t="s">
        <v>1070</v>
      </c>
    </row>
    <row r="47" spans="2:7" x14ac:dyDescent="0.2">
      <c r="B47" t="s">
        <v>1957</v>
      </c>
      <c r="D47" t="s">
        <v>789</v>
      </c>
      <c r="E47" t="s">
        <v>2083</v>
      </c>
      <c r="F47" t="s">
        <v>2084</v>
      </c>
      <c r="G47" t="s">
        <v>831</v>
      </c>
    </row>
    <row r="48" spans="2:7" x14ac:dyDescent="0.2">
      <c r="B48" t="s">
        <v>1043</v>
      </c>
      <c r="D48" t="s">
        <v>789</v>
      </c>
      <c r="E48" t="s">
        <v>2085</v>
      </c>
      <c r="F48" t="s">
        <v>2086</v>
      </c>
      <c r="G48" t="s">
        <v>2087</v>
      </c>
    </row>
    <row r="49" spans="2:7" x14ac:dyDescent="0.2">
      <c r="B49" t="s">
        <v>1958</v>
      </c>
      <c r="D49" t="s">
        <v>789</v>
      </c>
      <c r="E49" t="s">
        <v>2088</v>
      </c>
      <c r="F49" t="s">
        <v>2089</v>
      </c>
      <c r="G49" t="s">
        <v>2090</v>
      </c>
    </row>
    <row r="50" spans="2:7" x14ac:dyDescent="0.2">
      <c r="B50" t="s">
        <v>1959</v>
      </c>
      <c r="D50" t="s">
        <v>789</v>
      </c>
      <c r="E50" t="s">
        <v>2091</v>
      </c>
      <c r="F50" t="s">
        <v>2092</v>
      </c>
      <c r="G50" t="s">
        <v>935</v>
      </c>
    </row>
    <row r="51" spans="2:7" x14ac:dyDescent="0.2">
      <c r="B51" t="s">
        <v>1960</v>
      </c>
      <c r="D51" t="s">
        <v>789</v>
      </c>
      <c r="E51" t="s">
        <v>2093</v>
      </c>
      <c r="F51" t="s">
        <v>1710</v>
      </c>
      <c r="G51" t="s">
        <v>851</v>
      </c>
    </row>
    <row r="52" spans="2:7" x14ac:dyDescent="0.2">
      <c r="B52" t="s">
        <v>1961</v>
      </c>
      <c r="D52" t="s">
        <v>789</v>
      </c>
      <c r="E52" t="s">
        <v>2094</v>
      </c>
      <c r="F52" t="s">
        <v>2095</v>
      </c>
      <c r="G52" t="s">
        <v>2096</v>
      </c>
    </row>
    <row r="53" spans="2:7" x14ac:dyDescent="0.2">
      <c r="B53" t="s">
        <v>1962</v>
      </c>
      <c r="D53" t="s">
        <v>789</v>
      </c>
      <c r="E53" t="s">
        <v>2097</v>
      </c>
      <c r="F53" t="s">
        <v>2098</v>
      </c>
      <c r="G53" t="s">
        <v>2099</v>
      </c>
    </row>
    <row r="54" spans="2:7" x14ac:dyDescent="0.2">
      <c r="B54" t="s">
        <v>1963</v>
      </c>
      <c r="D54" t="s">
        <v>789</v>
      </c>
      <c r="E54" t="s">
        <v>2100</v>
      </c>
      <c r="F54" t="s">
        <v>2101</v>
      </c>
      <c r="G54" t="s">
        <v>829</v>
      </c>
    </row>
    <row r="55" spans="2:7" x14ac:dyDescent="0.2">
      <c r="B55" t="s">
        <v>1964</v>
      </c>
      <c r="D55" t="s">
        <v>789</v>
      </c>
      <c r="E55" t="s">
        <v>2102</v>
      </c>
      <c r="F55" t="s">
        <v>2103</v>
      </c>
      <c r="G55" t="s">
        <v>943</v>
      </c>
    </row>
    <row r="56" spans="2:7" x14ac:dyDescent="0.2">
      <c r="B56" t="s">
        <v>1965</v>
      </c>
      <c r="D56" t="s">
        <v>789</v>
      </c>
      <c r="E56" t="s">
        <v>2104</v>
      </c>
      <c r="F56" t="s">
        <v>2105</v>
      </c>
      <c r="G56" t="s">
        <v>942</v>
      </c>
    </row>
    <row r="57" spans="2:7" x14ac:dyDescent="0.2">
      <c r="B57" t="s">
        <v>1966</v>
      </c>
      <c r="D57" t="s">
        <v>789</v>
      </c>
      <c r="E57" t="s">
        <v>2106</v>
      </c>
      <c r="F57" t="s">
        <v>2107</v>
      </c>
      <c r="G57" t="s">
        <v>961</v>
      </c>
    </row>
    <row r="58" spans="2:7" x14ac:dyDescent="0.2">
      <c r="B58" t="s">
        <v>1967</v>
      </c>
      <c r="D58" t="s">
        <v>789</v>
      </c>
      <c r="E58" t="s">
        <v>2108</v>
      </c>
      <c r="F58" t="s">
        <v>2109</v>
      </c>
      <c r="G58" t="s">
        <v>2110</v>
      </c>
    </row>
    <row r="59" spans="2:7" x14ac:dyDescent="0.2">
      <c r="B59" t="s">
        <v>1968</v>
      </c>
      <c r="D59" t="s">
        <v>789</v>
      </c>
      <c r="E59" t="s">
        <v>2111</v>
      </c>
      <c r="F59" t="s">
        <v>2112</v>
      </c>
      <c r="G59" t="s">
        <v>2113</v>
      </c>
    </row>
    <row r="60" spans="2:7" x14ac:dyDescent="0.2">
      <c r="B60" t="s">
        <v>1969</v>
      </c>
      <c r="D60" t="s">
        <v>789</v>
      </c>
      <c r="E60" t="s">
        <v>2114</v>
      </c>
      <c r="F60" t="s">
        <v>2115</v>
      </c>
      <c r="G60" t="s">
        <v>869</v>
      </c>
    </row>
    <row r="61" spans="2:7" x14ac:dyDescent="0.2">
      <c r="B61" t="s">
        <v>1970</v>
      </c>
      <c r="D61" t="s">
        <v>789</v>
      </c>
      <c r="E61" t="s">
        <v>2116</v>
      </c>
      <c r="F61" t="s">
        <v>2117</v>
      </c>
      <c r="G61" t="s">
        <v>2118</v>
      </c>
    </row>
    <row r="62" spans="2:7" x14ac:dyDescent="0.2">
      <c r="B62" t="s">
        <v>1971</v>
      </c>
      <c r="D62" t="s">
        <v>789</v>
      </c>
      <c r="E62" t="s">
        <v>2119</v>
      </c>
      <c r="F62" t="s">
        <v>2120</v>
      </c>
      <c r="G62" t="s">
        <v>2110</v>
      </c>
    </row>
    <row r="63" spans="2:7" x14ac:dyDescent="0.2">
      <c r="B63" t="s">
        <v>1972</v>
      </c>
      <c r="D63" t="s">
        <v>789</v>
      </c>
      <c r="E63" t="s">
        <v>2121</v>
      </c>
      <c r="F63" t="s">
        <v>804</v>
      </c>
      <c r="G63" t="s">
        <v>860</v>
      </c>
    </row>
    <row r="64" spans="2:7" x14ac:dyDescent="0.2">
      <c r="B64" t="s">
        <v>1973</v>
      </c>
      <c r="D64" t="s">
        <v>789</v>
      </c>
      <c r="E64" t="s">
        <v>2122</v>
      </c>
      <c r="F64" t="s">
        <v>2123</v>
      </c>
      <c r="G64" t="s">
        <v>797</v>
      </c>
    </row>
    <row r="65" spans="2:7" x14ac:dyDescent="0.2">
      <c r="B65" t="s">
        <v>1974</v>
      </c>
      <c r="D65" t="s">
        <v>789</v>
      </c>
      <c r="E65" t="s">
        <v>2124</v>
      </c>
      <c r="F65" t="s">
        <v>2125</v>
      </c>
      <c r="G65" t="s">
        <v>1410</v>
      </c>
    </row>
    <row r="66" spans="2:7" x14ac:dyDescent="0.2">
      <c r="B66" t="s">
        <v>1975</v>
      </c>
      <c r="D66" t="s">
        <v>789</v>
      </c>
      <c r="E66" t="s">
        <v>2126</v>
      </c>
      <c r="F66" t="s">
        <v>2127</v>
      </c>
      <c r="G66" t="s">
        <v>2128</v>
      </c>
    </row>
    <row r="67" spans="2:7" x14ac:dyDescent="0.2">
      <c r="B67" t="s">
        <v>1976</v>
      </c>
      <c r="D67" t="s">
        <v>789</v>
      </c>
      <c r="E67" t="s">
        <v>2129</v>
      </c>
      <c r="F67" t="s">
        <v>2130</v>
      </c>
      <c r="G67" t="s">
        <v>1548</v>
      </c>
    </row>
    <row r="68" spans="2:7" x14ac:dyDescent="0.2">
      <c r="B68" t="s">
        <v>1133</v>
      </c>
      <c r="D68" t="s">
        <v>789</v>
      </c>
      <c r="E68" t="s">
        <v>2131</v>
      </c>
      <c r="F68" t="s">
        <v>2132</v>
      </c>
      <c r="G68" t="s">
        <v>2133</v>
      </c>
    </row>
    <row r="69" spans="2:7" x14ac:dyDescent="0.2">
      <c r="B69" t="s">
        <v>1977</v>
      </c>
      <c r="D69" t="s">
        <v>789</v>
      </c>
      <c r="E69" t="s">
        <v>2134</v>
      </c>
      <c r="F69" t="s">
        <v>2135</v>
      </c>
      <c r="G69" t="s">
        <v>1006</v>
      </c>
    </row>
    <row r="70" spans="2:7" x14ac:dyDescent="0.2">
      <c r="B70" t="s">
        <v>1978</v>
      </c>
      <c r="D70" t="s">
        <v>789</v>
      </c>
      <c r="E70" t="s">
        <v>2136</v>
      </c>
      <c r="F70" t="s">
        <v>2137</v>
      </c>
      <c r="G70" t="s">
        <v>2138</v>
      </c>
    </row>
    <row r="71" spans="2:7" x14ac:dyDescent="0.2">
      <c r="B71" t="s">
        <v>1334</v>
      </c>
      <c r="D71" t="s">
        <v>789</v>
      </c>
      <c r="E71" t="s">
        <v>2139</v>
      </c>
      <c r="F71" t="s">
        <v>2140</v>
      </c>
      <c r="G71" t="s">
        <v>1686</v>
      </c>
    </row>
    <row r="72" spans="2:7" x14ac:dyDescent="0.2">
      <c r="B72" t="s">
        <v>1979</v>
      </c>
      <c r="D72" t="s">
        <v>789</v>
      </c>
      <c r="E72" t="s">
        <v>807</v>
      </c>
      <c r="F72" t="s">
        <v>2141</v>
      </c>
      <c r="G72" t="s">
        <v>804</v>
      </c>
    </row>
    <row r="73" spans="2:7" x14ac:dyDescent="0.2">
      <c r="B73" t="s">
        <v>1980</v>
      </c>
      <c r="D73" t="s">
        <v>789</v>
      </c>
      <c r="E73" t="s">
        <v>2142</v>
      </c>
      <c r="F73" t="s">
        <v>905</v>
      </c>
      <c r="G73" t="s">
        <v>1389</v>
      </c>
    </row>
    <row r="74" spans="2:7" x14ac:dyDescent="0.2">
      <c r="B74" t="s">
        <v>1981</v>
      </c>
      <c r="D74" t="s">
        <v>789</v>
      </c>
      <c r="E74" t="s">
        <v>2143</v>
      </c>
      <c r="F74" t="s">
        <v>1051</v>
      </c>
      <c r="G74" t="s">
        <v>2144</v>
      </c>
    </row>
    <row r="75" spans="2:7" x14ac:dyDescent="0.2">
      <c r="B75" t="s">
        <v>1982</v>
      </c>
      <c r="D75" t="s">
        <v>789</v>
      </c>
      <c r="E75" t="s">
        <v>2145</v>
      </c>
      <c r="F75" t="s">
        <v>2146</v>
      </c>
      <c r="G75" t="s">
        <v>938</v>
      </c>
    </row>
    <row r="76" spans="2:7" x14ac:dyDescent="0.2">
      <c r="B76" t="s">
        <v>1983</v>
      </c>
      <c r="D76" t="s">
        <v>789</v>
      </c>
      <c r="E76" t="s">
        <v>2147</v>
      </c>
      <c r="F76" t="s">
        <v>2148</v>
      </c>
      <c r="G76" t="s">
        <v>1382</v>
      </c>
    </row>
    <row r="77" spans="2:7" x14ac:dyDescent="0.2">
      <c r="B77" t="s">
        <v>1984</v>
      </c>
      <c r="D77" t="s">
        <v>789</v>
      </c>
      <c r="E77" t="s">
        <v>2149</v>
      </c>
      <c r="F77" t="s">
        <v>2150</v>
      </c>
      <c r="G77" t="s">
        <v>953</v>
      </c>
    </row>
    <row r="78" spans="2:7" x14ac:dyDescent="0.2">
      <c r="B78" t="s">
        <v>1985</v>
      </c>
      <c r="D78" t="s">
        <v>789</v>
      </c>
      <c r="E78" t="s">
        <v>2151</v>
      </c>
      <c r="F78" t="s">
        <v>2152</v>
      </c>
      <c r="G78" t="s">
        <v>1592</v>
      </c>
    </row>
    <row r="79" spans="2:7" x14ac:dyDescent="0.2">
      <c r="B79" t="s">
        <v>1986</v>
      </c>
      <c r="D79" t="s">
        <v>789</v>
      </c>
      <c r="E79" t="s">
        <v>1419</v>
      </c>
      <c r="F79" t="s">
        <v>2153</v>
      </c>
      <c r="G79" t="s">
        <v>1684</v>
      </c>
    </row>
    <row r="80" spans="2:7" x14ac:dyDescent="0.2">
      <c r="B80" t="s">
        <v>1987</v>
      </c>
      <c r="D80" t="s">
        <v>789</v>
      </c>
      <c r="E80" t="s">
        <v>2154</v>
      </c>
      <c r="F80" t="s">
        <v>2155</v>
      </c>
      <c r="G80" t="s">
        <v>1590</v>
      </c>
    </row>
    <row r="81" spans="2:7" x14ac:dyDescent="0.2">
      <c r="B81" t="s">
        <v>1988</v>
      </c>
      <c r="D81" t="s">
        <v>789</v>
      </c>
      <c r="E81" t="s">
        <v>2156</v>
      </c>
      <c r="F81" t="s">
        <v>2157</v>
      </c>
      <c r="G81" t="s">
        <v>2158</v>
      </c>
    </row>
    <row r="82" spans="2:7" x14ac:dyDescent="0.2">
      <c r="B82" t="s">
        <v>1989</v>
      </c>
      <c r="D82" t="s">
        <v>789</v>
      </c>
      <c r="E82" t="s">
        <v>2159</v>
      </c>
      <c r="F82" t="s">
        <v>2160</v>
      </c>
      <c r="G82" t="s">
        <v>1505</v>
      </c>
    </row>
    <row r="83" spans="2:7" x14ac:dyDescent="0.2">
      <c r="B83" t="s">
        <v>1990</v>
      </c>
      <c r="D83" t="s">
        <v>789</v>
      </c>
      <c r="E83" t="s">
        <v>2161</v>
      </c>
      <c r="F83" t="s">
        <v>896</v>
      </c>
      <c r="G83" t="s">
        <v>957</v>
      </c>
    </row>
  </sheetData>
  <autoFilter ref="A1:G83" xr:uid="{9F268EE0-ED4E-D644-BE8D-3406977144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A5" sqref="A5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2162</v>
      </c>
      <c r="C2" t="s">
        <v>1733</v>
      </c>
      <c r="D2" t="s">
        <v>2842</v>
      </c>
      <c r="E2" t="s">
        <v>2843</v>
      </c>
      <c r="F2" t="s">
        <v>2844</v>
      </c>
    </row>
    <row r="3" spans="1:6" x14ac:dyDescent="0.2">
      <c r="A3" t="s">
        <v>2163</v>
      </c>
      <c r="C3" t="s">
        <v>1733</v>
      </c>
      <c r="D3" t="s">
        <v>2845</v>
      </c>
      <c r="E3" t="s">
        <v>2846</v>
      </c>
      <c r="F3" t="s">
        <v>2847</v>
      </c>
    </row>
    <row r="4" spans="1:6" x14ac:dyDescent="0.2">
      <c r="A4" t="s">
        <v>2164</v>
      </c>
      <c r="C4" t="s">
        <v>1733</v>
      </c>
      <c r="D4" t="s">
        <v>2848</v>
      </c>
      <c r="E4" t="s">
        <v>2849</v>
      </c>
      <c r="F4" t="s">
        <v>2850</v>
      </c>
    </row>
    <row r="5" spans="1:6" x14ac:dyDescent="0.2">
      <c r="A5" t="s">
        <v>2165</v>
      </c>
      <c r="C5" t="s">
        <v>1733</v>
      </c>
      <c r="D5" t="s">
        <v>1896</v>
      </c>
      <c r="E5" t="s">
        <v>2851</v>
      </c>
      <c r="F5" t="s">
        <v>2852</v>
      </c>
    </row>
    <row r="6" spans="1:6" x14ac:dyDescent="0.2">
      <c r="A6" t="s">
        <v>2166</v>
      </c>
      <c r="C6" t="s">
        <v>1733</v>
      </c>
      <c r="D6" t="s">
        <v>1875</v>
      </c>
      <c r="E6" t="s">
        <v>2853</v>
      </c>
      <c r="F6" t="s">
        <v>2854</v>
      </c>
    </row>
    <row r="7" spans="1:6" x14ac:dyDescent="0.2">
      <c r="A7" t="s">
        <v>2167</v>
      </c>
      <c r="C7" t="s">
        <v>1733</v>
      </c>
      <c r="D7" t="s">
        <v>2855</v>
      </c>
      <c r="E7" t="s">
        <v>2856</v>
      </c>
      <c r="F7" t="s">
        <v>2857</v>
      </c>
    </row>
    <row r="8" spans="1:6" x14ac:dyDescent="0.2">
      <c r="A8" t="s">
        <v>2168</v>
      </c>
      <c r="C8" t="s">
        <v>1733</v>
      </c>
      <c r="D8" t="s">
        <v>2858</v>
      </c>
      <c r="E8" t="s">
        <v>2859</v>
      </c>
      <c r="F8" t="s">
        <v>2860</v>
      </c>
    </row>
    <row r="9" spans="1:6" x14ac:dyDescent="0.2">
      <c r="A9" t="s">
        <v>2169</v>
      </c>
      <c r="C9" t="s">
        <v>1733</v>
      </c>
      <c r="D9" t="s">
        <v>2861</v>
      </c>
      <c r="E9" t="s">
        <v>2862</v>
      </c>
      <c r="F9" t="s">
        <v>2863</v>
      </c>
    </row>
    <row r="10" spans="1:6" x14ac:dyDescent="0.2">
      <c r="A10" t="s">
        <v>2170</v>
      </c>
      <c r="C10" t="s">
        <v>1733</v>
      </c>
      <c r="D10" t="s">
        <v>2864</v>
      </c>
      <c r="E10" t="s">
        <v>2865</v>
      </c>
      <c r="F10" t="s">
        <v>2863</v>
      </c>
    </row>
    <row r="11" spans="1:6" x14ac:dyDescent="0.2">
      <c r="A11" t="s">
        <v>2171</v>
      </c>
      <c r="C11" t="s">
        <v>789</v>
      </c>
      <c r="D11" t="s">
        <v>2866</v>
      </c>
      <c r="E11" t="s">
        <v>2867</v>
      </c>
      <c r="F11" t="s">
        <v>2868</v>
      </c>
    </row>
    <row r="12" spans="1:6" x14ac:dyDescent="0.2">
      <c r="A12" t="s">
        <v>2172</v>
      </c>
      <c r="C12" t="s">
        <v>1733</v>
      </c>
      <c r="D12" t="s">
        <v>2869</v>
      </c>
      <c r="E12" t="s">
        <v>2870</v>
      </c>
      <c r="F12" t="s">
        <v>2871</v>
      </c>
    </row>
    <row r="13" spans="1:6" x14ac:dyDescent="0.2">
      <c r="A13" t="s">
        <v>2173</v>
      </c>
      <c r="C13" t="s">
        <v>789</v>
      </c>
      <c r="D13" t="s">
        <v>2872</v>
      </c>
      <c r="E13" t="s">
        <v>2873</v>
      </c>
      <c r="F13" t="s">
        <v>2868</v>
      </c>
    </row>
    <row r="14" spans="1:6" x14ac:dyDescent="0.2">
      <c r="A14" t="s">
        <v>1918</v>
      </c>
      <c r="C14" t="s">
        <v>789</v>
      </c>
      <c r="D14" t="s">
        <v>2874</v>
      </c>
      <c r="E14" t="s">
        <v>2875</v>
      </c>
      <c r="F14" t="s">
        <v>1394</v>
      </c>
    </row>
    <row r="15" spans="1:6" x14ac:dyDescent="0.2">
      <c r="A15" t="s">
        <v>2174</v>
      </c>
      <c r="C15" t="s">
        <v>789</v>
      </c>
      <c r="D15" t="s">
        <v>2876</v>
      </c>
      <c r="E15" t="s">
        <v>2877</v>
      </c>
      <c r="F15" t="s">
        <v>2878</v>
      </c>
    </row>
    <row r="16" spans="1:6" x14ac:dyDescent="0.2">
      <c r="A16" t="s">
        <v>2175</v>
      </c>
      <c r="C16" t="s">
        <v>789</v>
      </c>
      <c r="D16" t="s">
        <v>2879</v>
      </c>
      <c r="E16" t="s">
        <v>2880</v>
      </c>
      <c r="F16" t="s">
        <v>2881</v>
      </c>
    </row>
    <row r="17" spans="1:6" x14ac:dyDescent="0.2">
      <c r="A17" t="s">
        <v>1219</v>
      </c>
      <c r="C17" t="s">
        <v>789</v>
      </c>
      <c r="D17" t="s">
        <v>2882</v>
      </c>
      <c r="E17" t="s">
        <v>2883</v>
      </c>
      <c r="F17" t="s">
        <v>1369</v>
      </c>
    </row>
    <row r="18" spans="1:6" x14ac:dyDescent="0.2">
      <c r="A18" t="s">
        <v>1221</v>
      </c>
      <c r="C18" t="s">
        <v>789</v>
      </c>
      <c r="D18" t="s">
        <v>2884</v>
      </c>
      <c r="E18" t="s">
        <v>1371</v>
      </c>
      <c r="F18" t="s">
        <v>2885</v>
      </c>
    </row>
    <row r="19" spans="1:6" x14ac:dyDescent="0.2">
      <c r="A19" t="s">
        <v>2176</v>
      </c>
      <c r="C19" t="s">
        <v>789</v>
      </c>
      <c r="D19" t="s">
        <v>2886</v>
      </c>
      <c r="E19" t="s">
        <v>2887</v>
      </c>
      <c r="F19" t="s">
        <v>2868</v>
      </c>
    </row>
    <row r="20" spans="1:6" x14ac:dyDescent="0.2">
      <c r="A20" t="s">
        <v>782</v>
      </c>
      <c r="C20" t="s">
        <v>789</v>
      </c>
      <c r="D20" t="s">
        <v>2888</v>
      </c>
      <c r="E20" t="s">
        <v>1527</v>
      </c>
      <c r="F20" t="s">
        <v>2868</v>
      </c>
    </row>
    <row r="21" spans="1:6" x14ac:dyDescent="0.2">
      <c r="A21" t="s">
        <v>2177</v>
      </c>
      <c r="C21" t="s">
        <v>1733</v>
      </c>
      <c r="D21" t="s">
        <v>2889</v>
      </c>
      <c r="E21" t="s">
        <v>2890</v>
      </c>
      <c r="F21" t="s">
        <v>2891</v>
      </c>
    </row>
    <row r="22" spans="1:6" x14ac:dyDescent="0.2">
      <c r="A22" t="s">
        <v>2178</v>
      </c>
      <c r="C22" t="s">
        <v>789</v>
      </c>
      <c r="D22" t="s">
        <v>2892</v>
      </c>
      <c r="E22" t="s">
        <v>2893</v>
      </c>
      <c r="F22" t="s">
        <v>1040</v>
      </c>
    </row>
    <row r="23" spans="1:6" x14ac:dyDescent="0.2">
      <c r="A23" t="s">
        <v>786</v>
      </c>
      <c r="C23" t="s">
        <v>789</v>
      </c>
      <c r="D23" t="s">
        <v>2894</v>
      </c>
      <c r="E23" t="s">
        <v>2895</v>
      </c>
      <c r="F23" t="s">
        <v>2868</v>
      </c>
    </row>
    <row r="24" spans="1:6" x14ac:dyDescent="0.2">
      <c r="A24" t="s">
        <v>2179</v>
      </c>
      <c r="C24" t="s">
        <v>783</v>
      </c>
      <c r="D24" t="s">
        <v>2896</v>
      </c>
      <c r="E24" t="s">
        <v>2897</v>
      </c>
      <c r="F24" t="s">
        <v>2898</v>
      </c>
    </row>
    <row r="25" spans="1:6" x14ac:dyDescent="0.2">
      <c r="A25" t="s">
        <v>2180</v>
      </c>
      <c r="C25" t="s">
        <v>789</v>
      </c>
      <c r="D25" t="s">
        <v>2899</v>
      </c>
      <c r="E25" t="s">
        <v>2900</v>
      </c>
      <c r="F25" t="s">
        <v>2901</v>
      </c>
    </row>
    <row r="26" spans="1:6" x14ac:dyDescent="0.2">
      <c r="A26" t="s">
        <v>2181</v>
      </c>
      <c r="C26" t="s">
        <v>789</v>
      </c>
      <c r="D26" t="s">
        <v>2902</v>
      </c>
      <c r="E26" t="s">
        <v>2903</v>
      </c>
      <c r="F26" t="s">
        <v>2868</v>
      </c>
    </row>
    <row r="27" spans="1:6" x14ac:dyDescent="0.2">
      <c r="A27" t="s">
        <v>2182</v>
      </c>
      <c r="C27" t="s">
        <v>789</v>
      </c>
      <c r="D27" t="s">
        <v>2904</v>
      </c>
      <c r="E27" t="s">
        <v>2905</v>
      </c>
      <c r="F27" t="s">
        <v>2868</v>
      </c>
    </row>
    <row r="28" spans="1:6" x14ac:dyDescent="0.2">
      <c r="A28" t="s">
        <v>1222</v>
      </c>
      <c r="C28" t="s">
        <v>789</v>
      </c>
      <c r="D28" t="s">
        <v>2906</v>
      </c>
      <c r="E28" t="s">
        <v>1372</v>
      </c>
      <c r="F28" t="s">
        <v>1373</v>
      </c>
    </row>
    <row r="29" spans="1:6" x14ac:dyDescent="0.2">
      <c r="A29" t="s">
        <v>2183</v>
      </c>
      <c r="C29" t="s">
        <v>789</v>
      </c>
      <c r="D29" t="s">
        <v>2907</v>
      </c>
      <c r="E29" t="s">
        <v>883</v>
      </c>
      <c r="F29" t="s">
        <v>2908</v>
      </c>
    </row>
    <row r="30" spans="1:6" x14ac:dyDescent="0.2">
      <c r="A30" t="s">
        <v>1223</v>
      </c>
      <c r="C30" t="s">
        <v>789</v>
      </c>
      <c r="D30" t="s">
        <v>1374</v>
      </c>
      <c r="E30" t="s">
        <v>1375</v>
      </c>
      <c r="F30" t="s">
        <v>1376</v>
      </c>
    </row>
    <row r="31" spans="1:6" x14ac:dyDescent="0.2">
      <c r="A31" t="s">
        <v>2184</v>
      </c>
      <c r="C31" t="s">
        <v>1733</v>
      </c>
      <c r="D31" t="s">
        <v>2909</v>
      </c>
      <c r="E31" t="s">
        <v>2910</v>
      </c>
      <c r="F31" t="s">
        <v>2911</v>
      </c>
    </row>
    <row r="32" spans="1:6" x14ac:dyDescent="0.2">
      <c r="A32" t="s">
        <v>1224</v>
      </c>
      <c r="C32" t="s">
        <v>789</v>
      </c>
      <c r="D32" t="s">
        <v>1377</v>
      </c>
      <c r="E32" t="s">
        <v>2912</v>
      </c>
      <c r="F32" t="s">
        <v>2913</v>
      </c>
    </row>
    <row r="33" spans="1:6" x14ac:dyDescent="0.2">
      <c r="A33" t="s">
        <v>2185</v>
      </c>
      <c r="C33" t="s">
        <v>783</v>
      </c>
      <c r="D33" t="s">
        <v>2914</v>
      </c>
      <c r="E33" t="s">
        <v>2915</v>
      </c>
      <c r="F33" t="s">
        <v>928</v>
      </c>
    </row>
    <row r="34" spans="1:6" x14ac:dyDescent="0.2">
      <c r="A34" t="s">
        <v>2186</v>
      </c>
      <c r="C34" t="s">
        <v>789</v>
      </c>
      <c r="D34" t="s">
        <v>2916</v>
      </c>
      <c r="E34" t="s">
        <v>2917</v>
      </c>
      <c r="F34" t="s">
        <v>2918</v>
      </c>
    </row>
    <row r="35" spans="1:6" x14ac:dyDescent="0.2">
      <c r="A35" t="s">
        <v>1225</v>
      </c>
      <c r="C35" t="s">
        <v>789</v>
      </c>
      <c r="D35" t="s">
        <v>2916</v>
      </c>
      <c r="E35" t="s">
        <v>1381</v>
      </c>
      <c r="F35" t="s">
        <v>822</v>
      </c>
    </row>
    <row r="36" spans="1:6" x14ac:dyDescent="0.2">
      <c r="A36" t="s">
        <v>2187</v>
      </c>
      <c r="C36" t="s">
        <v>1733</v>
      </c>
      <c r="D36" t="s">
        <v>2919</v>
      </c>
      <c r="E36" t="s">
        <v>2920</v>
      </c>
      <c r="F36" t="s">
        <v>2921</v>
      </c>
    </row>
    <row r="37" spans="1:6" x14ac:dyDescent="0.2">
      <c r="A37" t="s">
        <v>1226</v>
      </c>
      <c r="C37" t="s">
        <v>789</v>
      </c>
      <c r="D37" t="s">
        <v>2922</v>
      </c>
      <c r="E37" t="s">
        <v>1384</v>
      </c>
      <c r="F37" t="s">
        <v>2055</v>
      </c>
    </row>
    <row r="38" spans="1:6" x14ac:dyDescent="0.2">
      <c r="A38" t="s">
        <v>2188</v>
      </c>
      <c r="C38" t="s">
        <v>789</v>
      </c>
      <c r="D38" t="s">
        <v>2923</v>
      </c>
      <c r="E38" t="s">
        <v>2924</v>
      </c>
      <c r="F38" t="s">
        <v>2868</v>
      </c>
    </row>
    <row r="39" spans="1:6" x14ac:dyDescent="0.2">
      <c r="A39" t="s">
        <v>2189</v>
      </c>
      <c r="C39" t="s">
        <v>789</v>
      </c>
      <c r="D39" t="s">
        <v>2925</v>
      </c>
      <c r="E39" t="s">
        <v>2926</v>
      </c>
      <c r="F39" t="s">
        <v>2868</v>
      </c>
    </row>
    <row r="40" spans="1:6" x14ac:dyDescent="0.2">
      <c r="A40" t="s">
        <v>1919</v>
      </c>
      <c r="C40" t="s">
        <v>789</v>
      </c>
      <c r="D40" t="s">
        <v>2927</v>
      </c>
      <c r="E40" t="s">
        <v>2928</v>
      </c>
      <c r="F40" t="s">
        <v>2868</v>
      </c>
    </row>
    <row r="41" spans="1:6" x14ac:dyDescent="0.2">
      <c r="A41" t="s">
        <v>2190</v>
      </c>
      <c r="C41" t="s">
        <v>1733</v>
      </c>
      <c r="D41" t="s">
        <v>2927</v>
      </c>
      <c r="E41" t="s">
        <v>2929</v>
      </c>
      <c r="F41" t="s">
        <v>1047</v>
      </c>
    </row>
    <row r="42" spans="1:6" x14ac:dyDescent="0.2">
      <c r="A42" t="s">
        <v>2191</v>
      </c>
      <c r="C42" t="s">
        <v>789</v>
      </c>
      <c r="D42" t="s">
        <v>2930</v>
      </c>
      <c r="E42" t="s">
        <v>2931</v>
      </c>
      <c r="F42" t="s">
        <v>1502</v>
      </c>
    </row>
    <row r="43" spans="1:6" x14ac:dyDescent="0.2">
      <c r="A43" t="s">
        <v>2192</v>
      </c>
      <c r="C43" t="s">
        <v>789</v>
      </c>
      <c r="D43" t="s">
        <v>2932</v>
      </c>
      <c r="E43" t="s">
        <v>2933</v>
      </c>
      <c r="F43" t="s">
        <v>2868</v>
      </c>
    </row>
    <row r="44" spans="1:6" x14ac:dyDescent="0.2">
      <c r="A44" t="s">
        <v>2193</v>
      </c>
      <c r="C44" t="s">
        <v>789</v>
      </c>
      <c r="D44" t="s">
        <v>2934</v>
      </c>
      <c r="E44" t="s">
        <v>2935</v>
      </c>
      <c r="F44" t="s">
        <v>832</v>
      </c>
    </row>
    <row r="45" spans="1:6" x14ac:dyDescent="0.2">
      <c r="A45" t="s">
        <v>2194</v>
      </c>
      <c r="C45" t="s">
        <v>789</v>
      </c>
      <c r="D45" t="s">
        <v>2936</v>
      </c>
      <c r="E45" t="s">
        <v>1910</v>
      </c>
      <c r="F45" t="s">
        <v>957</v>
      </c>
    </row>
    <row r="46" spans="1:6" x14ac:dyDescent="0.2">
      <c r="A46" t="s">
        <v>2195</v>
      </c>
      <c r="C46" t="s">
        <v>789</v>
      </c>
      <c r="D46" t="s">
        <v>2937</v>
      </c>
      <c r="E46" t="s">
        <v>2938</v>
      </c>
      <c r="F46" t="s">
        <v>2868</v>
      </c>
    </row>
    <row r="47" spans="1:6" x14ac:dyDescent="0.2">
      <c r="A47" t="s">
        <v>2196</v>
      </c>
      <c r="C47" t="s">
        <v>789</v>
      </c>
      <c r="D47" t="s">
        <v>2939</v>
      </c>
      <c r="E47" t="s">
        <v>2940</v>
      </c>
      <c r="F47" t="s">
        <v>1571</v>
      </c>
    </row>
    <row r="48" spans="1:6" x14ac:dyDescent="0.2">
      <c r="A48" t="s">
        <v>1920</v>
      </c>
      <c r="C48" t="s">
        <v>789</v>
      </c>
      <c r="D48" t="s">
        <v>2941</v>
      </c>
      <c r="E48" t="s">
        <v>2942</v>
      </c>
      <c r="F48" t="s">
        <v>2868</v>
      </c>
    </row>
    <row r="49" spans="1:6" x14ac:dyDescent="0.2">
      <c r="A49" t="s">
        <v>2197</v>
      </c>
      <c r="C49" t="s">
        <v>789</v>
      </c>
      <c r="D49" t="s">
        <v>2943</v>
      </c>
      <c r="E49" t="s">
        <v>2944</v>
      </c>
      <c r="F49" t="s">
        <v>2868</v>
      </c>
    </row>
    <row r="50" spans="1:6" x14ac:dyDescent="0.2">
      <c r="A50" t="s">
        <v>1227</v>
      </c>
      <c r="C50" t="s">
        <v>789</v>
      </c>
      <c r="D50" t="s">
        <v>1386</v>
      </c>
      <c r="E50" t="s">
        <v>1387</v>
      </c>
      <c r="F50" t="s">
        <v>2099</v>
      </c>
    </row>
    <row r="51" spans="1:6" x14ac:dyDescent="0.2">
      <c r="A51" t="s">
        <v>2198</v>
      </c>
      <c r="C51" t="s">
        <v>789</v>
      </c>
      <c r="D51" t="s">
        <v>2945</v>
      </c>
      <c r="E51" t="s">
        <v>2946</v>
      </c>
      <c r="F51" t="s">
        <v>2868</v>
      </c>
    </row>
    <row r="52" spans="1:6" x14ac:dyDescent="0.2">
      <c r="A52" t="s">
        <v>2199</v>
      </c>
      <c r="C52" t="s">
        <v>789</v>
      </c>
      <c r="D52" t="s">
        <v>2947</v>
      </c>
      <c r="E52" t="s">
        <v>2948</v>
      </c>
      <c r="F52" t="s">
        <v>2868</v>
      </c>
    </row>
    <row r="53" spans="1:6" x14ac:dyDescent="0.2">
      <c r="A53" t="s">
        <v>2200</v>
      </c>
      <c r="C53" t="s">
        <v>789</v>
      </c>
      <c r="D53" t="s">
        <v>1188</v>
      </c>
      <c r="E53" t="s">
        <v>1052</v>
      </c>
      <c r="F53" t="s">
        <v>820</v>
      </c>
    </row>
    <row r="54" spans="1:6" x14ac:dyDescent="0.2">
      <c r="A54" t="s">
        <v>2201</v>
      </c>
      <c r="C54" t="s">
        <v>789</v>
      </c>
      <c r="D54" t="s">
        <v>2949</v>
      </c>
      <c r="E54" t="s">
        <v>2950</v>
      </c>
      <c r="F54" t="s">
        <v>2868</v>
      </c>
    </row>
    <row r="55" spans="1:6" x14ac:dyDescent="0.2">
      <c r="A55" t="s">
        <v>2202</v>
      </c>
      <c r="C55" t="s">
        <v>789</v>
      </c>
      <c r="D55" t="s">
        <v>2951</v>
      </c>
      <c r="E55" t="s">
        <v>1559</v>
      </c>
      <c r="F55" t="s">
        <v>2868</v>
      </c>
    </row>
    <row r="56" spans="1:6" x14ac:dyDescent="0.2">
      <c r="A56" t="s">
        <v>2203</v>
      </c>
      <c r="C56" t="s">
        <v>789</v>
      </c>
      <c r="D56" t="s">
        <v>2952</v>
      </c>
      <c r="E56" t="s">
        <v>2057</v>
      </c>
      <c r="F56" t="s">
        <v>2953</v>
      </c>
    </row>
    <row r="57" spans="1:6" x14ac:dyDescent="0.2">
      <c r="A57" t="s">
        <v>2204</v>
      </c>
      <c r="C57" t="s">
        <v>789</v>
      </c>
      <c r="D57" t="s">
        <v>2954</v>
      </c>
      <c r="E57" t="s">
        <v>2955</v>
      </c>
      <c r="F57" t="s">
        <v>2956</v>
      </c>
    </row>
    <row r="58" spans="1:6" x14ac:dyDescent="0.2">
      <c r="A58" t="s">
        <v>1140</v>
      </c>
      <c r="C58" t="s">
        <v>789</v>
      </c>
      <c r="D58" t="s">
        <v>2957</v>
      </c>
      <c r="E58" t="s">
        <v>2958</v>
      </c>
      <c r="F58" t="s">
        <v>2868</v>
      </c>
    </row>
    <row r="59" spans="1:6" x14ac:dyDescent="0.2">
      <c r="A59" t="s">
        <v>1098</v>
      </c>
      <c r="C59" t="s">
        <v>789</v>
      </c>
      <c r="D59" t="s">
        <v>2959</v>
      </c>
      <c r="E59" t="s">
        <v>2960</v>
      </c>
      <c r="F59" t="s">
        <v>1592</v>
      </c>
    </row>
    <row r="60" spans="1:6" x14ac:dyDescent="0.2">
      <c r="A60" t="s">
        <v>2205</v>
      </c>
      <c r="C60" t="s">
        <v>789</v>
      </c>
      <c r="D60" t="s">
        <v>2961</v>
      </c>
      <c r="E60" t="s">
        <v>2962</v>
      </c>
      <c r="F60" t="s">
        <v>2868</v>
      </c>
    </row>
    <row r="61" spans="1:6" x14ac:dyDescent="0.2">
      <c r="A61" t="s">
        <v>2206</v>
      </c>
      <c r="C61" t="s">
        <v>789</v>
      </c>
      <c r="D61" t="s">
        <v>2963</v>
      </c>
      <c r="E61" t="s">
        <v>2964</v>
      </c>
      <c r="F61" t="s">
        <v>2868</v>
      </c>
    </row>
    <row r="62" spans="1:6" x14ac:dyDescent="0.2">
      <c r="A62" t="s">
        <v>2207</v>
      </c>
      <c r="C62" t="s">
        <v>789</v>
      </c>
      <c r="D62" t="s">
        <v>2965</v>
      </c>
      <c r="E62" t="s">
        <v>2966</v>
      </c>
      <c r="F62" t="s">
        <v>2868</v>
      </c>
    </row>
    <row r="63" spans="1:6" x14ac:dyDescent="0.2">
      <c r="A63" t="s">
        <v>2208</v>
      </c>
      <c r="C63" t="s">
        <v>1733</v>
      </c>
      <c r="D63" t="s">
        <v>2967</v>
      </c>
      <c r="E63" t="s">
        <v>2968</v>
      </c>
      <c r="F63" t="s">
        <v>2969</v>
      </c>
    </row>
    <row r="64" spans="1:6" x14ac:dyDescent="0.2">
      <c r="A64" t="s">
        <v>2209</v>
      </c>
      <c r="C64" t="s">
        <v>789</v>
      </c>
      <c r="D64" t="s">
        <v>2970</v>
      </c>
      <c r="E64" t="s">
        <v>2971</v>
      </c>
      <c r="F64" t="s">
        <v>2868</v>
      </c>
    </row>
    <row r="65" spans="1:6" x14ac:dyDescent="0.2">
      <c r="A65" t="s">
        <v>2210</v>
      </c>
      <c r="C65" t="s">
        <v>789</v>
      </c>
      <c r="D65" t="s">
        <v>1388</v>
      </c>
      <c r="E65" t="s">
        <v>1073</v>
      </c>
      <c r="F65" t="s">
        <v>1389</v>
      </c>
    </row>
    <row r="66" spans="1:6" x14ac:dyDescent="0.2">
      <c r="A66" t="s">
        <v>2211</v>
      </c>
      <c r="C66" t="s">
        <v>789</v>
      </c>
      <c r="D66" t="s">
        <v>2972</v>
      </c>
      <c r="E66" t="s">
        <v>2973</v>
      </c>
      <c r="F66" t="s">
        <v>2974</v>
      </c>
    </row>
    <row r="67" spans="1:6" x14ac:dyDescent="0.2">
      <c r="A67" t="s">
        <v>2212</v>
      </c>
      <c r="C67" t="s">
        <v>789</v>
      </c>
      <c r="D67" t="s">
        <v>2975</v>
      </c>
      <c r="E67" t="s">
        <v>2976</v>
      </c>
      <c r="F67" t="s">
        <v>2868</v>
      </c>
    </row>
    <row r="68" spans="1:6" x14ac:dyDescent="0.2">
      <c r="A68" t="s">
        <v>1229</v>
      </c>
      <c r="C68" t="s">
        <v>783</v>
      </c>
      <c r="D68" t="s">
        <v>2973</v>
      </c>
      <c r="E68" t="s">
        <v>1392</v>
      </c>
      <c r="F68" t="s">
        <v>2977</v>
      </c>
    </row>
    <row r="69" spans="1:6" x14ac:dyDescent="0.2">
      <c r="A69" t="s">
        <v>2213</v>
      </c>
      <c r="C69" t="s">
        <v>789</v>
      </c>
      <c r="D69" t="s">
        <v>2978</v>
      </c>
      <c r="E69" t="s">
        <v>2979</v>
      </c>
      <c r="F69" t="s">
        <v>2868</v>
      </c>
    </row>
    <row r="70" spans="1:6" x14ac:dyDescent="0.2">
      <c r="A70" t="s">
        <v>2214</v>
      </c>
      <c r="C70" t="s">
        <v>789</v>
      </c>
      <c r="D70" t="s">
        <v>2980</v>
      </c>
      <c r="E70" t="s">
        <v>2981</v>
      </c>
      <c r="F70" t="s">
        <v>802</v>
      </c>
    </row>
    <row r="71" spans="1:6" x14ac:dyDescent="0.2">
      <c r="A71" t="s">
        <v>1722</v>
      </c>
      <c r="C71" t="s">
        <v>783</v>
      </c>
      <c r="D71" t="s">
        <v>2982</v>
      </c>
      <c r="E71" t="s">
        <v>2983</v>
      </c>
      <c r="F71" t="s">
        <v>2984</v>
      </c>
    </row>
    <row r="72" spans="1:6" x14ac:dyDescent="0.2">
      <c r="A72" t="s">
        <v>2215</v>
      </c>
      <c r="C72" t="s">
        <v>789</v>
      </c>
      <c r="D72" t="s">
        <v>2069</v>
      </c>
      <c r="E72" t="s">
        <v>2985</v>
      </c>
      <c r="F72" t="s">
        <v>2868</v>
      </c>
    </row>
    <row r="73" spans="1:6" x14ac:dyDescent="0.2">
      <c r="A73" t="s">
        <v>2216</v>
      </c>
      <c r="C73" t="s">
        <v>789</v>
      </c>
      <c r="D73" t="s">
        <v>2986</v>
      </c>
      <c r="E73" t="s">
        <v>2987</v>
      </c>
      <c r="F73" t="s">
        <v>2988</v>
      </c>
    </row>
    <row r="74" spans="1:6" x14ac:dyDescent="0.2">
      <c r="A74" t="s">
        <v>2217</v>
      </c>
      <c r="C74" t="s">
        <v>789</v>
      </c>
      <c r="D74" t="s">
        <v>2989</v>
      </c>
      <c r="E74" t="s">
        <v>2990</v>
      </c>
      <c r="F74" t="s">
        <v>2868</v>
      </c>
    </row>
    <row r="75" spans="1:6" x14ac:dyDescent="0.2">
      <c r="A75" t="s">
        <v>1921</v>
      </c>
      <c r="C75" t="s">
        <v>789</v>
      </c>
      <c r="D75" t="s">
        <v>2149</v>
      </c>
      <c r="E75" t="s">
        <v>2991</v>
      </c>
      <c r="F75" t="s">
        <v>2992</v>
      </c>
    </row>
    <row r="76" spans="1:6" x14ac:dyDescent="0.2">
      <c r="A76" t="s">
        <v>2218</v>
      </c>
      <c r="C76" t="s">
        <v>789</v>
      </c>
      <c r="D76" t="s">
        <v>1640</v>
      </c>
      <c r="E76" t="s">
        <v>2993</v>
      </c>
      <c r="F76" t="s">
        <v>845</v>
      </c>
    </row>
    <row r="77" spans="1:6" x14ac:dyDescent="0.2">
      <c r="A77" t="s">
        <v>1230</v>
      </c>
      <c r="C77" t="s">
        <v>789</v>
      </c>
      <c r="D77" t="s">
        <v>2994</v>
      </c>
      <c r="E77" t="s">
        <v>885</v>
      </c>
      <c r="F77" t="s">
        <v>1394</v>
      </c>
    </row>
    <row r="78" spans="1:6" x14ac:dyDescent="0.2">
      <c r="A78" t="s">
        <v>2219</v>
      </c>
      <c r="C78" t="s">
        <v>789</v>
      </c>
      <c r="D78" t="s">
        <v>2995</v>
      </c>
      <c r="E78" t="s">
        <v>1068</v>
      </c>
      <c r="F78" t="s">
        <v>2868</v>
      </c>
    </row>
    <row r="79" spans="1:6" x14ac:dyDescent="0.2">
      <c r="A79" t="s">
        <v>2220</v>
      </c>
      <c r="C79" t="s">
        <v>789</v>
      </c>
      <c r="D79" t="s">
        <v>2996</v>
      </c>
      <c r="E79" t="s">
        <v>2997</v>
      </c>
      <c r="F79" t="s">
        <v>2868</v>
      </c>
    </row>
    <row r="80" spans="1:6" x14ac:dyDescent="0.2">
      <c r="A80" t="s">
        <v>1922</v>
      </c>
      <c r="C80" t="s">
        <v>789</v>
      </c>
      <c r="D80" t="s">
        <v>2998</v>
      </c>
      <c r="E80" t="s">
        <v>2999</v>
      </c>
      <c r="F80" t="s">
        <v>2868</v>
      </c>
    </row>
    <row r="81" spans="1:6" x14ac:dyDescent="0.2">
      <c r="A81" t="s">
        <v>2221</v>
      </c>
      <c r="C81" t="s">
        <v>789</v>
      </c>
      <c r="D81" t="s">
        <v>3000</v>
      </c>
      <c r="E81" t="s">
        <v>3001</v>
      </c>
      <c r="F81" t="s">
        <v>2868</v>
      </c>
    </row>
    <row r="82" spans="1:6" x14ac:dyDescent="0.2">
      <c r="A82" t="s">
        <v>2222</v>
      </c>
      <c r="C82" t="s">
        <v>1733</v>
      </c>
      <c r="D82" t="s">
        <v>3002</v>
      </c>
      <c r="E82" t="s">
        <v>3003</v>
      </c>
      <c r="F82" t="s">
        <v>3004</v>
      </c>
    </row>
    <row r="83" spans="1:6" x14ac:dyDescent="0.2">
      <c r="A83" t="s">
        <v>1231</v>
      </c>
      <c r="C83" t="s">
        <v>789</v>
      </c>
      <c r="D83" t="s">
        <v>1395</v>
      </c>
      <c r="E83" t="s">
        <v>1396</v>
      </c>
      <c r="F83" t="s">
        <v>1502</v>
      </c>
    </row>
    <row r="84" spans="1:6" x14ac:dyDescent="0.2">
      <c r="A84" t="s">
        <v>2223</v>
      </c>
      <c r="C84" t="s">
        <v>789</v>
      </c>
      <c r="D84" t="s">
        <v>3002</v>
      </c>
      <c r="E84" t="s">
        <v>3005</v>
      </c>
      <c r="F84" t="s">
        <v>2868</v>
      </c>
    </row>
    <row r="85" spans="1:6" x14ac:dyDescent="0.2">
      <c r="A85" t="s">
        <v>1232</v>
      </c>
      <c r="C85" t="s">
        <v>789</v>
      </c>
      <c r="D85" t="s">
        <v>1546</v>
      </c>
      <c r="E85" t="s">
        <v>3006</v>
      </c>
      <c r="F85" t="s">
        <v>2949</v>
      </c>
    </row>
    <row r="86" spans="1:6" x14ac:dyDescent="0.2">
      <c r="A86" t="s">
        <v>2224</v>
      </c>
      <c r="C86" t="s">
        <v>789</v>
      </c>
      <c r="D86" t="s">
        <v>894</v>
      </c>
      <c r="E86" t="s">
        <v>3007</v>
      </c>
      <c r="F86" t="s">
        <v>2868</v>
      </c>
    </row>
    <row r="87" spans="1:6" x14ac:dyDescent="0.2">
      <c r="A87" t="s">
        <v>2225</v>
      </c>
      <c r="C87" t="s">
        <v>789</v>
      </c>
      <c r="D87" t="s">
        <v>979</v>
      </c>
      <c r="E87" t="s">
        <v>3008</v>
      </c>
      <c r="F87" t="s">
        <v>796</v>
      </c>
    </row>
    <row r="88" spans="1:6" x14ac:dyDescent="0.2">
      <c r="A88" t="s">
        <v>2226</v>
      </c>
      <c r="C88" t="s">
        <v>1733</v>
      </c>
      <c r="D88" t="s">
        <v>3009</v>
      </c>
      <c r="E88" t="s">
        <v>1624</v>
      </c>
      <c r="F88" t="s">
        <v>3010</v>
      </c>
    </row>
    <row r="89" spans="1:6" x14ac:dyDescent="0.2">
      <c r="A89" t="s">
        <v>2227</v>
      </c>
      <c r="C89" t="s">
        <v>789</v>
      </c>
      <c r="D89" t="s">
        <v>3011</v>
      </c>
      <c r="E89" t="s">
        <v>3012</v>
      </c>
      <c r="F89" t="s">
        <v>2868</v>
      </c>
    </row>
    <row r="90" spans="1:6" x14ac:dyDescent="0.2">
      <c r="A90" t="s">
        <v>1233</v>
      </c>
      <c r="C90" t="s">
        <v>789</v>
      </c>
      <c r="D90" t="s">
        <v>1400</v>
      </c>
      <c r="E90" t="s">
        <v>3013</v>
      </c>
      <c r="F90" t="s">
        <v>1401</v>
      </c>
    </row>
    <row r="91" spans="1:6" x14ac:dyDescent="0.2">
      <c r="A91" t="s">
        <v>2228</v>
      </c>
      <c r="C91" t="s">
        <v>789</v>
      </c>
      <c r="D91" t="s">
        <v>3014</v>
      </c>
      <c r="E91" t="s">
        <v>3015</v>
      </c>
      <c r="F91" t="s">
        <v>2868</v>
      </c>
    </row>
    <row r="92" spans="1:6" x14ac:dyDescent="0.2">
      <c r="A92" t="s">
        <v>2229</v>
      </c>
      <c r="C92" t="s">
        <v>789</v>
      </c>
      <c r="D92" t="s">
        <v>3016</v>
      </c>
      <c r="E92" t="s">
        <v>3017</v>
      </c>
      <c r="F92" t="s">
        <v>1037</v>
      </c>
    </row>
    <row r="93" spans="1:6" x14ac:dyDescent="0.2">
      <c r="A93" t="s">
        <v>2230</v>
      </c>
      <c r="C93" t="s">
        <v>789</v>
      </c>
      <c r="D93" t="s">
        <v>3018</v>
      </c>
      <c r="E93" t="s">
        <v>3019</v>
      </c>
      <c r="F93" t="s">
        <v>3020</v>
      </c>
    </row>
    <row r="94" spans="1:6" x14ac:dyDescent="0.2">
      <c r="A94" t="s">
        <v>2231</v>
      </c>
      <c r="C94" t="s">
        <v>789</v>
      </c>
      <c r="D94" t="s">
        <v>2860</v>
      </c>
      <c r="E94" t="s">
        <v>3021</v>
      </c>
      <c r="F94" t="s">
        <v>3022</v>
      </c>
    </row>
    <row r="95" spans="1:6" x14ac:dyDescent="0.2">
      <c r="A95" t="s">
        <v>2232</v>
      </c>
      <c r="C95" t="s">
        <v>789</v>
      </c>
      <c r="D95" t="s">
        <v>3023</v>
      </c>
      <c r="E95" t="s">
        <v>3024</v>
      </c>
      <c r="F95" t="s">
        <v>1457</v>
      </c>
    </row>
    <row r="96" spans="1:6" x14ac:dyDescent="0.2">
      <c r="A96" t="s">
        <v>1234</v>
      </c>
      <c r="C96" t="s">
        <v>789</v>
      </c>
      <c r="D96" t="s">
        <v>3025</v>
      </c>
      <c r="E96" t="s">
        <v>3026</v>
      </c>
      <c r="F96" t="s">
        <v>1143</v>
      </c>
    </row>
    <row r="97" spans="1:6" x14ac:dyDescent="0.2">
      <c r="A97" t="s">
        <v>1235</v>
      </c>
      <c r="C97" t="s">
        <v>789</v>
      </c>
      <c r="D97" t="s">
        <v>1405</v>
      </c>
      <c r="E97" t="s">
        <v>1406</v>
      </c>
      <c r="F97" t="s">
        <v>1407</v>
      </c>
    </row>
    <row r="98" spans="1:6" x14ac:dyDescent="0.2">
      <c r="A98" t="s">
        <v>809</v>
      </c>
      <c r="C98" t="s">
        <v>789</v>
      </c>
      <c r="D98" t="s">
        <v>1415</v>
      </c>
      <c r="E98" t="s">
        <v>3027</v>
      </c>
      <c r="F98" t="s">
        <v>2868</v>
      </c>
    </row>
    <row r="99" spans="1:6" x14ac:dyDescent="0.2">
      <c r="A99" t="s">
        <v>2233</v>
      </c>
      <c r="C99" t="s">
        <v>783</v>
      </c>
      <c r="D99" t="s">
        <v>3028</v>
      </c>
      <c r="E99" t="s">
        <v>3029</v>
      </c>
      <c r="F99" t="s">
        <v>2898</v>
      </c>
    </row>
    <row r="100" spans="1:6" x14ac:dyDescent="0.2">
      <c r="A100" t="s">
        <v>2234</v>
      </c>
      <c r="C100" t="s">
        <v>783</v>
      </c>
      <c r="D100" t="s">
        <v>949</v>
      </c>
      <c r="E100" t="s">
        <v>3030</v>
      </c>
      <c r="F100" t="s">
        <v>1429</v>
      </c>
    </row>
    <row r="101" spans="1:6" x14ac:dyDescent="0.2">
      <c r="A101" t="s">
        <v>2235</v>
      </c>
      <c r="C101" t="s">
        <v>789</v>
      </c>
      <c r="D101" t="s">
        <v>3031</v>
      </c>
      <c r="E101" t="s">
        <v>3032</v>
      </c>
      <c r="F101" t="s">
        <v>1037</v>
      </c>
    </row>
    <row r="102" spans="1:6" x14ac:dyDescent="0.2">
      <c r="A102" t="s">
        <v>2236</v>
      </c>
      <c r="C102" t="s">
        <v>789</v>
      </c>
      <c r="D102" t="s">
        <v>3033</v>
      </c>
      <c r="E102" t="s">
        <v>3034</v>
      </c>
      <c r="F102" t="s">
        <v>2868</v>
      </c>
    </row>
    <row r="103" spans="1:6" x14ac:dyDescent="0.2">
      <c r="A103" t="s">
        <v>1236</v>
      </c>
      <c r="C103" t="s">
        <v>789</v>
      </c>
      <c r="D103" t="s">
        <v>3035</v>
      </c>
      <c r="E103" t="s">
        <v>1409</v>
      </c>
      <c r="F103" t="s">
        <v>3036</v>
      </c>
    </row>
    <row r="104" spans="1:6" x14ac:dyDescent="0.2">
      <c r="A104" t="s">
        <v>2237</v>
      </c>
      <c r="C104" t="s">
        <v>789</v>
      </c>
      <c r="D104" t="s">
        <v>3007</v>
      </c>
      <c r="E104" t="s">
        <v>3037</v>
      </c>
      <c r="F104" t="s">
        <v>2868</v>
      </c>
    </row>
    <row r="105" spans="1:6" x14ac:dyDescent="0.2">
      <c r="A105" t="s">
        <v>1119</v>
      </c>
      <c r="C105" t="s">
        <v>789</v>
      </c>
      <c r="D105" t="s">
        <v>3038</v>
      </c>
      <c r="E105" t="s">
        <v>3039</v>
      </c>
      <c r="F105" t="s">
        <v>3040</v>
      </c>
    </row>
    <row r="106" spans="1:6" x14ac:dyDescent="0.2">
      <c r="A106" t="s">
        <v>2238</v>
      </c>
      <c r="C106" t="s">
        <v>789</v>
      </c>
      <c r="D106" t="s">
        <v>3041</v>
      </c>
      <c r="E106" t="s">
        <v>3042</v>
      </c>
      <c r="F106" t="s">
        <v>2868</v>
      </c>
    </row>
    <row r="107" spans="1:6" x14ac:dyDescent="0.2">
      <c r="A107" t="s">
        <v>2239</v>
      </c>
      <c r="C107" t="s">
        <v>1733</v>
      </c>
      <c r="D107" t="s">
        <v>3043</v>
      </c>
      <c r="E107" t="s">
        <v>3044</v>
      </c>
      <c r="F107" t="s">
        <v>3045</v>
      </c>
    </row>
    <row r="108" spans="1:6" x14ac:dyDescent="0.2">
      <c r="A108" t="s">
        <v>1923</v>
      </c>
      <c r="C108" t="s">
        <v>789</v>
      </c>
      <c r="D108" t="s">
        <v>3046</v>
      </c>
      <c r="E108" t="s">
        <v>1066</v>
      </c>
      <c r="F108" t="s">
        <v>2868</v>
      </c>
    </row>
    <row r="109" spans="1:6" x14ac:dyDescent="0.2">
      <c r="A109" t="s">
        <v>2240</v>
      </c>
      <c r="C109" t="s">
        <v>789</v>
      </c>
      <c r="D109" t="s">
        <v>3047</v>
      </c>
      <c r="E109" t="s">
        <v>1047</v>
      </c>
      <c r="F109" t="s">
        <v>2868</v>
      </c>
    </row>
    <row r="110" spans="1:6" x14ac:dyDescent="0.2">
      <c r="A110" t="s">
        <v>2241</v>
      </c>
      <c r="C110" t="s">
        <v>789</v>
      </c>
      <c r="D110" t="s">
        <v>958</v>
      </c>
      <c r="E110" t="s">
        <v>3048</v>
      </c>
      <c r="F110" t="s">
        <v>2868</v>
      </c>
    </row>
    <row r="111" spans="1:6" x14ac:dyDescent="0.2">
      <c r="A111" t="s">
        <v>2242</v>
      </c>
      <c r="C111" t="s">
        <v>789</v>
      </c>
      <c r="D111" t="s">
        <v>3049</v>
      </c>
      <c r="E111" t="s">
        <v>3050</v>
      </c>
      <c r="F111" t="s">
        <v>1666</v>
      </c>
    </row>
    <row r="112" spans="1:6" x14ac:dyDescent="0.2">
      <c r="A112" t="s">
        <v>1237</v>
      </c>
      <c r="C112" t="s">
        <v>789</v>
      </c>
      <c r="D112" t="s">
        <v>1411</v>
      </c>
      <c r="E112" t="s">
        <v>3051</v>
      </c>
      <c r="F112" t="s">
        <v>1382</v>
      </c>
    </row>
    <row r="113" spans="1:6" x14ac:dyDescent="0.2">
      <c r="A113" t="s">
        <v>2243</v>
      </c>
      <c r="C113" t="s">
        <v>1733</v>
      </c>
      <c r="D113" t="s">
        <v>916</v>
      </c>
      <c r="E113" t="s">
        <v>3052</v>
      </c>
      <c r="F113" t="s">
        <v>3053</v>
      </c>
    </row>
    <row r="114" spans="1:6" x14ac:dyDescent="0.2">
      <c r="A114" t="s">
        <v>1238</v>
      </c>
      <c r="C114" t="s">
        <v>789</v>
      </c>
      <c r="D114" t="s">
        <v>3054</v>
      </c>
      <c r="E114" t="s">
        <v>1413</v>
      </c>
      <c r="F114" t="s">
        <v>1414</v>
      </c>
    </row>
    <row r="115" spans="1:6" x14ac:dyDescent="0.2">
      <c r="A115" t="s">
        <v>2244</v>
      </c>
      <c r="C115" t="s">
        <v>789</v>
      </c>
      <c r="D115" t="s">
        <v>3055</v>
      </c>
      <c r="E115" t="s">
        <v>3056</v>
      </c>
      <c r="F115" t="s">
        <v>1561</v>
      </c>
    </row>
    <row r="116" spans="1:6" x14ac:dyDescent="0.2">
      <c r="A116" t="s">
        <v>2245</v>
      </c>
      <c r="C116" t="s">
        <v>789</v>
      </c>
      <c r="D116" t="s">
        <v>1373</v>
      </c>
      <c r="E116" t="s">
        <v>3057</v>
      </c>
      <c r="F116" t="s">
        <v>2868</v>
      </c>
    </row>
    <row r="117" spans="1:6" x14ac:dyDescent="0.2">
      <c r="A117" t="s">
        <v>1239</v>
      </c>
      <c r="C117" t="s">
        <v>789</v>
      </c>
      <c r="D117" t="s">
        <v>1415</v>
      </c>
      <c r="E117" t="s">
        <v>1416</v>
      </c>
      <c r="F117" t="s">
        <v>3058</v>
      </c>
    </row>
    <row r="118" spans="1:6" x14ac:dyDescent="0.2">
      <c r="A118" t="s">
        <v>2246</v>
      </c>
      <c r="C118" t="s">
        <v>789</v>
      </c>
      <c r="D118" t="s">
        <v>3059</v>
      </c>
      <c r="E118" t="s">
        <v>3060</v>
      </c>
      <c r="F118" t="s">
        <v>2868</v>
      </c>
    </row>
    <row r="119" spans="1:6" x14ac:dyDescent="0.2">
      <c r="A119" t="s">
        <v>1240</v>
      </c>
      <c r="C119" t="s">
        <v>789</v>
      </c>
      <c r="D119" t="s">
        <v>3061</v>
      </c>
      <c r="E119" t="s">
        <v>3062</v>
      </c>
      <c r="F119" t="s">
        <v>797</v>
      </c>
    </row>
    <row r="120" spans="1:6" x14ac:dyDescent="0.2">
      <c r="A120" t="s">
        <v>2247</v>
      </c>
      <c r="C120" t="s">
        <v>1733</v>
      </c>
      <c r="D120" t="s">
        <v>3063</v>
      </c>
      <c r="E120" t="s">
        <v>3064</v>
      </c>
      <c r="F120" t="s">
        <v>3065</v>
      </c>
    </row>
    <row r="121" spans="1:6" x14ac:dyDescent="0.2">
      <c r="A121" t="s">
        <v>2248</v>
      </c>
      <c r="C121" t="s">
        <v>789</v>
      </c>
      <c r="D121" t="s">
        <v>3066</v>
      </c>
      <c r="E121" t="s">
        <v>3067</v>
      </c>
      <c r="F121" t="s">
        <v>2868</v>
      </c>
    </row>
    <row r="122" spans="1:6" x14ac:dyDescent="0.2">
      <c r="A122" t="s">
        <v>1727</v>
      </c>
      <c r="C122" t="s">
        <v>783</v>
      </c>
      <c r="D122" t="s">
        <v>3068</v>
      </c>
      <c r="E122" t="s">
        <v>3069</v>
      </c>
      <c r="F122" t="s">
        <v>2898</v>
      </c>
    </row>
    <row r="123" spans="1:6" x14ac:dyDescent="0.2">
      <c r="A123" t="s">
        <v>2249</v>
      </c>
      <c r="C123" t="s">
        <v>789</v>
      </c>
      <c r="D123" t="s">
        <v>3070</v>
      </c>
      <c r="E123" t="s">
        <v>3071</v>
      </c>
      <c r="F123" t="s">
        <v>2868</v>
      </c>
    </row>
    <row r="124" spans="1:6" x14ac:dyDescent="0.2">
      <c r="A124" t="s">
        <v>2250</v>
      </c>
      <c r="C124" t="s">
        <v>1733</v>
      </c>
      <c r="D124" t="s">
        <v>1881</v>
      </c>
      <c r="E124" t="s">
        <v>1993</v>
      </c>
      <c r="F124" t="s">
        <v>3072</v>
      </c>
    </row>
    <row r="125" spans="1:6" x14ac:dyDescent="0.2">
      <c r="A125" t="s">
        <v>2251</v>
      </c>
      <c r="C125" t="s">
        <v>789</v>
      </c>
      <c r="D125" t="s">
        <v>3073</v>
      </c>
      <c r="E125" t="s">
        <v>3074</v>
      </c>
      <c r="F125" t="s">
        <v>2868</v>
      </c>
    </row>
    <row r="126" spans="1:6" x14ac:dyDescent="0.2">
      <c r="A126" t="s">
        <v>1241</v>
      </c>
      <c r="C126" t="s">
        <v>789</v>
      </c>
      <c r="D126" t="s">
        <v>3075</v>
      </c>
      <c r="E126" t="s">
        <v>3076</v>
      </c>
      <c r="F126" t="s">
        <v>953</v>
      </c>
    </row>
    <row r="127" spans="1:6" x14ac:dyDescent="0.2">
      <c r="A127" t="s">
        <v>2252</v>
      </c>
      <c r="C127" t="s">
        <v>789</v>
      </c>
      <c r="D127" t="s">
        <v>824</v>
      </c>
      <c r="E127" t="s">
        <v>1607</v>
      </c>
      <c r="F127" t="s">
        <v>2868</v>
      </c>
    </row>
    <row r="128" spans="1:6" x14ac:dyDescent="0.2">
      <c r="A128" t="s">
        <v>1242</v>
      </c>
      <c r="C128" t="s">
        <v>789</v>
      </c>
      <c r="D128" t="s">
        <v>3077</v>
      </c>
      <c r="E128" t="s">
        <v>1422</v>
      </c>
      <c r="F128" t="s">
        <v>3078</v>
      </c>
    </row>
    <row r="129" spans="1:6" x14ac:dyDescent="0.2">
      <c r="A129" t="s">
        <v>2253</v>
      </c>
      <c r="C129" t="s">
        <v>1733</v>
      </c>
      <c r="D129" t="s">
        <v>3079</v>
      </c>
      <c r="E129" t="s">
        <v>3080</v>
      </c>
      <c r="F129" t="s">
        <v>3081</v>
      </c>
    </row>
    <row r="130" spans="1:6" x14ac:dyDescent="0.2">
      <c r="A130" t="s">
        <v>2254</v>
      </c>
      <c r="C130" t="s">
        <v>783</v>
      </c>
      <c r="D130" t="s">
        <v>3082</v>
      </c>
      <c r="E130" t="s">
        <v>3083</v>
      </c>
      <c r="F130" t="s">
        <v>1090</v>
      </c>
    </row>
    <row r="131" spans="1:6" x14ac:dyDescent="0.2">
      <c r="A131" t="s">
        <v>1243</v>
      </c>
      <c r="C131" t="s">
        <v>789</v>
      </c>
      <c r="D131" t="s">
        <v>1423</v>
      </c>
      <c r="E131" t="s">
        <v>1424</v>
      </c>
      <c r="F131" t="s">
        <v>1394</v>
      </c>
    </row>
    <row r="132" spans="1:6" x14ac:dyDescent="0.2">
      <c r="A132" t="s">
        <v>2255</v>
      </c>
      <c r="C132" t="s">
        <v>1733</v>
      </c>
      <c r="D132" t="s">
        <v>3084</v>
      </c>
      <c r="E132" t="s">
        <v>3085</v>
      </c>
      <c r="F132" t="s">
        <v>3086</v>
      </c>
    </row>
    <row r="133" spans="1:6" x14ac:dyDescent="0.2">
      <c r="A133" t="s">
        <v>2256</v>
      </c>
      <c r="C133" t="s">
        <v>789</v>
      </c>
      <c r="D133" t="s">
        <v>3087</v>
      </c>
      <c r="E133" t="s">
        <v>3088</v>
      </c>
      <c r="F133" t="s">
        <v>2868</v>
      </c>
    </row>
    <row r="134" spans="1:6" x14ac:dyDescent="0.2">
      <c r="A134" t="s">
        <v>2257</v>
      </c>
      <c r="C134" t="s">
        <v>789</v>
      </c>
      <c r="D134" t="s">
        <v>3089</v>
      </c>
      <c r="E134" t="s">
        <v>3090</v>
      </c>
      <c r="F134" t="s">
        <v>2868</v>
      </c>
    </row>
    <row r="135" spans="1:6" x14ac:dyDescent="0.2">
      <c r="A135" t="s">
        <v>2258</v>
      </c>
      <c r="C135" t="s">
        <v>1733</v>
      </c>
      <c r="D135" t="s">
        <v>3091</v>
      </c>
      <c r="E135" t="s">
        <v>1057</v>
      </c>
      <c r="F135" t="s">
        <v>3092</v>
      </c>
    </row>
    <row r="136" spans="1:6" x14ac:dyDescent="0.2">
      <c r="A136" t="s">
        <v>2259</v>
      </c>
      <c r="C136" t="s">
        <v>789</v>
      </c>
      <c r="D136" t="s">
        <v>3093</v>
      </c>
      <c r="E136" t="s">
        <v>2088</v>
      </c>
      <c r="F136" t="s">
        <v>2868</v>
      </c>
    </row>
    <row r="137" spans="1:6" x14ac:dyDescent="0.2">
      <c r="A137" t="s">
        <v>2260</v>
      </c>
      <c r="C137" t="s">
        <v>1733</v>
      </c>
      <c r="D137" t="s">
        <v>3094</v>
      </c>
      <c r="E137" t="s">
        <v>3095</v>
      </c>
      <c r="F137" t="s">
        <v>3096</v>
      </c>
    </row>
    <row r="138" spans="1:6" x14ac:dyDescent="0.2">
      <c r="A138" t="s">
        <v>2261</v>
      </c>
      <c r="C138" t="s">
        <v>789</v>
      </c>
      <c r="D138" t="s">
        <v>3097</v>
      </c>
      <c r="E138" t="s">
        <v>3098</v>
      </c>
      <c r="F138" t="s">
        <v>2868</v>
      </c>
    </row>
    <row r="139" spans="1:6" x14ac:dyDescent="0.2">
      <c r="A139" t="s">
        <v>2262</v>
      </c>
      <c r="C139" t="s">
        <v>789</v>
      </c>
      <c r="D139" t="s">
        <v>3099</v>
      </c>
      <c r="E139" t="s">
        <v>3100</v>
      </c>
      <c r="F139" t="s">
        <v>2868</v>
      </c>
    </row>
    <row r="140" spans="1:6" x14ac:dyDescent="0.2">
      <c r="A140" t="s">
        <v>2263</v>
      </c>
      <c r="C140" t="s">
        <v>789</v>
      </c>
      <c r="D140" t="s">
        <v>2040</v>
      </c>
      <c r="E140" t="s">
        <v>3101</v>
      </c>
      <c r="F140" t="s">
        <v>2868</v>
      </c>
    </row>
    <row r="141" spans="1:6" x14ac:dyDescent="0.2">
      <c r="A141" t="s">
        <v>2264</v>
      </c>
      <c r="C141" t="s">
        <v>1733</v>
      </c>
      <c r="D141" t="s">
        <v>3102</v>
      </c>
      <c r="E141" t="s">
        <v>3103</v>
      </c>
      <c r="F141" t="s">
        <v>3104</v>
      </c>
    </row>
    <row r="142" spans="1:6" x14ac:dyDescent="0.2">
      <c r="A142" t="s">
        <v>2265</v>
      </c>
      <c r="C142" t="s">
        <v>789</v>
      </c>
      <c r="D142" t="s">
        <v>3102</v>
      </c>
      <c r="E142" t="s">
        <v>3105</v>
      </c>
      <c r="F142" t="s">
        <v>2868</v>
      </c>
    </row>
    <row r="143" spans="1:6" x14ac:dyDescent="0.2">
      <c r="A143" t="s">
        <v>2266</v>
      </c>
      <c r="C143" t="s">
        <v>789</v>
      </c>
      <c r="D143" t="s">
        <v>3106</v>
      </c>
      <c r="E143" t="s">
        <v>1586</v>
      </c>
      <c r="F143" t="s">
        <v>2868</v>
      </c>
    </row>
    <row r="144" spans="1:6" x14ac:dyDescent="0.2">
      <c r="A144" t="s">
        <v>2267</v>
      </c>
      <c r="C144" t="s">
        <v>789</v>
      </c>
      <c r="D144" t="s">
        <v>3107</v>
      </c>
      <c r="E144" t="s">
        <v>3108</v>
      </c>
      <c r="F144" t="s">
        <v>2868</v>
      </c>
    </row>
    <row r="145" spans="1:6" x14ac:dyDescent="0.2">
      <c r="A145" t="s">
        <v>889</v>
      </c>
      <c r="C145" t="s">
        <v>789</v>
      </c>
      <c r="D145" t="s">
        <v>3109</v>
      </c>
      <c r="E145" t="s">
        <v>3110</v>
      </c>
      <c r="F145" t="s">
        <v>2868</v>
      </c>
    </row>
    <row r="146" spans="1:6" x14ac:dyDescent="0.2">
      <c r="A146" t="s">
        <v>1097</v>
      </c>
      <c r="C146" t="s">
        <v>789</v>
      </c>
      <c r="D146" t="s">
        <v>3111</v>
      </c>
      <c r="E146" t="s">
        <v>3112</v>
      </c>
      <c r="F146" t="s">
        <v>3113</v>
      </c>
    </row>
    <row r="147" spans="1:6" x14ac:dyDescent="0.2">
      <c r="A147" t="s">
        <v>1244</v>
      </c>
      <c r="C147" t="s">
        <v>789</v>
      </c>
      <c r="D147" t="s">
        <v>3114</v>
      </c>
      <c r="E147" t="s">
        <v>1427</v>
      </c>
      <c r="F147" t="s">
        <v>1428</v>
      </c>
    </row>
    <row r="148" spans="1:6" x14ac:dyDescent="0.2">
      <c r="A148" t="s">
        <v>1245</v>
      </c>
      <c r="C148" t="s">
        <v>789</v>
      </c>
      <c r="D148" t="s">
        <v>3115</v>
      </c>
      <c r="E148" t="s">
        <v>1430</v>
      </c>
      <c r="F148" t="s">
        <v>792</v>
      </c>
    </row>
    <row r="149" spans="1:6" x14ac:dyDescent="0.2">
      <c r="A149" t="s">
        <v>1924</v>
      </c>
      <c r="C149" t="s">
        <v>789</v>
      </c>
      <c r="D149" t="s">
        <v>3116</v>
      </c>
      <c r="E149" t="s">
        <v>3117</v>
      </c>
      <c r="F149" t="s">
        <v>3118</v>
      </c>
    </row>
    <row r="150" spans="1:6" x14ac:dyDescent="0.2">
      <c r="A150" t="s">
        <v>1246</v>
      </c>
      <c r="C150" t="s">
        <v>789</v>
      </c>
      <c r="D150" t="s">
        <v>3119</v>
      </c>
      <c r="E150" t="s">
        <v>1433</v>
      </c>
      <c r="F150" t="s">
        <v>1428</v>
      </c>
    </row>
    <row r="151" spans="1:6" x14ac:dyDescent="0.2">
      <c r="A151" t="s">
        <v>793</v>
      </c>
      <c r="C151" t="s">
        <v>789</v>
      </c>
      <c r="D151" t="s">
        <v>3120</v>
      </c>
      <c r="E151" t="s">
        <v>3121</v>
      </c>
      <c r="F151" t="s">
        <v>2868</v>
      </c>
    </row>
    <row r="152" spans="1:6" x14ac:dyDescent="0.2">
      <c r="A152" t="s">
        <v>2268</v>
      </c>
      <c r="C152" t="s">
        <v>789</v>
      </c>
      <c r="D152" t="s">
        <v>3122</v>
      </c>
      <c r="E152" t="s">
        <v>3123</v>
      </c>
      <c r="F152" t="s">
        <v>2868</v>
      </c>
    </row>
    <row r="153" spans="1:6" x14ac:dyDescent="0.2">
      <c r="A153" t="s">
        <v>1247</v>
      </c>
      <c r="C153" t="s">
        <v>789</v>
      </c>
      <c r="D153" t="s">
        <v>1435</v>
      </c>
      <c r="E153" t="s">
        <v>2034</v>
      </c>
      <c r="F153" t="s">
        <v>1437</v>
      </c>
    </row>
    <row r="154" spans="1:6" x14ac:dyDescent="0.2">
      <c r="A154" t="s">
        <v>2269</v>
      </c>
      <c r="C154" t="s">
        <v>789</v>
      </c>
      <c r="D154" t="s">
        <v>3124</v>
      </c>
      <c r="E154" t="s">
        <v>3125</v>
      </c>
      <c r="F154" t="s">
        <v>869</v>
      </c>
    </row>
    <row r="155" spans="1:6" x14ac:dyDescent="0.2">
      <c r="A155" t="s">
        <v>2270</v>
      </c>
      <c r="C155" t="s">
        <v>789</v>
      </c>
      <c r="D155" t="s">
        <v>3126</v>
      </c>
      <c r="E155" t="s">
        <v>3127</v>
      </c>
      <c r="F155" t="s">
        <v>2868</v>
      </c>
    </row>
    <row r="156" spans="1:6" x14ac:dyDescent="0.2">
      <c r="A156" t="s">
        <v>1248</v>
      </c>
      <c r="C156" t="s">
        <v>789</v>
      </c>
      <c r="D156" t="s">
        <v>1438</v>
      </c>
      <c r="E156" t="s">
        <v>1439</v>
      </c>
      <c r="F156" t="s">
        <v>923</v>
      </c>
    </row>
    <row r="157" spans="1:6" x14ac:dyDescent="0.2">
      <c r="A157" t="s">
        <v>2271</v>
      </c>
      <c r="C157" t="s">
        <v>1733</v>
      </c>
      <c r="D157" t="s">
        <v>3128</v>
      </c>
      <c r="E157" t="s">
        <v>3129</v>
      </c>
      <c r="F157" t="s">
        <v>3130</v>
      </c>
    </row>
    <row r="158" spans="1:6" x14ac:dyDescent="0.2">
      <c r="A158" t="s">
        <v>2272</v>
      </c>
      <c r="C158" t="s">
        <v>789</v>
      </c>
      <c r="D158" t="s">
        <v>3131</v>
      </c>
      <c r="E158" t="s">
        <v>3132</v>
      </c>
      <c r="F158" t="s">
        <v>1089</v>
      </c>
    </row>
    <row r="159" spans="1:6" x14ac:dyDescent="0.2">
      <c r="A159" t="s">
        <v>2273</v>
      </c>
      <c r="C159" t="s">
        <v>789</v>
      </c>
      <c r="D159" t="s">
        <v>3133</v>
      </c>
      <c r="E159" t="s">
        <v>3134</v>
      </c>
      <c r="F159" t="s">
        <v>2868</v>
      </c>
    </row>
    <row r="160" spans="1:6" x14ac:dyDescent="0.2">
      <c r="A160" t="s">
        <v>2274</v>
      </c>
      <c r="C160" t="s">
        <v>789</v>
      </c>
      <c r="D160" t="s">
        <v>3135</v>
      </c>
      <c r="E160" t="s">
        <v>3136</v>
      </c>
      <c r="F160" t="s">
        <v>1161</v>
      </c>
    </row>
    <row r="161" spans="1:6" x14ac:dyDescent="0.2">
      <c r="A161" t="s">
        <v>2275</v>
      </c>
      <c r="C161" t="s">
        <v>789</v>
      </c>
      <c r="D161" t="s">
        <v>3137</v>
      </c>
      <c r="E161" t="s">
        <v>3138</v>
      </c>
      <c r="F161" t="s">
        <v>1401</v>
      </c>
    </row>
    <row r="162" spans="1:6" x14ac:dyDescent="0.2">
      <c r="A162" t="s">
        <v>2276</v>
      </c>
      <c r="C162" t="s">
        <v>789</v>
      </c>
      <c r="D162" t="s">
        <v>3139</v>
      </c>
      <c r="E162" t="s">
        <v>3140</v>
      </c>
      <c r="F162" t="s">
        <v>1401</v>
      </c>
    </row>
    <row r="163" spans="1:6" x14ac:dyDescent="0.2">
      <c r="A163" t="s">
        <v>2277</v>
      </c>
      <c r="C163" t="s">
        <v>789</v>
      </c>
      <c r="D163" t="s">
        <v>814</v>
      </c>
      <c r="E163" t="s">
        <v>3141</v>
      </c>
      <c r="F163" t="s">
        <v>1457</v>
      </c>
    </row>
    <row r="164" spans="1:6" x14ac:dyDescent="0.2">
      <c r="A164" t="s">
        <v>2278</v>
      </c>
      <c r="C164" t="s">
        <v>789</v>
      </c>
      <c r="D164" t="s">
        <v>3142</v>
      </c>
      <c r="E164" t="s">
        <v>3143</v>
      </c>
      <c r="F164" t="s">
        <v>3144</v>
      </c>
    </row>
    <row r="165" spans="1:6" x14ac:dyDescent="0.2">
      <c r="A165" t="s">
        <v>2279</v>
      </c>
      <c r="C165" t="s">
        <v>789</v>
      </c>
      <c r="D165" t="s">
        <v>3145</v>
      </c>
      <c r="E165" t="s">
        <v>944</v>
      </c>
      <c r="F165" t="s">
        <v>3146</v>
      </c>
    </row>
    <row r="166" spans="1:6" x14ac:dyDescent="0.2">
      <c r="A166" t="s">
        <v>2280</v>
      </c>
      <c r="C166" t="s">
        <v>789</v>
      </c>
      <c r="D166" t="s">
        <v>3147</v>
      </c>
      <c r="E166" t="s">
        <v>3148</v>
      </c>
      <c r="F166" t="s">
        <v>921</v>
      </c>
    </row>
    <row r="167" spans="1:6" x14ac:dyDescent="0.2">
      <c r="A167" t="s">
        <v>2281</v>
      </c>
      <c r="C167" t="s">
        <v>789</v>
      </c>
      <c r="D167" t="s">
        <v>3149</v>
      </c>
      <c r="E167" t="s">
        <v>3150</v>
      </c>
      <c r="F167" t="s">
        <v>820</v>
      </c>
    </row>
    <row r="168" spans="1:6" x14ac:dyDescent="0.2">
      <c r="A168" t="s">
        <v>2282</v>
      </c>
      <c r="C168" t="s">
        <v>1733</v>
      </c>
      <c r="D168" t="s">
        <v>3151</v>
      </c>
      <c r="E168" t="s">
        <v>3152</v>
      </c>
      <c r="F168" t="s">
        <v>3153</v>
      </c>
    </row>
    <row r="169" spans="1:6" x14ac:dyDescent="0.2">
      <c r="A169" t="s">
        <v>2283</v>
      </c>
      <c r="C169" t="s">
        <v>789</v>
      </c>
      <c r="D169" t="s">
        <v>3154</v>
      </c>
      <c r="E169" t="s">
        <v>3155</v>
      </c>
      <c r="F169" t="s">
        <v>2868</v>
      </c>
    </row>
    <row r="170" spans="1:6" x14ac:dyDescent="0.2">
      <c r="A170" t="s">
        <v>2284</v>
      </c>
      <c r="C170" t="s">
        <v>789</v>
      </c>
      <c r="D170" t="s">
        <v>2020</v>
      </c>
      <c r="E170" t="s">
        <v>3156</v>
      </c>
      <c r="F170" t="s">
        <v>2868</v>
      </c>
    </row>
    <row r="171" spans="1:6" x14ac:dyDescent="0.2">
      <c r="A171" t="s">
        <v>2285</v>
      </c>
      <c r="C171" t="s">
        <v>789</v>
      </c>
      <c r="D171" t="s">
        <v>3157</v>
      </c>
      <c r="E171" t="s">
        <v>985</v>
      </c>
      <c r="F171" t="s">
        <v>3158</v>
      </c>
    </row>
    <row r="172" spans="1:6" x14ac:dyDescent="0.2">
      <c r="A172" t="s">
        <v>914</v>
      </c>
      <c r="C172" t="s">
        <v>783</v>
      </c>
      <c r="D172" t="s">
        <v>964</v>
      </c>
      <c r="E172" t="s">
        <v>3159</v>
      </c>
      <c r="F172" t="s">
        <v>2898</v>
      </c>
    </row>
    <row r="173" spans="1:6" x14ac:dyDescent="0.2">
      <c r="A173" t="s">
        <v>2286</v>
      </c>
      <c r="C173" t="s">
        <v>789</v>
      </c>
      <c r="D173" t="s">
        <v>3160</v>
      </c>
      <c r="E173" t="s">
        <v>3161</v>
      </c>
      <c r="F173" t="s">
        <v>2868</v>
      </c>
    </row>
    <row r="174" spans="1:6" x14ac:dyDescent="0.2">
      <c r="A174" t="s">
        <v>2287</v>
      </c>
      <c r="C174" t="s">
        <v>789</v>
      </c>
      <c r="D174" t="s">
        <v>838</v>
      </c>
      <c r="E174" t="s">
        <v>3162</v>
      </c>
      <c r="F174" t="s">
        <v>1182</v>
      </c>
    </row>
    <row r="175" spans="1:6" x14ac:dyDescent="0.2">
      <c r="A175" t="s">
        <v>2288</v>
      </c>
      <c r="C175" t="s">
        <v>789</v>
      </c>
      <c r="D175" t="s">
        <v>3163</v>
      </c>
      <c r="E175" t="s">
        <v>3164</v>
      </c>
      <c r="F175" t="s">
        <v>1643</v>
      </c>
    </row>
    <row r="176" spans="1:6" x14ac:dyDescent="0.2">
      <c r="A176" t="s">
        <v>2289</v>
      </c>
      <c r="C176" t="s">
        <v>789</v>
      </c>
      <c r="D176" t="s">
        <v>3165</v>
      </c>
      <c r="E176" t="s">
        <v>3166</v>
      </c>
      <c r="F176" t="s">
        <v>800</v>
      </c>
    </row>
    <row r="177" spans="1:6" x14ac:dyDescent="0.2">
      <c r="A177" t="s">
        <v>2290</v>
      </c>
      <c r="C177" t="s">
        <v>789</v>
      </c>
      <c r="D177" t="s">
        <v>3167</v>
      </c>
      <c r="E177" t="s">
        <v>3168</v>
      </c>
      <c r="F177" t="s">
        <v>1623</v>
      </c>
    </row>
    <row r="178" spans="1:6" x14ac:dyDescent="0.2">
      <c r="A178" t="s">
        <v>2291</v>
      </c>
      <c r="C178" t="s">
        <v>789</v>
      </c>
      <c r="D178" t="s">
        <v>3169</v>
      </c>
      <c r="E178" t="s">
        <v>3170</v>
      </c>
      <c r="F178" t="s">
        <v>1607</v>
      </c>
    </row>
    <row r="179" spans="1:6" x14ac:dyDescent="0.2">
      <c r="A179" t="s">
        <v>2292</v>
      </c>
      <c r="C179" t="s">
        <v>789</v>
      </c>
      <c r="D179" t="s">
        <v>3171</v>
      </c>
      <c r="E179" t="s">
        <v>3172</v>
      </c>
      <c r="F179" t="s">
        <v>1006</v>
      </c>
    </row>
    <row r="180" spans="1:6" x14ac:dyDescent="0.2">
      <c r="A180" t="s">
        <v>2293</v>
      </c>
      <c r="C180" t="s">
        <v>789</v>
      </c>
      <c r="D180" t="s">
        <v>3173</v>
      </c>
      <c r="E180" t="s">
        <v>3174</v>
      </c>
      <c r="F180" t="s">
        <v>1551</v>
      </c>
    </row>
    <row r="181" spans="1:6" x14ac:dyDescent="0.2">
      <c r="A181" t="s">
        <v>2294</v>
      </c>
      <c r="C181" t="s">
        <v>789</v>
      </c>
      <c r="D181" t="s">
        <v>3175</v>
      </c>
      <c r="E181" t="s">
        <v>3176</v>
      </c>
      <c r="F181" t="s">
        <v>3177</v>
      </c>
    </row>
    <row r="182" spans="1:6" x14ac:dyDescent="0.2">
      <c r="A182" t="s">
        <v>2295</v>
      </c>
      <c r="C182" t="s">
        <v>789</v>
      </c>
      <c r="D182" t="s">
        <v>3178</v>
      </c>
      <c r="E182" t="s">
        <v>3179</v>
      </c>
      <c r="F182" t="s">
        <v>1404</v>
      </c>
    </row>
    <row r="183" spans="1:6" x14ac:dyDescent="0.2">
      <c r="A183" t="s">
        <v>2296</v>
      </c>
      <c r="C183" t="s">
        <v>789</v>
      </c>
      <c r="D183" t="s">
        <v>3180</v>
      </c>
      <c r="E183" t="s">
        <v>3181</v>
      </c>
      <c r="F183" t="s">
        <v>3182</v>
      </c>
    </row>
    <row r="184" spans="1:6" x14ac:dyDescent="0.2">
      <c r="A184" t="s">
        <v>2297</v>
      </c>
      <c r="C184" t="s">
        <v>789</v>
      </c>
      <c r="D184" t="s">
        <v>3183</v>
      </c>
      <c r="E184" t="s">
        <v>3184</v>
      </c>
      <c r="F184" t="s">
        <v>888</v>
      </c>
    </row>
    <row r="185" spans="1:6" x14ac:dyDescent="0.2">
      <c r="A185" t="s">
        <v>2298</v>
      </c>
      <c r="C185" t="s">
        <v>789</v>
      </c>
      <c r="D185" t="s">
        <v>3185</v>
      </c>
      <c r="E185" t="s">
        <v>3186</v>
      </c>
      <c r="F185" t="s">
        <v>798</v>
      </c>
    </row>
    <row r="186" spans="1:6" x14ac:dyDescent="0.2">
      <c r="A186" t="s">
        <v>2299</v>
      </c>
      <c r="C186" t="s">
        <v>1733</v>
      </c>
      <c r="D186" t="s">
        <v>3187</v>
      </c>
      <c r="E186" t="s">
        <v>3188</v>
      </c>
      <c r="F186" t="s">
        <v>3189</v>
      </c>
    </row>
    <row r="187" spans="1:6" x14ac:dyDescent="0.2">
      <c r="A187" t="s">
        <v>1925</v>
      </c>
      <c r="C187" t="s">
        <v>789</v>
      </c>
      <c r="D187" t="s">
        <v>3190</v>
      </c>
      <c r="E187" t="s">
        <v>3191</v>
      </c>
      <c r="F187" t="s">
        <v>2868</v>
      </c>
    </row>
    <row r="188" spans="1:6" x14ac:dyDescent="0.2">
      <c r="A188" t="s">
        <v>2300</v>
      </c>
      <c r="C188" t="s">
        <v>789</v>
      </c>
      <c r="D188" t="s">
        <v>3192</v>
      </c>
      <c r="E188" t="s">
        <v>3193</v>
      </c>
      <c r="F188" t="s">
        <v>2110</v>
      </c>
    </row>
    <row r="189" spans="1:6" x14ac:dyDescent="0.2">
      <c r="A189" t="s">
        <v>2301</v>
      </c>
      <c r="C189" t="s">
        <v>789</v>
      </c>
      <c r="D189" t="s">
        <v>2018</v>
      </c>
      <c r="E189" t="s">
        <v>3194</v>
      </c>
      <c r="F189" t="s">
        <v>2868</v>
      </c>
    </row>
    <row r="190" spans="1:6" x14ac:dyDescent="0.2">
      <c r="A190" t="s">
        <v>2302</v>
      </c>
      <c r="C190" t="s">
        <v>789</v>
      </c>
      <c r="D190" t="s">
        <v>3195</v>
      </c>
      <c r="E190" t="s">
        <v>3196</v>
      </c>
      <c r="F190" t="s">
        <v>935</v>
      </c>
    </row>
    <row r="191" spans="1:6" x14ac:dyDescent="0.2">
      <c r="A191" t="s">
        <v>2303</v>
      </c>
      <c r="C191" t="s">
        <v>1733</v>
      </c>
      <c r="D191" t="s">
        <v>3197</v>
      </c>
      <c r="E191" t="s">
        <v>3198</v>
      </c>
      <c r="F191" t="s">
        <v>3199</v>
      </c>
    </row>
    <row r="192" spans="1:6" x14ac:dyDescent="0.2">
      <c r="A192" t="s">
        <v>2304</v>
      </c>
      <c r="C192" t="s">
        <v>789</v>
      </c>
      <c r="D192" t="s">
        <v>3200</v>
      </c>
      <c r="E192" t="s">
        <v>3201</v>
      </c>
      <c r="F192" t="s">
        <v>2868</v>
      </c>
    </row>
    <row r="193" spans="1:6" x14ac:dyDescent="0.2">
      <c r="A193" t="s">
        <v>1249</v>
      </c>
      <c r="C193" t="s">
        <v>789</v>
      </c>
      <c r="D193" t="s">
        <v>859</v>
      </c>
      <c r="E193" t="s">
        <v>1441</v>
      </c>
      <c r="F193" t="s">
        <v>3202</v>
      </c>
    </row>
    <row r="194" spans="1:6" x14ac:dyDescent="0.2">
      <c r="A194" t="s">
        <v>1250</v>
      </c>
      <c r="C194" t="s">
        <v>789</v>
      </c>
      <c r="D194" t="s">
        <v>1442</v>
      </c>
      <c r="E194" t="s">
        <v>1074</v>
      </c>
      <c r="F194" t="s">
        <v>2138</v>
      </c>
    </row>
    <row r="195" spans="1:6" x14ac:dyDescent="0.2">
      <c r="A195" t="s">
        <v>2305</v>
      </c>
      <c r="C195" t="s">
        <v>789</v>
      </c>
      <c r="D195" t="s">
        <v>3203</v>
      </c>
      <c r="E195" t="s">
        <v>3204</v>
      </c>
      <c r="F195" t="s">
        <v>1207</v>
      </c>
    </row>
    <row r="196" spans="1:6" x14ac:dyDescent="0.2">
      <c r="A196" t="s">
        <v>2306</v>
      </c>
      <c r="C196" t="s">
        <v>789</v>
      </c>
      <c r="D196" t="s">
        <v>3205</v>
      </c>
      <c r="E196" t="s">
        <v>3206</v>
      </c>
      <c r="F196" t="s">
        <v>1565</v>
      </c>
    </row>
    <row r="197" spans="1:6" x14ac:dyDescent="0.2">
      <c r="A197" t="s">
        <v>2307</v>
      </c>
      <c r="C197" t="s">
        <v>1733</v>
      </c>
      <c r="D197" t="s">
        <v>3207</v>
      </c>
      <c r="E197" t="s">
        <v>3208</v>
      </c>
      <c r="F197" t="s">
        <v>3209</v>
      </c>
    </row>
    <row r="198" spans="1:6" x14ac:dyDescent="0.2">
      <c r="A198" t="s">
        <v>2308</v>
      </c>
      <c r="C198" t="s">
        <v>789</v>
      </c>
      <c r="D198" t="s">
        <v>3210</v>
      </c>
      <c r="E198" t="s">
        <v>3211</v>
      </c>
      <c r="F198" t="s">
        <v>2868</v>
      </c>
    </row>
    <row r="199" spans="1:6" x14ac:dyDescent="0.2">
      <c r="A199" t="s">
        <v>2309</v>
      </c>
      <c r="C199" t="s">
        <v>789</v>
      </c>
      <c r="D199" t="s">
        <v>3212</v>
      </c>
      <c r="E199" t="s">
        <v>3213</v>
      </c>
      <c r="F199" t="s">
        <v>1035</v>
      </c>
    </row>
    <row r="200" spans="1:6" x14ac:dyDescent="0.2">
      <c r="A200" t="s">
        <v>1926</v>
      </c>
      <c r="C200" t="s">
        <v>789</v>
      </c>
      <c r="D200" t="s">
        <v>1179</v>
      </c>
      <c r="E200" t="s">
        <v>3214</v>
      </c>
      <c r="F200" t="s">
        <v>1401</v>
      </c>
    </row>
    <row r="201" spans="1:6" x14ac:dyDescent="0.2">
      <c r="A201" t="s">
        <v>2310</v>
      </c>
      <c r="C201" t="s">
        <v>789</v>
      </c>
      <c r="D201" t="s">
        <v>3215</v>
      </c>
      <c r="E201" t="s">
        <v>3216</v>
      </c>
      <c r="F201" t="s">
        <v>2868</v>
      </c>
    </row>
    <row r="202" spans="1:6" x14ac:dyDescent="0.2">
      <c r="A202" t="s">
        <v>1122</v>
      </c>
      <c r="C202" t="s">
        <v>789</v>
      </c>
      <c r="D202" t="s">
        <v>3217</v>
      </c>
      <c r="E202" t="s">
        <v>3218</v>
      </c>
      <c r="F202" t="s">
        <v>2868</v>
      </c>
    </row>
    <row r="203" spans="1:6" x14ac:dyDescent="0.2">
      <c r="A203" t="s">
        <v>1093</v>
      </c>
      <c r="C203" t="s">
        <v>789</v>
      </c>
      <c r="D203" t="s">
        <v>3219</v>
      </c>
      <c r="E203" t="s">
        <v>3220</v>
      </c>
      <c r="F203" t="s">
        <v>3221</v>
      </c>
    </row>
    <row r="204" spans="1:6" x14ac:dyDescent="0.2">
      <c r="A204" t="s">
        <v>1927</v>
      </c>
      <c r="C204" t="s">
        <v>789</v>
      </c>
      <c r="D204" t="s">
        <v>3222</v>
      </c>
      <c r="E204" t="s">
        <v>3223</v>
      </c>
      <c r="F204" t="s">
        <v>1583</v>
      </c>
    </row>
    <row r="205" spans="1:6" x14ac:dyDescent="0.2">
      <c r="A205" t="s">
        <v>2311</v>
      </c>
      <c r="C205" t="s">
        <v>789</v>
      </c>
      <c r="D205" t="s">
        <v>3224</v>
      </c>
      <c r="E205" t="s">
        <v>3225</v>
      </c>
      <c r="F205" t="s">
        <v>1040</v>
      </c>
    </row>
    <row r="206" spans="1:6" x14ac:dyDescent="0.2">
      <c r="A206" t="s">
        <v>1928</v>
      </c>
      <c r="C206" t="s">
        <v>789</v>
      </c>
      <c r="D206" t="s">
        <v>3226</v>
      </c>
      <c r="E206" t="s">
        <v>3227</v>
      </c>
      <c r="F206" t="s">
        <v>2868</v>
      </c>
    </row>
    <row r="207" spans="1:6" x14ac:dyDescent="0.2">
      <c r="A207" t="s">
        <v>1251</v>
      </c>
      <c r="C207" t="s">
        <v>789</v>
      </c>
      <c r="D207" t="s">
        <v>1444</v>
      </c>
      <c r="E207" t="s">
        <v>1445</v>
      </c>
      <c r="F207" t="s">
        <v>1446</v>
      </c>
    </row>
    <row r="208" spans="1:6" x14ac:dyDescent="0.2">
      <c r="A208" t="s">
        <v>2312</v>
      </c>
      <c r="C208" t="s">
        <v>789</v>
      </c>
      <c r="D208" t="s">
        <v>876</v>
      </c>
      <c r="E208" t="s">
        <v>3228</v>
      </c>
      <c r="F208" t="s">
        <v>2868</v>
      </c>
    </row>
    <row r="209" spans="1:6" x14ac:dyDescent="0.2">
      <c r="A209" t="s">
        <v>2313</v>
      </c>
      <c r="C209" t="s">
        <v>789</v>
      </c>
      <c r="D209" t="s">
        <v>3229</v>
      </c>
      <c r="E209" t="s">
        <v>3230</v>
      </c>
      <c r="F209" t="s">
        <v>2868</v>
      </c>
    </row>
    <row r="210" spans="1:6" x14ac:dyDescent="0.2">
      <c r="A210" t="s">
        <v>1099</v>
      </c>
      <c r="C210" t="s">
        <v>789</v>
      </c>
      <c r="D210" t="s">
        <v>3231</v>
      </c>
      <c r="E210" t="s">
        <v>3232</v>
      </c>
      <c r="F210" t="s">
        <v>832</v>
      </c>
    </row>
    <row r="211" spans="1:6" x14ac:dyDescent="0.2">
      <c r="A211" t="s">
        <v>2314</v>
      </c>
      <c r="C211" t="s">
        <v>789</v>
      </c>
      <c r="D211" t="s">
        <v>3233</v>
      </c>
      <c r="E211" t="s">
        <v>3234</v>
      </c>
      <c r="F211" t="s">
        <v>2868</v>
      </c>
    </row>
    <row r="212" spans="1:6" x14ac:dyDescent="0.2">
      <c r="A212" t="s">
        <v>2315</v>
      </c>
      <c r="C212" t="s">
        <v>789</v>
      </c>
      <c r="D212" t="s">
        <v>1447</v>
      </c>
      <c r="E212" t="s">
        <v>3235</v>
      </c>
      <c r="F212" t="s">
        <v>3236</v>
      </c>
    </row>
    <row r="213" spans="1:6" x14ac:dyDescent="0.2">
      <c r="A213" t="s">
        <v>1252</v>
      </c>
      <c r="C213" t="s">
        <v>789</v>
      </c>
      <c r="D213" t="s">
        <v>1447</v>
      </c>
      <c r="E213" t="s">
        <v>3237</v>
      </c>
      <c r="F213" t="s">
        <v>1449</v>
      </c>
    </row>
    <row r="214" spans="1:6" x14ac:dyDescent="0.2">
      <c r="A214" t="s">
        <v>1742</v>
      </c>
      <c r="C214" t="s">
        <v>783</v>
      </c>
      <c r="D214" t="s">
        <v>3238</v>
      </c>
      <c r="E214" t="s">
        <v>3239</v>
      </c>
      <c r="F214" t="s">
        <v>2898</v>
      </c>
    </row>
    <row r="215" spans="1:6" x14ac:dyDescent="0.2">
      <c r="A215" t="s">
        <v>1748</v>
      </c>
      <c r="C215" t="s">
        <v>783</v>
      </c>
      <c r="D215" t="s">
        <v>3240</v>
      </c>
      <c r="E215" t="s">
        <v>3241</v>
      </c>
      <c r="F215" t="s">
        <v>2898</v>
      </c>
    </row>
    <row r="216" spans="1:6" x14ac:dyDescent="0.2">
      <c r="A216" t="s">
        <v>1201</v>
      </c>
      <c r="C216" t="s">
        <v>789</v>
      </c>
      <c r="D216" t="s">
        <v>3242</v>
      </c>
      <c r="E216" t="s">
        <v>1663</v>
      </c>
      <c r="F216" t="s">
        <v>1132</v>
      </c>
    </row>
    <row r="217" spans="1:6" x14ac:dyDescent="0.2">
      <c r="A217" t="s">
        <v>1115</v>
      </c>
      <c r="C217" t="s">
        <v>789</v>
      </c>
      <c r="D217" t="s">
        <v>3243</v>
      </c>
      <c r="E217" t="s">
        <v>1029</v>
      </c>
      <c r="F217" t="s">
        <v>3244</v>
      </c>
    </row>
    <row r="218" spans="1:6" x14ac:dyDescent="0.2">
      <c r="A218" t="s">
        <v>1059</v>
      </c>
      <c r="C218" t="s">
        <v>789</v>
      </c>
      <c r="D218" t="s">
        <v>3044</v>
      </c>
      <c r="E218" t="s">
        <v>3245</v>
      </c>
      <c r="F218" t="s">
        <v>2868</v>
      </c>
    </row>
    <row r="219" spans="1:6" x14ac:dyDescent="0.2">
      <c r="A219" t="s">
        <v>2316</v>
      </c>
      <c r="C219" t="s">
        <v>789</v>
      </c>
      <c r="D219" t="s">
        <v>3246</v>
      </c>
      <c r="E219" t="s">
        <v>3247</v>
      </c>
      <c r="F219" t="s">
        <v>829</v>
      </c>
    </row>
    <row r="220" spans="1:6" x14ac:dyDescent="0.2">
      <c r="A220" t="s">
        <v>2317</v>
      </c>
      <c r="C220" t="s">
        <v>789</v>
      </c>
      <c r="D220" t="s">
        <v>835</v>
      </c>
      <c r="E220" t="s">
        <v>3248</v>
      </c>
      <c r="F220" t="s">
        <v>1721</v>
      </c>
    </row>
    <row r="221" spans="1:6" x14ac:dyDescent="0.2">
      <c r="A221" t="s">
        <v>2318</v>
      </c>
      <c r="C221" t="s">
        <v>789</v>
      </c>
      <c r="D221" t="s">
        <v>3249</v>
      </c>
      <c r="E221" t="s">
        <v>1698</v>
      </c>
      <c r="F221" t="s">
        <v>3250</v>
      </c>
    </row>
    <row r="222" spans="1:6" x14ac:dyDescent="0.2">
      <c r="A222" t="s">
        <v>1253</v>
      </c>
      <c r="C222" t="s">
        <v>789</v>
      </c>
      <c r="D222" t="s">
        <v>3251</v>
      </c>
      <c r="E222" t="s">
        <v>3252</v>
      </c>
      <c r="F222" t="s">
        <v>3253</v>
      </c>
    </row>
    <row r="223" spans="1:6" x14ac:dyDescent="0.2">
      <c r="A223" t="s">
        <v>2319</v>
      </c>
      <c r="C223" t="s">
        <v>789</v>
      </c>
      <c r="D223" t="s">
        <v>3254</v>
      </c>
      <c r="E223" t="s">
        <v>3255</v>
      </c>
      <c r="F223" t="s">
        <v>3256</v>
      </c>
    </row>
    <row r="224" spans="1:6" x14ac:dyDescent="0.2">
      <c r="A224" t="s">
        <v>2320</v>
      </c>
      <c r="C224" t="s">
        <v>789</v>
      </c>
      <c r="D224" t="s">
        <v>3257</v>
      </c>
      <c r="E224" t="s">
        <v>3258</v>
      </c>
      <c r="F224" t="s">
        <v>2868</v>
      </c>
    </row>
    <row r="225" spans="1:6" x14ac:dyDescent="0.2">
      <c r="A225" t="s">
        <v>2321</v>
      </c>
      <c r="C225" t="s">
        <v>789</v>
      </c>
      <c r="D225" t="s">
        <v>3259</v>
      </c>
      <c r="E225" t="s">
        <v>3260</v>
      </c>
      <c r="F225" t="s">
        <v>2868</v>
      </c>
    </row>
    <row r="226" spans="1:6" x14ac:dyDescent="0.2">
      <c r="A226" t="s">
        <v>2322</v>
      </c>
      <c r="C226" t="s">
        <v>1733</v>
      </c>
      <c r="D226" t="s">
        <v>3261</v>
      </c>
      <c r="E226" t="s">
        <v>922</v>
      </c>
      <c r="F226" t="s">
        <v>3262</v>
      </c>
    </row>
    <row r="227" spans="1:6" x14ac:dyDescent="0.2">
      <c r="A227" t="s">
        <v>2323</v>
      </c>
      <c r="C227" t="s">
        <v>789</v>
      </c>
      <c r="D227" t="s">
        <v>3263</v>
      </c>
      <c r="E227" t="s">
        <v>3264</v>
      </c>
      <c r="F227" t="s">
        <v>2868</v>
      </c>
    </row>
    <row r="228" spans="1:6" x14ac:dyDescent="0.2">
      <c r="A228" t="s">
        <v>2324</v>
      </c>
      <c r="C228" t="s">
        <v>789</v>
      </c>
      <c r="D228" t="s">
        <v>3265</v>
      </c>
      <c r="E228" t="s">
        <v>3266</v>
      </c>
      <c r="F228" t="s">
        <v>2868</v>
      </c>
    </row>
    <row r="229" spans="1:6" x14ac:dyDescent="0.2">
      <c r="A229" t="s">
        <v>877</v>
      </c>
      <c r="C229" t="s">
        <v>789</v>
      </c>
      <c r="D229" t="s">
        <v>1450</v>
      </c>
      <c r="E229" t="s">
        <v>3267</v>
      </c>
      <c r="F229" t="s">
        <v>2868</v>
      </c>
    </row>
    <row r="230" spans="1:6" x14ac:dyDescent="0.2">
      <c r="A230" t="s">
        <v>2325</v>
      </c>
      <c r="C230" t="s">
        <v>789</v>
      </c>
      <c r="D230" t="s">
        <v>1704</v>
      </c>
      <c r="E230" t="s">
        <v>3268</v>
      </c>
      <c r="F230" t="s">
        <v>3250</v>
      </c>
    </row>
    <row r="231" spans="1:6" x14ac:dyDescent="0.2">
      <c r="A231" t="s">
        <v>2326</v>
      </c>
      <c r="C231" t="s">
        <v>1733</v>
      </c>
      <c r="D231" t="s">
        <v>3269</v>
      </c>
      <c r="E231" t="s">
        <v>3270</v>
      </c>
      <c r="F231" t="s">
        <v>936</v>
      </c>
    </row>
    <row r="232" spans="1:6" x14ac:dyDescent="0.2">
      <c r="A232" t="s">
        <v>2327</v>
      </c>
      <c r="C232" t="s">
        <v>789</v>
      </c>
      <c r="D232" t="s">
        <v>3271</v>
      </c>
      <c r="E232" t="s">
        <v>3272</v>
      </c>
      <c r="F232" t="s">
        <v>867</v>
      </c>
    </row>
    <row r="233" spans="1:6" x14ac:dyDescent="0.2">
      <c r="A233" t="s">
        <v>879</v>
      </c>
      <c r="C233" t="s">
        <v>789</v>
      </c>
      <c r="D233" t="s">
        <v>2108</v>
      </c>
      <c r="E233" t="s">
        <v>3273</v>
      </c>
      <c r="F233" t="s">
        <v>2868</v>
      </c>
    </row>
    <row r="234" spans="1:6" x14ac:dyDescent="0.2">
      <c r="A234" t="s">
        <v>2328</v>
      </c>
      <c r="C234" t="s">
        <v>783</v>
      </c>
      <c r="D234" t="s">
        <v>3274</v>
      </c>
      <c r="E234" t="s">
        <v>866</v>
      </c>
      <c r="F234" t="s">
        <v>2898</v>
      </c>
    </row>
    <row r="235" spans="1:6" x14ac:dyDescent="0.2">
      <c r="A235" t="s">
        <v>2329</v>
      </c>
      <c r="C235" t="s">
        <v>783</v>
      </c>
      <c r="D235" t="s">
        <v>3275</v>
      </c>
      <c r="E235" t="s">
        <v>3276</v>
      </c>
      <c r="F235" t="s">
        <v>2898</v>
      </c>
    </row>
    <row r="236" spans="1:6" x14ac:dyDescent="0.2">
      <c r="A236" t="s">
        <v>2330</v>
      </c>
      <c r="C236" t="s">
        <v>789</v>
      </c>
      <c r="D236" t="s">
        <v>3277</v>
      </c>
      <c r="E236" t="s">
        <v>3054</v>
      </c>
      <c r="F236" t="s">
        <v>2868</v>
      </c>
    </row>
    <row r="237" spans="1:6" x14ac:dyDescent="0.2">
      <c r="A237" t="s">
        <v>2331</v>
      </c>
      <c r="C237" t="s">
        <v>789</v>
      </c>
      <c r="D237" t="s">
        <v>2917</v>
      </c>
      <c r="E237" t="s">
        <v>3278</v>
      </c>
      <c r="F237" t="s">
        <v>2868</v>
      </c>
    </row>
    <row r="238" spans="1:6" x14ac:dyDescent="0.2">
      <c r="A238" t="s">
        <v>2332</v>
      </c>
      <c r="C238" t="s">
        <v>789</v>
      </c>
      <c r="D238" t="s">
        <v>3279</v>
      </c>
      <c r="E238" t="s">
        <v>3280</v>
      </c>
      <c r="F238" t="s">
        <v>1505</v>
      </c>
    </row>
    <row r="239" spans="1:6" x14ac:dyDescent="0.2">
      <c r="A239" t="s">
        <v>2333</v>
      </c>
      <c r="C239" t="s">
        <v>789</v>
      </c>
      <c r="D239" t="s">
        <v>3281</v>
      </c>
      <c r="E239" t="s">
        <v>3282</v>
      </c>
      <c r="F239" t="s">
        <v>919</v>
      </c>
    </row>
    <row r="240" spans="1:6" x14ac:dyDescent="0.2">
      <c r="A240" t="s">
        <v>2334</v>
      </c>
      <c r="C240" t="s">
        <v>789</v>
      </c>
      <c r="D240" t="s">
        <v>3283</v>
      </c>
      <c r="E240" t="s">
        <v>3284</v>
      </c>
      <c r="F240" t="s">
        <v>961</v>
      </c>
    </row>
    <row r="241" spans="1:6" x14ac:dyDescent="0.2">
      <c r="A241" t="s">
        <v>1254</v>
      </c>
      <c r="C241" t="s">
        <v>789</v>
      </c>
      <c r="D241" t="s">
        <v>3285</v>
      </c>
      <c r="E241" t="s">
        <v>3286</v>
      </c>
      <c r="F241" t="s">
        <v>1401</v>
      </c>
    </row>
    <row r="242" spans="1:6" x14ac:dyDescent="0.2">
      <c r="A242" t="s">
        <v>2335</v>
      </c>
      <c r="C242" t="s">
        <v>789</v>
      </c>
      <c r="D242" t="s">
        <v>3287</v>
      </c>
      <c r="E242" t="s">
        <v>3288</v>
      </c>
      <c r="F242" t="s">
        <v>1407</v>
      </c>
    </row>
    <row r="243" spans="1:6" x14ac:dyDescent="0.2">
      <c r="A243" t="s">
        <v>1929</v>
      </c>
      <c r="C243" t="s">
        <v>789</v>
      </c>
      <c r="D243" t="s">
        <v>3289</v>
      </c>
      <c r="E243" t="s">
        <v>3290</v>
      </c>
      <c r="F243" t="s">
        <v>3291</v>
      </c>
    </row>
    <row r="244" spans="1:6" x14ac:dyDescent="0.2">
      <c r="A244" t="s">
        <v>2336</v>
      </c>
      <c r="C244" t="s">
        <v>1733</v>
      </c>
      <c r="D244" t="s">
        <v>3292</v>
      </c>
      <c r="E244" t="s">
        <v>3293</v>
      </c>
      <c r="F244" t="s">
        <v>3294</v>
      </c>
    </row>
    <row r="245" spans="1:6" x14ac:dyDescent="0.2">
      <c r="A245" t="s">
        <v>2337</v>
      </c>
      <c r="C245" t="s">
        <v>789</v>
      </c>
      <c r="D245" t="s">
        <v>3295</v>
      </c>
      <c r="E245" t="s">
        <v>3296</v>
      </c>
      <c r="F245" t="s">
        <v>2868</v>
      </c>
    </row>
    <row r="246" spans="1:6" x14ac:dyDescent="0.2">
      <c r="A246" t="s">
        <v>911</v>
      </c>
      <c r="C246" t="s">
        <v>789</v>
      </c>
      <c r="D246" t="s">
        <v>3297</v>
      </c>
      <c r="E246" t="s">
        <v>3298</v>
      </c>
      <c r="F246" t="s">
        <v>2868</v>
      </c>
    </row>
    <row r="247" spans="1:6" x14ac:dyDescent="0.2">
      <c r="A247" t="s">
        <v>2338</v>
      </c>
      <c r="C247" t="s">
        <v>789</v>
      </c>
      <c r="D247" t="s">
        <v>1379</v>
      </c>
      <c r="E247" t="s">
        <v>3299</v>
      </c>
      <c r="F247" t="s">
        <v>2868</v>
      </c>
    </row>
    <row r="248" spans="1:6" x14ac:dyDescent="0.2">
      <c r="A248" t="s">
        <v>2339</v>
      </c>
      <c r="C248" t="s">
        <v>783</v>
      </c>
      <c r="D248" t="s">
        <v>3295</v>
      </c>
      <c r="E248" t="s">
        <v>3296</v>
      </c>
      <c r="F248" t="s">
        <v>3300</v>
      </c>
    </row>
    <row r="249" spans="1:6" x14ac:dyDescent="0.2">
      <c r="A249" t="s">
        <v>2340</v>
      </c>
      <c r="C249" t="s">
        <v>783</v>
      </c>
      <c r="D249" t="s">
        <v>3301</v>
      </c>
      <c r="E249" t="s">
        <v>3302</v>
      </c>
      <c r="F249" t="s">
        <v>3300</v>
      </c>
    </row>
    <row r="250" spans="1:6" x14ac:dyDescent="0.2">
      <c r="A250" t="s">
        <v>2341</v>
      </c>
      <c r="C250" t="s">
        <v>789</v>
      </c>
      <c r="D250" t="s">
        <v>3303</v>
      </c>
      <c r="E250" t="s">
        <v>3304</v>
      </c>
      <c r="F250" t="s">
        <v>3305</v>
      </c>
    </row>
    <row r="251" spans="1:6" x14ac:dyDescent="0.2">
      <c r="A251" t="s">
        <v>2342</v>
      </c>
      <c r="C251" t="s">
        <v>789</v>
      </c>
      <c r="D251" t="s">
        <v>3306</v>
      </c>
      <c r="E251" t="s">
        <v>3307</v>
      </c>
      <c r="F251" t="s">
        <v>2868</v>
      </c>
    </row>
    <row r="252" spans="1:6" x14ac:dyDescent="0.2">
      <c r="A252" t="s">
        <v>2343</v>
      </c>
      <c r="C252" t="s">
        <v>789</v>
      </c>
      <c r="D252" t="s">
        <v>3137</v>
      </c>
      <c r="E252" t="s">
        <v>3308</v>
      </c>
      <c r="F252" t="s">
        <v>2868</v>
      </c>
    </row>
    <row r="253" spans="1:6" x14ac:dyDescent="0.2">
      <c r="A253" t="s">
        <v>1255</v>
      </c>
      <c r="C253" t="s">
        <v>789</v>
      </c>
      <c r="D253" t="s">
        <v>1554</v>
      </c>
      <c r="E253" t="s">
        <v>3309</v>
      </c>
      <c r="F253" t="s">
        <v>2128</v>
      </c>
    </row>
    <row r="254" spans="1:6" x14ac:dyDescent="0.2">
      <c r="A254" t="s">
        <v>2344</v>
      </c>
      <c r="C254" t="s">
        <v>789</v>
      </c>
      <c r="D254" t="s">
        <v>3310</v>
      </c>
      <c r="E254" t="s">
        <v>2050</v>
      </c>
      <c r="F254" t="s">
        <v>2868</v>
      </c>
    </row>
    <row r="255" spans="1:6" x14ac:dyDescent="0.2">
      <c r="A255" t="s">
        <v>2345</v>
      </c>
      <c r="C255" t="s">
        <v>789</v>
      </c>
      <c r="D255" t="s">
        <v>3311</v>
      </c>
      <c r="E255" t="s">
        <v>3312</v>
      </c>
      <c r="F255" t="s">
        <v>2868</v>
      </c>
    </row>
    <row r="256" spans="1:6" x14ac:dyDescent="0.2">
      <c r="A256" t="s">
        <v>2346</v>
      </c>
      <c r="C256" t="s">
        <v>789</v>
      </c>
      <c r="D256" t="s">
        <v>3313</v>
      </c>
      <c r="E256" t="s">
        <v>3314</v>
      </c>
      <c r="F256" t="s">
        <v>2868</v>
      </c>
    </row>
    <row r="257" spans="1:6" x14ac:dyDescent="0.2">
      <c r="A257" t="s">
        <v>2347</v>
      </c>
      <c r="C257" t="s">
        <v>789</v>
      </c>
      <c r="D257" t="s">
        <v>3315</v>
      </c>
      <c r="E257" t="s">
        <v>3316</v>
      </c>
      <c r="F257" t="s">
        <v>3317</v>
      </c>
    </row>
    <row r="258" spans="1:6" x14ac:dyDescent="0.2">
      <c r="A258" t="s">
        <v>2348</v>
      </c>
      <c r="C258" t="s">
        <v>789</v>
      </c>
      <c r="D258" t="s">
        <v>3318</v>
      </c>
      <c r="E258" t="s">
        <v>3319</v>
      </c>
      <c r="F258" t="s">
        <v>3320</v>
      </c>
    </row>
    <row r="259" spans="1:6" x14ac:dyDescent="0.2">
      <c r="A259" t="s">
        <v>2349</v>
      </c>
      <c r="C259" t="s">
        <v>1733</v>
      </c>
      <c r="D259" t="s">
        <v>3321</v>
      </c>
      <c r="E259" t="s">
        <v>3322</v>
      </c>
      <c r="F259" t="s">
        <v>3323</v>
      </c>
    </row>
    <row r="260" spans="1:6" x14ac:dyDescent="0.2">
      <c r="A260" t="s">
        <v>2350</v>
      </c>
      <c r="C260" t="s">
        <v>783</v>
      </c>
      <c r="D260" t="s">
        <v>3324</v>
      </c>
      <c r="E260" t="s">
        <v>3325</v>
      </c>
      <c r="F260" t="s">
        <v>3326</v>
      </c>
    </row>
    <row r="261" spans="1:6" x14ac:dyDescent="0.2">
      <c r="A261" t="s">
        <v>2351</v>
      </c>
      <c r="C261" t="s">
        <v>789</v>
      </c>
      <c r="D261" t="s">
        <v>3327</v>
      </c>
      <c r="E261" t="s">
        <v>3328</v>
      </c>
      <c r="F261" t="s">
        <v>3329</v>
      </c>
    </row>
    <row r="262" spans="1:6" x14ac:dyDescent="0.2">
      <c r="A262" t="s">
        <v>2352</v>
      </c>
      <c r="C262" t="s">
        <v>789</v>
      </c>
      <c r="D262" t="s">
        <v>3330</v>
      </c>
      <c r="E262" t="s">
        <v>1899</v>
      </c>
      <c r="F262" t="s">
        <v>1623</v>
      </c>
    </row>
    <row r="263" spans="1:6" x14ac:dyDescent="0.2">
      <c r="A263" t="s">
        <v>2353</v>
      </c>
      <c r="C263" t="s">
        <v>1733</v>
      </c>
      <c r="D263" t="s">
        <v>2937</v>
      </c>
      <c r="E263" t="s">
        <v>3331</v>
      </c>
      <c r="F263" t="s">
        <v>3332</v>
      </c>
    </row>
    <row r="264" spans="1:6" x14ac:dyDescent="0.2">
      <c r="A264" t="s">
        <v>2354</v>
      </c>
      <c r="C264" t="s">
        <v>789</v>
      </c>
      <c r="D264" t="s">
        <v>3333</v>
      </c>
      <c r="E264" t="s">
        <v>2145</v>
      </c>
      <c r="F264" t="s">
        <v>2868</v>
      </c>
    </row>
    <row r="265" spans="1:6" x14ac:dyDescent="0.2">
      <c r="A265" t="s">
        <v>2355</v>
      </c>
      <c r="C265" t="s">
        <v>789</v>
      </c>
      <c r="D265" t="s">
        <v>3334</v>
      </c>
      <c r="E265" t="s">
        <v>3335</v>
      </c>
      <c r="F265" t="s">
        <v>2868</v>
      </c>
    </row>
    <row r="266" spans="1:6" x14ac:dyDescent="0.2">
      <c r="A266" t="s">
        <v>1256</v>
      </c>
      <c r="C266" t="s">
        <v>789</v>
      </c>
      <c r="D266" t="s">
        <v>3336</v>
      </c>
      <c r="E266" t="s">
        <v>3337</v>
      </c>
      <c r="F266" t="s">
        <v>3338</v>
      </c>
    </row>
    <row r="267" spans="1:6" x14ac:dyDescent="0.2">
      <c r="A267" t="s">
        <v>1257</v>
      </c>
      <c r="C267" t="s">
        <v>789</v>
      </c>
      <c r="D267" t="s">
        <v>1053</v>
      </c>
      <c r="E267" t="s">
        <v>1460</v>
      </c>
      <c r="F267" t="s">
        <v>1075</v>
      </c>
    </row>
    <row r="268" spans="1:6" x14ac:dyDescent="0.2">
      <c r="A268" t="s">
        <v>1930</v>
      </c>
      <c r="C268" t="s">
        <v>789</v>
      </c>
      <c r="D268" t="s">
        <v>3339</v>
      </c>
      <c r="E268" t="s">
        <v>1421</v>
      </c>
      <c r="F268" t="s">
        <v>1079</v>
      </c>
    </row>
    <row r="269" spans="1:6" x14ac:dyDescent="0.2">
      <c r="A269" t="s">
        <v>2356</v>
      </c>
      <c r="C269" t="s">
        <v>789</v>
      </c>
      <c r="D269" t="s">
        <v>3340</v>
      </c>
      <c r="E269" t="s">
        <v>1677</v>
      </c>
      <c r="F269" t="s">
        <v>3341</v>
      </c>
    </row>
    <row r="270" spans="1:6" x14ac:dyDescent="0.2">
      <c r="A270" t="s">
        <v>2357</v>
      </c>
      <c r="C270" t="s">
        <v>1733</v>
      </c>
      <c r="D270" t="s">
        <v>3342</v>
      </c>
      <c r="E270" t="s">
        <v>3343</v>
      </c>
      <c r="F270" t="s">
        <v>3344</v>
      </c>
    </row>
    <row r="271" spans="1:6" x14ac:dyDescent="0.2">
      <c r="A271" t="s">
        <v>1931</v>
      </c>
      <c r="C271" t="s">
        <v>789</v>
      </c>
      <c r="D271" t="s">
        <v>1139</v>
      </c>
      <c r="E271" t="s">
        <v>1849</v>
      </c>
      <c r="F271" t="s">
        <v>2868</v>
      </c>
    </row>
    <row r="272" spans="1:6" x14ac:dyDescent="0.2">
      <c r="A272" t="s">
        <v>1158</v>
      </c>
      <c r="C272" t="s">
        <v>789</v>
      </c>
      <c r="D272" t="s">
        <v>3345</v>
      </c>
      <c r="E272" t="s">
        <v>3346</v>
      </c>
      <c r="F272" t="s">
        <v>2868</v>
      </c>
    </row>
    <row r="273" spans="1:6" x14ac:dyDescent="0.2">
      <c r="A273" t="s">
        <v>1103</v>
      </c>
      <c r="C273" t="s">
        <v>789</v>
      </c>
      <c r="D273" t="s">
        <v>3347</v>
      </c>
      <c r="E273" t="s">
        <v>3348</v>
      </c>
      <c r="F273" t="s">
        <v>3349</v>
      </c>
    </row>
    <row r="274" spans="1:6" x14ac:dyDescent="0.2">
      <c r="A274" t="s">
        <v>2358</v>
      </c>
      <c r="C274" t="s">
        <v>783</v>
      </c>
      <c r="D274" t="s">
        <v>3350</v>
      </c>
      <c r="E274" t="s">
        <v>1858</v>
      </c>
      <c r="F274" t="s">
        <v>3351</v>
      </c>
    </row>
    <row r="275" spans="1:6" x14ac:dyDescent="0.2">
      <c r="A275" t="s">
        <v>2359</v>
      </c>
      <c r="C275" t="s">
        <v>789</v>
      </c>
      <c r="D275" t="s">
        <v>3352</v>
      </c>
      <c r="E275" t="s">
        <v>3353</v>
      </c>
      <c r="F275" t="s">
        <v>2868</v>
      </c>
    </row>
    <row r="276" spans="1:6" x14ac:dyDescent="0.2">
      <c r="A276" t="s">
        <v>2360</v>
      </c>
      <c r="C276" t="s">
        <v>789</v>
      </c>
      <c r="D276" t="s">
        <v>2137</v>
      </c>
      <c r="E276" t="s">
        <v>3354</v>
      </c>
      <c r="F276" t="s">
        <v>1092</v>
      </c>
    </row>
    <row r="277" spans="1:6" x14ac:dyDescent="0.2">
      <c r="A277" t="s">
        <v>1258</v>
      </c>
      <c r="C277" t="s">
        <v>789</v>
      </c>
      <c r="D277" t="s">
        <v>1461</v>
      </c>
      <c r="E277" t="s">
        <v>1160</v>
      </c>
      <c r="F277" t="s">
        <v>3355</v>
      </c>
    </row>
    <row r="278" spans="1:6" x14ac:dyDescent="0.2">
      <c r="A278" t="s">
        <v>2361</v>
      </c>
      <c r="C278" t="s">
        <v>789</v>
      </c>
      <c r="D278" t="s">
        <v>3356</v>
      </c>
      <c r="E278" t="s">
        <v>3357</v>
      </c>
      <c r="F278" t="s">
        <v>2868</v>
      </c>
    </row>
    <row r="279" spans="1:6" x14ac:dyDescent="0.2">
      <c r="A279" t="s">
        <v>2362</v>
      </c>
      <c r="C279" t="s">
        <v>789</v>
      </c>
      <c r="D279" t="s">
        <v>3358</v>
      </c>
      <c r="E279" t="s">
        <v>3359</v>
      </c>
      <c r="F279" t="s">
        <v>2868</v>
      </c>
    </row>
    <row r="280" spans="1:6" x14ac:dyDescent="0.2">
      <c r="A280" t="s">
        <v>2363</v>
      </c>
      <c r="C280" t="s">
        <v>789</v>
      </c>
      <c r="D280" t="s">
        <v>3360</v>
      </c>
      <c r="E280" t="s">
        <v>3361</v>
      </c>
      <c r="F280" t="s">
        <v>798</v>
      </c>
    </row>
    <row r="281" spans="1:6" x14ac:dyDescent="0.2">
      <c r="A281" t="s">
        <v>2364</v>
      </c>
      <c r="C281" t="s">
        <v>789</v>
      </c>
      <c r="D281" t="s">
        <v>2939</v>
      </c>
      <c r="E281" t="s">
        <v>3362</v>
      </c>
      <c r="F281" t="s">
        <v>1571</v>
      </c>
    </row>
    <row r="282" spans="1:6" x14ac:dyDescent="0.2">
      <c r="A282" t="s">
        <v>2365</v>
      </c>
      <c r="C282" t="s">
        <v>789</v>
      </c>
      <c r="D282" t="s">
        <v>3363</v>
      </c>
      <c r="E282" t="s">
        <v>1705</v>
      </c>
      <c r="F282" t="s">
        <v>2868</v>
      </c>
    </row>
    <row r="283" spans="1:6" x14ac:dyDescent="0.2">
      <c r="A283" t="s">
        <v>2366</v>
      </c>
      <c r="C283" t="s">
        <v>789</v>
      </c>
      <c r="D283" t="s">
        <v>3364</v>
      </c>
      <c r="E283" t="s">
        <v>3365</v>
      </c>
      <c r="F283" t="s">
        <v>2868</v>
      </c>
    </row>
    <row r="284" spans="1:6" x14ac:dyDescent="0.2">
      <c r="A284" t="s">
        <v>1932</v>
      </c>
      <c r="C284" t="s">
        <v>789</v>
      </c>
      <c r="D284" t="s">
        <v>3366</v>
      </c>
      <c r="E284" t="s">
        <v>3367</v>
      </c>
      <c r="F284" t="s">
        <v>2868</v>
      </c>
    </row>
    <row r="285" spans="1:6" x14ac:dyDescent="0.2">
      <c r="A285" t="s">
        <v>1259</v>
      </c>
      <c r="C285" t="s">
        <v>1733</v>
      </c>
      <c r="D285" t="s">
        <v>3368</v>
      </c>
      <c r="E285" t="s">
        <v>3369</v>
      </c>
      <c r="F285" t="s">
        <v>3370</v>
      </c>
    </row>
    <row r="286" spans="1:6" x14ac:dyDescent="0.2">
      <c r="A286" t="s">
        <v>1753</v>
      </c>
      <c r="C286" t="s">
        <v>789</v>
      </c>
      <c r="D286" t="s">
        <v>3371</v>
      </c>
      <c r="E286" t="s">
        <v>3372</v>
      </c>
      <c r="F286" t="s">
        <v>1089</v>
      </c>
    </row>
    <row r="287" spans="1:6" x14ac:dyDescent="0.2">
      <c r="A287" t="s">
        <v>2367</v>
      </c>
      <c r="C287" t="s">
        <v>789</v>
      </c>
      <c r="D287" t="s">
        <v>3373</v>
      </c>
      <c r="E287" t="s">
        <v>1550</v>
      </c>
      <c r="F287" t="s">
        <v>3374</v>
      </c>
    </row>
    <row r="288" spans="1:6" x14ac:dyDescent="0.2">
      <c r="A288" t="s">
        <v>1933</v>
      </c>
      <c r="C288" t="s">
        <v>789</v>
      </c>
      <c r="D288" t="s">
        <v>3375</v>
      </c>
      <c r="E288" t="s">
        <v>3376</v>
      </c>
      <c r="F288" t="s">
        <v>3377</v>
      </c>
    </row>
    <row r="289" spans="1:6" x14ac:dyDescent="0.2">
      <c r="A289" t="s">
        <v>2368</v>
      </c>
      <c r="C289" t="s">
        <v>789</v>
      </c>
      <c r="D289" t="s">
        <v>3378</v>
      </c>
      <c r="E289" t="s">
        <v>3314</v>
      </c>
      <c r="F289" t="s">
        <v>1036</v>
      </c>
    </row>
    <row r="290" spans="1:6" x14ac:dyDescent="0.2">
      <c r="A290" t="s">
        <v>2369</v>
      </c>
      <c r="C290" t="s">
        <v>1733</v>
      </c>
      <c r="D290" t="s">
        <v>3379</v>
      </c>
      <c r="E290" t="s">
        <v>3380</v>
      </c>
      <c r="F290" t="s">
        <v>3381</v>
      </c>
    </row>
    <row r="291" spans="1:6" x14ac:dyDescent="0.2">
      <c r="A291" t="s">
        <v>933</v>
      </c>
      <c r="C291" t="s">
        <v>789</v>
      </c>
      <c r="D291" t="s">
        <v>3382</v>
      </c>
      <c r="E291" t="s">
        <v>3383</v>
      </c>
      <c r="F291" t="s">
        <v>2868</v>
      </c>
    </row>
    <row r="292" spans="1:6" x14ac:dyDescent="0.2">
      <c r="A292" t="s">
        <v>2370</v>
      </c>
      <c r="C292" t="s">
        <v>789</v>
      </c>
      <c r="D292" t="s">
        <v>3384</v>
      </c>
      <c r="E292" t="s">
        <v>2141</v>
      </c>
      <c r="F292" t="s">
        <v>1592</v>
      </c>
    </row>
    <row r="293" spans="1:6" x14ac:dyDescent="0.2">
      <c r="A293" t="s">
        <v>1260</v>
      </c>
      <c r="C293" t="s">
        <v>789</v>
      </c>
      <c r="D293" t="s">
        <v>1465</v>
      </c>
      <c r="E293" t="s">
        <v>1466</v>
      </c>
      <c r="F293" t="s">
        <v>1385</v>
      </c>
    </row>
    <row r="294" spans="1:6" x14ac:dyDescent="0.2">
      <c r="A294" t="s">
        <v>926</v>
      </c>
      <c r="C294" t="s">
        <v>789</v>
      </c>
      <c r="D294" t="s">
        <v>3385</v>
      </c>
      <c r="E294" t="s">
        <v>3386</v>
      </c>
      <c r="F294" t="s">
        <v>2868</v>
      </c>
    </row>
    <row r="295" spans="1:6" x14ac:dyDescent="0.2">
      <c r="A295" t="s">
        <v>2371</v>
      </c>
      <c r="C295" t="s">
        <v>789</v>
      </c>
      <c r="D295" t="s">
        <v>3387</v>
      </c>
      <c r="E295" t="s">
        <v>3388</v>
      </c>
      <c r="F295" t="s">
        <v>1845</v>
      </c>
    </row>
    <row r="296" spans="1:6" x14ac:dyDescent="0.2">
      <c r="A296" t="s">
        <v>1261</v>
      </c>
      <c r="C296" t="s">
        <v>789</v>
      </c>
      <c r="D296" t="s">
        <v>1467</v>
      </c>
      <c r="E296" t="s">
        <v>3389</v>
      </c>
      <c r="F296" t="s">
        <v>1036</v>
      </c>
    </row>
    <row r="297" spans="1:6" x14ac:dyDescent="0.2">
      <c r="A297" t="s">
        <v>2372</v>
      </c>
      <c r="C297" t="s">
        <v>783</v>
      </c>
      <c r="D297" t="s">
        <v>3390</v>
      </c>
      <c r="E297" t="s">
        <v>3391</v>
      </c>
      <c r="F297" t="s">
        <v>2898</v>
      </c>
    </row>
    <row r="298" spans="1:6" x14ac:dyDescent="0.2">
      <c r="A298" t="s">
        <v>1146</v>
      </c>
      <c r="C298" t="s">
        <v>789</v>
      </c>
      <c r="D298" t="s">
        <v>3392</v>
      </c>
      <c r="E298" t="s">
        <v>3393</v>
      </c>
      <c r="F298" t="s">
        <v>2868</v>
      </c>
    </row>
    <row r="299" spans="1:6" x14ac:dyDescent="0.2">
      <c r="A299" t="s">
        <v>1100</v>
      </c>
      <c r="C299" t="s">
        <v>789</v>
      </c>
      <c r="D299" t="s">
        <v>3394</v>
      </c>
      <c r="E299" t="s">
        <v>3395</v>
      </c>
      <c r="F299" t="s">
        <v>3113</v>
      </c>
    </row>
    <row r="300" spans="1:6" x14ac:dyDescent="0.2">
      <c r="A300" t="s">
        <v>2373</v>
      </c>
      <c r="C300" t="s">
        <v>789</v>
      </c>
      <c r="D300" t="s">
        <v>3396</v>
      </c>
      <c r="E300" t="s">
        <v>3397</v>
      </c>
      <c r="F300" t="s">
        <v>1592</v>
      </c>
    </row>
    <row r="301" spans="1:6" x14ac:dyDescent="0.2">
      <c r="A301" t="s">
        <v>2374</v>
      </c>
      <c r="C301" t="s">
        <v>1733</v>
      </c>
      <c r="D301" t="s">
        <v>3398</v>
      </c>
      <c r="E301" t="s">
        <v>3399</v>
      </c>
      <c r="F301" t="s">
        <v>3381</v>
      </c>
    </row>
    <row r="302" spans="1:6" x14ac:dyDescent="0.2">
      <c r="A302" t="s">
        <v>2375</v>
      </c>
      <c r="C302" t="s">
        <v>789</v>
      </c>
      <c r="D302" t="s">
        <v>3400</v>
      </c>
      <c r="E302" t="s">
        <v>3401</v>
      </c>
      <c r="F302" t="s">
        <v>2868</v>
      </c>
    </row>
    <row r="303" spans="1:6" x14ac:dyDescent="0.2">
      <c r="A303" t="s">
        <v>2376</v>
      </c>
      <c r="C303" t="s">
        <v>1733</v>
      </c>
      <c r="D303" t="s">
        <v>3402</v>
      </c>
      <c r="E303" t="s">
        <v>3403</v>
      </c>
      <c r="F303" t="s">
        <v>3404</v>
      </c>
    </row>
    <row r="304" spans="1:6" x14ac:dyDescent="0.2">
      <c r="A304" t="s">
        <v>2377</v>
      </c>
      <c r="C304" t="s">
        <v>1733</v>
      </c>
      <c r="D304" t="s">
        <v>3405</v>
      </c>
      <c r="E304" t="s">
        <v>3406</v>
      </c>
      <c r="F304" t="s">
        <v>3407</v>
      </c>
    </row>
    <row r="305" spans="1:6" x14ac:dyDescent="0.2">
      <c r="A305" t="s">
        <v>2378</v>
      </c>
      <c r="C305" t="s">
        <v>789</v>
      </c>
      <c r="D305" t="s">
        <v>3408</v>
      </c>
      <c r="E305" t="s">
        <v>3409</v>
      </c>
      <c r="F305" t="s">
        <v>2868</v>
      </c>
    </row>
    <row r="306" spans="1:6" x14ac:dyDescent="0.2">
      <c r="A306" t="s">
        <v>2379</v>
      </c>
      <c r="C306" t="s">
        <v>789</v>
      </c>
      <c r="D306" t="s">
        <v>3410</v>
      </c>
      <c r="E306" t="s">
        <v>3411</v>
      </c>
      <c r="F306" t="s">
        <v>863</v>
      </c>
    </row>
    <row r="307" spans="1:6" x14ac:dyDescent="0.2">
      <c r="A307" t="s">
        <v>1262</v>
      </c>
      <c r="C307" t="s">
        <v>789</v>
      </c>
      <c r="D307" t="s">
        <v>3412</v>
      </c>
      <c r="E307" t="s">
        <v>3413</v>
      </c>
      <c r="F307" t="s">
        <v>3377</v>
      </c>
    </row>
    <row r="308" spans="1:6" x14ac:dyDescent="0.2">
      <c r="A308" t="s">
        <v>2380</v>
      </c>
      <c r="C308" t="s">
        <v>789</v>
      </c>
      <c r="D308" t="s">
        <v>1192</v>
      </c>
      <c r="E308" t="s">
        <v>3414</v>
      </c>
      <c r="F308" t="s">
        <v>3415</v>
      </c>
    </row>
    <row r="309" spans="1:6" x14ac:dyDescent="0.2">
      <c r="A309" t="s">
        <v>2381</v>
      </c>
      <c r="C309" t="s">
        <v>1733</v>
      </c>
      <c r="D309" t="s">
        <v>3416</v>
      </c>
      <c r="E309" t="s">
        <v>3417</v>
      </c>
      <c r="F309" t="s">
        <v>2010</v>
      </c>
    </row>
    <row r="310" spans="1:6" x14ac:dyDescent="0.2">
      <c r="A310" t="s">
        <v>2382</v>
      </c>
      <c r="C310" t="s">
        <v>1733</v>
      </c>
      <c r="D310" t="s">
        <v>3418</v>
      </c>
      <c r="E310" t="s">
        <v>3419</v>
      </c>
      <c r="F310" t="s">
        <v>3420</v>
      </c>
    </row>
    <row r="311" spans="1:6" x14ac:dyDescent="0.2">
      <c r="A311" t="s">
        <v>2383</v>
      </c>
      <c r="C311" t="s">
        <v>789</v>
      </c>
      <c r="D311" t="s">
        <v>3421</v>
      </c>
      <c r="E311" t="s">
        <v>3422</v>
      </c>
      <c r="F311" t="s">
        <v>2868</v>
      </c>
    </row>
    <row r="312" spans="1:6" x14ac:dyDescent="0.2">
      <c r="A312" t="s">
        <v>2384</v>
      </c>
      <c r="C312" t="s">
        <v>789</v>
      </c>
      <c r="D312" t="s">
        <v>1002</v>
      </c>
      <c r="E312" t="s">
        <v>3423</v>
      </c>
      <c r="F312" t="s">
        <v>2868</v>
      </c>
    </row>
    <row r="313" spans="1:6" x14ac:dyDescent="0.2">
      <c r="A313" t="s">
        <v>2385</v>
      </c>
      <c r="C313" t="s">
        <v>789</v>
      </c>
      <c r="D313" t="s">
        <v>2977</v>
      </c>
      <c r="E313" t="s">
        <v>3424</v>
      </c>
      <c r="F313" t="s">
        <v>2868</v>
      </c>
    </row>
    <row r="314" spans="1:6" x14ac:dyDescent="0.2">
      <c r="A314" t="s">
        <v>2386</v>
      </c>
      <c r="C314" t="s">
        <v>789</v>
      </c>
      <c r="D314" t="s">
        <v>1496</v>
      </c>
      <c r="E314" t="s">
        <v>3425</v>
      </c>
      <c r="F314" t="s">
        <v>2868</v>
      </c>
    </row>
    <row r="315" spans="1:6" x14ac:dyDescent="0.2">
      <c r="A315" t="s">
        <v>2387</v>
      </c>
      <c r="C315" t="s">
        <v>789</v>
      </c>
      <c r="D315" t="s">
        <v>3426</v>
      </c>
      <c r="E315" t="s">
        <v>3427</v>
      </c>
      <c r="F315" t="s">
        <v>2974</v>
      </c>
    </row>
    <row r="316" spans="1:6" x14ac:dyDescent="0.2">
      <c r="A316" t="s">
        <v>2388</v>
      </c>
      <c r="C316" t="s">
        <v>789</v>
      </c>
      <c r="D316" t="s">
        <v>3428</v>
      </c>
      <c r="E316" t="s">
        <v>3429</v>
      </c>
      <c r="F316" t="s">
        <v>1401</v>
      </c>
    </row>
    <row r="317" spans="1:6" x14ac:dyDescent="0.2">
      <c r="A317" t="s">
        <v>2389</v>
      </c>
      <c r="C317" t="s">
        <v>789</v>
      </c>
      <c r="D317" t="s">
        <v>2114</v>
      </c>
      <c r="E317" t="s">
        <v>3430</v>
      </c>
      <c r="F317" t="s">
        <v>2868</v>
      </c>
    </row>
    <row r="318" spans="1:6" x14ac:dyDescent="0.2">
      <c r="A318" t="s">
        <v>1263</v>
      </c>
      <c r="C318" t="s">
        <v>789</v>
      </c>
      <c r="D318" t="s">
        <v>3431</v>
      </c>
      <c r="E318" t="s">
        <v>3432</v>
      </c>
      <c r="F318" t="s">
        <v>2868</v>
      </c>
    </row>
    <row r="319" spans="1:6" x14ac:dyDescent="0.2">
      <c r="A319" t="s">
        <v>2390</v>
      </c>
      <c r="C319" t="s">
        <v>789</v>
      </c>
      <c r="D319" t="s">
        <v>3433</v>
      </c>
      <c r="E319" t="s">
        <v>1386</v>
      </c>
      <c r="F319" t="s">
        <v>2868</v>
      </c>
    </row>
    <row r="320" spans="1:6" x14ac:dyDescent="0.2">
      <c r="A320" t="s">
        <v>2391</v>
      </c>
      <c r="C320" t="s">
        <v>789</v>
      </c>
      <c r="D320" t="s">
        <v>3434</v>
      </c>
      <c r="E320" t="s">
        <v>3435</v>
      </c>
      <c r="F320" t="s">
        <v>814</v>
      </c>
    </row>
    <row r="321" spans="1:6" x14ac:dyDescent="0.2">
      <c r="A321" t="s">
        <v>2392</v>
      </c>
      <c r="C321" t="s">
        <v>789</v>
      </c>
      <c r="D321" t="s">
        <v>3436</v>
      </c>
      <c r="E321" t="s">
        <v>3437</v>
      </c>
      <c r="F321" t="s">
        <v>2868</v>
      </c>
    </row>
    <row r="322" spans="1:6" x14ac:dyDescent="0.2">
      <c r="A322" t="s">
        <v>2393</v>
      </c>
      <c r="C322" t="s">
        <v>789</v>
      </c>
      <c r="D322" t="s">
        <v>3438</v>
      </c>
      <c r="E322" t="s">
        <v>1579</v>
      </c>
      <c r="F322" t="s">
        <v>2868</v>
      </c>
    </row>
    <row r="323" spans="1:6" x14ac:dyDescent="0.2">
      <c r="A323" t="s">
        <v>2394</v>
      </c>
      <c r="C323" t="s">
        <v>789</v>
      </c>
      <c r="D323" t="s">
        <v>3439</v>
      </c>
      <c r="E323" t="s">
        <v>3440</v>
      </c>
      <c r="F323" t="s">
        <v>2868</v>
      </c>
    </row>
    <row r="324" spans="1:6" x14ac:dyDescent="0.2">
      <c r="A324" t="s">
        <v>1264</v>
      </c>
      <c r="C324" t="s">
        <v>789</v>
      </c>
      <c r="D324" t="s">
        <v>1474</v>
      </c>
      <c r="E324" t="s">
        <v>3441</v>
      </c>
      <c r="F324" t="s">
        <v>1476</v>
      </c>
    </row>
    <row r="325" spans="1:6" x14ac:dyDescent="0.2">
      <c r="A325" t="s">
        <v>2395</v>
      </c>
      <c r="C325" t="s">
        <v>789</v>
      </c>
      <c r="D325" t="s">
        <v>1875</v>
      </c>
      <c r="E325" t="s">
        <v>3442</v>
      </c>
      <c r="F325" t="s">
        <v>2868</v>
      </c>
    </row>
    <row r="326" spans="1:6" x14ac:dyDescent="0.2">
      <c r="A326" t="s">
        <v>2396</v>
      </c>
      <c r="C326" t="s">
        <v>1733</v>
      </c>
      <c r="D326" t="s">
        <v>967</v>
      </c>
      <c r="E326" t="s">
        <v>3443</v>
      </c>
      <c r="F326" t="s">
        <v>3444</v>
      </c>
    </row>
    <row r="327" spans="1:6" x14ac:dyDescent="0.2">
      <c r="A327" t="s">
        <v>2397</v>
      </c>
      <c r="C327" t="s">
        <v>1733</v>
      </c>
      <c r="D327" t="s">
        <v>3445</v>
      </c>
      <c r="E327" t="s">
        <v>3446</v>
      </c>
      <c r="F327" t="s">
        <v>3447</v>
      </c>
    </row>
    <row r="328" spans="1:6" x14ac:dyDescent="0.2">
      <c r="A328" t="s">
        <v>2398</v>
      </c>
      <c r="C328" t="s">
        <v>789</v>
      </c>
      <c r="D328" t="s">
        <v>3063</v>
      </c>
      <c r="E328" t="s">
        <v>3448</v>
      </c>
      <c r="F328" t="s">
        <v>2868</v>
      </c>
    </row>
    <row r="329" spans="1:6" x14ac:dyDescent="0.2">
      <c r="A329" t="s">
        <v>2399</v>
      </c>
      <c r="C329" t="s">
        <v>789</v>
      </c>
      <c r="D329" t="s">
        <v>3449</v>
      </c>
      <c r="E329" t="s">
        <v>1078</v>
      </c>
      <c r="F329" t="s">
        <v>798</v>
      </c>
    </row>
    <row r="330" spans="1:6" x14ac:dyDescent="0.2">
      <c r="A330" t="s">
        <v>813</v>
      </c>
      <c r="C330" t="s">
        <v>789</v>
      </c>
      <c r="D330" t="s">
        <v>2908</v>
      </c>
      <c r="E330" t="s">
        <v>3450</v>
      </c>
      <c r="F330" t="s">
        <v>2868</v>
      </c>
    </row>
    <row r="331" spans="1:6" x14ac:dyDescent="0.2">
      <c r="A331" t="s">
        <v>2400</v>
      </c>
      <c r="C331" t="s">
        <v>789</v>
      </c>
      <c r="D331" t="s">
        <v>3451</v>
      </c>
      <c r="E331" t="s">
        <v>3452</v>
      </c>
      <c r="F331" t="s">
        <v>2988</v>
      </c>
    </row>
    <row r="332" spans="1:6" x14ac:dyDescent="0.2">
      <c r="A332" t="s">
        <v>1104</v>
      </c>
      <c r="C332" t="s">
        <v>789</v>
      </c>
      <c r="D332" t="s">
        <v>3453</v>
      </c>
      <c r="E332" t="s">
        <v>3454</v>
      </c>
      <c r="F332" t="s">
        <v>948</v>
      </c>
    </row>
    <row r="333" spans="1:6" x14ac:dyDescent="0.2">
      <c r="A333" t="s">
        <v>1265</v>
      </c>
      <c r="C333" t="s">
        <v>789</v>
      </c>
      <c r="D333" t="s">
        <v>1477</v>
      </c>
      <c r="E333" t="s">
        <v>1478</v>
      </c>
      <c r="F333" t="s">
        <v>829</v>
      </c>
    </row>
    <row r="334" spans="1:6" x14ac:dyDescent="0.2">
      <c r="A334" t="s">
        <v>1105</v>
      </c>
      <c r="C334" t="s">
        <v>789</v>
      </c>
      <c r="D334" t="s">
        <v>3455</v>
      </c>
      <c r="E334" t="s">
        <v>3456</v>
      </c>
      <c r="F334" t="s">
        <v>837</v>
      </c>
    </row>
    <row r="335" spans="1:6" x14ac:dyDescent="0.2">
      <c r="A335" t="s">
        <v>1106</v>
      </c>
      <c r="C335" t="s">
        <v>789</v>
      </c>
      <c r="D335" t="s">
        <v>3457</v>
      </c>
      <c r="E335" t="s">
        <v>3458</v>
      </c>
      <c r="F335" t="s">
        <v>817</v>
      </c>
    </row>
    <row r="336" spans="1:6" x14ac:dyDescent="0.2">
      <c r="A336" t="s">
        <v>1107</v>
      </c>
      <c r="C336" t="s">
        <v>789</v>
      </c>
      <c r="D336" t="s">
        <v>3459</v>
      </c>
      <c r="E336" t="s">
        <v>3454</v>
      </c>
      <c r="F336" t="s">
        <v>880</v>
      </c>
    </row>
    <row r="337" spans="1:6" x14ac:dyDescent="0.2">
      <c r="A337" t="s">
        <v>1390</v>
      </c>
      <c r="C337" t="s">
        <v>783</v>
      </c>
      <c r="D337" t="s">
        <v>900</v>
      </c>
      <c r="E337" t="s">
        <v>1396</v>
      </c>
      <c r="F337" t="s">
        <v>3460</v>
      </c>
    </row>
    <row r="338" spans="1:6" x14ac:dyDescent="0.2">
      <c r="A338" t="s">
        <v>2401</v>
      </c>
      <c r="C338" t="s">
        <v>789</v>
      </c>
      <c r="D338" t="s">
        <v>3461</v>
      </c>
      <c r="E338" t="s">
        <v>3462</v>
      </c>
      <c r="F338" t="s">
        <v>2868</v>
      </c>
    </row>
    <row r="339" spans="1:6" x14ac:dyDescent="0.2">
      <c r="A339" t="s">
        <v>2402</v>
      </c>
      <c r="C339" t="s">
        <v>789</v>
      </c>
      <c r="D339" t="s">
        <v>3463</v>
      </c>
      <c r="E339" t="s">
        <v>3464</v>
      </c>
      <c r="F339" t="s">
        <v>2868</v>
      </c>
    </row>
    <row r="340" spans="1:6" x14ac:dyDescent="0.2">
      <c r="A340" t="s">
        <v>2403</v>
      </c>
      <c r="C340" t="s">
        <v>1733</v>
      </c>
      <c r="D340" t="s">
        <v>3465</v>
      </c>
      <c r="E340" t="s">
        <v>3466</v>
      </c>
      <c r="F340" t="s">
        <v>3467</v>
      </c>
    </row>
    <row r="341" spans="1:6" x14ac:dyDescent="0.2">
      <c r="A341" t="s">
        <v>2404</v>
      </c>
      <c r="C341" t="s">
        <v>1733</v>
      </c>
      <c r="D341" t="s">
        <v>2847</v>
      </c>
      <c r="E341" t="s">
        <v>3468</v>
      </c>
      <c r="F341" t="s">
        <v>3469</v>
      </c>
    </row>
    <row r="342" spans="1:6" x14ac:dyDescent="0.2">
      <c r="A342" t="s">
        <v>2405</v>
      </c>
      <c r="C342" t="s">
        <v>783</v>
      </c>
      <c r="D342" t="s">
        <v>3298</v>
      </c>
      <c r="E342" t="s">
        <v>3470</v>
      </c>
      <c r="F342" t="s">
        <v>2898</v>
      </c>
    </row>
    <row r="343" spans="1:6" x14ac:dyDescent="0.2">
      <c r="A343" t="s">
        <v>2406</v>
      </c>
      <c r="C343" t="s">
        <v>789</v>
      </c>
      <c r="D343" t="s">
        <v>3471</v>
      </c>
      <c r="E343" t="s">
        <v>3472</v>
      </c>
      <c r="F343" t="s">
        <v>919</v>
      </c>
    </row>
    <row r="344" spans="1:6" x14ac:dyDescent="0.2">
      <c r="A344" t="s">
        <v>2407</v>
      </c>
      <c r="C344" t="s">
        <v>789</v>
      </c>
      <c r="D344" t="s">
        <v>3473</v>
      </c>
      <c r="E344" t="s">
        <v>3474</v>
      </c>
      <c r="F344" t="s">
        <v>2868</v>
      </c>
    </row>
    <row r="345" spans="1:6" x14ac:dyDescent="0.2">
      <c r="A345" t="s">
        <v>2408</v>
      </c>
      <c r="C345" t="s">
        <v>789</v>
      </c>
      <c r="D345" t="s">
        <v>3475</v>
      </c>
      <c r="E345" t="s">
        <v>1896</v>
      </c>
      <c r="F345" t="s">
        <v>3476</v>
      </c>
    </row>
    <row r="346" spans="1:6" x14ac:dyDescent="0.2">
      <c r="A346" t="s">
        <v>2409</v>
      </c>
      <c r="C346" t="s">
        <v>1733</v>
      </c>
      <c r="D346" t="s">
        <v>3477</v>
      </c>
      <c r="E346" t="s">
        <v>3478</v>
      </c>
      <c r="F346" t="s">
        <v>3479</v>
      </c>
    </row>
    <row r="347" spans="1:6" x14ac:dyDescent="0.2">
      <c r="A347" t="s">
        <v>1934</v>
      </c>
      <c r="C347" t="s">
        <v>789</v>
      </c>
      <c r="D347" t="s">
        <v>3480</v>
      </c>
      <c r="E347" t="s">
        <v>3481</v>
      </c>
      <c r="F347" t="s">
        <v>1542</v>
      </c>
    </row>
    <row r="348" spans="1:6" x14ac:dyDescent="0.2">
      <c r="A348" t="s">
        <v>2410</v>
      </c>
      <c r="C348" t="s">
        <v>789</v>
      </c>
      <c r="D348" t="s">
        <v>3482</v>
      </c>
      <c r="E348" t="s">
        <v>3132</v>
      </c>
      <c r="F348" t="s">
        <v>2868</v>
      </c>
    </row>
    <row r="349" spans="1:6" x14ac:dyDescent="0.2">
      <c r="A349" t="s">
        <v>1935</v>
      </c>
      <c r="C349" t="s">
        <v>789</v>
      </c>
      <c r="D349" t="s">
        <v>3483</v>
      </c>
      <c r="E349" t="s">
        <v>3484</v>
      </c>
      <c r="F349" t="s">
        <v>2868</v>
      </c>
    </row>
    <row r="350" spans="1:6" x14ac:dyDescent="0.2">
      <c r="A350" t="s">
        <v>2411</v>
      </c>
      <c r="C350" t="s">
        <v>789</v>
      </c>
      <c r="D350" t="s">
        <v>2885</v>
      </c>
      <c r="E350" t="s">
        <v>3485</v>
      </c>
      <c r="F350" t="s">
        <v>1592</v>
      </c>
    </row>
    <row r="351" spans="1:6" x14ac:dyDescent="0.2">
      <c r="A351" t="s">
        <v>2412</v>
      </c>
      <c r="C351" t="s">
        <v>789</v>
      </c>
      <c r="D351" t="s">
        <v>803</v>
      </c>
      <c r="E351" t="s">
        <v>3486</v>
      </c>
      <c r="F351" t="s">
        <v>2868</v>
      </c>
    </row>
    <row r="352" spans="1:6" x14ac:dyDescent="0.2">
      <c r="A352" t="s">
        <v>2413</v>
      </c>
      <c r="C352" t="s">
        <v>789</v>
      </c>
      <c r="D352" t="s">
        <v>3487</v>
      </c>
      <c r="E352" t="s">
        <v>3488</v>
      </c>
      <c r="F352" t="s">
        <v>2868</v>
      </c>
    </row>
    <row r="353" spans="1:6" x14ac:dyDescent="0.2">
      <c r="A353" t="s">
        <v>2414</v>
      </c>
      <c r="C353" t="s">
        <v>789</v>
      </c>
      <c r="D353" t="s">
        <v>3489</v>
      </c>
      <c r="E353" t="s">
        <v>3490</v>
      </c>
      <c r="F353" t="s">
        <v>3491</v>
      </c>
    </row>
    <row r="354" spans="1:6" x14ac:dyDescent="0.2">
      <c r="A354" t="s">
        <v>2415</v>
      </c>
      <c r="C354" t="s">
        <v>789</v>
      </c>
      <c r="D354" t="s">
        <v>3492</v>
      </c>
      <c r="E354" t="s">
        <v>3493</v>
      </c>
      <c r="F354" t="s">
        <v>2868</v>
      </c>
    </row>
    <row r="355" spans="1:6" x14ac:dyDescent="0.2">
      <c r="A355" t="s">
        <v>2416</v>
      </c>
      <c r="C355" t="s">
        <v>789</v>
      </c>
      <c r="D355" t="s">
        <v>3494</v>
      </c>
      <c r="E355" t="s">
        <v>3495</v>
      </c>
      <c r="F355" t="s">
        <v>2868</v>
      </c>
    </row>
    <row r="356" spans="1:6" x14ac:dyDescent="0.2">
      <c r="A356" t="s">
        <v>2417</v>
      </c>
      <c r="C356" t="s">
        <v>789</v>
      </c>
      <c r="D356" t="s">
        <v>3496</v>
      </c>
      <c r="E356" t="s">
        <v>3497</v>
      </c>
      <c r="F356" t="s">
        <v>864</v>
      </c>
    </row>
    <row r="357" spans="1:6" x14ac:dyDescent="0.2">
      <c r="A357" t="s">
        <v>2418</v>
      </c>
      <c r="C357" t="s">
        <v>789</v>
      </c>
      <c r="D357" t="s">
        <v>3498</v>
      </c>
      <c r="E357" t="s">
        <v>3499</v>
      </c>
      <c r="F357" t="s">
        <v>1073</v>
      </c>
    </row>
    <row r="358" spans="1:6" x14ac:dyDescent="0.2">
      <c r="A358" t="s">
        <v>2419</v>
      </c>
      <c r="C358" t="s">
        <v>789</v>
      </c>
      <c r="D358" t="s">
        <v>3011</v>
      </c>
      <c r="E358" t="s">
        <v>3500</v>
      </c>
      <c r="F358" t="s">
        <v>3501</v>
      </c>
    </row>
    <row r="359" spans="1:6" x14ac:dyDescent="0.2">
      <c r="A359" t="s">
        <v>2420</v>
      </c>
      <c r="C359" t="s">
        <v>789</v>
      </c>
      <c r="D359" t="s">
        <v>3502</v>
      </c>
      <c r="E359" t="s">
        <v>3213</v>
      </c>
      <c r="F359" t="s">
        <v>3244</v>
      </c>
    </row>
    <row r="360" spans="1:6" x14ac:dyDescent="0.2">
      <c r="A360" t="s">
        <v>2421</v>
      </c>
      <c r="C360" t="s">
        <v>789</v>
      </c>
      <c r="D360" t="s">
        <v>2131</v>
      </c>
      <c r="E360" t="s">
        <v>3503</v>
      </c>
      <c r="F360" t="s">
        <v>1182</v>
      </c>
    </row>
    <row r="361" spans="1:6" x14ac:dyDescent="0.2">
      <c r="A361" t="s">
        <v>2422</v>
      </c>
      <c r="C361" t="s">
        <v>789</v>
      </c>
      <c r="D361" t="s">
        <v>3504</v>
      </c>
      <c r="E361" t="s">
        <v>3505</v>
      </c>
      <c r="F361" t="s">
        <v>1384</v>
      </c>
    </row>
    <row r="362" spans="1:6" x14ac:dyDescent="0.2">
      <c r="A362" t="s">
        <v>2423</v>
      </c>
      <c r="C362" t="s">
        <v>789</v>
      </c>
      <c r="D362" t="s">
        <v>3506</v>
      </c>
      <c r="E362" t="s">
        <v>3507</v>
      </c>
      <c r="F362" t="s">
        <v>867</v>
      </c>
    </row>
    <row r="363" spans="1:6" x14ac:dyDescent="0.2">
      <c r="A363" t="s">
        <v>2424</v>
      </c>
      <c r="C363" t="s">
        <v>789</v>
      </c>
      <c r="D363" t="s">
        <v>3508</v>
      </c>
      <c r="E363" t="s">
        <v>3509</v>
      </c>
      <c r="F363" t="s">
        <v>2868</v>
      </c>
    </row>
    <row r="364" spans="1:6" x14ac:dyDescent="0.2">
      <c r="A364" t="s">
        <v>2425</v>
      </c>
      <c r="C364" t="s">
        <v>1733</v>
      </c>
      <c r="D364" t="s">
        <v>3510</v>
      </c>
      <c r="E364" t="s">
        <v>3511</v>
      </c>
      <c r="F364" t="s">
        <v>3512</v>
      </c>
    </row>
    <row r="365" spans="1:6" x14ac:dyDescent="0.2">
      <c r="A365" t="s">
        <v>2426</v>
      </c>
      <c r="C365" t="s">
        <v>1733</v>
      </c>
      <c r="D365" t="s">
        <v>1591</v>
      </c>
      <c r="E365" t="s">
        <v>3513</v>
      </c>
      <c r="F365" t="s">
        <v>3514</v>
      </c>
    </row>
    <row r="366" spans="1:6" x14ac:dyDescent="0.2">
      <c r="A366" t="s">
        <v>2427</v>
      </c>
      <c r="C366" t="s">
        <v>789</v>
      </c>
      <c r="D366" t="s">
        <v>3515</v>
      </c>
      <c r="E366" t="s">
        <v>3516</v>
      </c>
      <c r="F366" t="s">
        <v>2868</v>
      </c>
    </row>
    <row r="367" spans="1:6" x14ac:dyDescent="0.2">
      <c r="A367" t="s">
        <v>2428</v>
      </c>
      <c r="C367" t="s">
        <v>789</v>
      </c>
      <c r="D367" t="s">
        <v>3517</v>
      </c>
      <c r="E367" t="s">
        <v>3518</v>
      </c>
      <c r="F367" t="s">
        <v>2868</v>
      </c>
    </row>
    <row r="368" spans="1:6" x14ac:dyDescent="0.2">
      <c r="A368" t="s">
        <v>1266</v>
      </c>
      <c r="C368" t="s">
        <v>789</v>
      </c>
      <c r="D368" t="s">
        <v>3519</v>
      </c>
      <c r="E368" t="s">
        <v>1480</v>
      </c>
      <c r="F368" t="s">
        <v>1481</v>
      </c>
    </row>
    <row r="369" spans="1:6" x14ac:dyDescent="0.2">
      <c r="A369" t="s">
        <v>2429</v>
      </c>
      <c r="C369" t="s">
        <v>789</v>
      </c>
      <c r="D369" t="s">
        <v>3520</v>
      </c>
      <c r="E369" t="s">
        <v>3521</v>
      </c>
      <c r="F369" t="s">
        <v>2868</v>
      </c>
    </row>
    <row r="370" spans="1:6" x14ac:dyDescent="0.2">
      <c r="A370" t="s">
        <v>1267</v>
      </c>
      <c r="C370" t="s">
        <v>789</v>
      </c>
      <c r="D370" t="s">
        <v>1482</v>
      </c>
      <c r="E370" t="s">
        <v>1483</v>
      </c>
      <c r="F370" t="s">
        <v>969</v>
      </c>
    </row>
    <row r="371" spans="1:6" x14ac:dyDescent="0.2">
      <c r="A371" t="s">
        <v>971</v>
      </c>
      <c r="C371" t="s">
        <v>789</v>
      </c>
      <c r="D371" t="s">
        <v>3522</v>
      </c>
      <c r="E371" t="s">
        <v>3523</v>
      </c>
      <c r="F371" t="s">
        <v>2868</v>
      </c>
    </row>
    <row r="372" spans="1:6" x14ac:dyDescent="0.2">
      <c r="A372" t="s">
        <v>1268</v>
      </c>
      <c r="C372" t="s">
        <v>789</v>
      </c>
      <c r="D372" t="s">
        <v>3524</v>
      </c>
      <c r="E372" t="s">
        <v>3525</v>
      </c>
      <c r="F372" t="s">
        <v>3526</v>
      </c>
    </row>
    <row r="373" spans="1:6" x14ac:dyDescent="0.2">
      <c r="A373" t="s">
        <v>2430</v>
      </c>
      <c r="C373" t="s">
        <v>789</v>
      </c>
      <c r="D373" t="s">
        <v>3227</v>
      </c>
      <c r="E373" t="s">
        <v>3527</v>
      </c>
      <c r="F373" t="s">
        <v>2868</v>
      </c>
    </row>
    <row r="374" spans="1:6" x14ac:dyDescent="0.2">
      <c r="A374" t="s">
        <v>2431</v>
      </c>
      <c r="C374" t="s">
        <v>789</v>
      </c>
      <c r="D374" t="s">
        <v>3528</v>
      </c>
      <c r="E374" t="s">
        <v>3529</v>
      </c>
      <c r="F374" t="s">
        <v>2868</v>
      </c>
    </row>
    <row r="375" spans="1:6" x14ac:dyDescent="0.2">
      <c r="A375" t="s">
        <v>2432</v>
      </c>
      <c r="C375" t="s">
        <v>789</v>
      </c>
      <c r="D375" t="s">
        <v>3530</v>
      </c>
      <c r="E375" t="s">
        <v>3531</v>
      </c>
      <c r="F375" t="s">
        <v>2868</v>
      </c>
    </row>
    <row r="376" spans="1:6" x14ac:dyDescent="0.2">
      <c r="A376" t="s">
        <v>2433</v>
      </c>
      <c r="C376" t="s">
        <v>789</v>
      </c>
      <c r="D376" t="s">
        <v>3532</v>
      </c>
      <c r="E376" t="s">
        <v>3431</v>
      </c>
      <c r="F376" t="s">
        <v>2868</v>
      </c>
    </row>
    <row r="377" spans="1:6" x14ac:dyDescent="0.2">
      <c r="A377" t="s">
        <v>2434</v>
      </c>
      <c r="C377" t="s">
        <v>783</v>
      </c>
      <c r="D377" t="s">
        <v>3508</v>
      </c>
      <c r="E377" t="s">
        <v>3533</v>
      </c>
      <c r="F377" t="s">
        <v>3300</v>
      </c>
    </row>
    <row r="378" spans="1:6" x14ac:dyDescent="0.2">
      <c r="A378" t="s">
        <v>2435</v>
      </c>
      <c r="C378" t="s">
        <v>789</v>
      </c>
      <c r="D378" t="s">
        <v>3534</v>
      </c>
      <c r="E378" t="s">
        <v>2897</v>
      </c>
      <c r="F378" t="s">
        <v>2868</v>
      </c>
    </row>
    <row r="379" spans="1:6" x14ac:dyDescent="0.2">
      <c r="A379" t="s">
        <v>1269</v>
      </c>
      <c r="C379" t="s">
        <v>789</v>
      </c>
      <c r="D379" t="s">
        <v>1487</v>
      </c>
      <c r="E379" t="s">
        <v>1488</v>
      </c>
      <c r="F379" t="s">
        <v>1489</v>
      </c>
    </row>
    <row r="380" spans="1:6" x14ac:dyDescent="0.2">
      <c r="A380" t="s">
        <v>1936</v>
      </c>
      <c r="C380" t="s">
        <v>789</v>
      </c>
      <c r="D380" t="s">
        <v>3535</v>
      </c>
      <c r="E380" t="s">
        <v>3536</v>
      </c>
      <c r="F380" t="s">
        <v>1384</v>
      </c>
    </row>
    <row r="381" spans="1:6" x14ac:dyDescent="0.2">
      <c r="A381" t="s">
        <v>2436</v>
      </c>
      <c r="C381" t="s">
        <v>789</v>
      </c>
      <c r="D381" t="s">
        <v>3537</v>
      </c>
      <c r="E381" t="s">
        <v>3538</v>
      </c>
      <c r="F381" t="s">
        <v>2868</v>
      </c>
    </row>
    <row r="382" spans="1:6" x14ac:dyDescent="0.2">
      <c r="A382" t="s">
        <v>2437</v>
      </c>
      <c r="C382" t="s">
        <v>789</v>
      </c>
      <c r="D382" t="s">
        <v>3539</v>
      </c>
      <c r="E382" t="s">
        <v>3540</v>
      </c>
      <c r="F382" t="s">
        <v>2868</v>
      </c>
    </row>
    <row r="383" spans="1:6" x14ac:dyDescent="0.2">
      <c r="A383" t="s">
        <v>2438</v>
      </c>
      <c r="C383" t="s">
        <v>789</v>
      </c>
      <c r="D383" t="s">
        <v>3541</v>
      </c>
      <c r="E383" t="s">
        <v>3542</v>
      </c>
      <c r="F383" t="s">
        <v>1551</v>
      </c>
    </row>
    <row r="384" spans="1:6" x14ac:dyDescent="0.2">
      <c r="A384" t="s">
        <v>2439</v>
      </c>
      <c r="C384" t="s">
        <v>789</v>
      </c>
      <c r="D384" t="s">
        <v>3543</v>
      </c>
      <c r="E384" t="s">
        <v>3544</v>
      </c>
      <c r="F384" t="s">
        <v>2868</v>
      </c>
    </row>
    <row r="385" spans="1:6" x14ac:dyDescent="0.2">
      <c r="A385" t="s">
        <v>2440</v>
      </c>
      <c r="C385" t="s">
        <v>789</v>
      </c>
      <c r="D385" t="s">
        <v>3545</v>
      </c>
      <c r="E385" t="s">
        <v>3546</v>
      </c>
      <c r="F385" t="s">
        <v>2868</v>
      </c>
    </row>
    <row r="386" spans="1:6" x14ac:dyDescent="0.2">
      <c r="A386" t="s">
        <v>2441</v>
      </c>
      <c r="C386" t="s">
        <v>1733</v>
      </c>
      <c r="D386" t="s">
        <v>3547</v>
      </c>
      <c r="E386" t="s">
        <v>3548</v>
      </c>
      <c r="F386" t="s">
        <v>3407</v>
      </c>
    </row>
    <row r="387" spans="1:6" x14ac:dyDescent="0.2">
      <c r="A387" t="s">
        <v>2442</v>
      </c>
      <c r="C387" t="s">
        <v>789</v>
      </c>
      <c r="D387" t="s">
        <v>3549</v>
      </c>
      <c r="E387" t="s">
        <v>3550</v>
      </c>
      <c r="F387" t="s">
        <v>2868</v>
      </c>
    </row>
    <row r="388" spans="1:6" x14ac:dyDescent="0.2">
      <c r="A388" t="s">
        <v>2443</v>
      </c>
      <c r="C388" t="s">
        <v>789</v>
      </c>
      <c r="D388" t="s">
        <v>3118</v>
      </c>
      <c r="E388" t="s">
        <v>3551</v>
      </c>
      <c r="F388" t="s">
        <v>803</v>
      </c>
    </row>
    <row r="389" spans="1:6" x14ac:dyDescent="0.2">
      <c r="A389" t="s">
        <v>2444</v>
      </c>
      <c r="C389" t="s">
        <v>789</v>
      </c>
      <c r="D389" t="s">
        <v>1581</v>
      </c>
      <c r="E389" t="s">
        <v>1155</v>
      </c>
      <c r="F389" t="s">
        <v>1592</v>
      </c>
    </row>
    <row r="390" spans="1:6" x14ac:dyDescent="0.2">
      <c r="A390" t="s">
        <v>1204</v>
      </c>
      <c r="C390" t="s">
        <v>789</v>
      </c>
      <c r="D390" t="s">
        <v>3552</v>
      </c>
      <c r="E390" t="s">
        <v>3553</v>
      </c>
      <c r="F390" t="s">
        <v>2868</v>
      </c>
    </row>
    <row r="391" spans="1:6" x14ac:dyDescent="0.2">
      <c r="A391" t="s">
        <v>1116</v>
      </c>
      <c r="C391" t="s">
        <v>789</v>
      </c>
      <c r="D391" t="s">
        <v>844</v>
      </c>
      <c r="E391" t="s">
        <v>3554</v>
      </c>
      <c r="F391" t="s">
        <v>1625</v>
      </c>
    </row>
    <row r="392" spans="1:6" x14ac:dyDescent="0.2">
      <c r="A392" t="s">
        <v>2445</v>
      </c>
      <c r="C392" t="s">
        <v>789</v>
      </c>
      <c r="D392" t="s">
        <v>3555</v>
      </c>
      <c r="E392" t="s">
        <v>3556</v>
      </c>
      <c r="F392" t="s">
        <v>1548</v>
      </c>
    </row>
    <row r="393" spans="1:6" x14ac:dyDescent="0.2">
      <c r="A393" t="s">
        <v>2446</v>
      </c>
      <c r="C393" t="s">
        <v>789</v>
      </c>
      <c r="D393" t="s">
        <v>3557</v>
      </c>
      <c r="E393" t="s">
        <v>3558</v>
      </c>
      <c r="F393" t="s">
        <v>2868</v>
      </c>
    </row>
    <row r="394" spans="1:6" x14ac:dyDescent="0.2">
      <c r="A394" t="s">
        <v>2447</v>
      </c>
      <c r="C394" t="s">
        <v>789</v>
      </c>
      <c r="D394" t="s">
        <v>3559</v>
      </c>
      <c r="E394" t="s">
        <v>3560</v>
      </c>
      <c r="F394" t="s">
        <v>2868</v>
      </c>
    </row>
    <row r="395" spans="1:6" x14ac:dyDescent="0.2">
      <c r="A395" t="s">
        <v>1270</v>
      </c>
      <c r="C395" t="s">
        <v>789</v>
      </c>
      <c r="D395" t="s">
        <v>3561</v>
      </c>
      <c r="E395" t="s">
        <v>1415</v>
      </c>
      <c r="F395" t="s">
        <v>1492</v>
      </c>
    </row>
    <row r="396" spans="1:6" x14ac:dyDescent="0.2">
      <c r="A396" t="s">
        <v>2448</v>
      </c>
      <c r="C396" t="s">
        <v>789</v>
      </c>
      <c r="D396" t="s">
        <v>3562</v>
      </c>
      <c r="E396" t="s">
        <v>954</v>
      </c>
      <c r="F396" t="s">
        <v>1087</v>
      </c>
    </row>
    <row r="397" spans="1:6" x14ac:dyDescent="0.2">
      <c r="A397" t="s">
        <v>2449</v>
      </c>
      <c r="C397" t="s">
        <v>789</v>
      </c>
      <c r="D397" t="s">
        <v>3563</v>
      </c>
      <c r="E397" t="s">
        <v>3564</v>
      </c>
      <c r="F397" t="s">
        <v>3058</v>
      </c>
    </row>
    <row r="398" spans="1:6" x14ac:dyDescent="0.2">
      <c r="A398" t="s">
        <v>1763</v>
      </c>
      <c r="C398" t="s">
        <v>789</v>
      </c>
      <c r="D398" t="s">
        <v>3565</v>
      </c>
      <c r="E398" t="s">
        <v>3566</v>
      </c>
      <c r="F398" t="s">
        <v>3567</v>
      </c>
    </row>
    <row r="399" spans="1:6" x14ac:dyDescent="0.2">
      <c r="A399" t="s">
        <v>2450</v>
      </c>
      <c r="C399" t="s">
        <v>1733</v>
      </c>
      <c r="D399" t="s">
        <v>3568</v>
      </c>
      <c r="E399" t="s">
        <v>3569</v>
      </c>
      <c r="F399" t="s">
        <v>3570</v>
      </c>
    </row>
    <row r="400" spans="1:6" x14ac:dyDescent="0.2">
      <c r="A400" t="s">
        <v>2451</v>
      </c>
      <c r="C400" t="s">
        <v>789</v>
      </c>
      <c r="D400" t="s">
        <v>3571</v>
      </c>
      <c r="E400" t="s">
        <v>3572</v>
      </c>
      <c r="F400" t="s">
        <v>2868</v>
      </c>
    </row>
    <row r="401" spans="1:6" x14ac:dyDescent="0.2">
      <c r="A401" t="s">
        <v>2452</v>
      </c>
      <c r="C401" t="s">
        <v>789</v>
      </c>
      <c r="D401" t="s">
        <v>3573</v>
      </c>
      <c r="E401" t="s">
        <v>854</v>
      </c>
      <c r="F401" t="s">
        <v>2868</v>
      </c>
    </row>
    <row r="402" spans="1:6" x14ac:dyDescent="0.2">
      <c r="A402" t="s">
        <v>1177</v>
      </c>
      <c r="C402" t="s">
        <v>789</v>
      </c>
      <c r="D402" t="s">
        <v>3031</v>
      </c>
      <c r="E402" t="s">
        <v>871</v>
      </c>
      <c r="F402" t="s">
        <v>1538</v>
      </c>
    </row>
    <row r="403" spans="1:6" x14ac:dyDescent="0.2">
      <c r="A403" t="s">
        <v>1108</v>
      </c>
      <c r="C403" t="s">
        <v>1733</v>
      </c>
      <c r="D403" t="s">
        <v>3031</v>
      </c>
      <c r="E403" t="s">
        <v>3413</v>
      </c>
      <c r="F403" t="s">
        <v>3574</v>
      </c>
    </row>
    <row r="404" spans="1:6" x14ac:dyDescent="0.2">
      <c r="A404" t="s">
        <v>1937</v>
      </c>
      <c r="C404" t="s">
        <v>789</v>
      </c>
      <c r="D404" t="s">
        <v>3575</v>
      </c>
      <c r="E404" t="s">
        <v>3576</v>
      </c>
      <c r="F404" t="s">
        <v>2868</v>
      </c>
    </row>
    <row r="405" spans="1:6" x14ac:dyDescent="0.2">
      <c r="A405" t="s">
        <v>1109</v>
      </c>
      <c r="C405" t="s">
        <v>789</v>
      </c>
      <c r="D405" t="s">
        <v>1583</v>
      </c>
      <c r="E405" t="s">
        <v>3577</v>
      </c>
      <c r="F405" t="s">
        <v>952</v>
      </c>
    </row>
    <row r="406" spans="1:6" x14ac:dyDescent="0.2">
      <c r="A406" t="s">
        <v>2453</v>
      </c>
      <c r="C406" t="s">
        <v>789</v>
      </c>
      <c r="D406" t="s">
        <v>3578</v>
      </c>
      <c r="E406" t="s">
        <v>1688</v>
      </c>
      <c r="F406" t="s">
        <v>3320</v>
      </c>
    </row>
    <row r="407" spans="1:6" x14ac:dyDescent="0.2">
      <c r="A407" t="s">
        <v>1938</v>
      </c>
      <c r="C407" t="s">
        <v>789</v>
      </c>
      <c r="D407" t="s">
        <v>3031</v>
      </c>
      <c r="E407" t="s">
        <v>3579</v>
      </c>
      <c r="F407" t="s">
        <v>3580</v>
      </c>
    </row>
    <row r="408" spans="1:6" x14ac:dyDescent="0.2">
      <c r="A408" t="s">
        <v>2454</v>
      </c>
      <c r="C408" t="s">
        <v>789</v>
      </c>
      <c r="D408" t="s">
        <v>2918</v>
      </c>
      <c r="E408" t="s">
        <v>3581</v>
      </c>
      <c r="F408" t="s">
        <v>1457</v>
      </c>
    </row>
    <row r="409" spans="1:6" x14ac:dyDescent="0.2">
      <c r="A409" t="s">
        <v>2455</v>
      </c>
      <c r="C409" t="s">
        <v>789</v>
      </c>
      <c r="D409" t="s">
        <v>3023</v>
      </c>
      <c r="E409" t="s">
        <v>3582</v>
      </c>
      <c r="F409" t="s">
        <v>1401</v>
      </c>
    </row>
    <row r="410" spans="1:6" x14ac:dyDescent="0.2">
      <c r="A410" t="s">
        <v>819</v>
      </c>
      <c r="C410" t="s">
        <v>789</v>
      </c>
      <c r="D410" t="s">
        <v>3583</v>
      </c>
      <c r="E410" t="s">
        <v>2979</v>
      </c>
      <c r="F410" t="s">
        <v>2868</v>
      </c>
    </row>
    <row r="411" spans="1:6" x14ac:dyDescent="0.2">
      <c r="A411" t="s">
        <v>1111</v>
      </c>
      <c r="C411" t="s">
        <v>789</v>
      </c>
      <c r="D411" t="s">
        <v>1491</v>
      </c>
      <c r="E411" t="s">
        <v>3584</v>
      </c>
      <c r="F411" t="s">
        <v>2055</v>
      </c>
    </row>
    <row r="412" spans="1:6" x14ac:dyDescent="0.2">
      <c r="A412" t="s">
        <v>2456</v>
      </c>
      <c r="C412" t="s">
        <v>789</v>
      </c>
      <c r="D412" t="s">
        <v>3585</v>
      </c>
      <c r="E412" t="s">
        <v>3586</v>
      </c>
      <c r="F412" t="s">
        <v>3078</v>
      </c>
    </row>
    <row r="413" spans="1:6" x14ac:dyDescent="0.2">
      <c r="A413" t="s">
        <v>2457</v>
      </c>
      <c r="C413" t="s">
        <v>789</v>
      </c>
      <c r="D413" t="s">
        <v>1399</v>
      </c>
      <c r="E413" t="s">
        <v>3587</v>
      </c>
      <c r="F413" t="s">
        <v>1437</v>
      </c>
    </row>
    <row r="414" spans="1:6" x14ac:dyDescent="0.2">
      <c r="A414" t="s">
        <v>2458</v>
      </c>
      <c r="C414" t="s">
        <v>789</v>
      </c>
      <c r="D414" t="s">
        <v>3588</v>
      </c>
      <c r="E414" t="s">
        <v>3589</v>
      </c>
      <c r="F414" t="s">
        <v>3590</v>
      </c>
    </row>
    <row r="415" spans="1:6" x14ac:dyDescent="0.2">
      <c r="A415" t="s">
        <v>805</v>
      </c>
      <c r="C415" t="s">
        <v>789</v>
      </c>
      <c r="D415" t="s">
        <v>3591</v>
      </c>
      <c r="E415" t="s">
        <v>3592</v>
      </c>
      <c r="F415" t="s">
        <v>2868</v>
      </c>
    </row>
    <row r="416" spans="1:6" x14ac:dyDescent="0.2">
      <c r="A416" t="s">
        <v>1113</v>
      </c>
      <c r="C416" t="s">
        <v>789</v>
      </c>
      <c r="D416" t="s">
        <v>3593</v>
      </c>
      <c r="E416" t="s">
        <v>3229</v>
      </c>
      <c r="F416" t="s">
        <v>1073</v>
      </c>
    </row>
    <row r="417" spans="1:6" x14ac:dyDescent="0.2">
      <c r="A417" t="s">
        <v>2459</v>
      </c>
      <c r="C417" t="s">
        <v>789</v>
      </c>
      <c r="D417" t="s">
        <v>3594</v>
      </c>
      <c r="E417" t="s">
        <v>3595</v>
      </c>
      <c r="F417" t="s">
        <v>2868</v>
      </c>
    </row>
    <row r="418" spans="1:6" x14ac:dyDescent="0.2">
      <c r="A418" t="s">
        <v>2460</v>
      </c>
      <c r="C418" t="s">
        <v>789</v>
      </c>
      <c r="D418" t="s">
        <v>3596</v>
      </c>
      <c r="E418" t="s">
        <v>3597</v>
      </c>
      <c r="F418" t="s">
        <v>2868</v>
      </c>
    </row>
    <row r="419" spans="1:6" x14ac:dyDescent="0.2">
      <c r="A419" t="s">
        <v>1271</v>
      </c>
      <c r="C419" t="s">
        <v>789</v>
      </c>
      <c r="D419" t="s">
        <v>1493</v>
      </c>
      <c r="E419" t="s">
        <v>1494</v>
      </c>
      <c r="F419" t="s">
        <v>1495</v>
      </c>
    </row>
    <row r="420" spans="1:6" x14ac:dyDescent="0.2">
      <c r="A420" t="s">
        <v>2461</v>
      </c>
      <c r="C420" t="s">
        <v>789</v>
      </c>
      <c r="D420" t="s">
        <v>3598</v>
      </c>
      <c r="E420" t="s">
        <v>3599</v>
      </c>
      <c r="F420" t="s">
        <v>2868</v>
      </c>
    </row>
    <row r="421" spans="1:6" x14ac:dyDescent="0.2">
      <c r="A421" t="s">
        <v>2462</v>
      </c>
      <c r="C421" t="s">
        <v>789</v>
      </c>
      <c r="D421" t="s">
        <v>3600</v>
      </c>
      <c r="E421" t="s">
        <v>3601</v>
      </c>
      <c r="F421" t="s">
        <v>803</v>
      </c>
    </row>
    <row r="422" spans="1:6" x14ac:dyDescent="0.2">
      <c r="A422" t="s">
        <v>2463</v>
      </c>
      <c r="C422" t="s">
        <v>789</v>
      </c>
      <c r="D422" t="s">
        <v>3602</v>
      </c>
      <c r="E422" t="s">
        <v>1576</v>
      </c>
      <c r="F422" t="s">
        <v>1469</v>
      </c>
    </row>
    <row r="423" spans="1:6" x14ac:dyDescent="0.2">
      <c r="A423" t="s">
        <v>2464</v>
      </c>
      <c r="C423" t="s">
        <v>789</v>
      </c>
      <c r="D423" t="s">
        <v>3603</v>
      </c>
      <c r="E423" t="s">
        <v>3604</v>
      </c>
      <c r="F423" t="s">
        <v>2868</v>
      </c>
    </row>
    <row r="424" spans="1:6" x14ac:dyDescent="0.2">
      <c r="A424" t="s">
        <v>2465</v>
      </c>
      <c r="C424" t="s">
        <v>789</v>
      </c>
      <c r="D424" t="s">
        <v>3605</v>
      </c>
      <c r="E424" t="s">
        <v>3606</v>
      </c>
      <c r="F424" t="s">
        <v>800</v>
      </c>
    </row>
    <row r="425" spans="1:6" x14ac:dyDescent="0.2">
      <c r="A425" t="s">
        <v>2466</v>
      </c>
      <c r="C425" t="s">
        <v>789</v>
      </c>
      <c r="D425" t="s">
        <v>1883</v>
      </c>
      <c r="E425" t="s">
        <v>3607</v>
      </c>
      <c r="F425" t="s">
        <v>2868</v>
      </c>
    </row>
    <row r="426" spans="1:6" x14ac:dyDescent="0.2">
      <c r="A426" t="s">
        <v>1272</v>
      </c>
      <c r="C426" t="s">
        <v>789</v>
      </c>
      <c r="D426" t="s">
        <v>3608</v>
      </c>
      <c r="E426" t="s">
        <v>3609</v>
      </c>
      <c r="F426" t="s">
        <v>1900</v>
      </c>
    </row>
    <row r="427" spans="1:6" x14ac:dyDescent="0.2">
      <c r="A427" t="s">
        <v>2467</v>
      </c>
      <c r="C427" t="s">
        <v>789</v>
      </c>
      <c r="D427" t="s">
        <v>3610</v>
      </c>
      <c r="E427" t="s">
        <v>3611</v>
      </c>
      <c r="F427" t="s">
        <v>2868</v>
      </c>
    </row>
    <row r="428" spans="1:6" x14ac:dyDescent="0.2">
      <c r="A428" t="s">
        <v>2468</v>
      </c>
      <c r="C428" t="s">
        <v>789</v>
      </c>
      <c r="D428" t="s">
        <v>1160</v>
      </c>
      <c r="E428" t="s">
        <v>3612</v>
      </c>
      <c r="F428" t="s">
        <v>3613</v>
      </c>
    </row>
    <row r="429" spans="1:6" x14ac:dyDescent="0.2">
      <c r="A429" t="s">
        <v>2469</v>
      </c>
      <c r="C429" t="s">
        <v>789</v>
      </c>
      <c r="D429" t="s">
        <v>3614</v>
      </c>
      <c r="E429" t="s">
        <v>3615</v>
      </c>
      <c r="F429" t="s">
        <v>803</v>
      </c>
    </row>
    <row r="430" spans="1:6" x14ac:dyDescent="0.2">
      <c r="A430" t="s">
        <v>2470</v>
      </c>
      <c r="C430" t="s">
        <v>789</v>
      </c>
      <c r="D430" t="s">
        <v>3616</v>
      </c>
      <c r="E430" t="s">
        <v>3617</v>
      </c>
      <c r="F430" t="s">
        <v>2868</v>
      </c>
    </row>
    <row r="431" spans="1:6" x14ac:dyDescent="0.2">
      <c r="A431" t="s">
        <v>2471</v>
      </c>
      <c r="C431" t="s">
        <v>789</v>
      </c>
      <c r="D431" t="s">
        <v>3618</v>
      </c>
      <c r="E431" t="s">
        <v>3619</v>
      </c>
      <c r="F431" t="s">
        <v>2868</v>
      </c>
    </row>
    <row r="432" spans="1:6" x14ac:dyDescent="0.2">
      <c r="A432" t="s">
        <v>2472</v>
      </c>
      <c r="C432" t="s">
        <v>789</v>
      </c>
      <c r="D432" t="s">
        <v>3620</v>
      </c>
      <c r="E432" t="s">
        <v>3621</v>
      </c>
      <c r="F432" t="s">
        <v>1082</v>
      </c>
    </row>
    <row r="433" spans="1:6" x14ac:dyDescent="0.2">
      <c r="A433" t="s">
        <v>1767</v>
      </c>
      <c r="C433" t="s">
        <v>789</v>
      </c>
      <c r="D433" t="s">
        <v>895</v>
      </c>
      <c r="E433" t="s">
        <v>3622</v>
      </c>
      <c r="F433" t="s">
        <v>2012</v>
      </c>
    </row>
    <row r="434" spans="1:6" x14ac:dyDescent="0.2">
      <c r="A434" t="s">
        <v>1273</v>
      </c>
      <c r="C434" t="s">
        <v>789</v>
      </c>
      <c r="D434" t="s">
        <v>1499</v>
      </c>
      <c r="E434" t="s">
        <v>3623</v>
      </c>
      <c r="F434" t="s">
        <v>1075</v>
      </c>
    </row>
    <row r="435" spans="1:6" x14ac:dyDescent="0.2">
      <c r="A435" t="s">
        <v>2473</v>
      </c>
      <c r="C435" t="s">
        <v>789</v>
      </c>
      <c r="D435" t="s">
        <v>3624</v>
      </c>
      <c r="E435" t="s">
        <v>3625</v>
      </c>
      <c r="F435" t="s">
        <v>3317</v>
      </c>
    </row>
    <row r="436" spans="1:6" x14ac:dyDescent="0.2">
      <c r="A436" t="s">
        <v>2474</v>
      </c>
      <c r="C436" t="s">
        <v>789</v>
      </c>
      <c r="D436" t="s">
        <v>3626</v>
      </c>
      <c r="E436" t="s">
        <v>3627</v>
      </c>
      <c r="F436" t="s">
        <v>2868</v>
      </c>
    </row>
    <row r="437" spans="1:6" x14ac:dyDescent="0.2">
      <c r="A437" t="s">
        <v>2475</v>
      </c>
      <c r="C437" t="s">
        <v>789</v>
      </c>
      <c r="D437" t="s">
        <v>3628</v>
      </c>
      <c r="E437" t="s">
        <v>3629</v>
      </c>
      <c r="F437" t="s">
        <v>2868</v>
      </c>
    </row>
    <row r="438" spans="1:6" x14ac:dyDescent="0.2">
      <c r="A438" t="s">
        <v>2476</v>
      </c>
      <c r="C438" t="s">
        <v>789</v>
      </c>
      <c r="D438" t="s">
        <v>3630</v>
      </c>
      <c r="E438" t="s">
        <v>3152</v>
      </c>
      <c r="F438" t="s">
        <v>2868</v>
      </c>
    </row>
    <row r="439" spans="1:6" x14ac:dyDescent="0.2">
      <c r="A439" t="s">
        <v>2477</v>
      </c>
      <c r="C439" t="s">
        <v>789</v>
      </c>
      <c r="D439" t="s">
        <v>3631</v>
      </c>
      <c r="E439" t="s">
        <v>3632</v>
      </c>
      <c r="F439" t="s">
        <v>3633</v>
      </c>
    </row>
    <row r="440" spans="1:6" x14ac:dyDescent="0.2">
      <c r="A440" t="s">
        <v>2478</v>
      </c>
      <c r="C440" t="s">
        <v>789</v>
      </c>
      <c r="D440" t="s">
        <v>3634</v>
      </c>
      <c r="E440" t="s">
        <v>1441</v>
      </c>
      <c r="F440" t="s">
        <v>2868</v>
      </c>
    </row>
    <row r="441" spans="1:6" x14ac:dyDescent="0.2">
      <c r="A441" t="s">
        <v>2479</v>
      </c>
      <c r="C441" t="s">
        <v>789</v>
      </c>
      <c r="D441" t="s">
        <v>3635</v>
      </c>
      <c r="E441" t="s">
        <v>3532</v>
      </c>
      <c r="F441" t="s">
        <v>2868</v>
      </c>
    </row>
    <row r="442" spans="1:6" x14ac:dyDescent="0.2">
      <c r="A442" t="s">
        <v>2480</v>
      </c>
      <c r="C442" t="s">
        <v>789</v>
      </c>
      <c r="D442" t="s">
        <v>3636</v>
      </c>
      <c r="E442" t="s">
        <v>3464</v>
      </c>
      <c r="F442" t="s">
        <v>2868</v>
      </c>
    </row>
    <row r="443" spans="1:6" x14ac:dyDescent="0.2">
      <c r="A443" t="s">
        <v>2481</v>
      </c>
      <c r="C443" t="s">
        <v>789</v>
      </c>
      <c r="D443" t="s">
        <v>3637</v>
      </c>
      <c r="E443" t="s">
        <v>3638</v>
      </c>
      <c r="F443" t="s">
        <v>2868</v>
      </c>
    </row>
    <row r="444" spans="1:6" x14ac:dyDescent="0.2">
      <c r="A444" t="s">
        <v>2482</v>
      </c>
      <c r="C444" t="s">
        <v>789</v>
      </c>
      <c r="D444" t="s">
        <v>3639</v>
      </c>
      <c r="E444" t="s">
        <v>3640</v>
      </c>
      <c r="F444" t="s">
        <v>1835</v>
      </c>
    </row>
    <row r="445" spans="1:6" x14ac:dyDescent="0.2">
      <c r="A445" t="s">
        <v>2483</v>
      </c>
      <c r="C445" t="s">
        <v>789</v>
      </c>
      <c r="D445" t="s">
        <v>3641</v>
      </c>
      <c r="E445" t="s">
        <v>3642</v>
      </c>
      <c r="F445" t="s">
        <v>2868</v>
      </c>
    </row>
    <row r="446" spans="1:6" x14ac:dyDescent="0.2">
      <c r="A446" t="s">
        <v>2484</v>
      </c>
      <c r="C446" t="s">
        <v>789</v>
      </c>
      <c r="D446" t="s">
        <v>3643</v>
      </c>
      <c r="E446" t="s">
        <v>3644</v>
      </c>
      <c r="F446" t="s">
        <v>2868</v>
      </c>
    </row>
    <row r="447" spans="1:6" x14ac:dyDescent="0.2">
      <c r="A447" t="s">
        <v>2485</v>
      </c>
      <c r="C447" t="s">
        <v>789</v>
      </c>
      <c r="D447" t="s">
        <v>3645</v>
      </c>
      <c r="E447" t="s">
        <v>3646</v>
      </c>
      <c r="F447" t="s">
        <v>2868</v>
      </c>
    </row>
    <row r="448" spans="1:6" x14ac:dyDescent="0.2">
      <c r="A448" t="s">
        <v>1939</v>
      </c>
      <c r="C448" t="s">
        <v>789</v>
      </c>
      <c r="D448" t="s">
        <v>3647</v>
      </c>
      <c r="E448" t="s">
        <v>3648</v>
      </c>
      <c r="F448" t="s">
        <v>2868</v>
      </c>
    </row>
    <row r="449" spans="1:6" x14ac:dyDescent="0.2">
      <c r="A449" t="s">
        <v>2486</v>
      </c>
      <c r="C449" t="s">
        <v>789</v>
      </c>
      <c r="D449" t="s">
        <v>3649</v>
      </c>
      <c r="E449" t="s">
        <v>2101</v>
      </c>
      <c r="F449" t="s">
        <v>822</v>
      </c>
    </row>
    <row r="450" spans="1:6" x14ac:dyDescent="0.2">
      <c r="A450" t="s">
        <v>2487</v>
      </c>
      <c r="C450" t="s">
        <v>789</v>
      </c>
      <c r="D450" t="s">
        <v>3650</v>
      </c>
      <c r="E450" t="s">
        <v>3651</v>
      </c>
      <c r="F450" t="s">
        <v>2868</v>
      </c>
    </row>
    <row r="451" spans="1:6" x14ac:dyDescent="0.2">
      <c r="A451" t="s">
        <v>1274</v>
      </c>
      <c r="C451" t="s">
        <v>789</v>
      </c>
      <c r="D451" t="s">
        <v>3652</v>
      </c>
      <c r="E451" t="s">
        <v>1501</v>
      </c>
      <c r="F451" t="s">
        <v>3633</v>
      </c>
    </row>
    <row r="452" spans="1:6" x14ac:dyDescent="0.2">
      <c r="A452" t="s">
        <v>2488</v>
      </c>
      <c r="C452" t="s">
        <v>789</v>
      </c>
      <c r="D452" t="s">
        <v>3653</v>
      </c>
      <c r="E452" t="s">
        <v>3654</v>
      </c>
      <c r="F452" t="s">
        <v>2868</v>
      </c>
    </row>
    <row r="453" spans="1:6" x14ac:dyDescent="0.2">
      <c r="A453" t="s">
        <v>1275</v>
      </c>
      <c r="C453" t="s">
        <v>789</v>
      </c>
      <c r="D453" t="s">
        <v>2029</v>
      </c>
      <c r="E453" t="s">
        <v>3655</v>
      </c>
      <c r="F453" t="s">
        <v>1583</v>
      </c>
    </row>
    <row r="454" spans="1:6" x14ac:dyDescent="0.2">
      <c r="A454" t="s">
        <v>2489</v>
      </c>
      <c r="C454" t="s">
        <v>789</v>
      </c>
      <c r="D454" t="s">
        <v>3656</v>
      </c>
      <c r="E454" t="s">
        <v>3657</v>
      </c>
      <c r="F454" t="s">
        <v>2868</v>
      </c>
    </row>
    <row r="455" spans="1:6" x14ac:dyDescent="0.2">
      <c r="A455" t="s">
        <v>2490</v>
      </c>
      <c r="C455" t="s">
        <v>789</v>
      </c>
      <c r="D455" t="s">
        <v>1607</v>
      </c>
      <c r="E455" t="s">
        <v>3658</v>
      </c>
      <c r="F455" t="s">
        <v>2868</v>
      </c>
    </row>
    <row r="456" spans="1:6" x14ac:dyDescent="0.2">
      <c r="A456" t="s">
        <v>2491</v>
      </c>
      <c r="C456" t="s">
        <v>1733</v>
      </c>
      <c r="D456" t="s">
        <v>3659</v>
      </c>
      <c r="E456" t="s">
        <v>3660</v>
      </c>
      <c r="F456" t="s">
        <v>3661</v>
      </c>
    </row>
    <row r="457" spans="1:6" x14ac:dyDescent="0.2">
      <c r="A457" t="s">
        <v>1940</v>
      </c>
      <c r="C457" t="s">
        <v>789</v>
      </c>
      <c r="D457" t="s">
        <v>3662</v>
      </c>
      <c r="E457" t="s">
        <v>3663</v>
      </c>
      <c r="F457" t="s">
        <v>2868</v>
      </c>
    </row>
    <row r="458" spans="1:6" x14ac:dyDescent="0.2">
      <c r="A458" t="s">
        <v>1941</v>
      </c>
      <c r="C458" t="s">
        <v>789</v>
      </c>
      <c r="D458" t="s">
        <v>1633</v>
      </c>
      <c r="E458" t="s">
        <v>3664</v>
      </c>
      <c r="F458" t="s">
        <v>2868</v>
      </c>
    </row>
    <row r="459" spans="1:6" x14ac:dyDescent="0.2">
      <c r="A459" t="s">
        <v>1276</v>
      </c>
      <c r="C459" t="s">
        <v>789</v>
      </c>
      <c r="D459" t="s">
        <v>3665</v>
      </c>
      <c r="E459" t="s">
        <v>1507</v>
      </c>
      <c r="F459" t="s">
        <v>959</v>
      </c>
    </row>
    <row r="460" spans="1:6" x14ac:dyDescent="0.2">
      <c r="A460" t="s">
        <v>1942</v>
      </c>
      <c r="C460" t="s">
        <v>789</v>
      </c>
      <c r="D460" t="s">
        <v>3666</v>
      </c>
      <c r="E460" t="s">
        <v>3667</v>
      </c>
      <c r="F460" t="s">
        <v>2868</v>
      </c>
    </row>
    <row r="461" spans="1:6" x14ac:dyDescent="0.2">
      <c r="A461" t="s">
        <v>2492</v>
      </c>
      <c r="C461" t="s">
        <v>789</v>
      </c>
      <c r="D461" t="s">
        <v>3668</v>
      </c>
      <c r="E461" t="s">
        <v>3669</v>
      </c>
      <c r="F461" t="s">
        <v>2868</v>
      </c>
    </row>
    <row r="462" spans="1:6" x14ac:dyDescent="0.2">
      <c r="A462" t="s">
        <v>1277</v>
      </c>
      <c r="C462" t="s">
        <v>789</v>
      </c>
      <c r="D462" t="s">
        <v>1508</v>
      </c>
      <c r="E462" t="s">
        <v>3670</v>
      </c>
      <c r="F462" t="s">
        <v>1510</v>
      </c>
    </row>
    <row r="463" spans="1:6" x14ac:dyDescent="0.2">
      <c r="A463" t="s">
        <v>2493</v>
      </c>
      <c r="C463" t="s">
        <v>789</v>
      </c>
      <c r="D463" t="s">
        <v>3671</v>
      </c>
      <c r="E463" t="s">
        <v>3672</v>
      </c>
      <c r="F463" t="s">
        <v>2868</v>
      </c>
    </row>
    <row r="464" spans="1:6" x14ac:dyDescent="0.2">
      <c r="A464" t="s">
        <v>1278</v>
      </c>
      <c r="C464" t="s">
        <v>789</v>
      </c>
      <c r="D464" t="s">
        <v>3673</v>
      </c>
      <c r="E464" t="s">
        <v>3674</v>
      </c>
      <c r="F464" t="s">
        <v>1384</v>
      </c>
    </row>
    <row r="465" spans="1:6" x14ac:dyDescent="0.2">
      <c r="A465" t="s">
        <v>2494</v>
      </c>
      <c r="C465" t="s">
        <v>789</v>
      </c>
      <c r="D465" t="s">
        <v>3675</v>
      </c>
      <c r="E465" t="s">
        <v>3676</v>
      </c>
      <c r="F465" t="s">
        <v>2868</v>
      </c>
    </row>
    <row r="466" spans="1:6" x14ac:dyDescent="0.2">
      <c r="A466" t="s">
        <v>920</v>
      </c>
      <c r="C466" t="s">
        <v>789</v>
      </c>
      <c r="D466" t="s">
        <v>1415</v>
      </c>
      <c r="E466" t="s">
        <v>3677</v>
      </c>
      <c r="F466" t="s">
        <v>2868</v>
      </c>
    </row>
    <row r="467" spans="1:6" x14ac:dyDescent="0.2">
      <c r="A467" t="s">
        <v>2495</v>
      </c>
      <c r="C467" t="s">
        <v>789</v>
      </c>
      <c r="D467" t="s">
        <v>3678</v>
      </c>
      <c r="E467" t="s">
        <v>3679</v>
      </c>
      <c r="F467" t="s">
        <v>2913</v>
      </c>
    </row>
    <row r="468" spans="1:6" x14ac:dyDescent="0.2">
      <c r="A468" t="s">
        <v>1279</v>
      </c>
      <c r="C468" t="s">
        <v>789</v>
      </c>
      <c r="D468" t="s">
        <v>2110</v>
      </c>
      <c r="E468" t="s">
        <v>1514</v>
      </c>
      <c r="F468" t="s">
        <v>3680</v>
      </c>
    </row>
    <row r="469" spans="1:6" x14ac:dyDescent="0.2">
      <c r="A469" t="s">
        <v>1943</v>
      </c>
      <c r="C469" t="s">
        <v>789</v>
      </c>
      <c r="D469" t="s">
        <v>3681</v>
      </c>
      <c r="E469" t="s">
        <v>3682</v>
      </c>
      <c r="F469" t="s">
        <v>2868</v>
      </c>
    </row>
    <row r="470" spans="1:6" x14ac:dyDescent="0.2">
      <c r="A470" t="s">
        <v>2496</v>
      </c>
      <c r="C470" t="s">
        <v>789</v>
      </c>
      <c r="D470" t="s">
        <v>3683</v>
      </c>
      <c r="E470" t="s">
        <v>1451</v>
      </c>
      <c r="F470" t="s">
        <v>2868</v>
      </c>
    </row>
    <row r="471" spans="1:6" x14ac:dyDescent="0.2">
      <c r="A471" t="s">
        <v>1280</v>
      </c>
      <c r="C471" t="s">
        <v>789</v>
      </c>
      <c r="D471" t="s">
        <v>1516</v>
      </c>
      <c r="E471" t="s">
        <v>3684</v>
      </c>
      <c r="F471" t="s">
        <v>3202</v>
      </c>
    </row>
    <row r="472" spans="1:6" x14ac:dyDescent="0.2">
      <c r="A472" t="s">
        <v>2497</v>
      </c>
      <c r="C472" t="s">
        <v>789</v>
      </c>
      <c r="D472" t="s">
        <v>2861</v>
      </c>
      <c r="E472" t="s">
        <v>3685</v>
      </c>
      <c r="F472" t="s">
        <v>2868</v>
      </c>
    </row>
    <row r="473" spans="1:6" x14ac:dyDescent="0.2">
      <c r="A473" t="s">
        <v>2498</v>
      </c>
      <c r="C473" t="s">
        <v>789</v>
      </c>
      <c r="D473" t="s">
        <v>3686</v>
      </c>
      <c r="E473" t="s">
        <v>3687</v>
      </c>
      <c r="F473" t="s">
        <v>2868</v>
      </c>
    </row>
    <row r="474" spans="1:6" x14ac:dyDescent="0.2">
      <c r="A474" t="s">
        <v>1281</v>
      </c>
      <c r="C474" t="s">
        <v>789</v>
      </c>
      <c r="D474" t="s">
        <v>3410</v>
      </c>
      <c r="E474" t="s">
        <v>1519</v>
      </c>
      <c r="F474" t="s">
        <v>1407</v>
      </c>
    </row>
    <row r="475" spans="1:6" x14ac:dyDescent="0.2">
      <c r="A475" t="s">
        <v>2499</v>
      </c>
      <c r="C475" t="s">
        <v>789</v>
      </c>
      <c r="D475" t="s">
        <v>3688</v>
      </c>
      <c r="E475" t="s">
        <v>1008</v>
      </c>
      <c r="F475" t="s">
        <v>2868</v>
      </c>
    </row>
    <row r="476" spans="1:6" x14ac:dyDescent="0.2">
      <c r="A476" t="s">
        <v>2500</v>
      </c>
      <c r="C476" t="s">
        <v>789</v>
      </c>
      <c r="D476" t="s">
        <v>3689</v>
      </c>
      <c r="E476" t="s">
        <v>3690</v>
      </c>
      <c r="F476" t="s">
        <v>2868</v>
      </c>
    </row>
    <row r="477" spans="1:6" x14ac:dyDescent="0.2">
      <c r="A477" t="s">
        <v>2501</v>
      </c>
      <c r="C477" t="s">
        <v>789</v>
      </c>
      <c r="D477" t="s">
        <v>3691</v>
      </c>
      <c r="E477" t="s">
        <v>3692</v>
      </c>
      <c r="F477" t="s">
        <v>2868</v>
      </c>
    </row>
    <row r="478" spans="1:6" x14ac:dyDescent="0.2">
      <c r="A478" t="s">
        <v>2502</v>
      </c>
      <c r="C478" t="s">
        <v>789</v>
      </c>
      <c r="D478" t="s">
        <v>932</v>
      </c>
      <c r="E478" t="s">
        <v>3693</v>
      </c>
      <c r="F478" t="s">
        <v>2868</v>
      </c>
    </row>
    <row r="479" spans="1:6" x14ac:dyDescent="0.2">
      <c r="A479" t="s">
        <v>2503</v>
      </c>
      <c r="C479" t="s">
        <v>789</v>
      </c>
      <c r="D479" t="s">
        <v>3694</v>
      </c>
      <c r="E479" t="s">
        <v>2124</v>
      </c>
      <c r="F479" t="s">
        <v>2868</v>
      </c>
    </row>
    <row r="480" spans="1:6" x14ac:dyDescent="0.2">
      <c r="A480" t="s">
        <v>2504</v>
      </c>
      <c r="C480" t="s">
        <v>789</v>
      </c>
      <c r="D480" t="s">
        <v>3695</v>
      </c>
      <c r="E480" t="s">
        <v>3452</v>
      </c>
      <c r="F480" t="s">
        <v>2868</v>
      </c>
    </row>
    <row r="481" spans="1:6" x14ac:dyDescent="0.2">
      <c r="A481" t="s">
        <v>1944</v>
      </c>
      <c r="C481" t="s">
        <v>789</v>
      </c>
      <c r="D481" t="s">
        <v>3696</v>
      </c>
      <c r="E481" t="s">
        <v>3697</v>
      </c>
      <c r="F481" t="s">
        <v>2868</v>
      </c>
    </row>
    <row r="482" spans="1:6" x14ac:dyDescent="0.2">
      <c r="A482" t="s">
        <v>1945</v>
      </c>
      <c r="C482" t="s">
        <v>789</v>
      </c>
      <c r="D482" t="s">
        <v>3698</v>
      </c>
      <c r="E482" t="s">
        <v>1014</v>
      </c>
      <c r="F482" t="s">
        <v>921</v>
      </c>
    </row>
    <row r="483" spans="1:6" x14ac:dyDescent="0.2">
      <c r="A483" t="s">
        <v>2505</v>
      </c>
      <c r="C483" t="s">
        <v>789</v>
      </c>
      <c r="D483" t="s">
        <v>2880</v>
      </c>
      <c r="E483" t="s">
        <v>3699</v>
      </c>
      <c r="F483" t="s">
        <v>1153</v>
      </c>
    </row>
    <row r="484" spans="1:6" x14ac:dyDescent="0.2">
      <c r="A484" t="s">
        <v>2506</v>
      </c>
      <c r="C484" t="s">
        <v>789</v>
      </c>
      <c r="D484" t="s">
        <v>3700</v>
      </c>
      <c r="E484" t="s">
        <v>3701</v>
      </c>
      <c r="F484" t="s">
        <v>2868</v>
      </c>
    </row>
    <row r="485" spans="1:6" x14ac:dyDescent="0.2">
      <c r="A485" t="s">
        <v>2507</v>
      </c>
      <c r="C485" t="s">
        <v>789</v>
      </c>
      <c r="D485" t="s">
        <v>3702</v>
      </c>
      <c r="E485" t="s">
        <v>3703</v>
      </c>
      <c r="F485" t="s">
        <v>2868</v>
      </c>
    </row>
    <row r="486" spans="1:6" x14ac:dyDescent="0.2">
      <c r="A486" t="s">
        <v>2508</v>
      </c>
      <c r="C486" t="s">
        <v>789</v>
      </c>
      <c r="D486" t="s">
        <v>2112</v>
      </c>
      <c r="E486" t="s">
        <v>1537</v>
      </c>
      <c r="F486" t="s">
        <v>2868</v>
      </c>
    </row>
    <row r="487" spans="1:6" x14ac:dyDescent="0.2">
      <c r="A487" t="s">
        <v>2509</v>
      </c>
      <c r="C487" t="s">
        <v>1733</v>
      </c>
      <c r="D487" t="s">
        <v>3704</v>
      </c>
      <c r="E487" t="s">
        <v>3705</v>
      </c>
      <c r="F487" t="s">
        <v>3706</v>
      </c>
    </row>
    <row r="488" spans="1:6" x14ac:dyDescent="0.2">
      <c r="A488" t="s">
        <v>1018</v>
      </c>
      <c r="C488" t="s">
        <v>789</v>
      </c>
      <c r="D488" t="s">
        <v>3707</v>
      </c>
      <c r="E488" t="s">
        <v>3708</v>
      </c>
      <c r="F488" t="s">
        <v>2868</v>
      </c>
    </row>
    <row r="489" spans="1:6" x14ac:dyDescent="0.2">
      <c r="A489" t="s">
        <v>2510</v>
      </c>
      <c r="C489" t="s">
        <v>789</v>
      </c>
      <c r="D489" t="s">
        <v>3709</v>
      </c>
      <c r="E489" t="s">
        <v>3710</v>
      </c>
      <c r="F489" t="s">
        <v>2868</v>
      </c>
    </row>
    <row r="490" spans="1:6" x14ac:dyDescent="0.2">
      <c r="A490" t="s">
        <v>2511</v>
      </c>
      <c r="C490" t="s">
        <v>789</v>
      </c>
      <c r="D490" t="s">
        <v>1719</v>
      </c>
      <c r="E490" t="s">
        <v>3711</v>
      </c>
      <c r="F490" t="s">
        <v>3712</v>
      </c>
    </row>
    <row r="491" spans="1:6" x14ac:dyDescent="0.2">
      <c r="A491" t="s">
        <v>2512</v>
      </c>
      <c r="C491" t="s">
        <v>789</v>
      </c>
      <c r="D491" t="s">
        <v>3713</v>
      </c>
      <c r="E491" t="s">
        <v>3714</v>
      </c>
      <c r="F491" t="s">
        <v>2868</v>
      </c>
    </row>
    <row r="492" spans="1:6" x14ac:dyDescent="0.2">
      <c r="A492" t="s">
        <v>2513</v>
      </c>
      <c r="C492" t="s">
        <v>789</v>
      </c>
      <c r="D492" t="s">
        <v>3715</v>
      </c>
      <c r="E492" t="s">
        <v>3321</v>
      </c>
      <c r="F492" t="s">
        <v>893</v>
      </c>
    </row>
    <row r="493" spans="1:6" x14ac:dyDescent="0.2">
      <c r="A493" t="s">
        <v>1946</v>
      </c>
      <c r="C493" t="s">
        <v>789</v>
      </c>
      <c r="D493" t="s">
        <v>795</v>
      </c>
      <c r="E493" t="s">
        <v>3716</v>
      </c>
      <c r="F493" t="s">
        <v>1399</v>
      </c>
    </row>
    <row r="494" spans="1:6" x14ac:dyDescent="0.2">
      <c r="A494" t="s">
        <v>1282</v>
      </c>
      <c r="C494" t="s">
        <v>789</v>
      </c>
      <c r="D494" t="s">
        <v>3607</v>
      </c>
      <c r="E494" t="s">
        <v>3717</v>
      </c>
      <c r="F494" t="s">
        <v>3718</v>
      </c>
    </row>
    <row r="495" spans="1:6" x14ac:dyDescent="0.2">
      <c r="A495" t="s">
        <v>1283</v>
      </c>
      <c r="C495" t="s">
        <v>789</v>
      </c>
      <c r="D495" t="s">
        <v>1523</v>
      </c>
      <c r="E495" t="s">
        <v>3719</v>
      </c>
      <c r="F495" t="s">
        <v>1001</v>
      </c>
    </row>
    <row r="496" spans="1:6" x14ac:dyDescent="0.2">
      <c r="A496" t="s">
        <v>1025</v>
      </c>
      <c r="C496" t="s">
        <v>789</v>
      </c>
      <c r="D496" t="s">
        <v>1890</v>
      </c>
      <c r="E496" t="s">
        <v>1542</v>
      </c>
      <c r="F496" t="s">
        <v>2868</v>
      </c>
    </row>
    <row r="497" spans="1:6" x14ac:dyDescent="0.2">
      <c r="A497" t="s">
        <v>2514</v>
      </c>
      <c r="C497" t="s">
        <v>783</v>
      </c>
      <c r="D497" t="s">
        <v>3700</v>
      </c>
      <c r="E497" t="s">
        <v>3720</v>
      </c>
      <c r="F497" t="s">
        <v>2898</v>
      </c>
    </row>
    <row r="498" spans="1:6" x14ac:dyDescent="0.2">
      <c r="A498" t="s">
        <v>1771</v>
      </c>
      <c r="C498" t="s">
        <v>783</v>
      </c>
      <c r="D498" t="s">
        <v>3721</v>
      </c>
      <c r="E498" t="s">
        <v>3722</v>
      </c>
      <c r="F498" t="s">
        <v>2898</v>
      </c>
    </row>
    <row r="499" spans="1:6" x14ac:dyDescent="0.2">
      <c r="A499" t="s">
        <v>1031</v>
      </c>
      <c r="C499" t="s">
        <v>789</v>
      </c>
      <c r="D499" t="s">
        <v>3723</v>
      </c>
      <c r="E499" t="s">
        <v>3724</v>
      </c>
      <c r="F499" t="s">
        <v>2868</v>
      </c>
    </row>
    <row r="500" spans="1:6" x14ac:dyDescent="0.2">
      <c r="A500" t="s">
        <v>2515</v>
      </c>
      <c r="C500" t="s">
        <v>789</v>
      </c>
      <c r="D500" t="s">
        <v>3725</v>
      </c>
      <c r="E500" t="s">
        <v>3726</v>
      </c>
      <c r="F500" t="s">
        <v>3144</v>
      </c>
    </row>
    <row r="501" spans="1:6" x14ac:dyDescent="0.2">
      <c r="A501" t="s">
        <v>2516</v>
      </c>
      <c r="C501" t="s">
        <v>789</v>
      </c>
      <c r="D501" t="s">
        <v>3727</v>
      </c>
      <c r="E501" t="s">
        <v>3728</v>
      </c>
      <c r="F501" t="s">
        <v>3144</v>
      </c>
    </row>
    <row r="502" spans="1:6" x14ac:dyDescent="0.2">
      <c r="A502" t="s">
        <v>2517</v>
      </c>
      <c r="C502" t="s">
        <v>789</v>
      </c>
      <c r="D502" t="s">
        <v>3729</v>
      </c>
      <c r="E502" t="s">
        <v>1026</v>
      </c>
      <c r="F502" t="s">
        <v>2868</v>
      </c>
    </row>
    <row r="503" spans="1:6" x14ac:dyDescent="0.2">
      <c r="A503" t="s">
        <v>2518</v>
      </c>
      <c r="C503" t="s">
        <v>789</v>
      </c>
      <c r="D503" t="s">
        <v>1416</v>
      </c>
      <c r="E503" t="s">
        <v>3730</v>
      </c>
      <c r="F503" t="s">
        <v>2868</v>
      </c>
    </row>
    <row r="504" spans="1:6" x14ac:dyDescent="0.2">
      <c r="A504" t="s">
        <v>2519</v>
      </c>
      <c r="C504" t="s">
        <v>789</v>
      </c>
      <c r="D504" t="s">
        <v>3639</v>
      </c>
      <c r="E504" t="s">
        <v>3600</v>
      </c>
      <c r="F504" t="s">
        <v>2868</v>
      </c>
    </row>
    <row r="505" spans="1:6" x14ac:dyDescent="0.2">
      <c r="A505" t="s">
        <v>2520</v>
      </c>
      <c r="C505" t="s">
        <v>1733</v>
      </c>
      <c r="D505" t="s">
        <v>3731</v>
      </c>
      <c r="E505" t="s">
        <v>3732</v>
      </c>
      <c r="F505" t="s">
        <v>3733</v>
      </c>
    </row>
    <row r="506" spans="1:6" x14ac:dyDescent="0.2">
      <c r="A506" t="s">
        <v>1775</v>
      </c>
      <c r="C506" t="s">
        <v>1733</v>
      </c>
      <c r="D506" t="s">
        <v>3734</v>
      </c>
      <c r="E506" t="s">
        <v>3735</v>
      </c>
      <c r="F506" t="s">
        <v>3736</v>
      </c>
    </row>
    <row r="507" spans="1:6" x14ac:dyDescent="0.2">
      <c r="A507" t="s">
        <v>2521</v>
      </c>
      <c r="C507" t="s">
        <v>789</v>
      </c>
      <c r="D507" t="s">
        <v>3737</v>
      </c>
      <c r="E507" t="s">
        <v>3738</v>
      </c>
      <c r="F507" t="s">
        <v>2133</v>
      </c>
    </row>
    <row r="508" spans="1:6" x14ac:dyDescent="0.2">
      <c r="A508" t="s">
        <v>1778</v>
      </c>
      <c r="C508" t="s">
        <v>783</v>
      </c>
      <c r="D508" t="s">
        <v>3739</v>
      </c>
      <c r="E508" t="s">
        <v>3740</v>
      </c>
      <c r="F508" t="s">
        <v>2898</v>
      </c>
    </row>
    <row r="509" spans="1:6" x14ac:dyDescent="0.2">
      <c r="A509" t="s">
        <v>2522</v>
      </c>
      <c r="C509" t="s">
        <v>1733</v>
      </c>
      <c r="D509" t="s">
        <v>3741</v>
      </c>
      <c r="E509" t="s">
        <v>3088</v>
      </c>
      <c r="F509" t="s">
        <v>3742</v>
      </c>
    </row>
    <row r="510" spans="1:6" x14ac:dyDescent="0.2">
      <c r="A510" t="s">
        <v>2523</v>
      </c>
      <c r="C510" t="s">
        <v>789</v>
      </c>
      <c r="D510" t="s">
        <v>3743</v>
      </c>
      <c r="E510" t="s">
        <v>3744</v>
      </c>
      <c r="F510" t="s">
        <v>2868</v>
      </c>
    </row>
    <row r="511" spans="1:6" x14ac:dyDescent="0.2">
      <c r="A511" t="s">
        <v>1284</v>
      </c>
      <c r="C511" t="s">
        <v>789</v>
      </c>
      <c r="D511" t="s">
        <v>3745</v>
      </c>
      <c r="E511" t="s">
        <v>3746</v>
      </c>
      <c r="F511" t="s">
        <v>799</v>
      </c>
    </row>
    <row r="512" spans="1:6" x14ac:dyDescent="0.2">
      <c r="A512" t="s">
        <v>2524</v>
      </c>
      <c r="C512" t="s">
        <v>789</v>
      </c>
      <c r="D512" t="s">
        <v>3747</v>
      </c>
      <c r="E512" t="s">
        <v>909</v>
      </c>
      <c r="F512" t="s">
        <v>3748</v>
      </c>
    </row>
    <row r="513" spans="1:6" x14ac:dyDescent="0.2">
      <c r="A513" t="s">
        <v>2525</v>
      </c>
      <c r="C513" t="s">
        <v>789</v>
      </c>
      <c r="D513" t="s">
        <v>3749</v>
      </c>
      <c r="E513" t="s">
        <v>3476</v>
      </c>
      <c r="F513" t="s">
        <v>2868</v>
      </c>
    </row>
    <row r="514" spans="1:6" x14ac:dyDescent="0.2">
      <c r="A514" t="s">
        <v>2526</v>
      </c>
      <c r="C514" t="s">
        <v>789</v>
      </c>
      <c r="D514" t="s">
        <v>3750</v>
      </c>
      <c r="E514" t="s">
        <v>3751</v>
      </c>
      <c r="F514" t="s">
        <v>1608</v>
      </c>
    </row>
    <row r="515" spans="1:6" x14ac:dyDescent="0.2">
      <c r="A515" t="s">
        <v>2527</v>
      </c>
      <c r="C515" t="s">
        <v>789</v>
      </c>
      <c r="D515" t="s">
        <v>3752</v>
      </c>
      <c r="E515" t="s">
        <v>3753</v>
      </c>
      <c r="F515" t="s">
        <v>1161</v>
      </c>
    </row>
    <row r="516" spans="1:6" x14ac:dyDescent="0.2">
      <c r="A516" t="s">
        <v>1285</v>
      </c>
      <c r="C516" t="s">
        <v>789</v>
      </c>
      <c r="D516" t="s">
        <v>1527</v>
      </c>
      <c r="E516" t="s">
        <v>1528</v>
      </c>
      <c r="F516" t="s">
        <v>1529</v>
      </c>
    </row>
    <row r="517" spans="1:6" x14ac:dyDescent="0.2">
      <c r="A517" t="s">
        <v>2528</v>
      </c>
      <c r="C517" t="s">
        <v>789</v>
      </c>
      <c r="D517" t="s">
        <v>3754</v>
      </c>
      <c r="E517" t="s">
        <v>871</v>
      </c>
      <c r="F517" t="s">
        <v>1037</v>
      </c>
    </row>
    <row r="518" spans="1:6" x14ac:dyDescent="0.2">
      <c r="A518" t="s">
        <v>1947</v>
      </c>
      <c r="C518" t="s">
        <v>789</v>
      </c>
      <c r="D518" t="s">
        <v>3755</v>
      </c>
      <c r="E518" t="s">
        <v>3756</v>
      </c>
      <c r="F518" t="s">
        <v>2868</v>
      </c>
    </row>
    <row r="519" spans="1:6" x14ac:dyDescent="0.2">
      <c r="A519" t="s">
        <v>2529</v>
      </c>
      <c r="C519" t="s">
        <v>1733</v>
      </c>
      <c r="D519" t="s">
        <v>3757</v>
      </c>
      <c r="E519" t="s">
        <v>3758</v>
      </c>
      <c r="F519" t="s">
        <v>3759</v>
      </c>
    </row>
    <row r="520" spans="1:6" x14ac:dyDescent="0.2">
      <c r="A520" t="s">
        <v>1120</v>
      </c>
      <c r="C520" t="s">
        <v>789</v>
      </c>
      <c r="D520" t="s">
        <v>787</v>
      </c>
      <c r="E520" t="s">
        <v>1217</v>
      </c>
      <c r="F520" t="s">
        <v>845</v>
      </c>
    </row>
    <row r="521" spans="1:6" x14ac:dyDescent="0.2">
      <c r="A521" t="s">
        <v>2530</v>
      </c>
      <c r="C521" t="s">
        <v>789</v>
      </c>
      <c r="D521" t="s">
        <v>787</v>
      </c>
      <c r="E521" t="s">
        <v>3760</v>
      </c>
      <c r="F521" t="s">
        <v>3761</v>
      </c>
    </row>
    <row r="522" spans="1:6" x14ac:dyDescent="0.2">
      <c r="A522" t="s">
        <v>2531</v>
      </c>
      <c r="C522" t="s">
        <v>783</v>
      </c>
      <c r="D522" t="s">
        <v>3762</v>
      </c>
      <c r="E522" t="s">
        <v>3763</v>
      </c>
      <c r="F522" t="s">
        <v>812</v>
      </c>
    </row>
    <row r="523" spans="1:6" x14ac:dyDescent="0.2">
      <c r="A523" t="s">
        <v>2532</v>
      </c>
      <c r="C523" t="s">
        <v>1733</v>
      </c>
      <c r="D523" t="s">
        <v>3764</v>
      </c>
      <c r="E523" t="s">
        <v>3103</v>
      </c>
      <c r="F523" t="s">
        <v>3765</v>
      </c>
    </row>
    <row r="524" spans="1:6" x14ac:dyDescent="0.2">
      <c r="A524" t="s">
        <v>2533</v>
      </c>
      <c r="C524" t="s">
        <v>789</v>
      </c>
      <c r="D524" t="s">
        <v>3031</v>
      </c>
      <c r="E524" t="s">
        <v>3766</v>
      </c>
      <c r="F524" t="s">
        <v>835</v>
      </c>
    </row>
    <row r="525" spans="1:6" x14ac:dyDescent="0.2">
      <c r="A525" t="s">
        <v>2534</v>
      </c>
      <c r="C525" t="s">
        <v>789</v>
      </c>
      <c r="D525" t="s">
        <v>3767</v>
      </c>
      <c r="E525" t="s">
        <v>869</v>
      </c>
      <c r="F525" t="s">
        <v>835</v>
      </c>
    </row>
    <row r="526" spans="1:6" x14ac:dyDescent="0.2">
      <c r="A526" t="s">
        <v>2535</v>
      </c>
      <c r="C526" t="s">
        <v>789</v>
      </c>
      <c r="D526" t="s">
        <v>3768</v>
      </c>
      <c r="E526" t="s">
        <v>3769</v>
      </c>
      <c r="F526" t="s">
        <v>2974</v>
      </c>
    </row>
    <row r="527" spans="1:6" x14ac:dyDescent="0.2">
      <c r="A527" t="s">
        <v>2536</v>
      </c>
      <c r="C527" t="s">
        <v>789</v>
      </c>
      <c r="D527" t="s">
        <v>3770</v>
      </c>
      <c r="E527" t="s">
        <v>3771</v>
      </c>
      <c r="F527" t="s">
        <v>2868</v>
      </c>
    </row>
    <row r="528" spans="1:6" x14ac:dyDescent="0.2">
      <c r="A528" t="s">
        <v>2537</v>
      </c>
      <c r="C528" t="s">
        <v>1733</v>
      </c>
      <c r="D528" t="s">
        <v>2883</v>
      </c>
      <c r="E528" t="s">
        <v>3772</v>
      </c>
      <c r="F528" t="s">
        <v>3773</v>
      </c>
    </row>
    <row r="529" spans="1:6" x14ac:dyDescent="0.2">
      <c r="A529" t="s">
        <v>1286</v>
      </c>
      <c r="C529" t="s">
        <v>789</v>
      </c>
      <c r="D529" t="s">
        <v>1530</v>
      </c>
      <c r="E529" t="s">
        <v>1531</v>
      </c>
      <c r="F529" t="s">
        <v>1532</v>
      </c>
    </row>
    <row r="530" spans="1:6" x14ac:dyDescent="0.2">
      <c r="A530" t="s">
        <v>2538</v>
      </c>
      <c r="C530" t="s">
        <v>789</v>
      </c>
      <c r="D530" t="s">
        <v>2145</v>
      </c>
      <c r="E530" t="s">
        <v>3774</v>
      </c>
      <c r="F530" t="s">
        <v>3036</v>
      </c>
    </row>
    <row r="531" spans="1:6" x14ac:dyDescent="0.2">
      <c r="A531" t="s">
        <v>2539</v>
      </c>
      <c r="C531" t="s">
        <v>789</v>
      </c>
      <c r="D531" t="s">
        <v>3775</v>
      </c>
      <c r="E531" t="s">
        <v>3776</v>
      </c>
      <c r="F531" t="s">
        <v>1548</v>
      </c>
    </row>
    <row r="532" spans="1:6" x14ac:dyDescent="0.2">
      <c r="A532" t="s">
        <v>1948</v>
      </c>
      <c r="C532" t="s">
        <v>789</v>
      </c>
      <c r="D532" t="s">
        <v>3777</v>
      </c>
      <c r="E532" t="s">
        <v>1602</v>
      </c>
      <c r="F532" t="s">
        <v>2868</v>
      </c>
    </row>
    <row r="533" spans="1:6" x14ac:dyDescent="0.2">
      <c r="A533" t="s">
        <v>2540</v>
      </c>
      <c r="C533" t="s">
        <v>789</v>
      </c>
      <c r="D533" t="s">
        <v>3778</v>
      </c>
      <c r="E533" t="s">
        <v>3779</v>
      </c>
      <c r="F533" t="s">
        <v>2868</v>
      </c>
    </row>
    <row r="534" spans="1:6" x14ac:dyDescent="0.2">
      <c r="A534" t="s">
        <v>2541</v>
      </c>
      <c r="C534" t="s">
        <v>789</v>
      </c>
      <c r="D534" t="s">
        <v>3780</v>
      </c>
      <c r="E534" t="s">
        <v>3781</v>
      </c>
      <c r="F534" t="s">
        <v>1389</v>
      </c>
    </row>
    <row r="535" spans="1:6" x14ac:dyDescent="0.2">
      <c r="A535" t="s">
        <v>2542</v>
      </c>
      <c r="C535" t="s">
        <v>789</v>
      </c>
      <c r="D535" t="s">
        <v>3656</v>
      </c>
      <c r="E535" t="s">
        <v>3776</v>
      </c>
      <c r="F535" t="s">
        <v>1565</v>
      </c>
    </row>
    <row r="536" spans="1:6" x14ac:dyDescent="0.2">
      <c r="A536" t="s">
        <v>2543</v>
      </c>
      <c r="C536" t="s">
        <v>789</v>
      </c>
      <c r="D536" t="s">
        <v>3782</v>
      </c>
      <c r="E536" t="s">
        <v>3783</v>
      </c>
      <c r="F536" t="s">
        <v>802</v>
      </c>
    </row>
    <row r="537" spans="1:6" x14ac:dyDescent="0.2">
      <c r="A537" t="s">
        <v>2544</v>
      </c>
      <c r="C537" t="s">
        <v>789</v>
      </c>
      <c r="D537" t="s">
        <v>3784</v>
      </c>
      <c r="E537" t="s">
        <v>3785</v>
      </c>
      <c r="F537" t="s">
        <v>3786</v>
      </c>
    </row>
    <row r="538" spans="1:6" x14ac:dyDescent="0.2">
      <c r="A538" t="s">
        <v>1287</v>
      </c>
      <c r="C538" t="s">
        <v>789</v>
      </c>
      <c r="D538" t="s">
        <v>1533</v>
      </c>
      <c r="E538" t="s">
        <v>1379</v>
      </c>
      <c r="F538" t="s">
        <v>1054</v>
      </c>
    </row>
    <row r="539" spans="1:6" x14ac:dyDescent="0.2">
      <c r="A539" t="s">
        <v>2545</v>
      </c>
      <c r="C539" t="s">
        <v>789</v>
      </c>
      <c r="D539" t="s">
        <v>3787</v>
      </c>
      <c r="E539" t="s">
        <v>3788</v>
      </c>
      <c r="F539" t="s">
        <v>1075</v>
      </c>
    </row>
    <row r="540" spans="1:6" x14ac:dyDescent="0.2">
      <c r="A540" t="s">
        <v>1949</v>
      </c>
      <c r="C540" t="s">
        <v>789</v>
      </c>
      <c r="D540" t="s">
        <v>1182</v>
      </c>
      <c r="E540" t="s">
        <v>3789</v>
      </c>
      <c r="F540" t="s">
        <v>2868</v>
      </c>
    </row>
    <row r="541" spans="1:6" x14ac:dyDescent="0.2">
      <c r="A541" t="s">
        <v>2546</v>
      </c>
      <c r="C541" t="s">
        <v>789</v>
      </c>
      <c r="D541" t="s">
        <v>1640</v>
      </c>
      <c r="E541" t="s">
        <v>3790</v>
      </c>
      <c r="F541" t="s">
        <v>2868</v>
      </c>
    </row>
    <row r="542" spans="1:6" x14ac:dyDescent="0.2">
      <c r="A542" t="s">
        <v>2547</v>
      </c>
      <c r="C542" t="s">
        <v>789</v>
      </c>
      <c r="D542" t="s">
        <v>3301</v>
      </c>
      <c r="E542" t="s">
        <v>3791</v>
      </c>
      <c r="F542" t="s">
        <v>1184</v>
      </c>
    </row>
    <row r="543" spans="1:6" x14ac:dyDescent="0.2">
      <c r="A543" t="s">
        <v>2548</v>
      </c>
      <c r="C543" t="s">
        <v>789</v>
      </c>
      <c r="D543" t="s">
        <v>3792</v>
      </c>
      <c r="E543" t="s">
        <v>3793</v>
      </c>
      <c r="F543" t="s">
        <v>2868</v>
      </c>
    </row>
    <row r="544" spans="1:6" x14ac:dyDescent="0.2">
      <c r="A544" t="s">
        <v>2549</v>
      </c>
      <c r="C544" t="s">
        <v>1733</v>
      </c>
      <c r="D544" t="s">
        <v>3794</v>
      </c>
      <c r="E544" t="s">
        <v>3795</v>
      </c>
      <c r="F544" t="s">
        <v>3796</v>
      </c>
    </row>
    <row r="545" spans="1:6" x14ac:dyDescent="0.2">
      <c r="A545" t="s">
        <v>2550</v>
      </c>
      <c r="C545" t="s">
        <v>789</v>
      </c>
      <c r="D545" t="s">
        <v>3797</v>
      </c>
      <c r="E545" t="s">
        <v>1462</v>
      </c>
      <c r="F545" t="s">
        <v>2868</v>
      </c>
    </row>
    <row r="546" spans="1:6" x14ac:dyDescent="0.2">
      <c r="A546" t="s">
        <v>2551</v>
      </c>
      <c r="C546" t="s">
        <v>789</v>
      </c>
      <c r="D546" t="s">
        <v>2154</v>
      </c>
      <c r="E546" t="s">
        <v>3798</v>
      </c>
      <c r="F546" t="s">
        <v>2051</v>
      </c>
    </row>
    <row r="547" spans="1:6" x14ac:dyDescent="0.2">
      <c r="A547" t="s">
        <v>2552</v>
      </c>
      <c r="C547" t="s">
        <v>789</v>
      </c>
      <c r="D547" t="s">
        <v>3799</v>
      </c>
      <c r="E547" t="s">
        <v>3800</v>
      </c>
      <c r="F547" t="s">
        <v>2868</v>
      </c>
    </row>
    <row r="548" spans="1:6" x14ac:dyDescent="0.2">
      <c r="A548" t="s">
        <v>1950</v>
      </c>
      <c r="C548" t="s">
        <v>789</v>
      </c>
      <c r="D548" t="s">
        <v>3801</v>
      </c>
      <c r="E548" t="s">
        <v>3802</v>
      </c>
      <c r="F548" t="s">
        <v>3803</v>
      </c>
    </row>
    <row r="549" spans="1:6" x14ac:dyDescent="0.2">
      <c r="A549" t="s">
        <v>1951</v>
      </c>
      <c r="C549" t="s">
        <v>789</v>
      </c>
      <c r="D549" t="s">
        <v>801</v>
      </c>
      <c r="E549" t="s">
        <v>3804</v>
      </c>
      <c r="F549" t="s">
        <v>2868</v>
      </c>
    </row>
    <row r="550" spans="1:6" x14ac:dyDescent="0.2">
      <c r="A550" t="s">
        <v>1288</v>
      </c>
      <c r="C550" t="s">
        <v>789</v>
      </c>
      <c r="D550" t="s">
        <v>1534</v>
      </c>
      <c r="E550" t="s">
        <v>1535</v>
      </c>
      <c r="F550" t="s">
        <v>2055</v>
      </c>
    </row>
    <row r="551" spans="1:6" x14ac:dyDescent="0.2">
      <c r="A551" t="s">
        <v>2553</v>
      </c>
      <c r="C551" t="s">
        <v>789</v>
      </c>
      <c r="D551" t="s">
        <v>3805</v>
      </c>
      <c r="E551" t="s">
        <v>3806</v>
      </c>
      <c r="F551" t="s">
        <v>2868</v>
      </c>
    </row>
    <row r="552" spans="1:6" x14ac:dyDescent="0.2">
      <c r="A552" t="s">
        <v>2554</v>
      </c>
      <c r="C552" t="s">
        <v>789</v>
      </c>
      <c r="D552" t="s">
        <v>3201</v>
      </c>
      <c r="E552" t="s">
        <v>3807</v>
      </c>
      <c r="F552" t="s">
        <v>803</v>
      </c>
    </row>
    <row r="553" spans="1:6" x14ac:dyDescent="0.2">
      <c r="A553" t="s">
        <v>2555</v>
      </c>
      <c r="C553" t="s">
        <v>789</v>
      </c>
      <c r="D553" t="s">
        <v>3808</v>
      </c>
      <c r="E553" t="s">
        <v>3809</v>
      </c>
      <c r="F553" t="s">
        <v>1522</v>
      </c>
    </row>
    <row r="554" spans="1:6" x14ac:dyDescent="0.2">
      <c r="A554" t="s">
        <v>2556</v>
      </c>
      <c r="C554" t="s">
        <v>789</v>
      </c>
      <c r="D554" t="s">
        <v>3810</v>
      </c>
      <c r="E554" t="s">
        <v>3811</v>
      </c>
      <c r="F554" t="s">
        <v>2868</v>
      </c>
    </row>
    <row r="555" spans="1:6" x14ac:dyDescent="0.2">
      <c r="A555" t="s">
        <v>2557</v>
      </c>
      <c r="C555" t="s">
        <v>789</v>
      </c>
      <c r="D555" t="s">
        <v>3812</v>
      </c>
      <c r="E555" t="s">
        <v>1909</v>
      </c>
      <c r="F555" t="s">
        <v>953</v>
      </c>
    </row>
    <row r="556" spans="1:6" x14ac:dyDescent="0.2">
      <c r="A556" t="s">
        <v>1952</v>
      </c>
      <c r="C556" t="s">
        <v>789</v>
      </c>
      <c r="D556" t="s">
        <v>3813</v>
      </c>
      <c r="E556" t="s">
        <v>3814</v>
      </c>
      <c r="F556" t="s">
        <v>2868</v>
      </c>
    </row>
    <row r="557" spans="1:6" x14ac:dyDescent="0.2">
      <c r="A557" t="s">
        <v>1289</v>
      </c>
      <c r="C557" t="s">
        <v>789</v>
      </c>
      <c r="D557" t="s">
        <v>3815</v>
      </c>
      <c r="E557" t="s">
        <v>1537</v>
      </c>
      <c r="F557" t="s">
        <v>3816</v>
      </c>
    </row>
    <row r="558" spans="1:6" x14ac:dyDescent="0.2">
      <c r="A558" t="s">
        <v>2558</v>
      </c>
      <c r="C558" t="s">
        <v>1733</v>
      </c>
      <c r="D558" t="s">
        <v>3817</v>
      </c>
      <c r="E558" t="s">
        <v>3818</v>
      </c>
      <c r="F558" t="s">
        <v>3819</v>
      </c>
    </row>
    <row r="559" spans="1:6" x14ac:dyDescent="0.2">
      <c r="A559" t="s">
        <v>2559</v>
      </c>
      <c r="C559" t="s">
        <v>1733</v>
      </c>
      <c r="D559" t="s">
        <v>3820</v>
      </c>
      <c r="E559" t="s">
        <v>3821</v>
      </c>
      <c r="F559" t="s">
        <v>3822</v>
      </c>
    </row>
    <row r="560" spans="1:6" x14ac:dyDescent="0.2">
      <c r="A560" t="s">
        <v>2560</v>
      </c>
      <c r="C560" t="s">
        <v>789</v>
      </c>
      <c r="D560" t="s">
        <v>3823</v>
      </c>
      <c r="E560" t="s">
        <v>3824</v>
      </c>
      <c r="F560" t="s">
        <v>2868</v>
      </c>
    </row>
    <row r="561" spans="1:6" x14ac:dyDescent="0.2">
      <c r="A561" t="s">
        <v>2561</v>
      </c>
      <c r="C561" t="s">
        <v>789</v>
      </c>
      <c r="D561" t="s">
        <v>3825</v>
      </c>
      <c r="E561" t="s">
        <v>3826</v>
      </c>
      <c r="F561" t="s">
        <v>804</v>
      </c>
    </row>
    <row r="562" spans="1:6" x14ac:dyDescent="0.2">
      <c r="A562" t="s">
        <v>2562</v>
      </c>
      <c r="C562" t="s">
        <v>789</v>
      </c>
      <c r="D562" t="s">
        <v>3827</v>
      </c>
      <c r="E562" t="s">
        <v>2947</v>
      </c>
      <c r="F562" t="s">
        <v>2868</v>
      </c>
    </row>
    <row r="563" spans="1:6" x14ac:dyDescent="0.2">
      <c r="A563" t="s">
        <v>2563</v>
      </c>
      <c r="C563" t="s">
        <v>789</v>
      </c>
      <c r="D563" t="s">
        <v>3828</v>
      </c>
      <c r="E563" t="s">
        <v>3829</v>
      </c>
      <c r="F563" t="s">
        <v>2868</v>
      </c>
    </row>
    <row r="564" spans="1:6" x14ac:dyDescent="0.2">
      <c r="A564" t="s">
        <v>2564</v>
      </c>
      <c r="C564" t="s">
        <v>789</v>
      </c>
      <c r="D564" t="s">
        <v>3599</v>
      </c>
      <c r="E564" t="s">
        <v>3830</v>
      </c>
      <c r="F564" t="s">
        <v>2868</v>
      </c>
    </row>
    <row r="565" spans="1:6" x14ac:dyDescent="0.2">
      <c r="A565" t="s">
        <v>1953</v>
      </c>
      <c r="C565" t="s">
        <v>789</v>
      </c>
      <c r="D565" t="s">
        <v>1718</v>
      </c>
      <c r="E565" t="s">
        <v>804</v>
      </c>
      <c r="F565" t="s">
        <v>2868</v>
      </c>
    </row>
    <row r="566" spans="1:6" x14ac:dyDescent="0.2">
      <c r="A566" t="s">
        <v>2565</v>
      </c>
      <c r="C566" t="s">
        <v>1733</v>
      </c>
      <c r="D566" t="s">
        <v>3831</v>
      </c>
      <c r="E566" t="s">
        <v>3832</v>
      </c>
      <c r="F566" t="s">
        <v>3833</v>
      </c>
    </row>
    <row r="567" spans="1:6" x14ac:dyDescent="0.2">
      <c r="A567" t="s">
        <v>1954</v>
      </c>
      <c r="C567" t="s">
        <v>789</v>
      </c>
      <c r="D567" t="s">
        <v>3834</v>
      </c>
      <c r="E567" t="s">
        <v>3835</v>
      </c>
      <c r="F567" t="s">
        <v>2868</v>
      </c>
    </row>
    <row r="568" spans="1:6" x14ac:dyDescent="0.2">
      <c r="A568" t="s">
        <v>2566</v>
      </c>
      <c r="C568" t="s">
        <v>789</v>
      </c>
      <c r="D568" t="s">
        <v>3836</v>
      </c>
      <c r="E568" t="s">
        <v>3837</v>
      </c>
      <c r="F568" t="s">
        <v>2868</v>
      </c>
    </row>
    <row r="569" spans="1:6" x14ac:dyDescent="0.2">
      <c r="A569" t="s">
        <v>2567</v>
      </c>
      <c r="C569" t="s">
        <v>789</v>
      </c>
      <c r="D569" t="s">
        <v>2036</v>
      </c>
      <c r="E569" t="s">
        <v>3838</v>
      </c>
      <c r="F569" t="s">
        <v>2868</v>
      </c>
    </row>
    <row r="570" spans="1:6" x14ac:dyDescent="0.2">
      <c r="A570" t="s">
        <v>2568</v>
      </c>
      <c r="C570" t="s">
        <v>789</v>
      </c>
      <c r="D570" t="s">
        <v>3839</v>
      </c>
      <c r="E570" t="s">
        <v>3840</v>
      </c>
      <c r="F570" t="s">
        <v>1522</v>
      </c>
    </row>
    <row r="571" spans="1:6" x14ac:dyDescent="0.2">
      <c r="A571" t="s">
        <v>2569</v>
      </c>
      <c r="C571" t="s">
        <v>789</v>
      </c>
      <c r="D571" t="s">
        <v>3841</v>
      </c>
      <c r="E571" t="s">
        <v>3842</v>
      </c>
      <c r="F571" t="s">
        <v>2868</v>
      </c>
    </row>
    <row r="572" spans="1:6" x14ac:dyDescent="0.2">
      <c r="A572" t="s">
        <v>2570</v>
      </c>
      <c r="C572" t="s">
        <v>789</v>
      </c>
      <c r="D572" t="s">
        <v>3843</v>
      </c>
      <c r="E572" t="s">
        <v>3844</v>
      </c>
      <c r="F572" t="s">
        <v>3338</v>
      </c>
    </row>
    <row r="573" spans="1:6" x14ac:dyDescent="0.2">
      <c r="A573" t="s">
        <v>1290</v>
      </c>
      <c r="C573" t="s">
        <v>783</v>
      </c>
      <c r="D573" t="s">
        <v>1538</v>
      </c>
      <c r="E573" t="s">
        <v>992</v>
      </c>
      <c r="F573" t="s">
        <v>1540</v>
      </c>
    </row>
    <row r="574" spans="1:6" x14ac:dyDescent="0.2">
      <c r="A574" t="s">
        <v>2571</v>
      </c>
      <c r="C574" t="s">
        <v>1733</v>
      </c>
      <c r="D574" t="s">
        <v>3845</v>
      </c>
      <c r="E574" t="s">
        <v>3846</v>
      </c>
      <c r="F574" t="s">
        <v>3344</v>
      </c>
    </row>
    <row r="575" spans="1:6" x14ac:dyDescent="0.2">
      <c r="A575" t="s">
        <v>2572</v>
      </c>
      <c r="C575" t="s">
        <v>789</v>
      </c>
      <c r="D575" t="s">
        <v>3734</v>
      </c>
      <c r="E575" t="s">
        <v>1658</v>
      </c>
      <c r="F575" t="s">
        <v>2868</v>
      </c>
    </row>
    <row r="576" spans="1:6" x14ac:dyDescent="0.2">
      <c r="A576" t="s">
        <v>2573</v>
      </c>
      <c r="C576" t="s">
        <v>789</v>
      </c>
      <c r="D576" t="s">
        <v>3847</v>
      </c>
      <c r="E576" t="s">
        <v>3848</v>
      </c>
      <c r="F576" t="s">
        <v>2051</v>
      </c>
    </row>
    <row r="577" spans="1:6" x14ac:dyDescent="0.2">
      <c r="A577" t="s">
        <v>2574</v>
      </c>
      <c r="C577" t="s">
        <v>789</v>
      </c>
      <c r="D577" t="s">
        <v>3849</v>
      </c>
      <c r="E577" t="s">
        <v>3850</v>
      </c>
      <c r="F577" t="s">
        <v>3851</v>
      </c>
    </row>
    <row r="578" spans="1:6" x14ac:dyDescent="0.2">
      <c r="A578" t="s">
        <v>2575</v>
      </c>
      <c r="C578" t="s">
        <v>789</v>
      </c>
      <c r="D578" t="s">
        <v>3852</v>
      </c>
      <c r="E578" t="s">
        <v>1688</v>
      </c>
      <c r="F578" t="s">
        <v>3803</v>
      </c>
    </row>
    <row r="579" spans="1:6" x14ac:dyDescent="0.2">
      <c r="A579" t="s">
        <v>2576</v>
      </c>
      <c r="C579" t="s">
        <v>789</v>
      </c>
      <c r="D579" t="s">
        <v>3440</v>
      </c>
      <c r="E579" t="s">
        <v>3853</v>
      </c>
      <c r="F579" t="s">
        <v>2868</v>
      </c>
    </row>
    <row r="580" spans="1:6" x14ac:dyDescent="0.2">
      <c r="A580" t="s">
        <v>2577</v>
      </c>
      <c r="C580" t="s">
        <v>789</v>
      </c>
      <c r="D580" t="s">
        <v>3854</v>
      </c>
      <c r="E580" t="s">
        <v>3855</v>
      </c>
      <c r="F580" t="s">
        <v>925</v>
      </c>
    </row>
    <row r="581" spans="1:6" x14ac:dyDescent="0.2">
      <c r="A581" t="s">
        <v>2578</v>
      </c>
      <c r="C581" t="s">
        <v>789</v>
      </c>
      <c r="D581" t="s">
        <v>3856</v>
      </c>
      <c r="E581" t="s">
        <v>2133</v>
      </c>
      <c r="F581" t="s">
        <v>3857</v>
      </c>
    </row>
    <row r="582" spans="1:6" x14ac:dyDescent="0.2">
      <c r="A582" t="s">
        <v>2579</v>
      </c>
      <c r="C582" t="s">
        <v>789</v>
      </c>
      <c r="D582" t="s">
        <v>3846</v>
      </c>
      <c r="E582" t="s">
        <v>1583</v>
      </c>
      <c r="F582" t="s">
        <v>1082</v>
      </c>
    </row>
    <row r="583" spans="1:6" x14ac:dyDescent="0.2">
      <c r="A583" t="s">
        <v>2580</v>
      </c>
      <c r="C583" t="s">
        <v>789</v>
      </c>
      <c r="D583" t="s">
        <v>3858</v>
      </c>
      <c r="E583" t="s">
        <v>3859</v>
      </c>
      <c r="F583" t="s">
        <v>2868</v>
      </c>
    </row>
    <row r="584" spans="1:6" x14ac:dyDescent="0.2">
      <c r="A584" t="s">
        <v>1191</v>
      </c>
      <c r="C584" t="s">
        <v>789</v>
      </c>
      <c r="D584" t="s">
        <v>3860</v>
      </c>
      <c r="E584" t="s">
        <v>3822</v>
      </c>
      <c r="F584" t="s">
        <v>2868</v>
      </c>
    </row>
    <row r="585" spans="1:6" x14ac:dyDescent="0.2">
      <c r="A585" t="s">
        <v>2581</v>
      </c>
      <c r="C585" t="s">
        <v>789</v>
      </c>
      <c r="D585" t="s">
        <v>1524</v>
      </c>
      <c r="E585" t="s">
        <v>3861</v>
      </c>
      <c r="F585" t="s">
        <v>1401</v>
      </c>
    </row>
    <row r="586" spans="1:6" x14ac:dyDescent="0.2">
      <c r="A586" t="s">
        <v>1955</v>
      </c>
      <c r="C586" t="s">
        <v>789</v>
      </c>
      <c r="D586" t="s">
        <v>3187</v>
      </c>
      <c r="E586" t="s">
        <v>3862</v>
      </c>
      <c r="F586" t="s">
        <v>2868</v>
      </c>
    </row>
    <row r="587" spans="1:6" x14ac:dyDescent="0.2">
      <c r="A587" t="s">
        <v>1291</v>
      </c>
      <c r="C587" t="s">
        <v>789</v>
      </c>
      <c r="D587" t="s">
        <v>1541</v>
      </c>
      <c r="E587" t="s">
        <v>1519</v>
      </c>
      <c r="F587" t="s">
        <v>1425</v>
      </c>
    </row>
    <row r="588" spans="1:6" x14ac:dyDescent="0.2">
      <c r="A588" t="s">
        <v>2582</v>
      </c>
      <c r="C588" t="s">
        <v>789</v>
      </c>
      <c r="D588" t="s">
        <v>3863</v>
      </c>
      <c r="E588" t="s">
        <v>2855</v>
      </c>
      <c r="F588" t="s">
        <v>2868</v>
      </c>
    </row>
    <row r="589" spans="1:6" x14ac:dyDescent="0.2">
      <c r="A589" t="s">
        <v>1292</v>
      </c>
      <c r="C589" t="s">
        <v>789</v>
      </c>
      <c r="D589" t="s">
        <v>1543</v>
      </c>
      <c r="E589" t="s">
        <v>3864</v>
      </c>
      <c r="F589" t="s">
        <v>1545</v>
      </c>
    </row>
    <row r="590" spans="1:6" x14ac:dyDescent="0.2">
      <c r="A590" t="s">
        <v>2583</v>
      </c>
      <c r="C590" t="s">
        <v>789</v>
      </c>
      <c r="D590" t="s">
        <v>3865</v>
      </c>
      <c r="E590" t="s">
        <v>3866</v>
      </c>
      <c r="F590" t="s">
        <v>2868</v>
      </c>
    </row>
    <row r="591" spans="1:6" x14ac:dyDescent="0.2">
      <c r="A591" t="s">
        <v>2584</v>
      </c>
      <c r="C591" t="s">
        <v>789</v>
      </c>
      <c r="D591" t="s">
        <v>3867</v>
      </c>
      <c r="E591" t="s">
        <v>3868</v>
      </c>
      <c r="F591" t="s">
        <v>2868</v>
      </c>
    </row>
    <row r="592" spans="1:6" x14ac:dyDescent="0.2">
      <c r="A592" t="s">
        <v>1293</v>
      </c>
      <c r="C592" t="s">
        <v>789</v>
      </c>
      <c r="D592" t="s">
        <v>3869</v>
      </c>
      <c r="E592" t="s">
        <v>3870</v>
      </c>
      <c r="F592" t="s">
        <v>1165</v>
      </c>
    </row>
    <row r="593" spans="1:6" x14ac:dyDescent="0.2">
      <c r="A593" t="s">
        <v>1956</v>
      </c>
      <c r="C593" t="s">
        <v>789</v>
      </c>
      <c r="D593" t="s">
        <v>3871</v>
      </c>
      <c r="E593" t="s">
        <v>3872</v>
      </c>
      <c r="F593" t="s">
        <v>2868</v>
      </c>
    </row>
    <row r="594" spans="1:6" x14ac:dyDescent="0.2">
      <c r="A594" t="s">
        <v>1957</v>
      </c>
      <c r="C594" t="s">
        <v>789</v>
      </c>
      <c r="D594" t="s">
        <v>3873</v>
      </c>
      <c r="E594" t="s">
        <v>3874</v>
      </c>
      <c r="F594" t="s">
        <v>2868</v>
      </c>
    </row>
    <row r="595" spans="1:6" x14ac:dyDescent="0.2">
      <c r="A595" t="s">
        <v>2585</v>
      </c>
      <c r="C595" t="s">
        <v>789</v>
      </c>
      <c r="D595" t="s">
        <v>3875</v>
      </c>
      <c r="E595" t="s">
        <v>3416</v>
      </c>
      <c r="F595" t="s">
        <v>2974</v>
      </c>
    </row>
    <row r="596" spans="1:6" x14ac:dyDescent="0.2">
      <c r="A596" t="s">
        <v>2586</v>
      </c>
      <c r="C596" t="s">
        <v>789</v>
      </c>
      <c r="D596" t="s">
        <v>3876</v>
      </c>
      <c r="E596" t="s">
        <v>1078</v>
      </c>
      <c r="F596" t="s">
        <v>2868</v>
      </c>
    </row>
    <row r="597" spans="1:6" x14ac:dyDescent="0.2">
      <c r="A597" t="s">
        <v>1043</v>
      </c>
      <c r="C597" t="s">
        <v>789</v>
      </c>
      <c r="D597" t="s">
        <v>3877</v>
      </c>
      <c r="E597" t="s">
        <v>3878</v>
      </c>
      <c r="F597" t="s">
        <v>2868</v>
      </c>
    </row>
    <row r="598" spans="1:6" x14ac:dyDescent="0.2">
      <c r="A598" t="s">
        <v>2587</v>
      </c>
      <c r="C598" t="s">
        <v>789</v>
      </c>
      <c r="D598" t="s">
        <v>3879</v>
      </c>
      <c r="E598" t="s">
        <v>3719</v>
      </c>
      <c r="F598" t="s">
        <v>3880</v>
      </c>
    </row>
    <row r="599" spans="1:6" x14ac:dyDescent="0.2">
      <c r="A599" t="s">
        <v>2588</v>
      </c>
      <c r="C599" t="s">
        <v>789</v>
      </c>
      <c r="D599" t="s">
        <v>3881</v>
      </c>
      <c r="E599" t="s">
        <v>3882</v>
      </c>
      <c r="F599" t="s">
        <v>2868</v>
      </c>
    </row>
    <row r="600" spans="1:6" x14ac:dyDescent="0.2">
      <c r="A600" t="s">
        <v>1294</v>
      </c>
      <c r="C600" t="s">
        <v>789</v>
      </c>
      <c r="D600" t="s">
        <v>1547</v>
      </c>
      <c r="E600" t="s">
        <v>3883</v>
      </c>
      <c r="F600" t="s">
        <v>1548</v>
      </c>
    </row>
    <row r="601" spans="1:6" x14ac:dyDescent="0.2">
      <c r="A601" t="s">
        <v>1295</v>
      </c>
      <c r="C601" t="s">
        <v>789</v>
      </c>
      <c r="D601" t="s">
        <v>3884</v>
      </c>
      <c r="E601" t="s">
        <v>1550</v>
      </c>
      <c r="F601" t="s">
        <v>1551</v>
      </c>
    </row>
    <row r="602" spans="1:6" x14ac:dyDescent="0.2">
      <c r="A602" t="s">
        <v>2589</v>
      </c>
      <c r="C602" t="s">
        <v>789</v>
      </c>
      <c r="D602" t="s">
        <v>3885</v>
      </c>
      <c r="E602" t="s">
        <v>947</v>
      </c>
      <c r="F602" t="s">
        <v>1571</v>
      </c>
    </row>
    <row r="603" spans="1:6" x14ac:dyDescent="0.2">
      <c r="A603" t="s">
        <v>1958</v>
      </c>
      <c r="C603" t="s">
        <v>789</v>
      </c>
      <c r="D603" t="s">
        <v>3886</v>
      </c>
      <c r="E603" t="s">
        <v>3887</v>
      </c>
      <c r="F603" t="s">
        <v>2868</v>
      </c>
    </row>
    <row r="604" spans="1:6" x14ac:dyDescent="0.2">
      <c r="A604" t="s">
        <v>2590</v>
      </c>
      <c r="C604" t="s">
        <v>789</v>
      </c>
      <c r="D604" t="s">
        <v>3888</v>
      </c>
      <c r="E604" t="s">
        <v>3889</v>
      </c>
      <c r="F604" t="s">
        <v>2868</v>
      </c>
    </row>
    <row r="605" spans="1:6" x14ac:dyDescent="0.2">
      <c r="A605" t="s">
        <v>2591</v>
      </c>
      <c r="C605" t="s">
        <v>789</v>
      </c>
      <c r="D605" t="s">
        <v>3890</v>
      </c>
      <c r="E605" t="s">
        <v>2147</v>
      </c>
      <c r="F605" t="s">
        <v>2868</v>
      </c>
    </row>
    <row r="606" spans="1:6" x14ac:dyDescent="0.2">
      <c r="A606" t="s">
        <v>2592</v>
      </c>
      <c r="C606" t="s">
        <v>789</v>
      </c>
      <c r="D606" t="s">
        <v>3891</v>
      </c>
      <c r="E606" t="s">
        <v>3892</v>
      </c>
      <c r="F606" t="s">
        <v>2868</v>
      </c>
    </row>
    <row r="607" spans="1:6" x14ac:dyDescent="0.2">
      <c r="A607" t="s">
        <v>1296</v>
      </c>
      <c r="C607" t="s">
        <v>789</v>
      </c>
      <c r="D607" t="s">
        <v>3893</v>
      </c>
      <c r="E607" t="s">
        <v>3894</v>
      </c>
      <c r="F607" t="s">
        <v>3895</v>
      </c>
    </row>
    <row r="608" spans="1:6" x14ac:dyDescent="0.2">
      <c r="A608" t="s">
        <v>2593</v>
      </c>
      <c r="C608" t="s">
        <v>789</v>
      </c>
      <c r="D608" t="s">
        <v>3896</v>
      </c>
      <c r="E608" t="s">
        <v>1008</v>
      </c>
      <c r="F608" t="s">
        <v>2868</v>
      </c>
    </row>
    <row r="609" spans="1:6" x14ac:dyDescent="0.2">
      <c r="A609" t="s">
        <v>2594</v>
      </c>
      <c r="C609" t="s">
        <v>1733</v>
      </c>
      <c r="D609" t="s">
        <v>3897</v>
      </c>
      <c r="E609" t="s">
        <v>3898</v>
      </c>
      <c r="F609" t="s">
        <v>3899</v>
      </c>
    </row>
    <row r="610" spans="1:6" x14ac:dyDescent="0.2">
      <c r="A610" t="s">
        <v>2595</v>
      </c>
      <c r="C610" t="s">
        <v>789</v>
      </c>
      <c r="D610" t="s">
        <v>2911</v>
      </c>
      <c r="E610" t="s">
        <v>3900</v>
      </c>
      <c r="F610" t="s">
        <v>2868</v>
      </c>
    </row>
    <row r="611" spans="1:6" x14ac:dyDescent="0.2">
      <c r="A611" t="s">
        <v>1197</v>
      </c>
      <c r="C611" t="s">
        <v>789</v>
      </c>
      <c r="D611" t="s">
        <v>3901</v>
      </c>
      <c r="E611" t="s">
        <v>3902</v>
      </c>
      <c r="F611" t="s">
        <v>2868</v>
      </c>
    </row>
    <row r="612" spans="1:6" x14ac:dyDescent="0.2">
      <c r="A612" t="s">
        <v>1114</v>
      </c>
      <c r="C612" t="s">
        <v>789</v>
      </c>
      <c r="D612" t="s">
        <v>3903</v>
      </c>
      <c r="E612" t="s">
        <v>3904</v>
      </c>
      <c r="F612" t="s">
        <v>1601</v>
      </c>
    </row>
    <row r="613" spans="1:6" x14ac:dyDescent="0.2">
      <c r="A613" t="s">
        <v>2596</v>
      </c>
      <c r="C613" t="s">
        <v>789</v>
      </c>
      <c r="D613" t="s">
        <v>3905</v>
      </c>
      <c r="E613" t="s">
        <v>3906</v>
      </c>
      <c r="F613" t="s">
        <v>2868</v>
      </c>
    </row>
    <row r="614" spans="1:6" x14ac:dyDescent="0.2">
      <c r="A614" t="s">
        <v>1077</v>
      </c>
      <c r="C614" t="s">
        <v>789</v>
      </c>
      <c r="D614" t="s">
        <v>3907</v>
      </c>
      <c r="E614" t="s">
        <v>3908</v>
      </c>
      <c r="F614" t="s">
        <v>2868</v>
      </c>
    </row>
    <row r="615" spans="1:6" x14ac:dyDescent="0.2">
      <c r="A615" t="s">
        <v>2597</v>
      </c>
      <c r="C615" t="s">
        <v>783</v>
      </c>
      <c r="D615" t="s">
        <v>3909</v>
      </c>
      <c r="E615" t="s">
        <v>3910</v>
      </c>
      <c r="F615" t="s">
        <v>2898</v>
      </c>
    </row>
    <row r="616" spans="1:6" x14ac:dyDescent="0.2">
      <c r="A616" t="s">
        <v>2598</v>
      </c>
      <c r="C616" t="s">
        <v>783</v>
      </c>
      <c r="D616" t="s">
        <v>3911</v>
      </c>
      <c r="E616" t="s">
        <v>3912</v>
      </c>
      <c r="F616" t="s">
        <v>2898</v>
      </c>
    </row>
    <row r="617" spans="1:6" x14ac:dyDescent="0.2">
      <c r="A617" t="s">
        <v>2599</v>
      </c>
      <c r="C617" t="s">
        <v>789</v>
      </c>
      <c r="D617" t="s">
        <v>3913</v>
      </c>
      <c r="E617" t="s">
        <v>3914</v>
      </c>
      <c r="F617" t="s">
        <v>2868</v>
      </c>
    </row>
    <row r="618" spans="1:6" x14ac:dyDescent="0.2">
      <c r="A618" t="s">
        <v>2600</v>
      </c>
      <c r="C618" t="s">
        <v>789</v>
      </c>
      <c r="D618" t="s">
        <v>3915</v>
      </c>
      <c r="E618" t="s">
        <v>973</v>
      </c>
      <c r="F618" t="s">
        <v>2868</v>
      </c>
    </row>
    <row r="619" spans="1:6" x14ac:dyDescent="0.2">
      <c r="A619" t="s">
        <v>2601</v>
      </c>
      <c r="C619" t="s">
        <v>789</v>
      </c>
      <c r="D619" t="s">
        <v>3916</v>
      </c>
      <c r="E619" t="s">
        <v>3917</v>
      </c>
      <c r="F619" t="s">
        <v>2868</v>
      </c>
    </row>
    <row r="620" spans="1:6" x14ac:dyDescent="0.2">
      <c r="A620" t="s">
        <v>2602</v>
      </c>
      <c r="C620" t="s">
        <v>789</v>
      </c>
      <c r="D620" t="s">
        <v>3918</v>
      </c>
      <c r="E620" t="s">
        <v>3919</v>
      </c>
      <c r="F620" t="s">
        <v>3920</v>
      </c>
    </row>
    <row r="621" spans="1:6" x14ac:dyDescent="0.2">
      <c r="A621" t="s">
        <v>2603</v>
      </c>
      <c r="C621" t="s">
        <v>789</v>
      </c>
      <c r="D621" t="s">
        <v>3921</v>
      </c>
      <c r="E621" t="s">
        <v>3922</v>
      </c>
      <c r="F621" t="s">
        <v>3923</v>
      </c>
    </row>
    <row r="622" spans="1:6" x14ac:dyDescent="0.2">
      <c r="A622" t="s">
        <v>1959</v>
      </c>
      <c r="C622" t="s">
        <v>789</v>
      </c>
      <c r="D622" t="s">
        <v>3924</v>
      </c>
      <c r="E622" t="s">
        <v>3092</v>
      </c>
      <c r="F622" t="s">
        <v>2868</v>
      </c>
    </row>
    <row r="623" spans="1:6" x14ac:dyDescent="0.2">
      <c r="A623" t="s">
        <v>1960</v>
      </c>
      <c r="C623" t="s">
        <v>789</v>
      </c>
      <c r="D623" t="s">
        <v>3925</v>
      </c>
      <c r="E623" t="s">
        <v>3926</v>
      </c>
      <c r="F623" t="s">
        <v>2868</v>
      </c>
    </row>
    <row r="624" spans="1:6" x14ac:dyDescent="0.2">
      <c r="A624" t="s">
        <v>2604</v>
      </c>
      <c r="C624" t="s">
        <v>789</v>
      </c>
      <c r="D624" t="s">
        <v>3927</v>
      </c>
      <c r="E624" t="s">
        <v>3928</v>
      </c>
      <c r="F624" t="s">
        <v>2868</v>
      </c>
    </row>
    <row r="625" spans="1:6" x14ac:dyDescent="0.2">
      <c r="A625" t="s">
        <v>2605</v>
      </c>
      <c r="C625" t="s">
        <v>789</v>
      </c>
      <c r="D625" t="s">
        <v>3929</v>
      </c>
      <c r="E625" t="s">
        <v>3930</v>
      </c>
      <c r="F625" t="s">
        <v>2868</v>
      </c>
    </row>
    <row r="626" spans="1:6" x14ac:dyDescent="0.2">
      <c r="A626" t="s">
        <v>1297</v>
      </c>
      <c r="C626" t="s">
        <v>789</v>
      </c>
      <c r="D626" t="s">
        <v>2071</v>
      </c>
      <c r="E626" t="s">
        <v>3931</v>
      </c>
      <c r="F626" t="s">
        <v>1379</v>
      </c>
    </row>
    <row r="627" spans="1:6" x14ac:dyDescent="0.2">
      <c r="A627" t="s">
        <v>2606</v>
      </c>
      <c r="C627" t="s">
        <v>789</v>
      </c>
      <c r="D627" t="s">
        <v>3932</v>
      </c>
      <c r="E627" t="s">
        <v>1864</v>
      </c>
      <c r="F627" t="s">
        <v>2868</v>
      </c>
    </row>
    <row r="628" spans="1:6" x14ac:dyDescent="0.2">
      <c r="A628" t="s">
        <v>2607</v>
      </c>
      <c r="C628" t="s">
        <v>783</v>
      </c>
      <c r="D628" t="s">
        <v>3933</v>
      </c>
      <c r="E628" t="s">
        <v>3934</v>
      </c>
      <c r="F628" t="s">
        <v>3697</v>
      </c>
    </row>
    <row r="629" spans="1:6" x14ac:dyDescent="0.2">
      <c r="A629" t="s">
        <v>2608</v>
      </c>
      <c r="C629" t="s">
        <v>789</v>
      </c>
      <c r="D629" t="s">
        <v>3935</v>
      </c>
      <c r="E629" t="s">
        <v>3936</v>
      </c>
      <c r="F629" t="s">
        <v>2868</v>
      </c>
    </row>
    <row r="630" spans="1:6" x14ac:dyDescent="0.2">
      <c r="A630" t="s">
        <v>1298</v>
      </c>
      <c r="C630" t="s">
        <v>789</v>
      </c>
      <c r="D630" t="s">
        <v>1557</v>
      </c>
      <c r="E630" t="s">
        <v>1134</v>
      </c>
      <c r="F630" t="s">
        <v>3177</v>
      </c>
    </row>
    <row r="631" spans="1:6" x14ac:dyDescent="0.2">
      <c r="A631" t="s">
        <v>2609</v>
      </c>
      <c r="C631" t="s">
        <v>789</v>
      </c>
      <c r="D631" t="s">
        <v>1467</v>
      </c>
      <c r="E631" t="s">
        <v>3937</v>
      </c>
      <c r="F631" t="s">
        <v>873</v>
      </c>
    </row>
    <row r="632" spans="1:6" x14ac:dyDescent="0.2">
      <c r="A632" t="s">
        <v>2610</v>
      </c>
      <c r="C632" t="s">
        <v>783</v>
      </c>
      <c r="D632" t="s">
        <v>3938</v>
      </c>
      <c r="E632" t="s">
        <v>3939</v>
      </c>
      <c r="F632" t="s">
        <v>2898</v>
      </c>
    </row>
    <row r="633" spans="1:6" x14ac:dyDescent="0.2">
      <c r="A633" t="s">
        <v>2611</v>
      </c>
      <c r="C633" t="s">
        <v>789</v>
      </c>
      <c r="D633" t="s">
        <v>1524</v>
      </c>
      <c r="E633" t="s">
        <v>3940</v>
      </c>
      <c r="F633" t="s">
        <v>2868</v>
      </c>
    </row>
    <row r="634" spans="1:6" x14ac:dyDescent="0.2">
      <c r="A634" t="s">
        <v>1299</v>
      </c>
      <c r="C634" t="s">
        <v>789</v>
      </c>
      <c r="D634" t="s">
        <v>1559</v>
      </c>
      <c r="E634" t="s">
        <v>1560</v>
      </c>
      <c r="F634" t="s">
        <v>1561</v>
      </c>
    </row>
    <row r="635" spans="1:6" x14ac:dyDescent="0.2">
      <c r="A635" t="s">
        <v>1782</v>
      </c>
      <c r="C635" t="s">
        <v>783</v>
      </c>
      <c r="D635" t="s">
        <v>3941</v>
      </c>
      <c r="E635" t="s">
        <v>3837</v>
      </c>
      <c r="F635" t="s">
        <v>2898</v>
      </c>
    </row>
    <row r="636" spans="1:6" x14ac:dyDescent="0.2">
      <c r="A636" t="s">
        <v>2612</v>
      </c>
      <c r="C636" t="s">
        <v>783</v>
      </c>
      <c r="D636" t="s">
        <v>3942</v>
      </c>
      <c r="E636" t="s">
        <v>3943</v>
      </c>
      <c r="F636" t="s">
        <v>3944</v>
      </c>
    </row>
    <row r="637" spans="1:6" x14ac:dyDescent="0.2">
      <c r="A637" t="s">
        <v>1117</v>
      </c>
      <c r="C637" t="s">
        <v>789</v>
      </c>
      <c r="D637" t="s">
        <v>3945</v>
      </c>
      <c r="E637" t="s">
        <v>986</v>
      </c>
      <c r="F637" t="s">
        <v>3916</v>
      </c>
    </row>
    <row r="638" spans="1:6" x14ac:dyDescent="0.2">
      <c r="A638" t="s">
        <v>2613</v>
      </c>
      <c r="C638" t="s">
        <v>1733</v>
      </c>
      <c r="D638" t="s">
        <v>3946</v>
      </c>
      <c r="E638" t="s">
        <v>3947</v>
      </c>
      <c r="F638" t="s">
        <v>3294</v>
      </c>
    </row>
    <row r="639" spans="1:6" x14ac:dyDescent="0.2">
      <c r="A639" t="s">
        <v>2614</v>
      </c>
      <c r="C639" t="s">
        <v>789</v>
      </c>
      <c r="D639" t="s">
        <v>3948</v>
      </c>
      <c r="E639" t="s">
        <v>3949</v>
      </c>
      <c r="F639" t="s">
        <v>3177</v>
      </c>
    </row>
    <row r="640" spans="1:6" x14ac:dyDescent="0.2">
      <c r="A640" t="s">
        <v>1786</v>
      </c>
      <c r="C640" t="s">
        <v>783</v>
      </c>
      <c r="D640" t="s">
        <v>3205</v>
      </c>
      <c r="E640" t="s">
        <v>2024</v>
      </c>
      <c r="F640" t="s">
        <v>2898</v>
      </c>
    </row>
    <row r="641" spans="1:6" x14ac:dyDescent="0.2">
      <c r="A641" t="s">
        <v>2615</v>
      </c>
      <c r="C641" t="s">
        <v>783</v>
      </c>
      <c r="D641" t="s">
        <v>3950</v>
      </c>
      <c r="E641" t="s">
        <v>3951</v>
      </c>
      <c r="F641" t="s">
        <v>3952</v>
      </c>
    </row>
    <row r="642" spans="1:6" x14ac:dyDescent="0.2">
      <c r="A642" t="s">
        <v>1961</v>
      </c>
      <c r="C642" t="s">
        <v>789</v>
      </c>
      <c r="D642" t="s">
        <v>3953</v>
      </c>
      <c r="E642" t="s">
        <v>3954</v>
      </c>
      <c r="F642" t="s">
        <v>2868</v>
      </c>
    </row>
    <row r="643" spans="1:6" x14ac:dyDescent="0.2">
      <c r="A643" t="s">
        <v>2616</v>
      </c>
      <c r="C643" t="s">
        <v>789</v>
      </c>
      <c r="D643" t="s">
        <v>3955</v>
      </c>
      <c r="E643" t="s">
        <v>3956</v>
      </c>
      <c r="F643" t="s">
        <v>845</v>
      </c>
    </row>
    <row r="644" spans="1:6" x14ac:dyDescent="0.2">
      <c r="A644" t="s">
        <v>2617</v>
      </c>
      <c r="C644" t="s">
        <v>789</v>
      </c>
      <c r="D644" t="s">
        <v>1137</v>
      </c>
      <c r="E644" t="s">
        <v>3957</v>
      </c>
      <c r="F644" t="s">
        <v>2868</v>
      </c>
    </row>
    <row r="645" spans="1:6" x14ac:dyDescent="0.2">
      <c r="A645" t="s">
        <v>1300</v>
      </c>
      <c r="C645" t="s">
        <v>789</v>
      </c>
      <c r="D645" t="s">
        <v>1562</v>
      </c>
      <c r="E645" t="s">
        <v>3958</v>
      </c>
      <c r="F645" t="s">
        <v>832</v>
      </c>
    </row>
    <row r="646" spans="1:6" x14ac:dyDescent="0.2">
      <c r="A646" t="s">
        <v>1301</v>
      </c>
      <c r="C646" t="s">
        <v>789</v>
      </c>
      <c r="D646" t="s">
        <v>3959</v>
      </c>
      <c r="E646" t="s">
        <v>3960</v>
      </c>
      <c r="F646" t="s">
        <v>1565</v>
      </c>
    </row>
    <row r="647" spans="1:6" x14ac:dyDescent="0.2">
      <c r="A647" t="s">
        <v>2618</v>
      </c>
      <c r="C647" t="s">
        <v>789</v>
      </c>
      <c r="D647" t="s">
        <v>3031</v>
      </c>
      <c r="E647" t="s">
        <v>3961</v>
      </c>
      <c r="F647" t="s">
        <v>3236</v>
      </c>
    </row>
    <row r="648" spans="1:6" x14ac:dyDescent="0.2">
      <c r="A648" t="s">
        <v>1962</v>
      </c>
      <c r="C648" t="s">
        <v>789</v>
      </c>
      <c r="D648" t="s">
        <v>3962</v>
      </c>
      <c r="E648" t="s">
        <v>3963</v>
      </c>
      <c r="F648" t="s">
        <v>3964</v>
      </c>
    </row>
    <row r="649" spans="1:6" x14ac:dyDescent="0.2">
      <c r="A649" t="s">
        <v>2619</v>
      </c>
      <c r="C649" t="s">
        <v>789</v>
      </c>
      <c r="D649" t="s">
        <v>3965</v>
      </c>
      <c r="E649" t="s">
        <v>3966</v>
      </c>
      <c r="F649" t="s">
        <v>2868</v>
      </c>
    </row>
    <row r="650" spans="1:6" x14ac:dyDescent="0.2">
      <c r="A650" t="s">
        <v>2620</v>
      </c>
      <c r="C650" t="s">
        <v>789</v>
      </c>
      <c r="D650" t="s">
        <v>3967</v>
      </c>
      <c r="E650" t="s">
        <v>1647</v>
      </c>
      <c r="F650" t="s">
        <v>3968</v>
      </c>
    </row>
    <row r="651" spans="1:6" x14ac:dyDescent="0.2">
      <c r="A651" t="s">
        <v>1302</v>
      </c>
      <c r="C651" t="s">
        <v>789</v>
      </c>
      <c r="D651" t="s">
        <v>3969</v>
      </c>
      <c r="E651" t="s">
        <v>3970</v>
      </c>
      <c r="F651" t="s">
        <v>3968</v>
      </c>
    </row>
    <row r="652" spans="1:6" x14ac:dyDescent="0.2">
      <c r="A652" t="s">
        <v>2621</v>
      </c>
      <c r="C652" t="s">
        <v>789</v>
      </c>
      <c r="D652" t="s">
        <v>1690</v>
      </c>
      <c r="E652" t="s">
        <v>3971</v>
      </c>
      <c r="F652" t="s">
        <v>3599</v>
      </c>
    </row>
    <row r="653" spans="1:6" x14ac:dyDescent="0.2">
      <c r="A653" t="s">
        <v>2622</v>
      </c>
      <c r="C653" t="s">
        <v>789</v>
      </c>
      <c r="D653" t="s">
        <v>3972</v>
      </c>
      <c r="E653" t="s">
        <v>3973</v>
      </c>
      <c r="F653" t="s">
        <v>2868</v>
      </c>
    </row>
    <row r="654" spans="1:6" x14ac:dyDescent="0.2">
      <c r="A654" t="s">
        <v>2623</v>
      </c>
      <c r="C654" t="s">
        <v>789</v>
      </c>
      <c r="D654" t="s">
        <v>3028</v>
      </c>
      <c r="E654" t="s">
        <v>3974</v>
      </c>
      <c r="F654" t="s">
        <v>2868</v>
      </c>
    </row>
    <row r="655" spans="1:6" x14ac:dyDescent="0.2">
      <c r="A655" t="s">
        <v>2624</v>
      </c>
      <c r="C655" t="s">
        <v>789</v>
      </c>
      <c r="D655" t="s">
        <v>3975</v>
      </c>
      <c r="E655" t="s">
        <v>841</v>
      </c>
      <c r="F655" t="s">
        <v>899</v>
      </c>
    </row>
    <row r="656" spans="1:6" x14ac:dyDescent="0.2">
      <c r="A656" t="s">
        <v>2625</v>
      </c>
      <c r="C656" t="s">
        <v>789</v>
      </c>
      <c r="D656" t="s">
        <v>1392</v>
      </c>
      <c r="E656" t="s">
        <v>3976</v>
      </c>
      <c r="F656" t="s">
        <v>1143</v>
      </c>
    </row>
    <row r="657" spans="1:6" x14ac:dyDescent="0.2">
      <c r="A657" t="s">
        <v>2626</v>
      </c>
      <c r="C657" t="s">
        <v>789</v>
      </c>
      <c r="D657" t="s">
        <v>3977</v>
      </c>
      <c r="E657" t="s">
        <v>3978</v>
      </c>
      <c r="F657" t="s">
        <v>1215</v>
      </c>
    </row>
    <row r="658" spans="1:6" x14ac:dyDescent="0.2">
      <c r="A658" t="s">
        <v>2627</v>
      </c>
      <c r="C658" t="s">
        <v>789</v>
      </c>
      <c r="D658" t="s">
        <v>3979</v>
      </c>
      <c r="E658" t="s">
        <v>3134</v>
      </c>
      <c r="F658" t="s">
        <v>2868</v>
      </c>
    </row>
    <row r="659" spans="1:6" x14ac:dyDescent="0.2">
      <c r="A659" t="s">
        <v>1963</v>
      </c>
      <c r="C659" t="s">
        <v>789</v>
      </c>
      <c r="D659" t="s">
        <v>2087</v>
      </c>
      <c r="E659" t="s">
        <v>2101</v>
      </c>
      <c r="F659" t="s">
        <v>3980</v>
      </c>
    </row>
    <row r="660" spans="1:6" x14ac:dyDescent="0.2">
      <c r="A660" t="s">
        <v>2628</v>
      </c>
      <c r="C660" t="s">
        <v>789</v>
      </c>
      <c r="D660" t="s">
        <v>3981</v>
      </c>
      <c r="E660" t="s">
        <v>3982</v>
      </c>
      <c r="F660" t="s">
        <v>2868</v>
      </c>
    </row>
    <row r="661" spans="1:6" x14ac:dyDescent="0.2">
      <c r="A661" t="s">
        <v>1303</v>
      </c>
      <c r="C661" t="s">
        <v>789</v>
      </c>
      <c r="D661" t="s">
        <v>3983</v>
      </c>
      <c r="E661" t="s">
        <v>1568</v>
      </c>
      <c r="F661" t="s">
        <v>3355</v>
      </c>
    </row>
    <row r="662" spans="1:6" x14ac:dyDescent="0.2">
      <c r="A662" t="s">
        <v>1964</v>
      </c>
      <c r="C662" t="s">
        <v>789</v>
      </c>
      <c r="D662" t="s">
        <v>3984</v>
      </c>
      <c r="E662" t="s">
        <v>3985</v>
      </c>
      <c r="F662" t="s">
        <v>2868</v>
      </c>
    </row>
    <row r="663" spans="1:6" x14ac:dyDescent="0.2">
      <c r="A663" t="s">
        <v>2629</v>
      </c>
      <c r="C663" t="s">
        <v>789</v>
      </c>
      <c r="D663" t="s">
        <v>3986</v>
      </c>
      <c r="E663" t="s">
        <v>3987</v>
      </c>
      <c r="F663" t="s">
        <v>3988</v>
      </c>
    </row>
    <row r="664" spans="1:6" x14ac:dyDescent="0.2">
      <c r="A664" t="s">
        <v>1965</v>
      </c>
      <c r="C664" t="s">
        <v>789</v>
      </c>
      <c r="D664" t="s">
        <v>3989</v>
      </c>
      <c r="E664" t="s">
        <v>3309</v>
      </c>
      <c r="F664" t="s">
        <v>2868</v>
      </c>
    </row>
    <row r="665" spans="1:6" x14ac:dyDescent="0.2">
      <c r="A665" t="s">
        <v>1966</v>
      </c>
      <c r="C665" t="s">
        <v>789</v>
      </c>
      <c r="D665" t="s">
        <v>3990</v>
      </c>
      <c r="E665" t="s">
        <v>3991</v>
      </c>
      <c r="F665" t="s">
        <v>2868</v>
      </c>
    </row>
    <row r="666" spans="1:6" x14ac:dyDescent="0.2">
      <c r="A666" t="s">
        <v>2630</v>
      </c>
      <c r="C666" t="s">
        <v>789</v>
      </c>
      <c r="D666" t="s">
        <v>3992</v>
      </c>
      <c r="E666" t="s">
        <v>3993</v>
      </c>
      <c r="F666" t="s">
        <v>2868</v>
      </c>
    </row>
    <row r="667" spans="1:6" x14ac:dyDescent="0.2">
      <c r="A667" t="s">
        <v>2631</v>
      </c>
      <c r="C667" t="s">
        <v>789</v>
      </c>
      <c r="D667" t="s">
        <v>3994</v>
      </c>
      <c r="E667" t="s">
        <v>3995</v>
      </c>
      <c r="F667" t="s">
        <v>2868</v>
      </c>
    </row>
    <row r="668" spans="1:6" x14ac:dyDescent="0.2">
      <c r="A668" t="s">
        <v>2632</v>
      </c>
      <c r="C668" t="s">
        <v>789</v>
      </c>
      <c r="D668" t="s">
        <v>3996</v>
      </c>
      <c r="E668" t="s">
        <v>826</v>
      </c>
      <c r="F668" t="s">
        <v>2868</v>
      </c>
    </row>
    <row r="669" spans="1:6" x14ac:dyDescent="0.2">
      <c r="A669" t="s">
        <v>1304</v>
      </c>
      <c r="C669" t="s">
        <v>789</v>
      </c>
      <c r="D669" t="s">
        <v>1569</v>
      </c>
      <c r="E669" t="s">
        <v>854</v>
      </c>
      <c r="F669" t="s">
        <v>1571</v>
      </c>
    </row>
    <row r="670" spans="1:6" x14ac:dyDescent="0.2">
      <c r="A670" t="s">
        <v>2633</v>
      </c>
      <c r="C670" t="s">
        <v>789</v>
      </c>
      <c r="D670" t="s">
        <v>3997</v>
      </c>
      <c r="E670" t="s">
        <v>3998</v>
      </c>
      <c r="F670" t="s">
        <v>2868</v>
      </c>
    </row>
    <row r="671" spans="1:6" x14ac:dyDescent="0.2">
      <c r="A671" t="s">
        <v>2634</v>
      </c>
      <c r="C671" t="s">
        <v>789</v>
      </c>
      <c r="D671" t="s">
        <v>3654</v>
      </c>
      <c r="E671" t="s">
        <v>3999</v>
      </c>
      <c r="F671" t="s">
        <v>2868</v>
      </c>
    </row>
    <row r="672" spans="1:6" x14ac:dyDescent="0.2">
      <c r="A672" t="s">
        <v>1967</v>
      </c>
      <c r="C672" t="s">
        <v>789</v>
      </c>
      <c r="D672" t="s">
        <v>852</v>
      </c>
      <c r="E672" t="s">
        <v>1421</v>
      </c>
      <c r="F672" t="s">
        <v>2868</v>
      </c>
    </row>
    <row r="673" spans="1:6" x14ac:dyDescent="0.2">
      <c r="A673" t="s">
        <v>1305</v>
      </c>
      <c r="C673" t="s">
        <v>789</v>
      </c>
      <c r="D673" t="s">
        <v>1572</v>
      </c>
      <c r="E673" t="s">
        <v>2900</v>
      </c>
      <c r="F673" t="s">
        <v>845</v>
      </c>
    </row>
    <row r="674" spans="1:6" x14ac:dyDescent="0.2">
      <c r="A674" t="s">
        <v>2635</v>
      </c>
      <c r="C674" t="s">
        <v>789</v>
      </c>
      <c r="D674" t="s">
        <v>3827</v>
      </c>
      <c r="E674" t="s">
        <v>4000</v>
      </c>
      <c r="F674" t="s">
        <v>2868</v>
      </c>
    </row>
    <row r="675" spans="1:6" x14ac:dyDescent="0.2">
      <c r="A675" t="s">
        <v>1968</v>
      </c>
      <c r="C675" t="s">
        <v>789</v>
      </c>
      <c r="D675" t="s">
        <v>1633</v>
      </c>
      <c r="E675" t="s">
        <v>4001</v>
      </c>
      <c r="F675" t="s">
        <v>2868</v>
      </c>
    </row>
    <row r="676" spans="1:6" x14ac:dyDescent="0.2">
      <c r="A676" t="s">
        <v>1306</v>
      </c>
      <c r="C676" t="s">
        <v>789</v>
      </c>
      <c r="D676" t="s">
        <v>1574</v>
      </c>
      <c r="E676" t="s">
        <v>1575</v>
      </c>
      <c r="F676" t="s">
        <v>1576</v>
      </c>
    </row>
    <row r="677" spans="1:6" x14ac:dyDescent="0.2">
      <c r="A677" t="s">
        <v>2636</v>
      </c>
      <c r="C677" t="s">
        <v>789</v>
      </c>
      <c r="D677" t="s">
        <v>2856</v>
      </c>
      <c r="E677" t="s">
        <v>894</v>
      </c>
      <c r="F677" t="s">
        <v>883</v>
      </c>
    </row>
    <row r="678" spans="1:6" x14ac:dyDescent="0.2">
      <c r="A678" t="s">
        <v>1969</v>
      </c>
      <c r="C678" t="s">
        <v>789</v>
      </c>
      <c r="D678" t="s">
        <v>4002</v>
      </c>
      <c r="E678" t="s">
        <v>4003</v>
      </c>
      <c r="F678" t="s">
        <v>2868</v>
      </c>
    </row>
    <row r="679" spans="1:6" x14ac:dyDescent="0.2">
      <c r="A679" t="s">
        <v>2637</v>
      </c>
      <c r="C679" t="s">
        <v>789</v>
      </c>
      <c r="D679" t="s">
        <v>3484</v>
      </c>
      <c r="E679" t="s">
        <v>3919</v>
      </c>
      <c r="F679" t="s">
        <v>2868</v>
      </c>
    </row>
    <row r="680" spans="1:6" x14ac:dyDescent="0.2">
      <c r="A680" t="s">
        <v>1307</v>
      </c>
      <c r="C680" t="s">
        <v>783</v>
      </c>
      <c r="D680" t="s">
        <v>1577</v>
      </c>
      <c r="E680" t="s">
        <v>4004</v>
      </c>
      <c r="F680" t="s">
        <v>1579</v>
      </c>
    </row>
    <row r="681" spans="1:6" x14ac:dyDescent="0.2">
      <c r="A681" t="s">
        <v>2638</v>
      </c>
      <c r="C681" t="s">
        <v>1733</v>
      </c>
      <c r="D681" t="s">
        <v>4005</v>
      </c>
      <c r="E681" t="s">
        <v>4006</v>
      </c>
      <c r="F681" t="s">
        <v>3279</v>
      </c>
    </row>
    <row r="682" spans="1:6" x14ac:dyDescent="0.2">
      <c r="A682" t="s">
        <v>2639</v>
      </c>
      <c r="C682" t="s">
        <v>1733</v>
      </c>
      <c r="D682" t="s">
        <v>4007</v>
      </c>
      <c r="E682" t="s">
        <v>4008</v>
      </c>
      <c r="F682" t="s">
        <v>4009</v>
      </c>
    </row>
    <row r="683" spans="1:6" x14ac:dyDescent="0.2">
      <c r="A683" t="s">
        <v>2640</v>
      </c>
      <c r="C683" t="s">
        <v>789</v>
      </c>
      <c r="D683" t="s">
        <v>4010</v>
      </c>
      <c r="E683" t="s">
        <v>2065</v>
      </c>
      <c r="F683" t="s">
        <v>846</v>
      </c>
    </row>
    <row r="684" spans="1:6" x14ac:dyDescent="0.2">
      <c r="A684" t="s">
        <v>1308</v>
      </c>
      <c r="C684" t="s">
        <v>789</v>
      </c>
      <c r="D684" t="s">
        <v>4011</v>
      </c>
      <c r="E684" t="s">
        <v>1486</v>
      </c>
      <c r="F684" t="s">
        <v>4012</v>
      </c>
    </row>
    <row r="685" spans="1:6" x14ac:dyDescent="0.2">
      <c r="A685" t="s">
        <v>1309</v>
      </c>
      <c r="C685" t="s">
        <v>783</v>
      </c>
      <c r="D685" t="s">
        <v>1639</v>
      </c>
      <c r="E685" t="s">
        <v>4013</v>
      </c>
      <c r="F685" t="s">
        <v>1585</v>
      </c>
    </row>
    <row r="686" spans="1:6" x14ac:dyDescent="0.2">
      <c r="A686" t="s">
        <v>2641</v>
      </c>
      <c r="C686" t="s">
        <v>789</v>
      </c>
      <c r="D686" t="s">
        <v>4014</v>
      </c>
      <c r="E686" t="s">
        <v>4015</v>
      </c>
      <c r="F686" t="s">
        <v>2868</v>
      </c>
    </row>
    <row r="687" spans="1:6" x14ac:dyDescent="0.2">
      <c r="A687" t="s">
        <v>1310</v>
      </c>
      <c r="C687" t="s">
        <v>789</v>
      </c>
      <c r="D687" t="s">
        <v>4016</v>
      </c>
      <c r="E687" t="s">
        <v>1587</v>
      </c>
      <c r="F687" t="s">
        <v>3761</v>
      </c>
    </row>
    <row r="688" spans="1:6" x14ac:dyDescent="0.2">
      <c r="A688" t="s">
        <v>2642</v>
      </c>
      <c r="C688" t="s">
        <v>789</v>
      </c>
      <c r="D688" t="s">
        <v>4017</v>
      </c>
      <c r="E688" t="s">
        <v>4018</v>
      </c>
      <c r="F688" t="s">
        <v>1076</v>
      </c>
    </row>
    <row r="689" spans="1:6" x14ac:dyDescent="0.2">
      <c r="A689" t="s">
        <v>2643</v>
      </c>
      <c r="C689" t="s">
        <v>789</v>
      </c>
      <c r="D689" t="s">
        <v>4019</v>
      </c>
      <c r="E689" t="s">
        <v>3490</v>
      </c>
      <c r="F689" t="s">
        <v>3718</v>
      </c>
    </row>
    <row r="690" spans="1:6" x14ac:dyDescent="0.2">
      <c r="A690" t="s">
        <v>2644</v>
      </c>
      <c r="C690" t="s">
        <v>789</v>
      </c>
      <c r="D690" t="s">
        <v>4020</v>
      </c>
      <c r="E690" t="s">
        <v>4021</v>
      </c>
      <c r="F690" t="s">
        <v>961</v>
      </c>
    </row>
    <row r="691" spans="1:6" x14ac:dyDescent="0.2">
      <c r="A691" t="s">
        <v>2645</v>
      </c>
      <c r="C691" t="s">
        <v>789</v>
      </c>
      <c r="D691" t="s">
        <v>4022</v>
      </c>
      <c r="E691" t="s">
        <v>4023</v>
      </c>
      <c r="F691" t="s">
        <v>4024</v>
      </c>
    </row>
    <row r="692" spans="1:6" x14ac:dyDescent="0.2">
      <c r="A692" t="s">
        <v>2646</v>
      </c>
      <c r="C692" t="s">
        <v>789</v>
      </c>
      <c r="D692" t="s">
        <v>2948</v>
      </c>
      <c r="E692" t="s">
        <v>4025</v>
      </c>
      <c r="F692" t="s">
        <v>3462</v>
      </c>
    </row>
    <row r="693" spans="1:6" x14ac:dyDescent="0.2">
      <c r="A693" t="s">
        <v>1311</v>
      </c>
      <c r="C693" t="s">
        <v>789</v>
      </c>
      <c r="D693" t="s">
        <v>1588</v>
      </c>
      <c r="E693" t="s">
        <v>4016</v>
      </c>
      <c r="F693" t="s">
        <v>1589</v>
      </c>
    </row>
    <row r="694" spans="1:6" x14ac:dyDescent="0.2">
      <c r="A694" t="s">
        <v>2647</v>
      </c>
      <c r="C694" t="s">
        <v>789</v>
      </c>
      <c r="D694" t="s">
        <v>2982</v>
      </c>
      <c r="E694" t="s">
        <v>4026</v>
      </c>
      <c r="F694" t="s">
        <v>3980</v>
      </c>
    </row>
    <row r="695" spans="1:6" x14ac:dyDescent="0.2">
      <c r="A695" t="s">
        <v>2648</v>
      </c>
      <c r="C695" t="s">
        <v>789</v>
      </c>
      <c r="D695" t="s">
        <v>3501</v>
      </c>
      <c r="E695" t="s">
        <v>3042</v>
      </c>
      <c r="F695" t="s">
        <v>2868</v>
      </c>
    </row>
    <row r="696" spans="1:6" x14ac:dyDescent="0.2">
      <c r="A696" t="s">
        <v>1312</v>
      </c>
      <c r="C696" t="s">
        <v>789</v>
      </c>
      <c r="D696" t="s">
        <v>1476</v>
      </c>
      <c r="E696" t="s">
        <v>1591</v>
      </c>
      <c r="F696" t="s">
        <v>1592</v>
      </c>
    </row>
    <row r="697" spans="1:6" x14ac:dyDescent="0.2">
      <c r="A697" t="s">
        <v>2649</v>
      </c>
      <c r="C697" t="s">
        <v>789</v>
      </c>
      <c r="D697" t="s">
        <v>4027</v>
      </c>
      <c r="E697" t="s">
        <v>1524</v>
      </c>
      <c r="F697" t="s">
        <v>2868</v>
      </c>
    </row>
    <row r="698" spans="1:6" x14ac:dyDescent="0.2">
      <c r="A698" t="s">
        <v>2650</v>
      </c>
      <c r="C698" t="s">
        <v>789</v>
      </c>
      <c r="D698" t="s">
        <v>1553</v>
      </c>
      <c r="E698" t="s">
        <v>3303</v>
      </c>
      <c r="F698" t="s">
        <v>2868</v>
      </c>
    </row>
    <row r="699" spans="1:6" x14ac:dyDescent="0.2">
      <c r="A699" t="s">
        <v>2651</v>
      </c>
      <c r="C699" t="s">
        <v>789</v>
      </c>
      <c r="D699" t="s">
        <v>4028</v>
      </c>
      <c r="E699" t="s">
        <v>4029</v>
      </c>
      <c r="F699" t="s">
        <v>2868</v>
      </c>
    </row>
    <row r="700" spans="1:6" x14ac:dyDescent="0.2">
      <c r="A700" t="s">
        <v>1313</v>
      </c>
      <c r="C700" t="s">
        <v>789</v>
      </c>
      <c r="D700" t="s">
        <v>1844</v>
      </c>
      <c r="E700" t="s">
        <v>1416</v>
      </c>
      <c r="F700" t="s">
        <v>3970</v>
      </c>
    </row>
    <row r="701" spans="1:6" x14ac:dyDescent="0.2">
      <c r="A701" t="s">
        <v>2652</v>
      </c>
      <c r="C701" t="s">
        <v>789</v>
      </c>
      <c r="D701" t="s">
        <v>4030</v>
      </c>
      <c r="E701" t="s">
        <v>4031</v>
      </c>
      <c r="F701" t="s">
        <v>2868</v>
      </c>
    </row>
    <row r="702" spans="1:6" x14ac:dyDescent="0.2">
      <c r="A702" t="s">
        <v>2653</v>
      </c>
      <c r="C702" t="s">
        <v>789</v>
      </c>
      <c r="D702" t="s">
        <v>4030</v>
      </c>
      <c r="E702" t="s">
        <v>4032</v>
      </c>
      <c r="F702" t="s">
        <v>896</v>
      </c>
    </row>
    <row r="703" spans="1:6" x14ac:dyDescent="0.2">
      <c r="A703" t="s">
        <v>2654</v>
      </c>
      <c r="C703" t="s">
        <v>789</v>
      </c>
      <c r="D703" t="s">
        <v>4033</v>
      </c>
      <c r="E703" t="s">
        <v>4034</v>
      </c>
      <c r="F703" t="s">
        <v>2868</v>
      </c>
    </row>
    <row r="704" spans="1:6" x14ac:dyDescent="0.2">
      <c r="A704" t="s">
        <v>1314</v>
      </c>
      <c r="C704" t="s">
        <v>789</v>
      </c>
      <c r="D704" t="s">
        <v>4035</v>
      </c>
      <c r="E704" t="s">
        <v>1376</v>
      </c>
      <c r="F704" t="s">
        <v>4036</v>
      </c>
    </row>
    <row r="705" spans="1:6" x14ac:dyDescent="0.2">
      <c r="A705" t="s">
        <v>2655</v>
      </c>
      <c r="C705" t="s">
        <v>789</v>
      </c>
      <c r="D705" t="s">
        <v>4037</v>
      </c>
      <c r="E705" t="s">
        <v>4038</v>
      </c>
      <c r="F705" t="s">
        <v>2868</v>
      </c>
    </row>
    <row r="706" spans="1:6" x14ac:dyDescent="0.2">
      <c r="A706" t="s">
        <v>2656</v>
      </c>
      <c r="C706" t="s">
        <v>789</v>
      </c>
      <c r="D706" t="s">
        <v>4039</v>
      </c>
      <c r="E706" t="s">
        <v>4040</v>
      </c>
      <c r="F706" t="s">
        <v>2868</v>
      </c>
    </row>
    <row r="707" spans="1:6" x14ac:dyDescent="0.2">
      <c r="A707" t="s">
        <v>1315</v>
      </c>
      <c r="C707" t="s">
        <v>789</v>
      </c>
      <c r="D707" t="s">
        <v>1389</v>
      </c>
      <c r="E707" t="s">
        <v>4041</v>
      </c>
      <c r="F707" t="s">
        <v>3020</v>
      </c>
    </row>
    <row r="708" spans="1:6" x14ac:dyDescent="0.2">
      <c r="A708" t="s">
        <v>2657</v>
      </c>
      <c r="C708" t="s">
        <v>789</v>
      </c>
      <c r="D708" t="s">
        <v>4042</v>
      </c>
      <c r="E708" t="s">
        <v>4043</v>
      </c>
      <c r="F708" t="s">
        <v>2868</v>
      </c>
    </row>
    <row r="709" spans="1:6" x14ac:dyDescent="0.2">
      <c r="A709" t="s">
        <v>1316</v>
      </c>
      <c r="C709" t="s">
        <v>789</v>
      </c>
      <c r="D709" t="s">
        <v>4044</v>
      </c>
      <c r="E709" t="s">
        <v>1600</v>
      </c>
      <c r="F709" t="s">
        <v>2012</v>
      </c>
    </row>
    <row r="710" spans="1:6" x14ac:dyDescent="0.2">
      <c r="A710" t="s">
        <v>2658</v>
      </c>
      <c r="C710" t="s">
        <v>789</v>
      </c>
      <c r="D710" t="s">
        <v>4045</v>
      </c>
      <c r="E710" t="s">
        <v>1413</v>
      </c>
      <c r="F710" t="s">
        <v>2868</v>
      </c>
    </row>
    <row r="711" spans="1:6" x14ac:dyDescent="0.2">
      <c r="A711" t="s">
        <v>1317</v>
      </c>
      <c r="C711" t="s">
        <v>789</v>
      </c>
      <c r="D711" t="s">
        <v>1602</v>
      </c>
      <c r="E711" t="s">
        <v>1843</v>
      </c>
      <c r="F711" t="s">
        <v>873</v>
      </c>
    </row>
    <row r="712" spans="1:6" x14ac:dyDescent="0.2">
      <c r="A712" t="s">
        <v>2659</v>
      </c>
      <c r="C712" t="s">
        <v>789</v>
      </c>
      <c r="D712" t="s">
        <v>1602</v>
      </c>
      <c r="E712" t="s">
        <v>4046</v>
      </c>
      <c r="F712" t="s">
        <v>1013</v>
      </c>
    </row>
    <row r="713" spans="1:6" x14ac:dyDescent="0.2">
      <c r="A713" t="s">
        <v>2660</v>
      </c>
      <c r="C713" t="s">
        <v>789</v>
      </c>
      <c r="D713" t="s">
        <v>1683</v>
      </c>
      <c r="E713" t="s">
        <v>4047</v>
      </c>
      <c r="F713" t="s">
        <v>3355</v>
      </c>
    </row>
    <row r="714" spans="1:6" x14ac:dyDescent="0.2">
      <c r="A714" t="s">
        <v>2661</v>
      </c>
      <c r="C714" t="s">
        <v>789</v>
      </c>
      <c r="D714" t="s">
        <v>4048</v>
      </c>
      <c r="E714" t="s">
        <v>846</v>
      </c>
      <c r="F714" t="s">
        <v>2868</v>
      </c>
    </row>
    <row r="715" spans="1:6" x14ac:dyDescent="0.2">
      <c r="A715" t="s">
        <v>1970</v>
      </c>
      <c r="C715" t="s">
        <v>789</v>
      </c>
      <c r="D715" t="s">
        <v>807</v>
      </c>
      <c r="E715" t="s">
        <v>3040</v>
      </c>
      <c r="F715" t="s">
        <v>1437</v>
      </c>
    </row>
    <row r="716" spans="1:6" x14ac:dyDescent="0.2">
      <c r="A716" t="s">
        <v>1318</v>
      </c>
      <c r="C716" t="s">
        <v>789</v>
      </c>
      <c r="D716" t="s">
        <v>4049</v>
      </c>
      <c r="E716" t="s">
        <v>1605</v>
      </c>
      <c r="F716" t="s">
        <v>849</v>
      </c>
    </row>
    <row r="717" spans="1:6" x14ac:dyDescent="0.2">
      <c r="A717" t="s">
        <v>2662</v>
      </c>
      <c r="C717" t="s">
        <v>789</v>
      </c>
      <c r="D717" t="s">
        <v>4050</v>
      </c>
      <c r="E717" t="s">
        <v>4051</v>
      </c>
      <c r="F717" t="s">
        <v>1036</v>
      </c>
    </row>
    <row r="718" spans="1:6" x14ac:dyDescent="0.2">
      <c r="A718" t="s">
        <v>2663</v>
      </c>
      <c r="C718" t="s">
        <v>789</v>
      </c>
      <c r="D718" t="s">
        <v>4052</v>
      </c>
      <c r="E718" t="s">
        <v>4053</v>
      </c>
      <c r="F718" t="s">
        <v>2868</v>
      </c>
    </row>
    <row r="719" spans="1:6" x14ac:dyDescent="0.2">
      <c r="A719" t="s">
        <v>1319</v>
      </c>
      <c r="C719" t="s">
        <v>789</v>
      </c>
      <c r="D719" t="s">
        <v>4054</v>
      </c>
      <c r="E719" t="s">
        <v>1473</v>
      </c>
      <c r="F719" t="s">
        <v>4055</v>
      </c>
    </row>
    <row r="720" spans="1:6" x14ac:dyDescent="0.2">
      <c r="A720" t="s">
        <v>2664</v>
      </c>
      <c r="C720" t="s">
        <v>789</v>
      </c>
      <c r="D720" t="s">
        <v>4056</v>
      </c>
      <c r="E720" t="s">
        <v>4057</v>
      </c>
      <c r="F720" t="s">
        <v>3338</v>
      </c>
    </row>
    <row r="721" spans="1:6" x14ac:dyDescent="0.2">
      <c r="A721" t="s">
        <v>2665</v>
      </c>
      <c r="C721" t="s">
        <v>789</v>
      </c>
      <c r="D721" t="s">
        <v>4010</v>
      </c>
      <c r="E721" t="s">
        <v>4058</v>
      </c>
      <c r="F721" t="s">
        <v>2868</v>
      </c>
    </row>
    <row r="722" spans="1:6" x14ac:dyDescent="0.2">
      <c r="A722" t="s">
        <v>1320</v>
      </c>
      <c r="C722" t="s">
        <v>789</v>
      </c>
      <c r="D722" t="s">
        <v>1609</v>
      </c>
      <c r="E722" t="s">
        <v>4059</v>
      </c>
      <c r="F722" t="s">
        <v>1611</v>
      </c>
    </row>
    <row r="723" spans="1:6" x14ac:dyDescent="0.2">
      <c r="A723" t="s">
        <v>2666</v>
      </c>
      <c r="C723" t="s">
        <v>1733</v>
      </c>
      <c r="D723" t="s">
        <v>4060</v>
      </c>
      <c r="E723" t="s">
        <v>3372</v>
      </c>
      <c r="F723" t="s">
        <v>2010</v>
      </c>
    </row>
    <row r="724" spans="1:6" x14ac:dyDescent="0.2">
      <c r="A724" t="s">
        <v>2667</v>
      </c>
      <c r="C724" t="s">
        <v>1733</v>
      </c>
      <c r="D724" t="s">
        <v>4061</v>
      </c>
      <c r="E724" t="s">
        <v>913</v>
      </c>
      <c r="F724" t="s">
        <v>4062</v>
      </c>
    </row>
    <row r="725" spans="1:6" x14ac:dyDescent="0.2">
      <c r="A725" t="s">
        <v>2668</v>
      </c>
      <c r="C725" t="s">
        <v>1733</v>
      </c>
      <c r="D725" t="s">
        <v>1554</v>
      </c>
      <c r="E725" t="s">
        <v>4063</v>
      </c>
      <c r="F725" t="s">
        <v>4064</v>
      </c>
    </row>
    <row r="726" spans="1:6" x14ac:dyDescent="0.2">
      <c r="A726" t="s">
        <v>2669</v>
      </c>
      <c r="C726" t="s">
        <v>1733</v>
      </c>
      <c r="D726" t="s">
        <v>1421</v>
      </c>
      <c r="E726" t="s">
        <v>4065</v>
      </c>
      <c r="F726" t="s">
        <v>4066</v>
      </c>
    </row>
    <row r="727" spans="1:6" x14ac:dyDescent="0.2">
      <c r="A727" t="s">
        <v>2670</v>
      </c>
      <c r="C727" t="s">
        <v>789</v>
      </c>
      <c r="D727" t="s">
        <v>4067</v>
      </c>
      <c r="E727" t="s">
        <v>4068</v>
      </c>
      <c r="F727" t="s">
        <v>2868</v>
      </c>
    </row>
    <row r="728" spans="1:6" x14ac:dyDescent="0.2">
      <c r="A728" t="s">
        <v>2671</v>
      </c>
      <c r="C728" t="s">
        <v>789</v>
      </c>
      <c r="D728" t="s">
        <v>2923</v>
      </c>
      <c r="E728" t="s">
        <v>4069</v>
      </c>
      <c r="F728" t="s">
        <v>3633</v>
      </c>
    </row>
    <row r="729" spans="1:6" x14ac:dyDescent="0.2">
      <c r="A729" t="s">
        <v>2672</v>
      </c>
      <c r="C729" t="s">
        <v>789</v>
      </c>
      <c r="D729" t="s">
        <v>2875</v>
      </c>
      <c r="E729" t="s">
        <v>4070</v>
      </c>
      <c r="F729" t="s">
        <v>2868</v>
      </c>
    </row>
    <row r="730" spans="1:6" x14ac:dyDescent="0.2">
      <c r="A730" t="s">
        <v>2673</v>
      </c>
      <c r="C730" t="s">
        <v>789</v>
      </c>
      <c r="D730" t="s">
        <v>4071</v>
      </c>
      <c r="E730" t="s">
        <v>4072</v>
      </c>
      <c r="F730" t="s">
        <v>4073</v>
      </c>
    </row>
    <row r="731" spans="1:6" x14ac:dyDescent="0.2">
      <c r="A731" t="s">
        <v>2674</v>
      </c>
      <c r="C731" t="s">
        <v>789</v>
      </c>
      <c r="D731" t="s">
        <v>4074</v>
      </c>
      <c r="E731" t="s">
        <v>4075</v>
      </c>
      <c r="F731" t="s">
        <v>2868</v>
      </c>
    </row>
    <row r="732" spans="1:6" x14ac:dyDescent="0.2">
      <c r="A732" t="s">
        <v>2675</v>
      </c>
      <c r="C732" t="s">
        <v>789</v>
      </c>
      <c r="D732" t="s">
        <v>4076</v>
      </c>
      <c r="E732" t="s">
        <v>4077</v>
      </c>
      <c r="F732" t="s">
        <v>2868</v>
      </c>
    </row>
    <row r="733" spans="1:6" x14ac:dyDescent="0.2">
      <c r="A733" t="s">
        <v>2676</v>
      </c>
      <c r="C733" t="s">
        <v>1733</v>
      </c>
      <c r="D733" t="s">
        <v>4078</v>
      </c>
      <c r="E733" t="s">
        <v>4079</v>
      </c>
      <c r="F733" t="s">
        <v>4080</v>
      </c>
    </row>
    <row r="734" spans="1:6" x14ac:dyDescent="0.2">
      <c r="A734" t="s">
        <v>2677</v>
      </c>
      <c r="C734" t="s">
        <v>789</v>
      </c>
      <c r="D734" t="s">
        <v>4081</v>
      </c>
      <c r="E734" t="s">
        <v>1461</v>
      </c>
      <c r="F734" t="s">
        <v>2868</v>
      </c>
    </row>
    <row r="735" spans="1:6" x14ac:dyDescent="0.2">
      <c r="A735" t="s">
        <v>1211</v>
      </c>
      <c r="C735" t="s">
        <v>789</v>
      </c>
      <c r="D735" t="s">
        <v>4082</v>
      </c>
      <c r="E735" t="s">
        <v>1641</v>
      </c>
      <c r="F735" t="s">
        <v>4083</v>
      </c>
    </row>
    <row r="736" spans="1:6" x14ac:dyDescent="0.2">
      <c r="A736" t="s">
        <v>1118</v>
      </c>
      <c r="C736" t="s">
        <v>789</v>
      </c>
      <c r="D736" t="s">
        <v>3938</v>
      </c>
      <c r="E736" t="s">
        <v>4084</v>
      </c>
      <c r="F736" t="s">
        <v>2012</v>
      </c>
    </row>
    <row r="737" spans="1:6" x14ac:dyDescent="0.2">
      <c r="A737" t="s">
        <v>2678</v>
      </c>
      <c r="C737" t="s">
        <v>789</v>
      </c>
      <c r="D737" t="s">
        <v>4085</v>
      </c>
      <c r="E737" t="s">
        <v>4086</v>
      </c>
      <c r="F737" t="s">
        <v>2868</v>
      </c>
    </row>
    <row r="738" spans="1:6" x14ac:dyDescent="0.2">
      <c r="A738" t="s">
        <v>1321</v>
      </c>
      <c r="C738" t="s">
        <v>789</v>
      </c>
      <c r="D738" t="s">
        <v>1612</v>
      </c>
      <c r="E738" t="s">
        <v>1206</v>
      </c>
      <c r="F738" t="s">
        <v>4087</v>
      </c>
    </row>
    <row r="739" spans="1:6" x14ac:dyDescent="0.2">
      <c r="A739" t="s">
        <v>2679</v>
      </c>
      <c r="C739" t="s">
        <v>789</v>
      </c>
      <c r="D739" t="s">
        <v>4088</v>
      </c>
      <c r="E739" t="s">
        <v>2933</v>
      </c>
      <c r="F739" t="s">
        <v>1013</v>
      </c>
    </row>
    <row r="740" spans="1:6" x14ac:dyDescent="0.2">
      <c r="A740" t="s">
        <v>2680</v>
      </c>
      <c r="C740" t="s">
        <v>789</v>
      </c>
      <c r="D740" t="s">
        <v>4089</v>
      </c>
      <c r="E740" t="s">
        <v>4090</v>
      </c>
      <c r="F740" t="s">
        <v>1565</v>
      </c>
    </row>
    <row r="741" spans="1:6" x14ac:dyDescent="0.2">
      <c r="A741" t="s">
        <v>2681</v>
      </c>
      <c r="C741" t="s">
        <v>789</v>
      </c>
      <c r="D741" t="s">
        <v>4091</v>
      </c>
      <c r="E741" t="s">
        <v>4092</v>
      </c>
      <c r="F741" t="s">
        <v>2868</v>
      </c>
    </row>
    <row r="742" spans="1:6" x14ac:dyDescent="0.2">
      <c r="A742" t="s">
        <v>1322</v>
      </c>
      <c r="C742" t="s">
        <v>789</v>
      </c>
      <c r="D742" t="s">
        <v>4093</v>
      </c>
      <c r="E742" t="s">
        <v>4094</v>
      </c>
      <c r="F742" t="s">
        <v>1457</v>
      </c>
    </row>
    <row r="743" spans="1:6" x14ac:dyDescent="0.2">
      <c r="A743" t="s">
        <v>2682</v>
      </c>
      <c r="C743" t="s">
        <v>789</v>
      </c>
      <c r="D743" t="s">
        <v>4095</v>
      </c>
      <c r="E743" t="s">
        <v>4096</v>
      </c>
      <c r="F743" t="s">
        <v>2868</v>
      </c>
    </row>
    <row r="744" spans="1:6" x14ac:dyDescent="0.2">
      <c r="A744" t="s">
        <v>1323</v>
      </c>
      <c r="C744" t="s">
        <v>789</v>
      </c>
      <c r="D744" t="s">
        <v>1616</v>
      </c>
      <c r="E744" t="s">
        <v>1617</v>
      </c>
      <c r="F744" t="s">
        <v>949</v>
      </c>
    </row>
    <row r="745" spans="1:6" x14ac:dyDescent="0.2">
      <c r="A745" t="s">
        <v>2683</v>
      </c>
      <c r="C745" t="s">
        <v>1733</v>
      </c>
      <c r="D745" t="s">
        <v>2102</v>
      </c>
      <c r="E745" t="s">
        <v>4097</v>
      </c>
      <c r="F745" t="s">
        <v>3570</v>
      </c>
    </row>
    <row r="746" spans="1:6" x14ac:dyDescent="0.2">
      <c r="A746" t="s">
        <v>2684</v>
      </c>
      <c r="C746" t="s">
        <v>789</v>
      </c>
      <c r="D746" t="s">
        <v>4098</v>
      </c>
      <c r="E746" t="s">
        <v>4099</v>
      </c>
      <c r="F746" t="s">
        <v>2868</v>
      </c>
    </row>
    <row r="747" spans="1:6" x14ac:dyDescent="0.2">
      <c r="A747" t="s">
        <v>2685</v>
      </c>
      <c r="C747" t="s">
        <v>789</v>
      </c>
      <c r="D747" t="s">
        <v>4100</v>
      </c>
      <c r="E747" t="s">
        <v>4101</v>
      </c>
      <c r="F747" t="s">
        <v>2868</v>
      </c>
    </row>
    <row r="748" spans="1:6" x14ac:dyDescent="0.2">
      <c r="A748" t="s">
        <v>2686</v>
      </c>
      <c r="C748" t="s">
        <v>789</v>
      </c>
      <c r="D748" t="s">
        <v>4102</v>
      </c>
      <c r="E748" t="s">
        <v>4103</v>
      </c>
      <c r="F748" t="s">
        <v>2868</v>
      </c>
    </row>
    <row r="749" spans="1:6" x14ac:dyDescent="0.2">
      <c r="A749" t="s">
        <v>1324</v>
      </c>
      <c r="C749" t="s">
        <v>789</v>
      </c>
      <c r="D749" t="s">
        <v>3423</v>
      </c>
      <c r="E749" t="s">
        <v>1619</v>
      </c>
      <c r="F749" t="s">
        <v>1620</v>
      </c>
    </row>
    <row r="750" spans="1:6" x14ac:dyDescent="0.2">
      <c r="A750" t="s">
        <v>2687</v>
      </c>
      <c r="C750" t="s">
        <v>789</v>
      </c>
      <c r="D750" t="s">
        <v>4043</v>
      </c>
      <c r="E750" t="s">
        <v>4104</v>
      </c>
      <c r="F750" t="s">
        <v>2901</v>
      </c>
    </row>
    <row r="751" spans="1:6" x14ac:dyDescent="0.2">
      <c r="A751" t="s">
        <v>1971</v>
      </c>
      <c r="C751" t="s">
        <v>789</v>
      </c>
      <c r="D751" t="s">
        <v>4105</v>
      </c>
      <c r="E751" t="s">
        <v>4106</v>
      </c>
      <c r="F751" t="s">
        <v>2868</v>
      </c>
    </row>
    <row r="752" spans="1:6" x14ac:dyDescent="0.2">
      <c r="A752" t="s">
        <v>2688</v>
      </c>
      <c r="C752" t="s">
        <v>789</v>
      </c>
      <c r="D752" t="s">
        <v>4107</v>
      </c>
      <c r="E752" t="s">
        <v>4108</v>
      </c>
      <c r="F752" t="s">
        <v>3236</v>
      </c>
    </row>
    <row r="753" spans="1:6" x14ac:dyDescent="0.2">
      <c r="A753" t="s">
        <v>2689</v>
      </c>
      <c r="C753" t="s">
        <v>789</v>
      </c>
      <c r="D753" t="s">
        <v>4109</v>
      </c>
      <c r="E753" t="s">
        <v>4110</v>
      </c>
      <c r="F753" t="s">
        <v>803</v>
      </c>
    </row>
    <row r="754" spans="1:6" x14ac:dyDescent="0.2">
      <c r="A754" t="s">
        <v>1325</v>
      </c>
      <c r="C754" t="s">
        <v>789</v>
      </c>
      <c r="D754" t="s">
        <v>3575</v>
      </c>
      <c r="E754" t="s">
        <v>4111</v>
      </c>
      <c r="F754" t="s">
        <v>1623</v>
      </c>
    </row>
    <row r="755" spans="1:6" x14ac:dyDescent="0.2">
      <c r="A755" t="s">
        <v>2690</v>
      </c>
      <c r="C755" t="s">
        <v>1733</v>
      </c>
      <c r="D755" t="s">
        <v>4112</v>
      </c>
      <c r="E755" t="s">
        <v>4113</v>
      </c>
      <c r="F755" t="s">
        <v>3588</v>
      </c>
    </row>
    <row r="756" spans="1:6" x14ac:dyDescent="0.2">
      <c r="A756" t="s">
        <v>2691</v>
      </c>
      <c r="C756" t="s">
        <v>789</v>
      </c>
      <c r="D756" t="s">
        <v>2872</v>
      </c>
      <c r="E756" t="s">
        <v>4114</v>
      </c>
      <c r="F756" t="s">
        <v>2868</v>
      </c>
    </row>
    <row r="757" spans="1:6" x14ac:dyDescent="0.2">
      <c r="A757" t="s">
        <v>2692</v>
      </c>
      <c r="C757" t="s">
        <v>789</v>
      </c>
      <c r="D757" t="s">
        <v>4115</v>
      </c>
      <c r="E757" t="s">
        <v>4116</v>
      </c>
      <c r="F757" t="s">
        <v>2868</v>
      </c>
    </row>
    <row r="758" spans="1:6" x14ac:dyDescent="0.2">
      <c r="A758" t="s">
        <v>2693</v>
      </c>
      <c r="C758" t="s">
        <v>789</v>
      </c>
      <c r="D758" t="s">
        <v>855</v>
      </c>
      <c r="E758" t="s">
        <v>3344</v>
      </c>
      <c r="F758" t="s">
        <v>2868</v>
      </c>
    </row>
    <row r="759" spans="1:6" x14ac:dyDescent="0.2">
      <c r="A759" t="s">
        <v>2694</v>
      </c>
      <c r="C759" t="s">
        <v>789</v>
      </c>
      <c r="D759" t="s">
        <v>4117</v>
      </c>
      <c r="E759" t="s">
        <v>4118</v>
      </c>
      <c r="F759" t="s">
        <v>2868</v>
      </c>
    </row>
    <row r="760" spans="1:6" x14ac:dyDescent="0.2">
      <c r="A760" t="s">
        <v>2695</v>
      </c>
      <c r="C760" t="s">
        <v>1733</v>
      </c>
      <c r="D760" t="s">
        <v>4119</v>
      </c>
      <c r="E760" t="s">
        <v>3349</v>
      </c>
      <c r="F760" t="s">
        <v>4120</v>
      </c>
    </row>
    <row r="761" spans="1:6" x14ac:dyDescent="0.2">
      <c r="A761" t="s">
        <v>1972</v>
      </c>
      <c r="C761" t="s">
        <v>789</v>
      </c>
      <c r="D761" t="s">
        <v>3241</v>
      </c>
      <c r="E761" t="s">
        <v>817</v>
      </c>
      <c r="F761" t="s">
        <v>2868</v>
      </c>
    </row>
    <row r="762" spans="1:6" x14ac:dyDescent="0.2">
      <c r="A762" t="s">
        <v>2696</v>
      </c>
      <c r="C762" t="s">
        <v>789</v>
      </c>
      <c r="D762" t="s">
        <v>1367</v>
      </c>
      <c r="E762" t="s">
        <v>4121</v>
      </c>
      <c r="F762" t="s">
        <v>2868</v>
      </c>
    </row>
    <row r="763" spans="1:6" x14ac:dyDescent="0.2">
      <c r="A763" t="s">
        <v>2697</v>
      </c>
      <c r="C763" t="s">
        <v>789</v>
      </c>
      <c r="D763" t="s">
        <v>4122</v>
      </c>
      <c r="E763" t="s">
        <v>988</v>
      </c>
      <c r="F763" t="s">
        <v>2868</v>
      </c>
    </row>
    <row r="764" spans="1:6" x14ac:dyDescent="0.2">
      <c r="A764" t="s">
        <v>2698</v>
      </c>
      <c r="C764" t="s">
        <v>789</v>
      </c>
      <c r="D764" t="s">
        <v>4123</v>
      </c>
      <c r="E764" t="s">
        <v>4124</v>
      </c>
      <c r="F764" t="s">
        <v>2868</v>
      </c>
    </row>
    <row r="765" spans="1:6" x14ac:dyDescent="0.2">
      <c r="A765" t="s">
        <v>1326</v>
      </c>
      <c r="C765" t="s">
        <v>789</v>
      </c>
      <c r="D765" t="s">
        <v>989</v>
      </c>
      <c r="E765" t="s">
        <v>4125</v>
      </c>
      <c r="F765" t="s">
        <v>1565</v>
      </c>
    </row>
    <row r="766" spans="1:6" x14ac:dyDescent="0.2">
      <c r="A766" t="s">
        <v>2699</v>
      </c>
      <c r="C766" t="s">
        <v>789</v>
      </c>
      <c r="D766" t="s">
        <v>4126</v>
      </c>
      <c r="E766" t="s">
        <v>4127</v>
      </c>
      <c r="F766" t="s">
        <v>2868</v>
      </c>
    </row>
    <row r="767" spans="1:6" x14ac:dyDescent="0.2">
      <c r="A767" t="s">
        <v>1973</v>
      </c>
      <c r="C767" t="s">
        <v>789</v>
      </c>
      <c r="D767" t="s">
        <v>4128</v>
      </c>
      <c r="E767" t="s">
        <v>4129</v>
      </c>
      <c r="F767" t="s">
        <v>2868</v>
      </c>
    </row>
    <row r="768" spans="1:6" x14ac:dyDescent="0.2">
      <c r="A768" t="s">
        <v>1327</v>
      </c>
      <c r="C768" t="s">
        <v>789</v>
      </c>
      <c r="D768" t="s">
        <v>1626</v>
      </c>
      <c r="E768" t="s">
        <v>1627</v>
      </c>
      <c r="F768" t="s">
        <v>2988</v>
      </c>
    </row>
    <row r="769" spans="1:6" x14ac:dyDescent="0.2">
      <c r="A769" t="s">
        <v>2700</v>
      </c>
      <c r="C769" t="s">
        <v>789</v>
      </c>
      <c r="D769" t="s">
        <v>4130</v>
      </c>
      <c r="E769" t="s">
        <v>4131</v>
      </c>
      <c r="F769" t="s">
        <v>2066</v>
      </c>
    </row>
    <row r="770" spans="1:6" x14ac:dyDescent="0.2">
      <c r="A770" t="s">
        <v>1974</v>
      </c>
      <c r="C770" t="s">
        <v>789</v>
      </c>
      <c r="D770" t="s">
        <v>4132</v>
      </c>
      <c r="E770" t="s">
        <v>1913</v>
      </c>
      <c r="F770" t="s">
        <v>2868</v>
      </c>
    </row>
    <row r="771" spans="1:6" x14ac:dyDescent="0.2">
      <c r="A771" t="s">
        <v>2701</v>
      </c>
      <c r="C771" t="s">
        <v>789</v>
      </c>
      <c r="D771" t="s">
        <v>4133</v>
      </c>
      <c r="E771" t="s">
        <v>4134</v>
      </c>
      <c r="F771" t="s">
        <v>2868</v>
      </c>
    </row>
    <row r="772" spans="1:6" x14ac:dyDescent="0.2">
      <c r="A772" t="s">
        <v>1975</v>
      </c>
      <c r="C772" t="s">
        <v>789</v>
      </c>
      <c r="D772" t="s">
        <v>4135</v>
      </c>
      <c r="E772" t="s">
        <v>4136</v>
      </c>
      <c r="F772" t="s">
        <v>2868</v>
      </c>
    </row>
    <row r="773" spans="1:6" x14ac:dyDescent="0.2">
      <c r="A773" t="s">
        <v>2702</v>
      </c>
      <c r="C773" t="s">
        <v>789</v>
      </c>
      <c r="D773" t="s">
        <v>3031</v>
      </c>
      <c r="E773" t="s">
        <v>4137</v>
      </c>
      <c r="F773" t="s">
        <v>4088</v>
      </c>
    </row>
    <row r="774" spans="1:6" x14ac:dyDescent="0.2">
      <c r="A774" t="s">
        <v>2703</v>
      </c>
      <c r="C774" t="s">
        <v>789</v>
      </c>
      <c r="D774" t="s">
        <v>4138</v>
      </c>
      <c r="E774" t="s">
        <v>4139</v>
      </c>
      <c r="F774" t="s">
        <v>803</v>
      </c>
    </row>
    <row r="775" spans="1:6" x14ac:dyDescent="0.2">
      <c r="A775" t="s">
        <v>2704</v>
      </c>
      <c r="C775" t="s">
        <v>789</v>
      </c>
      <c r="D775" t="s">
        <v>4140</v>
      </c>
      <c r="E775" t="s">
        <v>4141</v>
      </c>
      <c r="F775" t="s">
        <v>917</v>
      </c>
    </row>
    <row r="776" spans="1:6" x14ac:dyDescent="0.2">
      <c r="A776" t="s">
        <v>2705</v>
      </c>
      <c r="C776" t="s">
        <v>789</v>
      </c>
      <c r="D776" t="s">
        <v>1629</v>
      </c>
      <c r="E776" t="s">
        <v>4142</v>
      </c>
      <c r="F776" t="s">
        <v>2868</v>
      </c>
    </row>
    <row r="777" spans="1:6" x14ac:dyDescent="0.2">
      <c r="A777" t="s">
        <v>2706</v>
      </c>
      <c r="C777" t="s">
        <v>789</v>
      </c>
      <c r="D777" t="s">
        <v>4143</v>
      </c>
      <c r="E777" t="s">
        <v>3631</v>
      </c>
      <c r="F777" t="s">
        <v>1571</v>
      </c>
    </row>
    <row r="778" spans="1:6" x14ac:dyDescent="0.2">
      <c r="A778" t="s">
        <v>2707</v>
      </c>
      <c r="C778" t="s">
        <v>789</v>
      </c>
      <c r="D778" t="s">
        <v>4144</v>
      </c>
      <c r="E778" t="s">
        <v>4145</v>
      </c>
      <c r="F778" t="s">
        <v>2868</v>
      </c>
    </row>
    <row r="779" spans="1:6" x14ac:dyDescent="0.2">
      <c r="A779" t="s">
        <v>1328</v>
      </c>
      <c r="C779" t="s">
        <v>789</v>
      </c>
      <c r="D779" t="s">
        <v>1628</v>
      </c>
      <c r="E779" t="s">
        <v>2855</v>
      </c>
      <c r="F779" t="s">
        <v>1037</v>
      </c>
    </row>
    <row r="780" spans="1:6" x14ac:dyDescent="0.2">
      <c r="A780" t="s">
        <v>2708</v>
      </c>
      <c r="C780" t="s">
        <v>789</v>
      </c>
      <c r="D780" t="s">
        <v>3665</v>
      </c>
      <c r="E780" t="s">
        <v>4146</v>
      </c>
      <c r="F780" t="s">
        <v>2868</v>
      </c>
    </row>
    <row r="781" spans="1:6" x14ac:dyDescent="0.2">
      <c r="A781" t="s">
        <v>1329</v>
      </c>
      <c r="C781" t="s">
        <v>789</v>
      </c>
      <c r="D781" t="s">
        <v>1630</v>
      </c>
      <c r="E781" t="s">
        <v>4147</v>
      </c>
      <c r="F781" t="s">
        <v>1632</v>
      </c>
    </row>
    <row r="782" spans="1:6" x14ac:dyDescent="0.2">
      <c r="A782" t="s">
        <v>1330</v>
      </c>
      <c r="C782" t="s">
        <v>789</v>
      </c>
      <c r="D782" t="s">
        <v>4148</v>
      </c>
      <c r="E782" t="s">
        <v>4149</v>
      </c>
      <c r="F782" t="s">
        <v>1200</v>
      </c>
    </row>
    <row r="783" spans="1:6" x14ac:dyDescent="0.2">
      <c r="A783" t="s">
        <v>2709</v>
      </c>
      <c r="C783" t="s">
        <v>1733</v>
      </c>
      <c r="D783" t="s">
        <v>4079</v>
      </c>
      <c r="E783" t="s">
        <v>4150</v>
      </c>
      <c r="F783" t="s">
        <v>4151</v>
      </c>
    </row>
    <row r="784" spans="1:6" x14ac:dyDescent="0.2">
      <c r="A784" t="s">
        <v>1976</v>
      </c>
      <c r="C784" t="s">
        <v>789</v>
      </c>
      <c r="D784" t="s">
        <v>3040</v>
      </c>
      <c r="E784" t="s">
        <v>4152</v>
      </c>
      <c r="F784" t="s">
        <v>2868</v>
      </c>
    </row>
    <row r="785" spans="1:6" x14ac:dyDescent="0.2">
      <c r="A785" t="s">
        <v>2710</v>
      </c>
      <c r="C785" t="s">
        <v>1733</v>
      </c>
      <c r="D785" t="s">
        <v>4153</v>
      </c>
      <c r="E785" t="s">
        <v>4154</v>
      </c>
      <c r="F785" t="s">
        <v>4155</v>
      </c>
    </row>
    <row r="786" spans="1:6" x14ac:dyDescent="0.2">
      <c r="A786" t="s">
        <v>2711</v>
      </c>
      <c r="C786" t="s">
        <v>789</v>
      </c>
      <c r="D786" t="s">
        <v>4156</v>
      </c>
      <c r="E786" t="s">
        <v>4157</v>
      </c>
      <c r="F786" t="s">
        <v>1590</v>
      </c>
    </row>
    <row r="787" spans="1:6" x14ac:dyDescent="0.2">
      <c r="A787" t="s">
        <v>2712</v>
      </c>
      <c r="C787" t="s">
        <v>1733</v>
      </c>
      <c r="D787" t="s">
        <v>4158</v>
      </c>
      <c r="E787" t="s">
        <v>4152</v>
      </c>
      <c r="F787" t="s">
        <v>4159</v>
      </c>
    </row>
    <row r="788" spans="1:6" x14ac:dyDescent="0.2">
      <c r="A788" t="s">
        <v>2713</v>
      </c>
      <c r="C788" t="s">
        <v>789</v>
      </c>
      <c r="D788" t="s">
        <v>4160</v>
      </c>
      <c r="E788" t="s">
        <v>4161</v>
      </c>
      <c r="F788" t="s">
        <v>4162</v>
      </c>
    </row>
    <row r="789" spans="1:6" x14ac:dyDescent="0.2">
      <c r="A789" t="s">
        <v>2714</v>
      </c>
      <c r="C789" t="s">
        <v>789</v>
      </c>
      <c r="D789" t="s">
        <v>4163</v>
      </c>
      <c r="E789" t="s">
        <v>4164</v>
      </c>
      <c r="F789" t="s">
        <v>2868</v>
      </c>
    </row>
    <row r="790" spans="1:6" x14ac:dyDescent="0.2">
      <c r="A790" t="s">
        <v>2715</v>
      </c>
      <c r="C790" t="s">
        <v>789</v>
      </c>
      <c r="D790" t="s">
        <v>4165</v>
      </c>
      <c r="E790" t="s">
        <v>4166</v>
      </c>
      <c r="F790" t="s">
        <v>4088</v>
      </c>
    </row>
    <row r="791" spans="1:6" x14ac:dyDescent="0.2">
      <c r="A791" t="s">
        <v>2716</v>
      </c>
      <c r="C791" t="s">
        <v>789</v>
      </c>
      <c r="D791" t="s">
        <v>4167</v>
      </c>
      <c r="E791" t="s">
        <v>4168</v>
      </c>
      <c r="F791" t="s">
        <v>4169</v>
      </c>
    </row>
    <row r="792" spans="1:6" x14ac:dyDescent="0.2">
      <c r="A792" t="s">
        <v>2717</v>
      </c>
      <c r="C792" t="s">
        <v>789</v>
      </c>
      <c r="D792" t="s">
        <v>4170</v>
      </c>
      <c r="E792" t="s">
        <v>4171</v>
      </c>
      <c r="F792" t="s">
        <v>2868</v>
      </c>
    </row>
    <row r="793" spans="1:6" x14ac:dyDescent="0.2">
      <c r="A793" t="s">
        <v>2718</v>
      </c>
      <c r="C793" t="s">
        <v>789</v>
      </c>
      <c r="D793" t="s">
        <v>1609</v>
      </c>
      <c r="E793" t="s">
        <v>4172</v>
      </c>
      <c r="F793" t="s">
        <v>2868</v>
      </c>
    </row>
    <row r="794" spans="1:6" x14ac:dyDescent="0.2">
      <c r="A794" t="s">
        <v>2719</v>
      </c>
      <c r="C794" t="s">
        <v>1733</v>
      </c>
      <c r="D794" t="s">
        <v>4173</v>
      </c>
      <c r="E794" t="s">
        <v>4174</v>
      </c>
      <c r="F794" t="s">
        <v>4175</v>
      </c>
    </row>
    <row r="795" spans="1:6" x14ac:dyDescent="0.2">
      <c r="A795" t="s">
        <v>2720</v>
      </c>
      <c r="C795" t="s">
        <v>789</v>
      </c>
      <c r="D795" t="s">
        <v>4176</v>
      </c>
      <c r="E795" t="s">
        <v>4177</v>
      </c>
      <c r="F795" t="s">
        <v>3135</v>
      </c>
    </row>
    <row r="796" spans="1:6" x14ac:dyDescent="0.2">
      <c r="A796" t="s">
        <v>2721</v>
      </c>
      <c r="C796" t="s">
        <v>789</v>
      </c>
      <c r="D796" t="s">
        <v>4178</v>
      </c>
      <c r="E796" t="s">
        <v>4179</v>
      </c>
      <c r="F796" t="s">
        <v>2868</v>
      </c>
    </row>
    <row r="797" spans="1:6" x14ac:dyDescent="0.2">
      <c r="A797" t="s">
        <v>1331</v>
      </c>
      <c r="C797" t="s">
        <v>789</v>
      </c>
      <c r="D797" t="s">
        <v>4180</v>
      </c>
      <c r="E797" t="s">
        <v>2867</v>
      </c>
      <c r="F797" t="s">
        <v>1073</v>
      </c>
    </row>
    <row r="798" spans="1:6" x14ac:dyDescent="0.2">
      <c r="A798" t="s">
        <v>1133</v>
      </c>
      <c r="C798" t="s">
        <v>789</v>
      </c>
      <c r="D798" t="s">
        <v>4181</v>
      </c>
      <c r="E798" t="s">
        <v>4182</v>
      </c>
      <c r="F798" t="s">
        <v>2868</v>
      </c>
    </row>
    <row r="799" spans="1:6" x14ac:dyDescent="0.2">
      <c r="A799" t="s">
        <v>1332</v>
      </c>
      <c r="C799" t="s">
        <v>789</v>
      </c>
      <c r="D799" t="s">
        <v>4183</v>
      </c>
      <c r="E799" t="s">
        <v>1638</v>
      </c>
      <c r="F799" t="s">
        <v>1639</v>
      </c>
    </row>
    <row r="800" spans="1:6" x14ac:dyDescent="0.2">
      <c r="A800" t="s">
        <v>1096</v>
      </c>
      <c r="C800" t="s">
        <v>789</v>
      </c>
      <c r="D800" t="s">
        <v>4184</v>
      </c>
      <c r="E800" t="s">
        <v>4185</v>
      </c>
      <c r="F800" t="s">
        <v>4186</v>
      </c>
    </row>
    <row r="801" spans="1:6" x14ac:dyDescent="0.2">
      <c r="A801" t="s">
        <v>1790</v>
      </c>
      <c r="C801" t="s">
        <v>783</v>
      </c>
      <c r="D801" t="s">
        <v>2866</v>
      </c>
      <c r="E801" t="s">
        <v>868</v>
      </c>
      <c r="F801" t="s">
        <v>4187</v>
      </c>
    </row>
    <row r="802" spans="1:6" x14ac:dyDescent="0.2">
      <c r="A802" t="s">
        <v>2722</v>
      </c>
      <c r="C802" t="s">
        <v>1733</v>
      </c>
      <c r="D802" t="s">
        <v>4188</v>
      </c>
      <c r="E802" t="s">
        <v>4189</v>
      </c>
      <c r="F802" t="s">
        <v>4190</v>
      </c>
    </row>
    <row r="803" spans="1:6" x14ac:dyDescent="0.2">
      <c r="A803" t="s">
        <v>2723</v>
      </c>
      <c r="C803" t="s">
        <v>789</v>
      </c>
      <c r="D803" t="s">
        <v>4191</v>
      </c>
      <c r="E803" t="s">
        <v>2025</v>
      </c>
      <c r="F803" t="s">
        <v>2878</v>
      </c>
    </row>
    <row r="804" spans="1:6" x14ac:dyDescent="0.2">
      <c r="A804" t="s">
        <v>2724</v>
      </c>
      <c r="C804" t="s">
        <v>789</v>
      </c>
      <c r="D804" t="s">
        <v>3466</v>
      </c>
      <c r="E804" t="s">
        <v>4192</v>
      </c>
      <c r="F804" t="s">
        <v>1205</v>
      </c>
    </row>
    <row r="805" spans="1:6" x14ac:dyDescent="0.2">
      <c r="A805" t="s">
        <v>2725</v>
      </c>
      <c r="C805" t="s">
        <v>789</v>
      </c>
      <c r="D805" t="s">
        <v>4193</v>
      </c>
      <c r="E805" t="s">
        <v>4194</v>
      </c>
      <c r="F805" t="s">
        <v>2868</v>
      </c>
    </row>
    <row r="806" spans="1:6" x14ac:dyDescent="0.2">
      <c r="A806" t="s">
        <v>2726</v>
      </c>
      <c r="C806" t="s">
        <v>789</v>
      </c>
      <c r="D806" t="s">
        <v>4195</v>
      </c>
      <c r="E806" t="s">
        <v>3475</v>
      </c>
      <c r="F806" t="s">
        <v>3256</v>
      </c>
    </row>
    <row r="807" spans="1:6" x14ac:dyDescent="0.2">
      <c r="A807" t="s">
        <v>1794</v>
      </c>
      <c r="C807" t="s">
        <v>783</v>
      </c>
      <c r="D807" t="s">
        <v>4196</v>
      </c>
      <c r="E807" t="s">
        <v>4197</v>
      </c>
      <c r="F807" t="s">
        <v>2898</v>
      </c>
    </row>
    <row r="808" spans="1:6" x14ac:dyDescent="0.2">
      <c r="A808" t="s">
        <v>2727</v>
      </c>
      <c r="C808" t="s">
        <v>789</v>
      </c>
      <c r="D808" t="s">
        <v>4198</v>
      </c>
      <c r="E808" t="s">
        <v>4199</v>
      </c>
      <c r="F808" t="s">
        <v>2868</v>
      </c>
    </row>
    <row r="809" spans="1:6" x14ac:dyDescent="0.2">
      <c r="A809" t="s">
        <v>1125</v>
      </c>
      <c r="C809" t="s">
        <v>789</v>
      </c>
      <c r="D809" t="s">
        <v>4200</v>
      </c>
      <c r="E809" t="s">
        <v>3282</v>
      </c>
      <c r="F809" t="s">
        <v>2868</v>
      </c>
    </row>
    <row r="810" spans="1:6" x14ac:dyDescent="0.2">
      <c r="A810" t="s">
        <v>1094</v>
      </c>
      <c r="C810" t="s">
        <v>789</v>
      </c>
      <c r="D810" t="s">
        <v>4201</v>
      </c>
      <c r="E810" t="s">
        <v>4202</v>
      </c>
      <c r="F810" t="s">
        <v>1182</v>
      </c>
    </row>
    <row r="811" spans="1:6" x14ac:dyDescent="0.2">
      <c r="A811" t="s">
        <v>1977</v>
      </c>
      <c r="C811" t="s">
        <v>789</v>
      </c>
      <c r="D811" t="s">
        <v>4203</v>
      </c>
      <c r="E811" t="s">
        <v>4204</v>
      </c>
      <c r="F811" t="s">
        <v>858</v>
      </c>
    </row>
    <row r="812" spans="1:6" x14ac:dyDescent="0.2">
      <c r="A812" t="s">
        <v>2728</v>
      </c>
      <c r="C812" t="s">
        <v>789</v>
      </c>
      <c r="D812" t="s">
        <v>4205</v>
      </c>
      <c r="E812" t="s">
        <v>2923</v>
      </c>
      <c r="F812" t="s">
        <v>1684</v>
      </c>
    </row>
    <row r="813" spans="1:6" x14ac:dyDescent="0.2">
      <c r="A813" t="s">
        <v>1798</v>
      </c>
      <c r="C813" t="s">
        <v>783</v>
      </c>
      <c r="D813" t="s">
        <v>4206</v>
      </c>
      <c r="E813" t="s">
        <v>4207</v>
      </c>
      <c r="F813" t="s">
        <v>2898</v>
      </c>
    </row>
    <row r="814" spans="1:6" x14ac:dyDescent="0.2">
      <c r="A814" t="s">
        <v>1333</v>
      </c>
      <c r="C814" t="s">
        <v>789</v>
      </c>
      <c r="D814" t="s">
        <v>1594</v>
      </c>
      <c r="E814" t="s">
        <v>4208</v>
      </c>
      <c r="F814" t="s">
        <v>1640</v>
      </c>
    </row>
    <row r="815" spans="1:6" x14ac:dyDescent="0.2">
      <c r="A815" t="s">
        <v>2729</v>
      </c>
      <c r="C815" t="s">
        <v>783</v>
      </c>
      <c r="D815" t="s">
        <v>4209</v>
      </c>
      <c r="E815" t="s">
        <v>4210</v>
      </c>
      <c r="F815" t="s">
        <v>2898</v>
      </c>
    </row>
    <row r="816" spans="1:6" x14ac:dyDescent="0.2">
      <c r="A816" t="s">
        <v>1801</v>
      </c>
      <c r="C816" t="s">
        <v>783</v>
      </c>
      <c r="D816" t="s">
        <v>4211</v>
      </c>
      <c r="E816" t="s">
        <v>4212</v>
      </c>
      <c r="F816" t="s">
        <v>2898</v>
      </c>
    </row>
    <row r="817" spans="1:6" x14ac:dyDescent="0.2">
      <c r="A817" t="s">
        <v>2730</v>
      </c>
      <c r="C817" t="s">
        <v>789</v>
      </c>
      <c r="D817" t="s">
        <v>4213</v>
      </c>
      <c r="E817" t="s">
        <v>4214</v>
      </c>
      <c r="F817" t="s">
        <v>2868</v>
      </c>
    </row>
    <row r="818" spans="1:6" x14ac:dyDescent="0.2">
      <c r="A818" t="s">
        <v>1804</v>
      </c>
      <c r="C818" t="s">
        <v>783</v>
      </c>
      <c r="D818" t="s">
        <v>4215</v>
      </c>
      <c r="E818" t="s">
        <v>4216</v>
      </c>
      <c r="F818" t="s">
        <v>2898</v>
      </c>
    </row>
    <row r="819" spans="1:6" x14ac:dyDescent="0.2">
      <c r="A819" t="s">
        <v>2731</v>
      </c>
      <c r="C819" t="s">
        <v>783</v>
      </c>
      <c r="D819" t="s">
        <v>962</v>
      </c>
      <c r="E819" t="s">
        <v>2862</v>
      </c>
      <c r="F819" t="s">
        <v>3944</v>
      </c>
    </row>
    <row r="820" spans="1:6" x14ac:dyDescent="0.2">
      <c r="A820" t="s">
        <v>1101</v>
      </c>
      <c r="C820" t="s">
        <v>789</v>
      </c>
      <c r="D820" t="s">
        <v>962</v>
      </c>
      <c r="E820" t="s">
        <v>4217</v>
      </c>
      <c r="F820" t="s">
        <v>4218</v>
      </c>
    </row>
    <row r="821" spans="1:6" x14ac:dyDescent="0.2">
      <c r="A821" t="s">
        <v>2732</v>
      </c>
      <c r="C821" t="s">
        <v>1733</v>
      </c>
      <c r="D821" t="s">
        <v>962</v>
      </c>
      <c r="E821" t="s">
        <v>4219</v>
      </c>
      <c r="F821" t="s">
        <v>4220</v>
      </c>
    </row>
    <row r="822" spans="1:6" x14ac:dyDescent="0.2">
      <c r="A822" t="s">
        <v>2733</v>
      </c>
      <c r="C822" t="s">
        <v>789</v>
      </c>
      <c r="D822" t="s">
        <v>962</v>
      </c>
      <c r="E822" t="s">
        <v>4221</v>
      </c>
      <c r="F822" t="s">
        <v>1009</v>
      </c>
    </row>
    <row r="823" spans="1:6" x14ac:dyDescent="0.2">
      <c r="A823" t="s">
        <v>2734</v>
      </c>
      <c r="C823" t="s">
        <v>789</v>
      </c>
      <c r="D823" t="s">
        <v>3473</v>
      </c>
      <c r="E823" t="s">
        <v>4026</v>
      </c>
      <c r="F823" t="s">
        <v>2868</v>
      </c>
    </row>
    <row r="824" spans="1:6" x14ac:dyDescent="0.2">
      <c r="A824" t="s">
        <v>2735</v>
      </c>
      <c r="C824" t="s">
        <v>789</v>
      </c>
      <c r="D824" t="s">
        <v>3573</v>
      </c>
      <c r="E824" t="s">
        <v>4222</v>
      </c>
      <c r="F824" t="s">
        <v>820</v>
      </c>
    </row>
    <row r="825" spans="1:6" x14ac:dyDescent="0.2">
      <c r="A825" t="s">
        <v>1806</v>
      </c>
      <c r="C825" t="s">
        <v>783</v>
      </c>
      <c r="D825" t="s">
        <v>4223</v>
      </c>
      <c r="E825" t="s">
        <v>4224</v>
      </c>
      <c r="F825" t="s">
        <v>3300</v>
      </c>
    </row>
    <row r="826" spans="1:6" x14ac:dyDescent="0.2">
      <c r="A826" t="s">
        <v>1978</v>
      </c>
      <c r="C826" t="s">
        <v>789</v>
      </c>
      <c r="D826" t="s">
        <v>4225</v>
      </c>
      <c r="E826" t="s">
        <v>2156</v>
      </c>
      <c r="F826" t="s">
        <v>2868</v>
      </c>
    </row>
    <row r="827" spans="1:6" x14ac:dyDescent="0.2">
      <c r="A827" t="s">
        <v>1334</v>
      </c>
      <c r="C827" t="s">
        <v>789</v>
      </c>
      <c r="D827" t="s">
        <v>3438</v>
      </c>
      <c r="E827" t="s">
        <v>1642</v>
      </c>
      <c r="F827" t="s">
        <v>1643</v>
      </c>
    </row>
    <row r="828" spans="1:6" x14ac:dyDescent="0.2">
      <c r="A828" t="s">
        <v>2736</v>
      </c>
      <c r="C828" t="s">
        <v>789</v>
      </c>
      <c r="D828" t="s">
        <v>954</v>
      </c>
      <c r="E828" t="s">
        <v>4226</v>
      </c>
      <c r="F828" t="s">
        <v>2868</v>
      </c>
    </row>
    <row r="829" spans="1:6" x14ac:dyDescent="0.2">
      <c r="A829" t="s">
        <v>2737</v>
      </c>
      <c r="C829" t="s">
        <v>789</v>
      </c>
      <c r="D829" t="s">
        <v>4227</v>
      </c>
      <c r="E829" t="s">
        <v>4228</v>
      </c>
      <c r="F829" t="s">
        <v>849</v>
      </c>
    </row>
    <row r="830" spans="1:6" x14ac:dyDescent="0.2">
      <c r="A830" t="s">
        <v>2738</v>
      </c>
      <c r="C830" t="s">
        <v>789</v>
      </c>
      <c r="D830" t="s">
        <v>1646</v>
      </c>
      <c r="E830" t="s">
        <v>3226</v>
      </c>
      <c r="F830" t="s">
        <v>2868</v>
      </c>
    </row>
    <row r="831" spans="1:6" x14ac:dyDescent="0.2">
      <c r="A831" t="s">
        <v>1335</v>
      </c>
      <c r="C831" t="s">
        <v>789</v>
      </c>
      <c r="D831" t="s">
        <v>3367</v>
      </c>
      <c r="E831" t="s">
        <v>1503</v>
      </c>
      <c r="F831" t="s">
        <v>1422</v>
      </c>
    </row>
    <row r="832" spans="1:6" x14ac:dyDescent="0.2">
      <c r="A832" t="s">
        <v>2739</v>
      </c>
      <c r="C832" t="s">
        <v>789</v>
      </c>
      <c r="D832" t="s">
        <v>4198</v>
      </c>
      <c r="E832" t="s">
        <v>2949</v>
      </c>
      <c r="F832" t="s">
        <v>2868</v>
      </c>
    </row>
    <row r="833" spans="1:6" x14ac:dyDescent="0.2">
      <c r="A833" t="s">
        <v>1979</v>
      </c>
      <c r="C833" t="s">
        <v>789</v>
      </c>
      <c r="D833" t="s">
        <v>4229</v>
      </c>
      <c r="E833" t="s">
        <v>3804</v>
      </c>
      <c r="F833" t="s">
        <v>1625</v>
      </c>
    </row>
    <row r="834" spans="1:6" x14ac:dyDescent="0.2">
      <c r="A834" t="s">
        <v>2740</v>
      </c>
      <c r="C834" t="s">
        <v>789</v>
      </c>
      <c r="D834" t="s">
        <v>4230</v>
      </c>
      <c r="E834" t="s">
        <v>4231</v>
      </c>
      <c r="F834" t="s">
        <v>1565</v>
      </c>
    </row>
    <row r="835" spans="1:6" x14ac:dyDescent="0.2">
      <c r="A835" t="s">
        <v>2741</v>
      </c>
      <c r="C835" t="s">
        <v>789</v>
      </c>
      <c r="D835" t="s">
        <v>4232</v>
      </c>
      <c r="E835" t="s">
        <v>4233</v>
      </c>
      <c r="F835" t="s">
        <v>4164</v>
      </c>
    </row>
    <row r="836" spans="1:6" x14ac:dyDescent="0.2">
      <c r="A836" t="s">
        <v>2742</v>
      </c>
      <c r="C836" t="s">
        <v>789</v>
      </c>
      <c r="D836" t="s">
        <v>3971</v>
      </c>
      <c r="E836" t="s">
        <v>4234</v>
      </c>
      <c r="F836" t="s">
        <v>2868</v>
      </c>
    </row>
    <row r="837" spans="1:6" x14ac:dyDescent="0.2">
      <c r="A837" t="s">
        <v>2743</v>
      </c>
      <c r="C837" t="s">
        <v>789</v>
      </c>
      <c r="D837" t="s">
        <v>4235</v>
      </c>
      <c r="E837" t="s">
        <v>4236</v>
      </c>
      <c r="F837" t="s">
        <v>2868</v>
      </c>
    </row>
    <row r="838" spans="1:6" x14ac:dyDescent="0.2">
      <c r="A838" t="s">
        <v>1336</v>
      </c>
      <c r="C838" t="s">
        <v>789</v>
      </c>
      <c r="D838" t="s">
        <v>4237</v>
      </c>
      <c r="E838" t="s">
        <v>4238</v>
      </c>
      <c r="F838" t="s">
        <v>3040</v>
      </c>
    </row>
    <row r="839" spans="1:6" x14ac:dyDescent="0.2">
      <c r="A839" t="s">
        <v>1808</v>
      </c>
      <c r="C839" t="s">
        <v>783</v>
      </c>
      <c r="D839" t="s">
        <v>963</v>
      </c>
      <c r="E839" t="s">
        <v>4239</v>
      </c>
      <c r="F839" t="s">
        <v>4240</v>
      </c>
    </row>
    <row r="840" spans="1:6" x14ac:dyDescent="0.2">
      <c r="A840" t="s">
        <v>2744</v>
      </c>
      <c r="C840" t="s">
        <v>789</v>
      </c>
      <c r="D840" t="s">
        <v>4241</v>
      </c>
      <c r="E840" t="s">
        <v>4242</v>
      </c>
      <c r="F840" t="s">
        <v>4243</v>
      </c>
    </row>
    <row r="841" spans="1:6" x14ac:dyDescent="0.2">
      <c r="A841" t="s">
        <v>1337</v>
      </c>
      <c r="C841" t="s">
        <v>789</v>
      </c>
      <c r="D841" t="s">
        <v>4244</v>
      </c>
      <c r="E841" t="s">
        <v>4245</v>
      </c>
      <c r="F841" t="s">
        <v>4246</v>
      </c>
    </row>
    <row r="842" spans="1:6" x14ac:dyDescent="0.2">
      <c r="A842" t="s">
        <v>2745</v>
      </c>
      <c r="C842" t="s">
        <v>789</v>
      </c>
      <c r="D842" t="s">
        <v>1060</v>
      </c>
      <c r="E842" t="s">
        <v>2160</v>
      </c>
      <c r="F842" t="s">
        <v>2868</v>
      </c>
    </row>
    <row r="843" spans="1:6" x14ac:dyDescent="0.2">
      <c r="A843" t="s">
        <v>2746</v>
      </c>
      <c r="C843" t="s">
        <v>789</v>
      </c>
      <c r="D843" t="s">
        <v>4247</v>
      </c>
      <c r="E843" t="s">
        <v>4248</v>
      </c>
      <c r="F843" t="s">
        <v>4249</v>
      </c>
    </row>
    <row r="844" spans="1:6" x14ac:dyDescent="0.2">
      <c r="A844" t="s">
        <v>2747</v>
      </c>
      <c r="C844" t="s">
        <v>789</v>
      </c>
      <c r="D844" t="s">
        <v>4250</v>
      </c>
      <c r="E844" t="s">
        <v>4251</v>
      </c>
      <c r="F844" t="s">
        <v>2868</v>
      </c>
    </row>
    <row r="845" spans="1:6" x14ac:dyDescent="0.2">
      <c r="A845" t="s">
        <v>2748</v>
      </c>
      <c r="C845" t="s">
        <v>789</v>
      </c>
      <c r="D845" t="s">
        <v>4252</v>
      </c>
      <c r="E845" t="s">
        <v>1893</v>
      </c>
      <c r="F845" t="s">
        <v>2868</v>
      </c>
    </row>
    <row r="846" spans="1:6" x14ac:dyDescent="0.2">
      <c r="A846" t="s">
        <v>2749</v>
      </c>
      <c r="C846" t="s">
        <v>1733</v>
      </c>
      <c r="D846" t="s">
        <v>4253</v>
      </c>
      <c r="E846" t="s">
        <v>4254</v>
      </c>
      <c r="F846" t="s">
        <v>924</v>
      </c>
    </row>
    <row r="847" spans="1:6" x14ac:dyDescent="0.2">
      <c r="A847" t="s">
        <v>1980</v>
      </c>
      <c r="C847" t="s">
        <v>789</v>
      </c>
      <c r="D847" t="s">
        <v>3385</v>
      </c>
      <c r="E847" t="s">
        <v>4255</v>
      </c>
      <c r="F847" t="s">
        <v>2956</v>
      </c>
    </row>
    <row r="848" spans="1:6" x14ac:dyDescent="0.2">
      <c r="A848" t="s">
        <v>1338</v>
      </c>
      <c r="C848" t="s">
        <v>789</v>
      </c>
      <c r="D848" t="s">
        <v>1651</v>
      </c>
      <c r="E848" t="s">
        <v>1652</v>
      </c>
      <c r="F848" t="s">
        <v>822</v>
      </c>
    </row>
    <row r="849" spans="1:6" x14ac:dyDescent="0.2">
      <c r="A849" t="s">
        <v>2750</v>
      </c>
      <c r="C849" t="s">
        <v>789</v>
      </c>
      <c r="D849" t="s">
        <v>4256</v>
      </c>
      <c r="E849" t="s">
        <v>1710</v>
      </c>
      <c r="F849" t="s">
        <v>2868</v>
      </c>
    </row>
    <row r="850" spans="1:6" x14ac:dyDescent="0.2">
      <c r="A850" t="s">
        <v>1339</v>
      </c>
      <c r="C850" t="s">
        <v>789</v>
      </c>
      <c r="D850" t="s">
        <v>1653</v>
      </c>
      <c r="E850" t="s">
        <v>4257</v>
      </c>
      <c r="F850" t="s">
        <v>1655</v>
      </c>
    </row>
    <row r="851" spans="1:6" x14ac:dyDescent="0.2">
      <c r="A851" t="s">
        <v>2751</v>
      </c>
      <c r="C851" t="s">
        <v>1733</v>
      </c>
      <c r="D851" t="s">
        <v>4258</v>
      </c>
      <c r="E851" t="s">
        <v>4259</v>
      </c>
      <c r="F851" t="s">
        <v>4260</v>
      </c>
    </row>
    <row r="852" spans="1:6" x14ac:dyDescent="0.2">
      <c r="A852" t="s">
        <v>2752</v>
      </c>
      <c r="C852" t="s">
        <v>789</v>
      </c>
      <c r="D852" t="s">
        <v>4261</v>
      </c>
      <c r="E852" t="s">
        <v>856</v>
      </c>
      <c r="F852" t="s">
        <v>2868</v>
      </c>
    </row>
    <row r="853" spans="1:6" x14ac:dyDescent="0.2">
      <c r="A853" t="s">
        <v>1340</v>
      </c>
      <c r="C853" t="s">
        <v>789</v>
      </c>
      <c r="D853" t="s">
        <v>4262</v>
      </c>
      <c r="E853" t="s">
        <v>870</v>
      </c>
      <c r="F853" t="s">
        <v>840</v>
      </c>
    </row>
    <row r="854" spans="1:6" x14ac:dyDescent="0.2">
      <c r="A854" t="s">
        <v>2753</v>
      </c>
      <c r="C854" t="s">
        <v>789</v>
      </c>
      <c r="D854" t="s">
        <v>3223</v>
      </c>
      <c r="E854" t="s">
        <v>1655</v>
      </c>
      <c r="F854" t="s">
        <v>3244</v>
      </c>
    </row>
    <row r="855" spans="1:6" x14ac:dyDescent="0.2">
      <c r="A855" t="s">
        <v>2754</v>
      </c>
      <c r="C855" t="s">
        <v>789</v>
      </c>
      <c r="D855" t="s">
        <v>4263</v>
      </c>
      <c r="E855" t="s">
        <v>3581</v>
      </c>
      <c r="F855" t="s">
        <v>1611</v>
      </c>
    </row>
    <row r="856" spans="1:6" x14ac:dyDescent="0.2">
      <c r="A856" t="s">
        <v>2755</v>
      </c>
      <c r="C856" t="s">
        <v>789</v>
      </c>
      <c r="D856" t="s">
        <v>4264</v>
      </c>
      <c r="E856" t="s">
        <v>3880</v>
      </c>
      <c r="F856" t="s">
        <v>1052</v>
      </c>
    </row>
    <row r="857" spans="1:6" x14ac:dyDescent="0.2">
      <c r="A857" t="s">
        <v>939</v>
      </c>
      <c r="C857" t="s">
        <v>789</v>
      </c>
      <c r="D857" t="s">
        <v>2957</v>
      </c>
      <c r="E857" t="s">
        <v>1885</v>
      </c>
      <c r="F857" t="s">
        <v>2868</v>
      </c>
    </row>
    <row r="858" spans="1:6" x14ac:dyDescent="0.2">
      <c r="A858" t="s">
        <v>1981</v>
      </c>
      <c r="C858" t="s">
        <v>789</v>
      </c>
      <c r="D858" t="s">
        <v>1617</v>
      </c>
      <c r="E858" t="s">
        <v>1914</v>
      </c>
      <c r="F858" t="s">
        <v>4265</v>
      </c>
    </row>
    <row r="859" spans="1:6" x14ac:dyDescent="0.2">
      <c r="A859" t="s">
        <v>2756</v>
      </c>
      <c r="C859" t="s">
        <v>789</v>
      </c>
      <c r="D859" t="s">
        <v>4266</v>
      </c>
      <c r="E859" t="s">
        <v>3440</v>
      </c>
      <c r="F859" t="s">
        <v>2868</v>
      </c>
    </row>
    <row r="860" spans="1:6" x14ac:dyDescent="0.2">
      <c r="A860" t="s">
        <v>1341</v>
      </c>
      <c r="C860" t="s">
        <v>789</v>
      </c>
      <c r="D860" t="s">
        <v>4267</v>
      </c>
      <c r="E860" t="s">
        <v>4268</v>
      </c>
      <c r="F860" t="s">
        <v>1495</v>
      </c>
    </row>
    <row r="861" spans="1:6" x14ac:dyDescent="0.2">
      <c r="A861" t="s">
        <v>1812</v>
      </c>
      <c r="C861" t="s">
        <v>783</v>
      </c>
      <c r="D861" t="s">
        <v>4075</v>
      </c>
      <c r="E861" t="s">
        <v>4269</v>
      </c>
      <c r="F861" t="s">
        <v>2898</v>
      </c>
    </row>
    <row r="862" spans="1:6" x14ac:dyDescent="0.2">
      <c r="A862" t="s">
        <v>2757</v>
      </c>
      <c r="C862" t="s">
        <v>789</v>
      </c>
      <c r="D862" t="s">
        <v>4270</v>
      </c>
      <c r="E862" t="s">
        <v>4271</v>
      </c>
      <c r="F862" t="s">
        <v>2868</v>
      </c>
    </row>
    <row r="863" spans="1:6" x14ac:dyDescent="0.2">
      <c r="A863" t="s">
        <v>2758</v>
      </c>
      <c r="C863" t="s">
        <v>789</v>
      </c>
      <c r="D863" t="s">
        <v>4163</v>
      </c>
      <c r="E863" t="s">
        <v>2898</v>
      </c>
      <c r="F863" t="s">
        <v>4259</v>
      </c>
    </row>
    <row r="864" spans="1:6" x14ac:dyDescent="0.2">
      <c r="A864" t="s">
        <v>2759</v>
      </c>
      <c r="C864" t="s">
        <v>789</v>
      </c>
      <c r="D864" t="s">
        <v>4272</v>
      </c>
      <c r="E864" t="s">
        <v>4273</v>
      </c>
      <c r="F864" t="s">
        <v>1012</v>
      </c>
    </row>
    <row r="865" spans="1:6" x14ac:dyDescent="0.2">
      <c r="A865" t="s">
        <v>2760</v>
      </c>
      <c r="C865" t="s">
        <v>789</v>
      </c>
      <c r="D865" t="s">
        <v>4274</v>
      </c>
      <c r="E865" t="s">
        <v>4088</v>
      </c>
      <c r="F865" t="s">
        <v>2868</v>
      </c>
    </row>
    <row r="866" spans="1:6" x14ac:dyDescent="0.2">
      <c r="A866" t="s">
        <v>1982</v>
      </c>
      <c r="C866" t="s">
        <v>789</v>
      </c>
      <c r="D866" t="s">
        <v>4275</v>
      </c>
      <c r="E866" t="s">
        <v>1433</v>
      </c>
      <c r="F866" t="s">
        <v>2868</v>
      </c>
    </row>
    <row r="867" spans="1:6" x14ac:dyDescent="0.2">
      <c r="A867" t="s">
        <v>1342</v>
      </c>
      <c r="C867" t="s">
        <v>789</v>
      </c>
      <c r="D867" t="s">
        <v>4276</v>
      </c>
      <c r="E867" t="s">
        <v>1660</v>
      </c>
      <c r="F867" t="s">
        <v>1686</v>
      </c>
    </row>
    <row r="868" spans="1:6" x14ac:dyDescent="0.2">
      <c r="A868" t="s">
        <v>2761</v>
      </c>
      <c r="C868" t="s">
        <v>789</v>
      </c>
      <c r="D868" t="s">
        <v>3755</v>
      </c>
      <c r="E868" t="s">
        <v>4277</v>
      </c>
      <c r="F868" t="s">
        <v>2868</v>
      </c>
    </row>
    <row r="869" spans="1:6" x14ac:dyDescent="0.2">
      <c r="A869" t="s">
        <v>2762</v>
      </c>
      <c r="C869" t="s">
        <v>789</v>
      </c>
      <c r="D869" t="s">
        <v>4278</v>
      </c>
      <c r="E869" t="s">
        <v>4279</v>
      </c>
      <c r="F869" t="s">
        <v>2868</v>
      </c>
    </row>
    <row r="870" spans="1:6" x14ac:dyDescent="0.2">
      <c r="A870" t="s">
        <v>1983</v>
      </c>
      <c r="C870" t="s">
        <v>789</v>
      </c>
      <c r="D870" t="s">
        <v>4266</v>
      </c>
      <c r="E870" t="s">
        <v>4280</v>
      </c>
      <c r="F870" t="s">
        <v>2868</v>
      </c>
    </row>
    <row r="871" spans="1:6" x14ac:dyDescent="0.2">
      <c r="A871" t="s">
        <v>1343</v>
      </c>
      <c r="C871" t="s">
        <v>789</v>
      </c>
      <c r="D871" t="s">
        <v>4281</v>
      </c>
      <c r="E871" t="s">
        <v>1663</v>
      </c>
      <c r="F871" t="s">
        <v>3633</v>
      </c>
    </row>
    <row r="872" spans="1:6" x14ac:dyDescent="0.2">
      <c r="A872" t="s">
        <v>2763</v>
      </c>
      <c r="C872" t="s">
        <v>789</v>
      </c>
      <c r="D872" t="s">
        <v>4282</v>
      </c>
      <c r="E872" t="s">
        <v>4283</v>
      </c>
      <c r="F872" t="s">
        <v>2868</v>
      </c>
    </row>
    <row r="873" spans="1:6" x14ac:dyDescent="0.2">
      <c r="A873" t="s">
        <v>1344</v>
      </c>
      <c r="C873" t="s">
        <v>789</v>
      </c>
      <c r="D873" t="s">
        <v>1664</v>
      </c>
      <c r="E873" t="s">
        <v>4284</v>
      </c>
      <c r="F873" t="s">
        <v>4285</v>
      </c>
    </row>
    <row r="874" spans="1:6" x14ac:dyDescent="0.2">
      <c r="A874" t="s">
        <v>1345</v>
      </c>
      <c r="C874" t="s">
        <v>789</v>
      </c>
      <c r="D874" t="s">
        <v>1667</v>
      </c>
      <c r="E874" t="s">
        <v>891</v>
      </c>
      <c r="F874" t="s">
        <v>3988</v>
      </c>
    </row>
    <row r="875" spans="1:6" x14ac:dyDescent="0.2">
      <c r="A875" t="s">
        <v>2764</v>
      </c>
      <c r="C875" t="s">
        <v>789</v>
      </c>
      <c r="D875" t="s">
        <v>4085</v>
      </c>
      <c r="E875" t="s">
        <v>4286</v>
      </c>
      <c r="F875" t="s">
        <v>2868</v>
      </c>
    </row>
    <row r="876" spans="1:6" x14ac:dyDescent="0.2">
      <c r="A876" t="s">
        <v>2765</v>
      </c>
      <c r="C876" t="s">
        <v>1733</v>
      </c>
      <c r="D876" t="s">
        <v>4287</v>
      </c>
      <c r="E876" t="s">
        <v>4288</v>
      </c>
      <c r="F876" t="s">
        <v>4289</v>
      </c>
    </row>
    <row r="877" spans="1:6" x14ac:dyDescent="0.2">
      <c r="A877" t="s">
        <v>2766</v>
      </c>
      <c r="C877" t="s">
        <v>789</v>
      </c>
      <c r="D877" t="s">
        <v>4290</v>
      </c>
      <c r="E877" t="s">
        <v>4291</v>
      </c>
      <c r="F877" t="s">
        <v>2868</v>
      </c>
    </row>
    <row r="878" spans="1:6" x14ac:dyDescent="0.2">
      <c r="A878" t="s">
        <v>2767</v>
      </c>
      <c r="C878" t="s">
        <v>789</v>
      </c>
      <c r="D878" t="s">
        <v>4292</v>
      </c>
      <c r="E878" t="s">
        <v>4293</v>
      </c>
      <c r="F878" t="s">
        <v>2868</v>
      </c>
    </row>
    <row r="879" spans="1:6" x14ac:dyDescent="0.2">
      <c r="A879" t="s">
        <v>1346</v>
      </c>
      <c r="C879" t="s">
        <v>789</v>
      </c>
      <c r="D879" t="s">
        <v>1670</v>
      </c>
      <c r="E879" t="s">
        <v>4294</v>
      </c>
      <c r="F879" t="s">
        <v>3964</v>
      </c>
    </row>
    <row r="880" spans="1:6" x14ac:dyDescent="0.2">
      <c r="A880" t="s">
        <v>2768</v>
      </c>
      <c r="C880" t="s">
        <v>789</v>
      </c>
      <c r="D880" t="s">
        <v>4295</v>
      </c>
      <c r="E880" t="s">
        <v>4296</v>
      </c>
      <c r="F880" t="s">
        <v>854</v>
      </c>
    </row>
    <row r="881" spans="1:6" x14ac:dyDescent="0.2">
      <c r="A881" t="s">
        <v>2769</v>
      </c>
      <c r="C881" t="s">
        <v>789</v>
      </c>
      <c r="D881" t="s">
        <v>2902</v>
      </c>
      <c r="E881" t="s">
        <v>4297</v>
      </c>
      <c r="F881" t="s">
        <v>863</v>
      </c>
    </row>
    <row r="882" spans="1:6" x14ac:dyDescent="0.2">
      <c r="A882" t="s">
        <v>1347</v>
      </c>
      <c r="C882" t="s">
        <v>789</v>
      </c>
      <c r="D882" t="s">
        <v>4232</v>
      </c>
      <c r="E882" t="s">
        <v>1673</v>
      </c>
      <c r="F882" t="s">
        <v>1674</v>
      </c>
    </row>
    <row r="883" spans="1:6" x14ac:dyDescent="0.2">
      <c r="A883" t="s">
        <v>2770</v>
      </c>
      <c r="C883" t="s">
        <v>789</v>
      </c>
      <c r="D883" t="s">
        <v>3752</v>
      </c>
      <c r="E883" t="s">
        <v>4298</v>
      </c>
      <c r="F883" t="s">
        <v>2868</v>
      </c>
    </row>
    <row r="884" spans="1:6" x14ac:dyDescent="0.2">
      <c r="A884" t="s">
        <v>2771</v>
      </c>
      <c r="C884" t="s">
        <v>789</v>
      </c>
      <c r="D884" t="s">
        <v>4299</v>
      </c>
      <c r="E884" t="s">
        <v>4300</v>
      </c>
      <c r="F884" t="s">
        <v>2868</v>
      </c>
    </row>
    <row r="885" spans="1:6" x14ac:dyDescent="0.2">
      <c r="A885" t="s">
        <v>2772</v>
      </c>
      <c r="C885" t="s">
        <v>783</v>
      </c>
      <c r="D885" t="s">
        <v>4301</v>
      </c>
      <c r="E885" t="s">
        <v>4302</v>
      </c>
      <c r="F885" t="s">
        <v>4303</v>
      </c>
    </row>
    <row r="886" spans="1:6" x14ac:dyDescent="0.2">
      <c r="A886" t="s">
        <v>2773</v>
      </c>
      <c r="C886" t="s">
        <v>789</v>
      </c>
      <c r="D886" t="s">
        <v>4304</v>
      </c>
      <c r="E886" t="s">
        <v>4305</v>
      </c>
      <c r="F886" t="s">
        <v>1200</v>
      </c>
    </row>
    <row r="887" spans="1:6" x14ac:dyDescent="0.2">
      <c r="A887" t="s">
        <v>1984</v>
      </c>
      <c r="C887" t="s">
        <v>789</v>
      </c>
      <c r="D887" t="s">
        <v>4306</v>
      </c>
      <c r="E887" t="s">
        <v>4307</v>
      </c>
      <c r="F887" t="s">
        <v>2868</v>
      </c>
    </row>
    <row r="888" spans="1:6" x14ac:dyDescent="0.2">
      <c r="A888" t="s">
        <v>2774</v>
      </c>
      <c r="C888" t="s">
        <v>789</v>
      </c>
      <c r="D888" t="s">
        <v>4308</v>
      </c>
      <c r="E888" t="s">
        <v>4309</v>
      </c>
      <c r="F888" t="s">
        <v>2868</v>
      </c>
    </row>
    <row r="889" spans="1:6" x14ac:dyDescent="0.2">
      <c r="A889" t="s">
        <v>2775</v>
      </c>
      <c r="C889" t="s">
        <v>789</v>
      </c>
      <c r="D889" t="s">
        <v>980</v>
      </c>
      <c r="E889" t="s">
        <v>4310</v>
      </c>
      <c r="F889" t="s">
        <v>2868</v>
      </c>
    </row>
    <row r="890" spans="1:6" x14ac:dyDescent="0.2">
      <c r="A890" t="s">
        <v>2776</v>
      </c>
      <c r="C890" t="s">
        <v>783</v>
      </c>
      <c r="D890" t="s">
        <v>4311</v>
      </c>
      <c r="E890" t="s">
        <v>2980</v>
      </c>
      <c r="F890" t="s">
        <v>4312</v>
      </c>
    </row>
    <row r="891" spans="1:6" x14ac:dyDescent="0.2">
      <c r="A891" t="s">
        <v>2777</v>
      </c>
      <c r="C891" t="s">
        <v>783</v>
      </c>
      <c r="D891" t="s">
        <v>1061</v>
      </c>
      <c r="E891" t="s">
        <v>4313</v>
      </c>
      <c r="F891" t="s">
        <v>1540</v>
      </c>
    </row>
    <row r="892" spans="1:6" x14ac:dyDescent="0.2">
      <c r="A892" t="s">
        <v>2778</v>
      </c>
      <c r="C892" t="s">
        <v>789</v>
      </c>
      <c r="D892" t="s">
        <v>4314</v>
      </c>
      <c r="E892" t="s">
        <v>1870</v>
      </c>
      <c r="F892" t="s">
        <v>925</v>
      </c>
    </row>
    <row r="893" spans="1:6" x14ac:dyDescent="0.2">
      <c r="A893" t="s">
        <v>2779</v>
      </c>
      <c r="C893" t="s">
        <v>1733</v>
      </c>
      <c r="D893" t="s">
        <v>3841</v>
      </c>
      <c r="E893" t="s">
        <v>1629</v>
      </c>
      <c r="F893" t="s">
        <v>4315</v>
      </c>
    </row>
    <row r="894" spans="1:6" x14ac:dyDescent="0.2">
      <c r="A894" t="s">
        <v>1985</v>
      </c>
      <c r="C894" t="s">
        <v>789</v>
      </c>
      <c r="D894" t="s">
        <v>4316</v>
      </c>
      <c r="E894" t="s">
        <v>3981</v>
      </c>
      <c r="F894" t="s">
        <v>1382</v>
      </c>
    </row>
    <row r="895" spans="1:6" x14ac:dyDescent="0.2">
      <c r="A895" t="s">
        <v>1815</v>
      </c>
      <c r="C895" t="s">
        <v>783</v>
      </c>
      <c r="D895" t="s">
        <v>4317</v>
      </c>
      <c r="E895" t="s">
        <v>4318</v>
      </c>
      <c r="F895" t="s">
        <v>2898</v>
      </c>
    </row>
    <row r="896" spans="1:6" x14ac:dyDescent="0.2">
      <c r="A896" t="s">
        <v>2780</v>
      </c>
      <c r="C896" t="s">
        <v>789</v>
      </c>
      <c r="D896" t="s">
        <v>3068</v>
      </c>
      <c r="E896" t="s">
        <v>2013</v>
      </c>
      <c r="F896" t="s">
        <v>2868</v>
      </c>
    </row>
    <row r="897" spans="1:6" x14ac:dyDescent="0.2">
      <c r="A897" t="s">
        <v>1348</v>
      </c>
      <c r="C897" t="s">
        <v>789</v>
      </c>
      <c r="D897" t="s">
        <v>1675</v>
      </c>
      <c r="E897" t="s">
        <v>1676</v>
      </c>
      <c r="F897" t="s">
        <v>1009</v>
      </c>
    </row>
    <row r="898" spans="1:6" x14ac:dyDescent="0.2">
      <c r="A898" t="s">
        <v>1986</v>
      </c>
      <c r="C898" t="s">
        <v>789</v>
      </c>
      <c r="D898" t="s">
        <v>4319</v>
      </c>
      <c r="E898" t="s">
        <v>4320</v>
      </c>
      <c r="F898" t="s">
        <v>2868</v>
      </c>
    </row>
    <row r="899" spans="1:6" x14ac:dyDescent="0.2">
      <c r="A899" t="s">
        <v>2781</v>
      </c>
      <c r="C899" t="s">
        <v>789</v>
      </c>
      <c r="D899" t="s">
        <v>848</v>
      </c>
      <c r="E899" t="s">
        <v>2078</v>
      </c>
      <c r="F899" t="s">
        <v>910</v>
      </c>
    </row>
    <row r="900" spans="1:6" x14ac:dyDescent="0.2">
      <c r="A900" t="s">
        <v>1129</v>
      </c>
      <c r="C900" t="s">
        <v>789</v>
      </c>
      <c r="D900" t="s">
        <v>1130</v>
      </c>
      <c r="E900" t="s">
        <v>4321</v>
      </c>
      <c r="F900" t="s">
        <v>2868</v>
      </c>
    </row>
    <row r="901" spans="1:6" x14ac:dyDescent="0.2">
      <c r="A901" t="s">
        <v>1095</v>
      </c>
      <c r="C901" t="s">
        <v>789</v>
      </c>
      <c r="D901" t="s">
        <v>4322</v>
      </c>
      <c r="E901" t="s">
        <v>4323</v>
      </c>
      <c r="F901" t="s">
        <v>2012</v>
      </c>
    </row>
    <row r="902" spans="1:6" x14ac:dyDescent="0.2">
      <c r="A902" t="s">
        <v>2782</v>
      </c>
      <c r="C902" t="s">
        <v>789</v>
      </c>
      <c r="D902" t="s">
        <v>4324</v>
      </c>
      <c r="E902" t="s">
        <v>4325</v>
      </c>
      <c r="F902" t="s">
        <v>2868</v>
      </c>
    </row>
    <row r="903" spans="1:6" x14ac:dyDescent="0.2">
      <c r="A903" t="s">
        <v>1349</v>
      </c>
      <c r="C903" t="s">
        <v>789</v>
      </c>
      <c r="D903" t="s">
        <v>824</v>
      </c>
      <c r="E903" t="s">
        <v>4326</v>
      </c>
      <c r="F903" t="s">
        <v>856</v>
      </c>
    </row>
    <row r="904" spans="1:6" x14ac:dyDescent="0.2">
      <c r="A904" t="s">
        <v>2783</v>
      </c>
      <c r="C904" t="s">
        <v>789</v>
      </c>
      <c r="D904" t="s">
        <v>4327</v>
      </c>
      <c r="E904" t="s">
        <v>4328</v>
      </c>
      <c r="F904" t="s">
        <v>3923</v>
      </c>
    </row>
    <row r="905" spans="1:6" x14ac:dyDescent="0.2">
      <c r="A905" t="s">
        <v>2784</v>
      </c>
      <c r="C905" t="s">
        <v>789</v>
      </c>
      <c r="D905" t="s">
        <v>4329</v>
      </c>
      <c r="E905" t="s">
        <v>2987</v>
      </c>
      <c r="F905" t="s">
        <v>2868</v>
      </c>
    </row>
    <row r="906" spans="1:6" x14ac:dyDescent="0.2">
      <c r="A906" t="s">
        <v>2785</v>
      </c>
      <c r="C906" t="s">
        <v>789</v>
      </c>
      <c r="D906" t="s">
        <v>4330</v>
      </c>
      <c r="E906" t="s">
        <v>4331</v>
      </c>
      <c r="F906" t="s">
        <v>2868</v>
      </c>
    </row>
    <row r="907" spans="1:6" x14ac:dyDescent="0.2">
      <c r="A907" t="s">
        <v>2786</v>
      </c>
      <c r="C907" t="s">
        <v>789</v>
      </c>
      <c r="D907" t="s">
        <v>4332</v>
      </c>
      <c r="E907" t="s">
        <v>3132</v>
      </c>
      <c r="F907" t="s">
        <v>2868</v>
      </c>
    </row>
    <row r="908" spans="1:6" x14ac:dyDescent="0.2">
      <c r="A908" t="s">
        <v>2787</v>
      </c>
      <c r="C908" t="s">
        <v>789</v>
      </c>
      <c r="D908" t="s">
        <v>4333</v>
      </c>
      <c r="E908" t="s">
        <v>4334</v>
      </c>
      <c r="F908" t="s">
        <v>4335</v>
      </c>
    </row>
    <row r="909" spans="1:6" x14ac:dyDescent="0.2">
      <c r="A909" t="s">
        <v>2788</v>
      </c>
      <c r="C909" t="s">
        <v>789</v>
      </c>
      <c r="D909" t="s">
        <v>4336</v>
      </c>
      <c r="E909" t="s">
        <v>1032</v>
      </c>
      <c r="F909" t="s">
        <v>2868</v>
      </c>
    </row>
    <row r="910" spans="1:6" x14ac:dyDescent="0.2">
      <c r="A910" t="s">
        <v>2789</v>
      </c>
      <c r="C910" t="s">
        <v>789</v>
      </c>
      <c r="D910" t="s">
        <v>4337</v>
      </c>
      <c r="E910" t="s">
        <v>4338</v>
      </c>
      <c r="F910" t="s">
        <v>2868</v>
      </c>
    </row>
    <row r="911" spans="1:6" x14ac:dyDescent="0.2">
      <c r="A911" t="s">
        <v>2790</v>
      </c>
      <c r="C911" t="s">
        <v>789</v>
      </c>
      <c r="D911" t="s">
        <v>4099</v>
      </c>
      <c r="E911" t="s">
        <v>4339</v>
      </c>
      <c r="F911" t="s">
        <v>2868</v>
      </c>
    </row>
    <row r="912" spans="1:6" x14ac:dyDescent="0.2">
      <c r="A912" t="s">
        <v>2791</v>
      </c>
      <c r="C912" t="s">
        <v>1733</v>
      </c>
      <c r="D912" t="s">
        <v>4340</v>
      </c>
      <c r="E912" t="s">
        <v>4341</v>
      </c>
      <c r="F912" t="s">
        <v>3469</v>
      </c>
    </row>
    <row r="913" spans="1:6" x14ac:dyDescent="0.2">
      <c r="A913" t="s">
        <v>2792</v>
      </c>
      <c r="C913" t="s">
        <v>789</v>
      </c>
      <c r="D913" t="s">
        <v>4342</v>
      </c>
      <c r="E913" t="s">
        <v>4343</v>
      </c>
      <c r="F913" t="s">
        <v>2868</v>
      </c>
    </row>
    <row r="914" spans="1:6" x14ac:dyDescent="0.2">
      <c r="A914" t="s">
        <v>2793</v>
      </c>
      <c r="C914" t="s">
        <v>789</v>
      </c>
      <c r="D914" t="s">
        <v>4344</v>
      </c>
      <c r="E914" t="s">
        <v>3207</v>
      </c>
      <c r="F914" t="s">
        <v>2868</v>
      </c>
    </row>
    <row r="915" spans="1:6" x14ac:dyDescent="0.2">
      <c r="A915" t="s">
        <v>2794</v>
      </c>
      <c r="C915" t="s">
        <v>789</v>
      </c>
      <c r="D915" t="s">
        <v>4345</v>
      </c>
      <c r="E915" t="s">
        <v>3284</v>
      </c>
      <c r="F915" t="s">
        <v>2868</v>
      </c>
    </row>
    <row r="916" spans="1:6" x14ac:dyDescent="0.2">
      <c r="A916" t="s">
        <v>1350</v>
      </c>
      <c r="C916" t="s">
        <v>789</v>
      </c>
      <c r="D916" t="s">
        <v>4346</v>
      </c>
      <c r="E916" t="s">
        <v>4347</v>
      </c>
      <c r="F916" t="s">
        <v>1561</v>
      </c>
    </row>
    <row r="917" spans="1:6" x14ac:dyDescent="0.2">
      <c r="A917" t="s">
        <v>2795</v>
      </c>
      <c r="C917" t="s">
        <v>789</v>
      </c>
      <c r="D917" t="s">
        <v>4348</v>
      </c>
      <c r="E917" t="s">
        <v>4349</v>
      </c>
      <c r="F917" t="s">
        <v>2868</v>
      </c>
    </row>
    <row r="918" spans="1:6" x14ac:dyDescent="0.2">
      <c r="A918" t="s">
        <v>2796</v>
      </c>
      <c r="C918" t="s">
        <v>1733</v>
      </c>
      <c r="D918" t="s">
        <v>4350</v>
      </c>
      <c r="E918" t="s">
        <v>4351</v>
      </c>
      <c r="F918" t="s">
        <v>4352</v>
      </c>
    </row>
    <row r="919" spans="1:6" x14ac:dyDescent="0.2">
      <c r="A919" t="s">
        <v>2797</v>
      </c>
      <c r="C919" t="s">
        <v>789</v>
      </c>
      <c r="D919" t="s">
        <v>3529</v>
      </c>
      <c r="E919" t="s">
        <v>4353</v>
      </c>
      <c r="F919" t="s">
        <v>2868</v>
      </c>
    </row>
    <row r="920" spans="1:6" x14ac:dyDescent="0.2">
      <c r="A920" t="s">
        <v>2798</v>
      </c>
      <c r="C920" t="s">
        <v>789</v>
      </c>
      <c r="D920" t="s">
        <v>4182</v>
      </c>
      <c r="E920" t="s">
        <v>4106</v>
      </c>
      <c r="F920" t="s">
        <v>1045</v>
      </c>
    </row>
    <row r="921" spans="1:6" x14ac:dyDescent="0.2">
      <c r="A921" t="s">
        <v>1987</v>
      </c>
      <c r="C921" t="s">
        <v>789</v>
      </c>
      <c r="D921" t="s">
        <v>4354</v>
      </c>
      <c r="E921" t="s">
        <v>4355</v>
      </c>
      <c r="F921" t="s">
        <v>2868</v>
      </c>
    </row>
    <row r="922" spans="1:6" x14ac:dyDescent="0.2">
      <c r="A922" t="s">
        <v>1351</v>
      </c>
      <c r="C922" t="s">
        <v>789</v>
      </c>
      <c r="D922" t="s">
        <v>784</v>
      </c>
      <c r="E922" t="s">
        <v>1681</v>
      </c>
      <c r="F922" t="s">
        <v>1084</v>
      </c>
    </row>
    <row r="923" spans="1:6" x14ac:dyDescent="0.2">
      <c r="A923" t="s">
        <v>1352</v>
      </c>
      <c r="C923" t="s">
        <v>789</v>
      </c>
      <c r="D923" t="s">
        <v>1682</v>
      </c>
      <c r="E923" t="s">
        <v>1683</v>
      </c>
      <c r="F923" t="s">
        <v>4356</v>
      </c>
    </row>
    <row r="924" spans="1:6" x14ac:dyDescent="0.2">
      <c r="A924" t="s">
        <v>2799</v>
      </c>
      <c r="C924" t="s">
        <v>789</v>
      </c>
      <c r="D924" t="s">
        <v>4357</v>
      </c>
      <c r="E924" t="s">
        <v>4358</v>
      </c>
      <c r="F924" t="s">
        <v>4359</v>
      </c>
    </row>
    <row r="925" spans="1:6" x14ac:dyDescent="0.2">
      <c r="A925" t="s">
        <v>2800</v>
      </c>
      <c r="C925" t="s">
        <v>789</v>
      </c>
      <c r="D925" t="s">
        <v>4360</v>
      </c>
      <c r="E925" t="s">
        <v>872</v>
      </c>
      <c r="F925" t="s">
        <v>2868</v>
      </c>
    </row>
    <row r="926" spans="1:6" x14ac:dyDescent="0.2">
      <c r="A926" t="s">
        <v>1988</v>
      </c>
      <c r="C926" t="s">
        <v>789</v>
      </c>
      <c r="D926" t="s">
        <v>4361</v>
      </c>
      <c r="E926" t="s">
        <v>4362</v>
      </c>
      <c r="F926" t="s">
        <v>2868</v>
      </c>
    </row>
    <row r="927" spans="1:6" x14ac:dyDescent="0.2">
      <c r="A927" t="s">
        <v>1353</v>
      </c>
      <c r="C927" t="s">
        <v>789</v>
      </c>
      <c r="D927" t="s">
        <v>4363</v>
      </c>
      <c r="E927" t="s">
        <v>1686</v>
      </c>
      <c r="F927" t="s">
        <v>1620</v>
      </c>
    </row>
    <row r="928" spans="1:6" x14ac:dyDescent="0.2">
      <c r="A928" t="s">
        <v>1354</v>
      </c>
      <c r="C928" t="s">
        <v>789</v>
      </c>
      <c r="D928" t="s">
        <v>1687</v>
      </c>
      <c r="E928" t="s">
        <v>1187</v>
      </c>
      <c r="F928" t="s">
        <v>856</v>
      </c>
    </row>
    <row r="929" spans="1:6" x14ac:dyDescent="0.2">
      <c r="A929" t="s">
        <v>1355</v>
      </c>
      <c r="C929" t="s">
        <v>789</v>
      </c>
      <c r="D929" t="s">
        <v>1689</v>
      </c>
      <c r="E929" t="s">
        <v>4364</v>
      </c>
      <c r="F929" t="s">
        <v>797</v>
      </c>
    </row>
    <row r="930" spans="1:6" x14ac:dyDescent="0.2">
      <c r="A930" t="s">
        <v>2801</v>
      </c>
      <c r="C930" t="s">
        <v>789</v>
      </c>
      <c r="D930" t="s">
        <v>4365</v>
      </c>
      <c r="E930" t="s">
        <v>4366</v>
      </c>
      <c r="F930" t="s">
        <v>1403</v>
      </c>
    </row>
    <row r="931" spans="1:6" x14ac:dyDescent="0.2">
      <c r="A931" t="s">
        <v>1356</v>
      </c>
      <c r="C931" t="s">
        <v>789</v>
      </c>
      <c r="D931" t="s">
        <v>1893</v>
      </c>
      <c r="E931" t="s">
        <v>4367</v>
      </c>
      <c r="F931" t="s">
        <v>1693</v>
      </c>
    </row>
    <row r="932" spans="1:6" x14ac:dyDescent="0.2">
      <c r="A932" t="s">
        <v>2802</v>
      </c>
      <c r="C932" t="s">
        <v>789</v>
      </c>
      <c r="D932" t="s">
        <v>2995</v>
      </c>
      <c r="E932" t="s">
        <v>4309</v>
      </c>
      <c r="F932" t="s">
        <v>2868</v>
      </c>
    </row>
    <row r="933" spans="1:6" x14ac:dyDescent="0.2">
      <c r="A933" t="s">
        <v>1357</v>
      </c>
      <c r="C933" t="s">
        <v>789</v>
      </c>
      <c r="D933" t="s">
        <v>1694</v>
      </c>
      <c r="E933" t="s">
        <v>1695</v>
      </c>
      <c r="F933" t="s">
        <v>961</v>
      </c>
    </row>
    <row r="934" spans="1:6" x14ac:dyDescent="0.2">
      <c r="A934" t="s">
        <v>1818</v>
      </c>
      <c r="C934" t="s">
        <v>783</v>
      </c>
      <c r="D934" t="s">
        <v>4368</v>
      </c>
      <c r="E934" t="s">
        <v>4369</v>
      </c>
      <c r="F934" t="s">
        <v>4258</v>
      </c>
    </row>
    <row r="935" spans="1:6" x14ac:dyDescent="0.2">
      <c r="A935" t="s">
        <v>2803</v>
      </c>
      <c r="C935" t="s">
        <v>789</v>
      </c>
      <c r="D935" t="s">
        <v>3781</v>
      </c>
      <c r="E935" t="s">
        <v>4370</v>
      </c>
      <c r="F935" t="s">
        <v>2868</v>
      </c>
    </row>
    <row r="936" spans="1:6" x14ac:dyDescent="0.2">
      <c r="A936" t="s">
        <v>2804</v>
      </c>
      <c r="C936" t="s">
        <v>789</v>
      </c>
      <c r="D936" t="s">
        <v>4371</v>
      </c>
      <c r="E936" t="s">
        <v>4005</v>
      </c>
      <c r="F936" t="s">
        <v>2868</v>
      </c>
    </row>
    <row r="937" spans="1:6" x14ac:dyDescent="0.2">
      <c r="A937" t="s">
        <v>2805</v>
      </c>
      <c r="C937" t="s">
        <v>1733</v>
      </c>
      <c r="D937" t="s">
        <v>4372</v>
      </c>
      <c r="E937" t="s">
        <v>4373</v>
      </c>
      <c r="F937" t="s">
        <v>1663</v>
      </c>
    </row>
    <row r="938" spans="1:6" x14ac:dyDescent="0.2">
      <c r="A938" t="s">
        <v>2806</v>
      </c>
      <c r="C938" t="s">
        <v>789</v>
      </c>
      <c r="D938" t="s">
        <v>4374</v>
      </c>
      <c r="E938" t="s">
        <v>4375</v>
      </c>
      <c r="F938" t="s">
        <v>2868</v>
      </c>
    </row>
    <row r="939" spans="1:6" x14ac:dyDescent="0.2">
      <c r="A939" t="s">
        <v>1358</v>
      </c>
      <c r="C939" t="s">
        <v>789</v>
      </c>
      <c r="D939" t="s">
        <v>4376</v>
      </c>
      <c r="E939" t="s">
        <v>4377</v>
      </c>
      <c r="F939" t="s">
        <v>1698</v>
      </c>
    </row>
    <row r="940" spans="1:6" x14ac:dyDescent="0.2">
      <c r="A940" t="s">
        <v>2807</v>
      </c>
      <c r="C940" t="s">
        <v>789</v>
      </c>
      <c r="D940" t="s">
        <v>4378</v>
      </c>
      <c r="E940" t="s">
        <v>4379</v>
      </c>
      <c r="F940" t="s">
        <v>2868</v>
      </c>
    </row>
    <row r="941" spans="1:6" x14ac:dyDescent="0.2">
      <c r="A941" t="s">
        <v>2808</v>
      </c>
      <c r="C941" t="s">
        <v>789</v>
      </c>
      <c r="D941" t="s">
        <v>3588</v>
      </c>
      <c r="E941" t="s">
        <v>4380</v>
      </c>
      <c r="F941" t="s">
        <v>3320</v>
      </c>
    </row>
    <row r="942" spans="1:6" x14ac:dyDescent="0.2">
      <c r="A942" t="s">
        <v>1821</v>
      </c>
      <c r="C942" t="s">
        <v>783</v>
      </c>
      <c r="D942" t="s">
        <v>4381</v>
      </c>
      <c r="E942" t="s">
        <v>3325</v>
      </c>
      <c r="F942" t="s">
        <v>2898</v>
      </c>
    </row>
    <row r="943" spans="1:6" x14ac:dyDescent="0.2">
      <c r="A943" t="s">
        <v>2809</v>
      </c>
      <c r="C943" t="s">
        <v>1733</v>
      </c>
      <c r="D943" t="s">
        <v>3487</v>
      </c>
      <c r="E943" t="s">
        <v>3307</v>
      </c>
      <c r="F943" t="s">
        <v>4382</v>
      </c>
    </row>
    <row r="944" spans="1:6" x14ac:dyDescent="0.2">
      <c r="A944" t="s">
        <v>2810</v>
      </c>
      <c r="C944" t="s">
        <v>1733</v>
      </c>
      <c r="D944" t="s">
        <v>898</v>
      </c>
      <c r="E944" t="s">
        <v>3107</v>
      </c>
      <c r="F944" t="s">
        <v>4383</v>
      </c>
    </row>
    <row r="945" spans="1:6" x14ac:dyDescent="0.2">
      <c r="A945" t="s">
        <v>2811</v>
      </c>
      <c r="C945" t="s">
        <v>1733</v>
      </c>
      <c r="D945" t="s">
        <v>4384</v>
      </c>
      <c r="E945" t="s">
        <v>2101</v>
      </c>
      <c r="F945" t="s">
        <v>4385</v>
      </c>
    </row>
    <row r="946" spans="1:6" x14ac:dyDescent="0.2">
      <c r="A946" t="s">
        <v>2812</v>
      </c>
      <c r="C946" t="s">
        <v>789</v>
      </c>
      <c r="D946" t="s">
        <v>4386</v>
      </c>
      <c r="E946" t="s">
        <v>3584</v>
      </c>
      <c r="F946" t="s">
        <v>2868</v>
      </c>
    </row>
    <row r="947" spans="1:6" x14ac:dyDescent="0.2">
      <c r="A947" t="s">
        <v>2813</v>
      </c>
      <c r="C947" t="s">
        <v>789</v>
      </c>
      <c r="D947" t="s">
        <v>4387</v>
      </c>
      <c r="E947" t="s">
        <v>4388</v>
      </c>
      <c r="F947" t="s">
        <v>2868</v>
      </c>
    </row>
    <row r="948" spans="1:6" x14ac:dyDescent="0.2">
      <c r="A948" t="s">
        <v>2814</v>
      </c>
      <c r="C948" t="s">
        <v>789</v>
      </c>
      <c r="D948" t="s">
        <v>4389</v>
      </c>
      <c r="E948" t="s">
        <v>4164</v>
      </c>
      <c r="F948" t="s">
        <v>2868</v>
      </c>
    </row>
    <row r="949" spans="1:6" x14ac:dyDescent="0.2">
      <c r="A949" t="s">
        <v>2815</v>
      </c>
      <c r="C949" t="s">
        <v>789</v>
      </c>
      <c r="D949" t="s">
        <v>1215</v>
      </c>
      <c r="E949" t="s">
        <v>4299</v>
      </c>
      <c r="F949" t="s">
        <v>2868</v>
      </c>
    </row>
    <row r="950" spans="1:6" x14ac:dyDescent="0.2">
      <c r="A950" t="s">
        <v>2816</v>
      </c>
      <c r="C950" t="s">
        <v>789</v>
      </c>
      <c r="D950" t="s">
        <v>4390</v>
      </c>
      <c r="E950" t="s">
        <v>4391</v>
      </c>
      <c r="F950" t="s">
        <v>2868</v>
      </c>
    </row>
    <row r="951" spans="1:6" x14ac:dyDescent="0.2">
      <c r="A951" t="s">
        <v>1359</v>
      </c>
      <c r="C951" t="s">
        <v>789</v>
      </c>
      <c r="D951" t="s">
        <v>1699</v>
      </c>
      <c r="E951" t="s">
        <v>1700</v>
      </c>
      <c r="F951" t="s">
        <v>1184</v>
      </c>
    </row>
    <row r="952" spans="1:6" x14ac:dyDescent="0.2">
      <c r="A952" t="s">
        <v>1823</v>
      </c>
      <c r="C952" t="s">
        <v>783</v>
      </c>
      <c r="D952" t="s">
        <v>4392</v>
      </c>
      <c r="E952" t="s">
        <v>4393</v>
      </c>
      <c r="F952" t="s">
        <v>2898</v>
      </c>
    </row>
    <row r="953" spans="1:6" x14ac:dyDescent="0.2">
      <c r="A953" t="s">
        <v>2817</v>
      </c>
      <c r="C953" t="s">
        <v>789</v>
      </c>
      <c r="D953" t="s">
        <v>4394</v>
      </c>
      <c r="E953" t="s">
        <v>1597</v>
      </c>
      <c r="F953" t="s">
        <v>2868</v>
      </c>
    </row>
    <row r="954" spans="1:6" x14ac:dyDescent="0.2">
      <c r="A954" t="s">
        <v>2818</v>
      </c>
      <c r="C954" t="s">
        <v>783</v>
      </c>
      <c r="D954" t="s">
        <v>4395</v>
      </c>
      <c r="E954" t="s">
        <v>4220</v>
      </c>
      <c r="F954" t="s">
        <v>3300</v>
      </c>
    </row>
    <row r="955" spans="1:6" x14ac:dyDescent="0.2">
      <c r="A955" t="s">
        <v>1360</v>
      </c>
      <c r="C955" t="s">
        <v>789</v>
      </c>
      <c r="D955" t="s">
        <v>4396</v>
      </c>
      <c r="E955" t="s">
        <v>1702</v>
      </c>
      <c r="F955" t="s">
        <v>4397</v>
      </c>
    </row>
    <row r="956" spans="1:6" x14ac:dyDescent="0.2">
      <c r="A956" t="s">
        <v>1063</v>
      </c>
      <c r="C956" t="s">
        <v>789</v>
      </c>
      <c r="D956" t="s">
        <v>4398</v>
      </c>
      <c r="E956" t="s">
        <v>3346</v>
      </c>
      <c r="F956" t="s">
        <v>2868</v>
      </c>
    </row>
    <row r="957" spans="1:6" x14ac:dyDescent="0.2">
      <c r="A957" t="s">
        <v>1826</v>
      </c>
      <c r="C957" t="s">
        <v>783</v>
      </c>
      <c r="D957" t="s">
        <v>3197</v>
      </c>
      <c r="E957" t="s">
        <v>4399</v>
      </c>
      <c r="F957" t="s">
        <v>1616</v>
      </c>
    </row>
    <row r="958" spans="1:6" x14ac:dyDescent="0.2">
      <c r="A958" t="s">
        <v>2819</v>
      </c>
      <c r="C958" t="s">
        <v>789</v>
      </c>
      <c r="D958" t="s">
        <v>4400</v>
      </c>
      <c r="E958" t="s">
        <v>1183</v>
      </c>
      <c r="F958" t="s">
        <v>2128</v>
      </c>
    </row>
    <row r="959" spans="1:6" x14ac:dyDescent="0.2">
      <c r="A959" t="s">
        <v>1361</v>
      </c>
      <c r="C959" t="s">
        <v>789</v>
      </c>
      <c r="D959" t="s">
        <v>4401</v>
      </c>
      <c r="E959" t="s">
        <v>4402</v>
      </c>
      <c r="F959" t="s">
        <v>1706</v>
      </c>
    </row>
    <row r="960" spans="1:6" x14ac:dyDescent="0.2">
      <c r="A960" t="s">
        <v>2820</v>
      </c>
      <c r="C960" t="s">
        <v>789</v>
      </c>
      <c r="D960" t="s">
        <v>4403</v>
      </c>
      <c r="E960" t="s">
        <v>2020</v>
      </c>
      <c r="F960" t="s">
        <v>2868</v>
      </c>
    </row>
    <row r="961" spans="1:6" x14ac:dyDescent="0.2">
      <c r="A961" t="s">
        <v>2821</v>
      </c>
      <c r="C961" t="s">
        <v>789</v>
      </c>
      <c r="D961" t="s">
        <v>4404</v>
      </c>
      <c r="E961" t="s">
        <v>3639</v>
      </c>
      <c r="F961" t="s">
        <v>794</v>
      </c>
    </row>
    <row r="962" spans="1:6" x14ac:dyDescent="0.2">
      <c r="A962" t="s">
        <v>2822</v>
      </c>
      <c r="C962" t="s">
        <v>789</v>
      </c>
      <c r="D962" t="s">
        <v>1183</v>
      </c>
      <c r="E962" t="s">
        <v>4405</v>
      </c>
      <c r="F962" t="s">
        <v>1457</v>
      </c>
    </row>
    <row r="963" spans="1:6" x14ac:dyDescent="0.2">
      <c r="A963" t="s">
        <v>2823</v>
      </c>
      <c r="C963" t="s">
        <v>789</v>
      </c>
      <c r="D963" t="s">
        <v>4406</v>
      </c>
      <c r="E963" t="s">
        <v>4407</v>
      </c>
      <c r="F963" t="s">
        <v>1457</v>
      </c>
    </row>
    <row r="964" spans="1:6" x14ac:dyDescent="0.2">
      <c r="A964" t="s">
        <v>2824</v>
      </c>
      <c r="C964" t="s">
        <v>789</v>
      </c>
      <c r="D964" t="s">
        <v>4408</v>
      </c>
      <c r="E964" t="s">
        <v>4409</v>
      </c>
      <c r="F964" t="s">
        <v>2868</v>
      </c>
    </row>
    <row r="965" spans="1:6" x14ac:dyDescent="0.2">
      <c r="A965" t="s">
        <v>1362</v>
      </c>
      <c r="C965" t="s">
        <v>789</v>
      </c>
      <c r="D965" t="s">
        <v>1707</v>
      </c>
      <c r="E965" t="s">
        <v>4410</v>
      </c>
      <c r="F965" t="s">
        <v>1215</v>
      </c>
    </row>
    <row r="966" spans="1:6" x14ac:dyDescent="0.2">
      <c r="A966" t="s">
        <v>2825</v>
      </c>
      <c r="C966" t="s">
        <v>789</v>
      </c>
      <c r="D966" t="s">
        <v>4411</v>
      </c>
      <c r="E966" t="s">
        <v>3570</v>
      </c>
      <c r="F966" t="s">
        <v>2868</v>
      </c>
    </row>
    <row r="967" spans="1:6" x14ac:dyDescent="0.2">
      <c r="A967" t="s">
        <v>2826</v>
      </c>
      <c r="C967" t="s">
        <v>789</v>
      </c>
      <c r="D967" t="s">
        <v>4412</v>
      </c>
      <c r="E967" t="s">
        <v>3622</v>
      </c>
      <c r="F967" t="s">
        <v>2868</v>
      </c>
    </row>
    <row r="968" spans="1:6" x14ac:dyDescent="0.2">
      <c r="A968" t="s">
        <v>2827</v>
      </c>
      <c r="C968" t="s">
        <v>789</v>
      </c>
      <c r="D968" t="s">
        <v>871</v>
      </c>
      <c r="E968" t="s">
        <v>4413</v>
      </c>
      <c r="F968" t="s">
        <v>942</v>
      </c>
    </row>
    <row r="969" spans="1:6" x14ac:dyDescent="0.2">
      <c r="A969" t="s">
        <v>2828</v>
      </c>
      <c r="C969" t="s">
        <v>789</v>
      </c>
      <c r="D969" t="s">
        <v>4414</v>
      </c>
      <c r="E969" t="s">
        <v>1881</v>
      </c>
      <c r="F969" t="s">
        <v>3633</v>
      </c>
    </row>
    <row r="970" spans="1:6" x14ac:dyDescent="0.2">
      <c r="A970" t="s">
        <v>2829</v>
      </c>
      <c r="C970" t="s">
        <v>789</v>
      </c>
      <c r="D970" t="s">
        <v>4415</v>
      </c>
      <c r="E970" t="s">
        <v>1212</v>
      </c>
      <c r="F970" t="s">
        <v>2868</v>
      </c>
    </row>
    <row r="971" spans="1:6" x14ac:dyDescent="0.2">
      <c r="A971" t="s">
        <v>1989</v>
      </c>
      <c r="C971" t="s">
        <v>789</v>
      </c>
      <c r="D971" t="s">
        <v>2958</v>
      </c>
      <c r="E971" t="s">
        <v>4416</v>
      </c>
      <c r="F971" t="s">
        <v>2868</v>
      </c>
    </row>
    <row r="972" spans="1:6" x14ac:dyDescent="0.2">
      <c r="A972" t="s">
        <v>1363</v>
      </c>
      <c r="C972" t="s">
        <v>789</v>
      </c>
      <c r="D972" t="s">
        <v>4417</v>
      </c>
      <c r="E972" t="s">
        <v>4418</v>
      </c>
      <c r="F972" t="s">
        <v>4419</v>
      </c>
    </row>
    <row r="973" spans="1:6" x14ac:dyDescent="0.2">
      <c r="A973" t="s">
        <v>1154</v>
      </c>
      <c r="C973" t="s">
        <v>789</v>
      </c>
      <c r="D973" t="s">
        <v>1870</v>
      </c>
      <c r="E973" t="s">
        <v>4420</v>
      </c>
      <c r="F973" t="s">
        <v>3416</v>
      </c>
    </row>
    <row r="974" spans="1:6" x14ac:dyDescent="0.2">
      <c r="A974" t="s">
        <v>1102</v>
      </c>
      <c r="C974" t="s">
        <v>789</v>
      </c>
      <c r="D974" t="s">
        <v>4421</v>
      </c>
      <c r="E974" t="s">
        <v>4422</v>
      </c>
      <c r="F974" t="s">
        <v>1706</v>
      </c>
    </row>
    <row r="975" spans="1:6" x14ac:dyDescent="0.2">
      <c r="A975" t="s">
        <v>1364</v>
      </c>
      <c r="C975" t="s">
        <v>789</v>
      </c>
      <c r="D975" t="s">
        <v>4423</v>
      </c>
      <c r="E975" t="s">
        <v>1713</v>
      </c>
      <c r="F975" t="s">
        <v>1052</v>
      </c>
    </row>
    <row r="976" spans="1:6" x14ac:dyDescent="0.2">
      <c r="A976" t="s">
        <v>2830</v>
      </c>
      <c r="C976" t="s">
        <v>789</v>
      </c>
      <c r="D976" t="s">
        <v>4424</v>
      </c>
      <c r="E976" t="s">
        <v>4425</v>
      </c>
      <c r="F976" t="s">
        <v>4426</v>
      </c>
    </row>
    <row r="977" spans="1:6" x14ac:dyDescent="0.2">
      <c r="A977" t="s">
        <v>1365</v>
      </c>
      <c r="C977" t="s">
        <v>789</v>
      </c>
      <c r="D977" t="s">
        <v>4427</v>
      </c>
      <c r="E977" t="s">
        <v>1716</v>
      </c>
      <c r="F977" t="s">
        <v>1720</v>
      </c>
    </row>
    <row r="978" spans="1:6" x14ac:dyDescent="0.2">
      <c r="A978" t="s">
        <v>1366</v>
      </c>
      <c r="C978" t="s">
        <v>789</v>
      </c>
      <c r="D978" t="s">
        <v>3752</v>
      </c>
      <c r="E978" t="s">
        <v>4428</v>
      </c>
      <c r="F978" t="s">
        <v>4429</v>
      </c>
    </row>
    <row r="979" spans="1:6" x14ac:dyDescent="0.2">
      <c r="A979" t="s">
        <v>2831</v>
      </c>
      <c r="C979" t="s">
        <v>789</v>
      </c>
      <c r="D979" t="s">
        <v>4430</v>
      </c>
      <c r="E979" t="s">
        <v>4431</v>
      </c>
      <c r="F979" t="s">
        <v>2868</v>
      </c>
    </row>
    <row r="980" spans="1:6" x14ac:dyDescent="0.2">
      <c r="A980" t="s">
        <v>2832</v>
      </c>
      <c r="C980" t="s">
        <v>789</v>
      </c>
      <c r="D980" t="s">
        <v>3626</v>
      </c>
      <c r="E980" t="s">
        <v>4432</v>
      </c>
      <c r="F980" t="s">
        <v>1401</v>
      </c>
    </row>
    <row r="981" spans="1:6" x14ac:dyDescent="0.2">
      <c r="A981" t="s">
        <v>2833</v>
      </c>
      <c r="C981" t="s">
        <v>789</v>
      </c>
      <c r="D981" t="s">
        <v>4433</v>
      </c>
      <c r="E981" t="s">
        <v>4434</v>
      </c>
      <c r="F981" t="s">
        <v>4435</v>
      </c>
    </row>
    <row r="982" spans="1:6" x14ac:dyDescent="0.2">
      <c r="A982" t="s">
        <v>2834</v>
      </c>
      <c r="C982" t="s">
        <v>789</v>
      </c>
      <c r="D982" t="s">
        <v>2890</v>
      </c>
      <c r="E982" t="s">
        <v>4436</v>
      </c>
      <c r="F982" t="s">
        <v>2868</v>
      </c>
    </row>
    <row r="983" spans="1:6" x14ac:dyDescent="0.2">
      <c r="A983" t="s">
        <v>2835</v>
      </c>
      <c r="C983" t="s">
        <v>789</v>
      </c>
      <c r="D983" t="s">
        <v>4437</v>
      </c>
      <c r="E983" t="s">
        <v>4438</v>
      </c>
      <c r="F983" t="s">
        <v>2868</v>
      </c>
    </row>
    <row r="984" spans="1:6" x14ac:dyDescent="0.2">
      <c r="A984" t="s">
        <v>2836</v>
      </c>
      <c r="C984" t="s">
        <v>789</v>
      </c>
      <c r="D984" t="s">
        <v>2160</v>
      </c>
      <c r="E984" t="s">
        <v>4439</v>
      </c>
      <c r="F984" t="s">
        <v>2868</v>
      </c>
    </row>
    <row r="985" spans="1:6" x14ac:dyDescent="0.2">
      <c r="A985" t="s">
        <v>2837</v>
      </c>
      <c r="C985" t="s">
        <v>789</v>
      </c>
      <c r="D985" t="s">
        <v>4440</v>
      </c>
      <c r="E985" t="s">
        <v>4441</v>
      </c>
      <c r="F985" t="s">
        <v>2868</v>
      </c>
    </row>
    <row r="986" spans="1:6" x14ac:dyDescent="0.2">
      <c r="A986" t="s">
        <v>2838</v>
      </c>
      <c r="C986" t="s">
        <v>789</v>
      </c>
      <c r="D986" t="s">
        <v>4442</v>
      </c>
      <c r="E986" t="s">
        <v>4443</v>
      </c>
      <c r="F986" t="s">
        <v>2868</v>
      </c>
    </row>
    <row r="987" spans="1:6" x14ac:dyDescent="0.2">
      <c r="A987" t="s">
        <v>2839</v>
      </c>
      <c r="C987" t="s">
        <v>789</v>
      </c>
      <c r="D987" t="s">
        <v>4334</v>
      </c>
      <c r="E987" t="s">
        <v>4444</v>
      </c>
      <c r="F987" t="s">
        <v>4445</v>
      </c>
    </row>
    <row r="988" spans="1:6" x14ac:dyDescent="0.2">
      <c r="A988" t="s">
        <v>2840</v>
      </c>
      <c r="C988" t="s">
        <v>789</v>
      </c>
      <c r="D988" t="s">
        <v>4446</v>
      </c>
      <c r="E988" t="s">
        <v>4447</v>
      </c>
      <c r="F988" t="s">
        <v>4435</v>
      </c>
    </row>
    <row r="989" spans="1:6" x14ac:dyDescent="0.2">
      <c r="A989" t="s">
        <v>1830</v>
      </c>
      <c r="C989" t="s">
        <v>783</v>
      </c>
      <c r="D989" t="s">
        <v>4448</v>
      </c>
      <c r="E989" t="s">
        <v>4449</v>
      </c>
      <c r="F989" t="s">
        <v>4450</v>
      </c>
    </row>
    <row r="990" spans="1:6" x14ac:dyDescent="0.2">
      <c r="A990" t="s">
        <v>1990</v>
      </c>
      <c r="C990" t="s">
        <v>789</v>
      </c>
      <c r="D990" t="s">
        <v>4451</v>
      </c>
      <c r="E990" t="s">
        <v>2908</v>
      </c>
      <c r="F990" t="s">
        <v>2868</v>
      </c>
    </row>
    <row r="991" spans="1:6" x14ac:dyDescent="0.2">
      <c r="A991" t="s">
        <v>2841</v>
      </c>
      <c r="C991" t="s">
        <v>789</v>
      </c>
      <c r="D991" t="s">
        <v>4452</v>
      </c>
      <c r="E991" t="s">
        <v>4453</v>
      </c>
      <c r="F991" t="s">
        <v>4454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D4" sqref="D4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1918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4455</v>
      </c>
      <c r="D3" t="s">
        <v>1733</v>
      </c>
      <c r="E3" t="s">
        <v>4501</v>
      </c>
      <c r="F3" t="s">
        <v>4502</v>
      </c>
      <c r="G3" t="s">
        <v>4503</v>
      </c>
    </row>
    <row r="4" spans="1:7" x14ac:dyDescent="0.2">
      <c r="B4" t="s">
        <v>4456</v>
      </c>
      <c r="D4" t="s">
        <v>1733</v>
      </c>
      <c r="E4" t="s">
        <v>4504</v>
      </c>
      <c r="F4" t="s">
        <v>4505</v>
      </c>
      <c r="G4" t="s">
        <v>4315</v>
      </c>
    </row>
    <row r="5" spans="1:7" x14ac:dyDescent="0.2">
      <c r="B5" t="s">
        <v>4457</v>
      </c>
      <c r="D5" t="s">
        <v>1733</v>
      </c>
      <c r="E5" t="s">
        <v>4200</v>
      </c>
      <c r="F5" t="s">
        <v>1217</v>
      </c>
      <c r="G5" t="s">
        <v>4352</v>
      </c>
    </row>
    <row r="6" spans="1:7" x14ac:dyDescent="0.2">
      <c r="B6" t="s">
        <v>4458</v>
      </c>
      <c r="D6" t="s">
        <v>1733</v>
      </c>
      <c r="E6" t="s">
        <v>4506</v>
      </c>
      <c r="F6" t="s">
        <v>3662</v>
      </c>
      <c r="G6" t="s">
        <v>3948</v>
      </c>
    </row>
    <row r="7" spans="1:7" x14ac:dyDescent="0.2">
      <c r="B7" t="s">
        <v>4459</v>
      </c>
      <c r="D7" t="s">
        <v>789</v>
      </c>
      <c r="E7" t="s">
        <v>4507</v>
      </c>
      <c r="F7" t="s">
        <v>4508</v>
      </c>
      <c r="G7" t="s">
        <v>4509</v>
      </c>
    </row>
    <row r="8" spans="1:7" x14ac:dyDescent="0.2">
      <c r="B8" t="s">
        <v>4460</v>
      </c>
      <c r="D8" t="s">
        <v>1733</v>
      </c>
      <c r="E8" t="s">
        <v>2138</v>
      </c>
      <c r="F8" t="s">
        <v>4510</v>
      </c>
      <c r="G8" t="s">
        <v>4511</v>
      </c>
    </row>
    <row r="9" spans="1:7" x14ac:dyDescent="0.2">
      <c r="B9" t="s">
        <v>4461</v>
      </c>
      <c r="D9" t="s">
        <v>1733</v>
      </c>
      <c r="E9" t="s">
        <v>4512</v>
      </c>
      <c r="F9" t="s">
        <v>4513</v>
      </c>
      <c r="G9" t="s">
        <v>4514</v>
      </c>
    </row>
    <row r="10" spans="1:7" x14ac:dyDescent="0.2">
      <c r="B10" t="s">
        <v>4462</v>
      </c>
      <c r="D10" t="s">
        <v>1733</v>
      </c>
      <c r="E10" t="s">
        <v>4515</v>
      </c>
      <c r="F10" t="s">
        <v>1856</v>
      </c>
      <c r="G10" t="s">
        <v>4516</v>
      </c>
    </row>
    <row r="11" spans="1:7" x14ac:dyDescent="0.2">
      <c r="B11" t="s">
        <v>4463</v>
      </c>
      <c r="D11" t="s">
        <v>1733</v>
      </c>
      <c r="E11" t="s">
        <v>4517</v>
      </c>
      <c r="F11" t="s">
        <v>4518</v>
      </c>
      <c r="G11" t="s">
        <v>3289</v>
      </c>
    </row>
    <row r="12" spans="1:7" x14ac:dyDescent="0.2">
      <c r="B12" t="s">
        <v>4464</v>
      </c>
      <c r="D12" t="s">
        <v>1733</v>
      </c>
      <c r="E12" t="s">
        <v>4519</v>
      </c>
      <c r="F12" t="s">
        <v>1422</v>
      </c>
      <c r="G12" t="s">
        <v>3096</v>
      </c>
    </row>
    <row r="13" spans="1:7" x14ac:dyDescent="0.2">
      <c r="B13" t="s">
        <v>4465</v>
      </c>
      <c r="D13" t="s">
        <v>1733</v>
      </c>
      <c r="E13" t="s">
        <v>4520</v>
      </c>
      <c r="F13" t="s">
        <v>4521</v>
      </c>
      <c r="G13" t="s">
        <v>4522</v>
      </c>
    </row>
    <row r="14" spans="1:7" x14ac:dyDescent="0.2">
      <c r="B14" t="s">
        <v>4466</v>
      </c>
      <c r="D14" t="s">
        <v>1733</v>
      </c>
      <c r="E14" t="s">
        <v>4523</v>
      </c>
      <c r="F14" t="s">
        <v>4524</v>
      </c>
      <c r="G14" t="s">
        <v>3588</v>
      </c>
    </row>
    <row r="15" spans="1:7" x14ac:dyDescent="0.2">
      <c r="B15" t="s">
        <v>4467</v>
      </c>
      <c r="D15" t="s">
        <v>1733</v>
      </c>
      <c r="E15" t="s">
        <v>1992</v>
      </c>
      <c r="F15" t="s">
        <v>4525</v>
      </c>
      <c r="G15" t="s">
        <v>4526</v>
      </c>
    </row>
    <row r="16" spans="1:7" x14ac:dyDescent="0.2">
      <c r="B16" t="s">
        <v>4468</v>
      </c>
      <c r="D16" t="s">
        <v>1733</v>
      </c>
      <c r="E16" t="s">
        <v>4527</v>
      </c>
      <c r="F16" t="s">
        <v>4528</v>
      </c>
      <c r="G16" t="s">
        <v>3453</v>
      </c>
    </row>
    <row r="17" spans="2:7" x14ac:dyDescent="0.2">
      <c r="B17" t="s">
        <v>4469</v>
      </c>
      <c r="D17" t="s">
        <v>1733</v>
      </c>
      <c r="E17" t="s">
        <v>4529</v>
      </c>
      <c r="F17" t="s">
        <v>4530</v>
      </c>
      <c r="G17" t="s">
        <v>4531</v>
      </c>
    </row>
    <row r="18" spans="2:7" x14ac:dyDescent="0.2">
      <c r="B18" t="s">
        <v>4470</v>
      </c>
      <c r="D18" t="s">
        <v>1733</v>
      </c>
      <c r="E18" t="s">
        <v>4532</v>
      </c>
      <c r="F18" t="s">
        <v>4533</v>
      </c>
      <c r="G18" t="s">
        <v>3875</v>
      </c>
    </row>
    <row r="19" spans="2:7" x14ac:dyDescent="0.2">
      <c r="B19" t="s">
        <v>4471</v>
      </c>
      <c r="D19" t="s">
        <v>1733</v>
      </c>
      <c r="E19" t="s">
        <v>4534</v>
      </c>
      <c r="F19" t="s">
        <v>3743</v>
      </c>
      <c r="G19" t="s">
        <v>3072</v>
      </c>
    </row>
    <row r="20" spans="2:7" x14ac:dyDescent="0.2">
      <c r="B20" t="s">
        <v>4472</v>
      </c>
      <c r="D20" t="s">
        <v>1733</v>
      </c>
      <c r="E20" t="s">
        <v>3728</v>
      </c>
      <c r="F20" t="s">
        <v>3436</v>
      </c>
      <c r="G20" t="s">
        <v>3861</v>
      </c>
    </row>
    <row r="21" spans="2:7" x14ac:dyDescent="0.2">
      <c r="B21" t="s">
        <v>4473</v>
      </c>
      <c r="D21" t="s">
        <v>1733</v>
      </c>
      <c r="E21" t="s">
        <v>4535</v>
      </c>
      <c r="F21" t="s">
        <v>4536</v>
      </c>
      <c r="G21" t="s">
        <v>4537</v>
      </c>
    </row>
    <row r="22" spans="2:7" x14ac:dyDescent="0.2">
      <c r="B22" t="s">
        <v>4474</v>
      </c>
      <c r="D22" t="s">
        <v>1733</v>
      </c>
      <c r="E22" t="s">
        <v>4538</v>
      </c>
      <c r="F22" t="s">
        <v>1050</v>
      </c>
      <c r="G22" t="s">
        <v>4539</v>
      </c>
    </row>
    <row r="23" spans="2:7" x14ac:dyDescent="0.2">
      <c r="B23" t="s">
        <v>4475</v>
      </c>
      <c r="D23" t="s">
        <v>1733</v>
      </c>
      <c r="E23" t="s">
        <v>4540</v>
      </c>
      <c r="F23" t="s">
        <v>3470</v>
      </c>
      <c r="G23" t="s">
        <v>4541</v>
      </c>
    </row>
    <row r="24" spans="2:7" x14ac:dyDescent="0.2">
      <c r="B24" t="s">
        <v>4476</v>
      </c>
      <c r="D24" t="s">
        <v>789</v>
      </c>
      <c r="E24" t="s">
        <v>1415</v>
      </c>
      <c r="F24" t="s">
        <v>4542</v>
      </c>
      <c r="G24" t="s">
        <v>1571</v>
      </c>
    </row>
    <row r="25" spans="2:7" x14ac:dyDescent="0.2">
      <c r="B25" t="s">
        <v>4477</v>
      </c>
      <c r="D25" t="s">
        <v>1733</v>
      </c>
      <c r="E25" t="s">
        <v>4392</v>
      </c>
      <c r="F25" t="s">
        <v>3397</v>
      </c>
      <c r="G25" t="s">
        <v>3688</v>
      </c>
    </row>
    <row r="26" spans="2:7" x14ac:dyDescent="0.2">
      <c r="B26" t="s">
        <v>4478</v>
      </c>
      <c r="D26" t="s">
        <v>1733</v>
      </c>
      <c r="E26" t="s">
        <v>4543</v>
      </c>
      <c r="F26" t="s">
        <v>4544</v>
      </c>
      <c r="G26" t="s">
        <v>4545</v>
      </c>
    </row>
    <row r="27" spans="2:7" x14ac:dyDescent="0.2">
      <c r="B27" t="s">
        <v>4479</v>
      </c>
      <c r="D27" t="s">
        <v>1733</v>
      </c>
      <c r="E27" t="s">
        <v>4546</v>
      </c>
      <c r="F27" t="s">
        <v>4547</v>
      </c>
      <c r="G27" t="s">
        <v>4548</v>
      </c>
    </row>
    <row r="28" spans="2:7" x14ac:dyDescent="0.2">
      <c r="B28" t="s">
        <v>4480</v>
      </c>
      <c r="D28" t="s">
        <v>1733</v>
      </c>
      <c r="E28" t="s">
        <v>4549</v>
      </c>
      <c r="F28" t="s">
        <v>4550</v>
      </c>
      <c r="G28" t="s">
        <v>4551</v>
      </c>
    </row>
    <row r="29" spans="2:7" x14ac:dyDescent="0.2">
      <c r="B29" t="s">
        <v>4481</v>
      </c>
      <c r="D29" t="s">
        <v>1733</v>
      </c>
      <c r="E29" t="s">
        <v>950</v>
      </c>
      <c r="F29" t="s">
        <v>4552</v>
      </c>
      <c r="G29" t="s">
        <v>2857</v>
      </c>
    </row>
    <row r="30" spans="2:7" x14ac:dyDescent="0.2">
      <c r="B30" t="s">
        <v>4482</v>
      </c>
      <c r="D30" t="s">
        <v>1733</v>
      </c>
      <c r="E30" t="s">
        <v>4553</v>
      </c>
      <c r="F30" t="s">
        <v>4554</v>
      </c>
      <c r="G30" t="s">
        <v>3096</v>
      </c>
    </row>
    <row r="31" spans="2:7" x14ac:dyDescent="0.2">
      <c r="B31" t="s">
        <v>4483</v>
      </c>
      <c r="D31" t="s">
        <v>1733</v>
      </c>
      <c r="E31" t="s">
        <v>4555</v>
      </c>
      <c r="F31" t="s">
        <v>3999</v>
      </c>
      <c r="G31" t="s">
        <v>4556</v>
      </c>
    </row>
    <row r="32" spans="2:7" x14ac:dyDescent="0.2">
      <c r="B32" t="s">
        <v>4484</v>
      </c>
      <c r="D32" t="s">
        <v>1733</v>
      </c>
      <c r="E32" t="s">
        <v>4557</v>
      </c>
      <c r="F32" t="s">
        <v>4558</v>
      </c>
      <c r="G32" t="s">
        <v>4559</v>
      </c>
    </row>
    <row r="33" spans="2:7" x14ac:dyDescent="0.2">
      <c r="B33" t="s">
        <v>4485</v>
      </c>
      <c r="D33" t="s">
        <v>1733</v>
      </c>
      <c r="E33" t="s">
        <v>4560</v>
      </c>
      <c r="F33" t="s">
        <v>1463</v>
      </c>
      <c r="G33" t="s">
        <v>4561</v>
      </c>
    </row>
    <row r="34" spans="2:7" x14ac:dyDescent="0.2">
      <c r="B34" t="s">
        <v>4486</v>
      </c>
      <c r="D34" t="s">
        <v>1733</v>
      </c>
      <c r="E34" t="s">
        <v>4562</v>
      </c>
      <c r="F34" t="s">
        <v>4510</v>
      </c>
      <c r="G34" t="s">
        <v>4563</v>
      </c>
    </row>
    <row r="35" spans="2:7" x14ac:dyDescent="0.2">
      <c r="B35" t="s">
        <v>4487</v>
      </c>
      <c r="D35" t="s">
        <v>1733</v>
      </c>
      <c r="E35" t="s">
        <v>4564</v>
      </c>
      <c r="F35" t="s">
        <v>4565</v>
      </c>
      <c r="G35" t="s">
        <v>4179</v>
      </c>
    </row>
    <row r="36" spans="2:7" x14ac:dyDescent="0.2">
      <c r="B36" t="s">
        <v>4488</v>
      </c>
      <c r="D36" t="s">
        <v>1733</v>
      </c>
      <c r="E36" t="s">
        <v>4566</v>
      </c>
      <c r="F36" t="s">
        <v>3693</v>
      </c>
      <c r="G36" t="s">
        <v>4567</v>
      </c>
    </row>
    <row r="37" spans="2:7" x14ac:dyDescent="0.2">
      <c r="B37" t="s">
        <v>4489</v>
      </c>
      <c r="D37" t="s">
        <v>1733</v>
      </c>
      <c r="E37" t="s">
        <v>4568</v>
      </c>
      <c r="F37" t="s">
        <v>4569</v>
      </c>
      <c r="G37" t="s">
        <v>3649</v>
      </c>
    </row>
    <row r="38" spans="2:7" x14ac:dyDescent="0.2">
      <c r="B38" t="s">
        <v>4490</v>
      </c>
      <c r="D38" t="s">
        <v>1733</v>
      </c>
      <c r="E38" t="s">
        <v>3960</v>
      </c>
      <c r="F38" t="s">
        <v>4570</v>
      </c>
      <c r="G38" t="s">
        <v>3153</v>
      </c>
    </row>
    <row r="39" spans="2:7" x14ac:dyDescent="0.2">
      <c r="B39" t="s">
        <v>4491</v>
      </c>
      <c r="D39" t="s">
        <v>1733</v>
      </c>
      <c r="E39" t="s">
        <v>4571</v>
      </c>
      <c r="F39" t="s">
        <v>4572</v>
      </c>
      <c r="G39" t="s">
        <v>4573</v>
      </c>
    </row>
    <row r="40" spans="2:7" x14ac:dyDescent="0.2">
      <c r="B40" t="s">
        <v>4492</v>
      </c>
      <c r="D40" t="s">
        <v>1733</v>
      </c>
      <c r="E40" t="s">
        <v>4574</v>
      </c>
      <c r="F40" t="s">
        <v>4575</v>
      </c>
      <c r="G40" t="s">
        <v>4576</v>
      </c>
    </row>
    <row r="41" spans="2:7" x14ac:dyDescent="0.2">
      <c r="B41" t="s">
        <v>4493</v>
      </c>
      <c r="D41" t="s">
        <v>1733</v>
      </c>
      <c r="E41" t="s">
        <v>4577</v>
      </c>
      <c r="F41" t="s">
        <v>4578</v>
      </c>
      <c r="G41" t="s">
        <v>4579</v>
      </c>
    </row>
    <row r="42" spans="2:7" x14ac:dyDescent="0.2">
      <c r="B42" t="s">
        <v>4494</v>
      </c>
      <c r="D42" t="s">
        <v>1733</v>
      </c>
      <c r="E42" t="s">
        <v>4027</v>
      </c>
      <c r="F42" t="s">
        <v>3361</v>
      </c>
      <c r="G42" t="s">
        <v>4580</v>
      </c>
    </row>
    <row r="43" spans="2:7" x14ac:dyDescent="0.2">
      <c r="B43" t="s">
        <v>4495</v>
      </c>
      <c r="D43" t="s">
        <v>1733</v>
      </c>
      <c r="E43" t="s">
        <v>4581</v>
      </c>
      <c r="F43" t="s">
        <v>4582</v>
      </c>
      <c r="G43" t="s">
        <v>4583</v>
      </c>
    </row>
    <row r="44" spans="2:7" x14ac:dyDescent="0.2">
      <c r="B44" t="s">
        <v>4496</v>
      </c>
      <c r="D44" t="s">
        <v>1733</v>
      </c>
      <c r="E44" t="s">
        <v>1046</v>
      </c>
      <c r="F44" t="s">
        <v>4584</v>
      </c>
      <c r="G44" t="s">
        <v>3209</v>
      </c>
    </row>
    <row r="45" spans="2:7" x14ac:dyDescent="0.2">
      <c r="B45" t="s">
        <v>4497</v>
      </c>
      <c r="D45" t="s">
        <v>1733</v>
      </c>
      <c r="E45" t="s">
        <v>4585</v>
      </c>
      <c r="F45" t="s">
        <v>4586</v>
      </c>
      <c r="G45" t="s">
        <v>4587</v>
      </c>
    </row>
    <row r="46" spans="2:7" x14ac:dyDescent="0.2">
      <c r="B46" t="s">
        <v>4498</v>
      </c>
      <c r="D46" t="s">
        <v>1733</v>
      </c>
      <c r="E46" t="s">
        <v>1383</v>
      </c>
      <c r="F46" t="s">
        <v>4166</v>
      </c>
      <c r="G46" t="s">
        <v>2921</v>
      </c>
    </row>
    <row r="47" spans="2:7" x14ac:dyDescent="0.2">
      <c r="B47" t="s">
        <v>4499</v>
      </c>
      <c r="D47" t="s">
        <v>1733</v>
      </c>
      <c r="E47" t="s">
        <v>3032</v>
      </c>
      <c r="F47" t="s">
        <v>4588</v>
      </c>
      <c r="G47" t="s">
        <v>4589</v>
      </c>
    </row>
    <row r="48" spans="2:7" x14ac:dyDescent="0.2">
      <c r="B48" t="s">
        <v>4500</v>
      </c>
      <c r="D48" t="s">
        <v>1733</v>
      </c>
      <c r="E48" t="s">
        <v>4590</v>
      </c>
      <c r="F48" t="s">
        <v>4591</v>
      </c>
      <c r="G48" t="s">
        <v>2061</v>
      </c>
    </row>
  </sheetData>
  <autoFilter ref="A1:G896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>""""&amp;SUBSTITUTE(A1,"zzz",H1)&amp;""""&amp;","</f>
        <v>"https://www.zeldadungeon.net/maps/totk/tiles/sky/6/2_9.jpg",</v>
      </c>
      <c r="H1" t="str">
        <f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>""""&amp;SUBSTITUTE(A2,"zzz",H2)&amp;""""&amp;","</f>
        <v>"https://www.zeldadungeon.net/maps/totk/tiles/sky/6/2_10.jpg",</v>
      </c>
      <c r="H2" t="str">
        <f>QUOTIENT(ROW(A2),48)+2&amp;"_"&amp;MOD(ROW(A2),48)+8</f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>""""&amp;SUBSTITUTE(A3,"zzz",H3)&amp;""""&amp;","</f>
        <v>"https://www.zeldadungeon.net/maps/totk/tiles/sky/6/2_11.jpg",</v>
      </c>
      <c r="H3" t="str">
        <f>QUOTIENT(ROW(A3),48)+2&amp;"_"&amp;MOD(ROW(A3),48)+8</f>
        <v>2_11</v>
      </c>
    </row>
    <row r="4" spans="1:19" x14ac:dyDescent="0.2">
      <c r="A4" s="9" t="s">
        <v>51</v>
      </c>
      <c r="B4" t="s">
        <v>773</v>
      </c>
      <c r="C4" t="str">
        <f>""""&amp;SUBSTITUTE(A4,"zzz",H4)&amp;""""&amp;","</f>
        <v>"https://www.zeldadungeon.net/maps/totk/tiles/sky/6/2_12.jpg",</v>
      </c>
      <c r="H4" t="str">
        <f>QUOTIENT(ROW(A4),48)+2&amp;"_"&amp;MOD(ROW(A4),48)+8</f>
        <v>2_12</v>
      </c>
    </row>
    <row r="5" spans="1:19" x14ac:dyDescent="0.2">
      <c r="A5" s="9" t="s">
        <v>51</v>
      </c>
      <c r="B5" t="s">
        <v>772</v>
      </c>
      <c r="C5" t="str">
        <f>""""&amp;SUBSTITUTE(A5,"zzz",H5)&amp;""""&amp;","</f>
        <v>"https://www.zeldadungeon.net/maps/totk/tiles/sky/6/2_13.jpg",</v>
      </c>
      <c r="H5" t="str">
        <f>QUOTIENT(ROW(A5),48)+2&amp;"_"&amp;MOD(ROW(A5),48)+8</f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>""""&amp;SUBSTITUTE(A6,"zzz",H6)&amp;""""&amp;","</f>
        <v>"https://www.zeldadungeon.net/maps/totk/tiles/sky/6/2_14.jpg",</v>
      </c>
      <c r="H6" t="str">
        <f>QUOTIENT(ROW(A6),48)+2&amp;"_"&amp;MOD(ROW(A6),48)+8</f>
        <v>2_14</v>
      </c>
    </row>
    <row r="7" spans="1:19" x14ac:dyDescent="0.2">
      <c r="A7" s="9" t="s">
        <v>51</v>
      </c>
      <c r="B7" t="s">
        <v>770</v>
      </c>
      <c r="C7" t="str">
        <f>""""&amp;SUBSTITUTE(A7,"zzz",H7)&amp;""""&amp;","</f>
        <v>"https://www.zeldadungeon.net/maps/totk/tiles/sky/6/2_15.jpg",</v>
      </c>
      <c r="H7" t="str">
        <f>QUOTIENT(ROW(A7),48)+2&amp;"_"&amp;MOD(ROW(A7),48)+8</f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>""""&amp;SUBSTITUTE(A8,"zzz",H8)&amp;""""&amp;","</f>
        <v>"https://www.zeldadungeon.net/maps/totk/tiles/sky/6/2_16.jpg",</v>
      </c>
      <c r="H8" t="str">
        <f>QUOTIENT(ROW(A8),48)+2&amp;"_"&amp;MOD(ROW(A8),48)+8</f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>""""&amp;SUBSTITUTE(A9,"zzz",H9)&amp;""""&amp;","</f>
        <v>"https://www.zeldadungeon.net/maps/totk/tiles/sky/6/2_17.jpg",</v>
      </c>
      <c r="H9" t="str">
        <f>QUOTIENT(ROW(A9),48)+2&amp;"_"&amp;MOD(ROW(A9),48)+8</f>
        <v>2_17</v>
      </c>
    </row>
    <row r="10" spans="1:19" x14ac:dyDescent="0.2">
      <c r="A10" s="9" t="s">
        <v>51</v>
      </c>
      <c r="B10" t="s">
        <v>762</v>
      </c>
      <c r="C10" t="str">
        <f>""""&amp;SUBSTITUTE(A10,"zzz",H10)&amp;""""&amp;","</f>
        <v>"https://www.zeldadungeon.net/maps/totk/tiles/sky/6/2_18.jpg",</v>
      </c>
      <c r="H10" t="str">
        <f>QUOTIENT(ROW(A10),48)+2&amp;"_"&amp;MOD(ROW(A10),48)+8</f>
        <v>2_18</v>
      </c>
    </row>
    <row r="11" spans="1:19" x14ac:dyDescent="0.2">
      <c r="A11" s="9" t="s">
        <v>51</v>
      </c>
      <c r="B11" t="s">
        <v>761</v>
      </c>
      <c r="C11" t="str">
        <f>""""&amp;SUBSTITUTE(A11,"zzz",H11)&amp;""""&amp;","</f>
        <v>"https://www.zeldadungeon.net/maps/totk/tiles/sky/6/2_19.jpg",</v>
      </c>
      <c r="H11" t="str">
        <f>QUOTIENT(ROW(A11),48)+2&amp;"_"&amp;MOD(ROW(A11),48)+8</f>
        <v>2_19</v>
      </c>
    </row>
    <row r="12" spans="1:19" x14ac:dyDescent="0.2">
      <c r="A12" s="9" t="s">
        <v>51</v>
      </c>
      <c r="B12" t="s">
        <v>760</v>
      </c>
      <c r="C12" t="str">
        <f>""""&amp;SUBSTITUTE(A12,"zzz",H12)&amp;""""&amp;","</f>
        <v>"https://www.zeldadungeon.net/maps/totk/tiles/sky/6/2_20.jpg",</v>
      </c>
      <c r="H12" t="str">
        <f>QUOTIENT(ROW(A12),48)+2&amp;"_"&amp;MOD(ROW(A12),48)+8</f>
        <v>2_20</v>
      </c>
    </row>
    <row r="13" spans="1:19" x14ac:dyDescent="0.2">
      <c r="A13" s="9" t="s">
        <v>51</v>
      </c>
      <c r="B13" t="s">
        <v>759</v>
      </c>
      <c r="C13" t="str">
        <f>""""&amp;SUBSTITUTE(A13,"zzz",H13)&amp;""""&amp;","</f>
        <v>"https://www.zeldadungeon.net/maps/totk/tiles/sky/6/2_21.jpg",</v>
      </c>
      <c r="H13" t="str">
        <f>QUOTIENT(ROW(A13),48)+2&amp;"_"&amp;MOD(ROW(A13),48)+8</f>
        <v>2_21</v>
      </c>
    </row>
    <row r="14" spans="1:19" x14ac:dyDescent="0.2">
      <c r="A14" s="9" t="s">
        <v>51</v>
      </c>
      <c r="B14" t="s">
        <v>758</v>
      </c>
      <c r="C14" t="str">
        <f>""""&amp;SUBSTITUTE(A14,"zzz",H14)&amp;""""&amp;","</f>
        <v>"https://www.zeldadungeon.net/maps/totk/tiles/sky/6/2_22.jpg",</v>
      </c>
      <c r="H14" t="str">
        <f>QUOTIENT(ROW(A14),48)+2&amp;"_"&amp;MOD(ROW(A14),48)+8</f>
        <v>2_22</v>
      </c>
    </row>
    <row r="15" spans="1:19" x14ac:dyDescent="0.2">
      <c r="A15" s="9" t="s">
        <v>51</v>
      </c>
      <c r="B15" t="s">
        <v>757</v>
      </c>
      <c r="C15" t="str">
        <f>""""&amp;SUBSTITUTE(A15,"zzz",H15)&amp;""""&amp;","</f>
        <v>"https://www.zeldadungeon.net/maps/totk/tiles/sky/6/2_23.jpg",</v>
      </c>
      <c r="H15" t="str">
        <f>QUOTIENT(ROW(A15),48)+2&amp;"_"&amp;MOD(ROW(A15),48)+8</f>
        <v>2_23</v>
      </c>
    </row>
    <row r="16" spans="1:19" x14ac:dyDescent="0.2">
      <c r="A16" s="9" t="s">
        <v>51</v>
      </c>
      <c r="B16" t="s">
        <v>756</v>
      </c>
      <c r="C16" t="str">
        <f>""""&amp;SUBSTITUTE(A16,"zzz",H16)&amp;""""&amp;","</f>
        <v>"https://www.zeldadungeon.net/maps/totk/tiles/sky/6/2_24.jpg",</v>
      </c>
      <c r="H16" t="str">
        <f>QUOTIENT(ROW(A16),48)+2&amp;"_"&amp;MOD(ROW(A16),48)+8</f>
        <v>2_24</v>
      </c>
    </row>
    <row r="17" spans="1:8" x14ac:dyDescent="0.2">
      <c r="A17" s="9" t="s">
        <v>51</v>
      </c>
      <c r="B17" t="s">
        <v>755</v>
      </c>
      <c r="C17" t="str">
        <f>""""&amp;SUBSTITUTE(A17,"zzz",H17)&amp;""""&amp;","</f>
        <v>"https://www.zeldadungeon.net/maps/totk/tiles/sky/6/2_25.jpg",</v>
      </c>
      <c r="H17" t="str">
        <f>QUOTIENT(ROW(A17),48)+2&amp;"_"&amp;MOD(ROW(A17),48)+8</f>
        <v>2_25</v>
      </c>
    </row>
    <row r="18" spans="1:8" x14ac:dyDescent="0.2">
      <c r="A18" s="9" t="s">
        <v>51</v>
      </c>
      <c r="B18" t="s">
        <v>754</v>
      </c>
      <c r="C18" t="str">
        <f>""""&amp;SUBSTITUTE(A18,"zzz",H18)&amp;""""&amp;","</f>
        <v>"https://www.zeldadungeon.net/maps/totk/tiles/sky/6/2_26.jpg",</v>
      </c>
      <c r="H18" t="str">
        <f>QUOTIENT(ROW(A18),48)+2&amp;"_"&amp;MOD(ROW(A18),48)+8</f>
        <v>2_26</v>
      </c>
    </row>
    <row r="19" spans="1:8" x14ac:dyDescent="0.2">
      <c r="A19" s="9" t="s">
        <v>51</v>
      </c>
      <c r="B19" t="s">
        <v>753</v>
      </c>
      <c r="C19" t="str">
        <f>""""&amp;SUBSTITUTE(A19,"zzz",H19)&amp;""""&amp;","</f>
        <v>"https://www.zeldadungeon.net/maps/totk/tiles/sky/6/2_27.jpg",</v>
      </c>
      <c r="H19" t="str">
        <f>QUOTIENT(ROW(A19),48)+2&amp;"_"&amp;MOD(ROW(A19),48)+8</f>
        <v>2_27</v>
      </c>
    </row>
    <row r="20" spans="1:8" x14ac:dyDescent="0.2">
      <c r="A20" s="9" t="s">
        <v>51</v>
      </c>
      <c r="B20" t="s">
        <v>752</v>
      </c>
      <c r="C20" t="str">
        <f>""""&amp;SUBSTITUTE(A20,"zzz",H20)&amp;""""&amp;","</f>
        <v>"https://www.zeldadungeon.net/maps/totk/tiles/sky/6/2_28.jpg",</v>
      </c>
      <c r="H20" t="str">
        <f>QUOTIENT(ROW(A20),48)+2&amp;"_"&amp;MOD(ROW(A20),48)+8</f>
        <v>2_28</v>
      </c>
    </row>
    <row r="21" spans="1:8" x14ac:dyDescent="0.2">
      <c r="A21" s="9" t="s">
        <v>51</v>
      </c>
      <c r="B21" t="s">
        <v>751</v>
      </c>
      <c r="C21" t="str">
        <f>""""&amp;SUBSTITUTE(A21,"zzz",H21)&amp;""""&amp;","</f>
        <v>"https://www.zeldadungeon.net/maps/totk/tiles/sky/6/2_29.jpg",</v>
      </c>
      <c r="H21" t="str">
        <f>QUOTIENT(ROW(A21),48)+2&amp;"_"&amp;MOD(ROW(A21),48)+8</f>
        <v>2_29</v>
      </c>
    </row>
    <row r="22" spans="1:8" x14ac:dyDescent="0.2">
      <c r="A22" s="9" t="s">
        <v>51</v>
      </c>
      <c r="B22" t="s">
        <v>750</v>
      </c>
      <c r="C22" t="str">
        <f>""""&amp;SUBSTITUTE(A22,"zzz",H22)&amp;""""&amp;","</f>
        <v>"https://www.zeldadungeon.net/maps/totk/tiles/sky/6/2_30.jpg",</v>
      </c>
      <c r="H22" t="str">
        <f>QUOTIENT(ROW(A22),48)+2&amp;"_"&amp;MOD(ROW(A22),48)+8</f>
        <v>2_30</v>
      </c>
    </row>
    <row r="23" spans="1:8" x14ac:dyDescent="0.2">
      <c r="A23" s="9" t="s">
        <v>51</v>
      </c>
      <c r="B23" t="s">
        <v>749</v>
      </c>
      <c r="C23" t="str">
        <f>""""&amp;SUBSTITUTE(A23,"zzz",H23)&amp;""""&amp;","</f>
        <v>"https://www.zeldadungeon.net/maps/totk/tiles/sky/6/2_31.jpg",</v>
      </c>
      <c r="H23" t="str">
        <f>QUOTIENT(ROW(A23),48)+2&amp;"_"&amp;MOD(ROW(A23),48)+8</f>
        <v>2_31</v>
      </c>
    </row>
    <row r="24" spans="1:8" x14ac:dyDescent="0.2">
      <c r="A24" s="9" t="s">
        <v>51</v>
      </c>
      <c r="B24" t="s">
        <v>748</v>
      </c>
      <c r="C24" t="str">
        <f>""""&amp;SUBSTITUTE(A24,"zzz",H24)&amp;""""&amp;","</f>
        <v>"https://www.zeldadungeon.net/maps/totk/tiles/sky/6/2_32.jpg",</v>
      </c>
      <c r="H24" t="str">
        <f>QUOTIENT(ROW(A24),48)+2&amp;"_"&amp;MOD(ROW(A24),48)+8</f>
        <v>2_32</v>
      </c>
    </row>
    <row r="25" spans="1:8" x14ac:dyDescent="0.2">
      <c r="A25" s="9" t="s">
        <v>51</v>
      </c>
      <c r="B25" t="s">
        <v>747</v>
      </c>
      <c r="C25" t="str">
        <f>""""&amp;SUBSTITUTE(A25,"zzz",H25)&amp;""""&amp;","</f>
        <v>"https://www.zeldadungeon.net/maps/totk/tiles/sky/6/2_33.jpg",</v>
      </c>
      <c r="H25" t="str">
        <f>QUOTIENT(ROW(A25),48)+2&amp;"_"&amp;MOD(ROW(A25),48)+8</f>
        <v>2_33</v>
      </c>
    </row>
    <row r="26" spans="1:8" x14ac:dyDescent="0.2">
      <c r="A26" s="9" t="s">
        <v>51</v>
      </c>
      <c r="B26" t="s">
        <v>746</v>
      </c>
      <c r="C26" t="str">
        <f>""""&amp;SUBSTITUTE(A26,"zzz",H26)&amp;""""&amp;","</f>
        <v>"https://www.zeldadungeon.net/maps/totk/tiles/sky/6/2_34.jpg",</v>
      </c>
      <c r="H26" t="str">
        <f>QUOTIENT(ROW(A26),48)+2&amp;"_"&amp;MOD(ROW(A26),48)+8</f>
        <v>2_34</v>
      </c>
    </row>
    <row r="27" spans="1:8" x14ac:dyDescent="0.2">
      <c r="A27" s="9" t="s">
        <v>51</v>
      </c>
      <c r="B27" t="s">
        <v>745</v>
      </c>
      <c r="C27" t="str">
        <f>""""&amp;SUBSTITUTE(A27,"zzz",H27)&amp;""""&amp;","</f>
        <v>"https://www.zeldadungeon.net/maps/totk/tiles/sky/6/2_35.jpg",</v>
      </c>
      <c r="H27" t="str">
        <f>QUOTIENT(ROW(A27),48)+2&amp;"_"&amp;MOD(ROW(A27),48)+8</f>
        <v>2_35</v>
      </c>
    </row>
    <row r="28" spans="1:8" x14ac:dyDescent="0.2">
      <c r="A28" s="9" t="s">
        <v>51</v>
      </c>
      <c r="B28" t="s">
        <v>744</v>
      </c>
      <c r="C28" t="str">
        <f>""""&amp;SUBSTITUTE(A28,"zzz",H28)&amp;""""&amp;","</f>
        <v>"https://www.zeldadungeon.net/maps/totk/tiles/sky/6/2_36.jpg",</v>
      </c>
      <c r="H28" t="str">
        <f>QUOTIENT(ROW(A28),48)+2&amp;"_"&amp;MOD(ROW(A28),48)+8</f>
        <v>2_36</v>
      </c>
    </row>
    <row r="29" spans="1:8" x14ac:dyDescent="0.2">
      <c r="A29" s="9" t="s">
        <v>51</v>
      </c>
      <c r="B29" t="s">
        <v>743</v>
      </c>
      <c r="C29" t="str">
        <f>""""&amp;SUBSTITUTE(A29,"zzz",H29)&amp;""""&amp;","</f>
        <v>"https://www.zeldadungeon.net/maps/totk/tiles/sky/6/2_37.jpg",</v>
      </c>
      <c r="H29" t="str">
        <f>QUOTIENT(ROW(A29),48)+2&amp;"_"&amp;MOD(ROW(A29),48)+8</f>
        <v>2_37</v>
      </c>
    </row>
    <row r="30" spans="1:8" x14ac:dyDescent="0.2">
      <c r="A30" s="9" t="s">
        <v>51</v>
      </c>
      <c r="B30" t="s">
        <v>742</v>
      </c>
      <c r="C30" t="str">
        <f>""""&amp;SUBSTITUTE(A30,"zzz",H30)&amp;""""&amp;","</f>
        <v>"https://www.zeldadungeon.net/maps/totk/tiles/sky/6/2_38.jpg",</v>
      </c>
      <c r="H30" t="str">
        <f>QUOTIENT(ROW(A30),48)+2&amp;"_"&amp;MOD(ROW(A30),48)+8</f>
        <v>2_38</v>
      </c>
    </row>
    <row r="31" spans="1:8" x14ac:dyDescent="0.2">
      <c r="A31" s="9" t="s">
        <v>51</v>
      </c>
      <c r="B31" t="s">
        <v>741</v>
      </c>
      <c r="C31" t="str">
        <f>""""&amp;SUBSTITUTE(A31,"zzz",H31)&amp;""""&amp;","</f>
        <v>"https://www.zeldadungeon.net/maps/totk/tiles/sky/6/2_39.jpg",</v>
      </c>
      <c r="H31" t="str">
        <f>QUOTIENT(ROW(A31),48)+2&amp;"_"&amp;MOD(ROW(A31),48)+8</f>
        <v>2_39</v>
      </c>
    </row>
    <row r="32" spans="1:8" x14ac:dyDescent="0.2">
      <c r="A32" s="9" t="s">
        <v>51</v>
      </c>
      <c r="B32" t="s">
        <v>740</v>
      </c>
      <c r="C32" t="str">
        <f>""""&amp;SUBSTITUTE(A32,"zzz",H32)&amp;""""&amp;","</f>
        <v>"https://www.zeldadungeon.net/maps/totk/tiles/sky/6/2_40.jpg",</v>
      </c>
      <c r="H32" t="str">
        <f>QUOTIENT(ROW(A32),48)+2&amp;"_"&amp;MOD(ROW(A32),48)+8</f>
        <v>2_40</v>
      </c>
    </row>
    <row r="33" spans="1:8" x14ac:dyDescent="0.2">
      <c r="A33" s="9" t="s">
        <v>51</v>
      </c>
      <c r="B33" t="s">
        <v>739</v>
      </c>
      <c r="C33" t="str">
        <f>""""&amp;SUBSTITUTE(A33,"zzz",H33)&amp;""""&amp;","</f>
        <v>"https://www.zeldadungeon.net/maps/totk/tiles/sky/6/2_41.jpg",</v>
      </c>
      <c r="H33" t="str">
        <f>QUOTIENT(ROW(A33),48)+2&amp;"_"&amp;MOD(ROW(A33),48)+8</f>
        <v>2_41</v>
      </c>
    </row>
    <row r="34" spans="1:8" x14ac:dyDescent="0.2">
      <c r="A34" s="9" t="s">
        <v>51</v>
      </c>
      <c r="B34" t="s">
        <v>738</v>
      </c>
      <c r="C34" t="str">
        <f>""""&amp;SUBSTITUTE(A34,"zzz",H34)&amp;""""&amp;","</f>
        <v>"https://www.zeldadungeon.net/maps/totk/tiles/sky/6/2_42.jpg",</v>
      </c>
      <c r="H34" t="str">
        <f>QUOTIENT(ROW(A34),48)+2&amp;"_"&amp;MOD(ROW(A34),48)+8</f>
        <v>2_42</v>
      </c>
    </row>
    <row r="35" spans="1:8" x14ac:dyDescent="0.2">
      <c r="A35" s="9" t="s">
        <v>51</v>
      </c>
      <c r="B35" t="s">
        <v>737</v>
      </c>
      <c r="C35" t="str">
        <f>""""&amp;SUBSTITUTE(A35,"zzz",H35)&amp;""""&amp;","</f>
        <v>"https://www.zeldadungeon.net/maps/totk/tiles/sky/6/2_43.jpg",</v>
      </c>
      <c r="H35" t="str">
        <f>QUOTIENT(ROW(A35),48)+2&amp;"_"&amp;MOD(ROW(A35),48)+8</f>
        <v>2_43</v>
      </c>
    </row>
    <row r="36" spans="1:8" x14ac:dyDescent="0.2">
      <c r="A36" s="9" t="s">
        <v>51</v>
      </c>
      <c r="B36" t="s">
        <v>736</v>
      </c>
      <c r="C36" t="str">
        <f>""""&amp;SUBSTITUTE(A36,"zzz",H36)&amp;""""&amp;","</f>
        <v>"https://www.zeldadungeon.net/maps/totk/tiles/sky/6/2_44.jpg",</v>
      </c>
      <c r="H36" t="str">
        <f>QUOTIENT(ROW(A36),48)+2&amp;"_"&amp;MOD(ROW(A36),48)+8</f>
        <v>2_44</v>
      </c>
    </row>
    <row r="37" spans="1:8" x14ac:dyDescent="0.2">
      <c r="A37" s="9" t="s">
        <v>51</v>
      </c>
      <c r="B37" t="s">
        <v>735</v>
      </c>
      <c r="C37" t="str">
        <f>""""&amp;SUBSTITUTE(A37,"zzz",H37)&amp;""""&amp;","</f>
        <v>"https://www.zeldadungeon.net/maps/totk/tiles/sky/6/2_45.jpg",</v>
      </c>
      <c r="H37" t="str">
        <f>QUOTIENT(ROW(A37),48)+2&amp;"_"&amp;MOD(ROW(A37),48)+8</f>
        <v>2_45</v>
      </c>
    </row>
    <row r="38" spans="1:8" x14ac:dyDescent="0.2">
      <c r="A38" s="9" t="s">
        <v>51</v>
      </c>
      <c r="B38" t="s">
        <v>734</v>
      </c>
      <c r="C38" t="str">
        <f>""""&amp;SUBSTITUTE(A38,"zzz",H38)&amp;""""&amp;","</f>
        <v>"https://www.zeldadungeon.net/maps/totk/tiles/sky/6/2_46.jpg",</v>
      </c>
      <c r="H38" t="str">
        <f>QUOTIENT(ROW(A38),48)+2&amp;"_"&amp;MOD(ROW(A38),48)+8</f>
        <v>2_46</v>
      </c>
    </row>
    <row r="39" spans="1:8" x14ac:dyDescent="0.2">
      <c r="A39" s="9" t="s">
        <v>51</v>
      </c>
      <c r="B39" t="s">
        <v>733</v>
      </c>
      <c r="C39" t="str">
        <f>""""&amp;SUBSTITUTE(A39,"zzz",H39)&amp;""""&amp;","</f>
        <v>"https://www.zeldadungeon.net/maps/totk/tiles/sky/6/2_47.jpg",</v>
      </c>
      <c r="H39" t="str">
        <f>QUOTIENT(ROW(A39),48)+2&amp;"_"&amp;MOD(ROW(A39),48)+8</f>
        <v>2_47</v>
      </c>
    </row>
    <row r="40" spans="1:8" x14ac:dyDescent="0.2">
      <c r="A40" s="9" t="s">
        <v>51</v>
      </c>
      <c r="B40" t="s">
        <v>732</v>
      </c>
      <c r="C40" t="str">
        <f>""""&amp;SUBSTITUTE(A40,"zzz",H40)&amp;""""&amp;","</f>
        <v>"https://www.zeldadungeon.net/maps/totk/tiles/sky/6/2_48.jpg",</v>
      </c>
      <c r="H40" t="str">
        <f>QUOTIENT(ROW(A40),48)+2&amp;"_"&amp;MOD(ROW(A40),48)+8</f>
        <v>2_48</v>
      </c>
    </row>
    <row r="41" spans="1:8" x14ac:dyDescent="0.2">
      <c r="A41" s="9" t="s">
        <v>51</v>
      </c>
      <c r="B41" t="s">
        <v>731</v>
      </c>
      <c r="C41" t="str">
        <f>""""&amp;SUBSTITUTE(A41,"zzz",H41)&amp;""""&amp;","</f>
        <v>"https://www.zeldadungeon.net/maps/totk/tiles/sky/6/2_49.jpg",</v>
      </c>
      <c r="H41" t="str">
        <f>QUOTIENT(ROW(A41),48)+2&amp;"_"&amp;MOD(ROW(A41),48)+8</f>
        <v>2_49</v>
      </c>
    </row>
    <row r="42" spans="1:8" x14ac:dyDescent="0.2">
      <c r="A42" s="9" t="s">
        <v>51</v>
      </c>
      <c r="B42" t="s">
        <v>730</v>
      </c>
      <c r="C42" t="str">
        <f>""""&amp;SUBSTITUTE(A42,"zzz",H42)&amp;""""&amp;","</f>
        <v>"https://www.zeldadungeon.net/maps/totk/tiles/sky/6/2_50.jpg",</v>
      </c>
      <c r="H42" t="str">
        <f>QUOTIENT(ROW(A42),48)+2&amp;"_"&amp;MOD(ROW(A42),48)+8</f>
        <v>2_50</v>
      </c>
    </row>
    <row r="43" spans="1:8" x14ac:dyDescent="0.2">
      <c r="A43" s="9" t="s">
        <v>51</v>
      </c>
      <c r="B43" t="s">
        <v>729</v>
      </c>
      <c r="C43" t="str">
        <f>""""&amp;SUBSTITUTE(A43,"zzz",H43)&amp;""""&amp;","</f>
        <v>"https://www.zeldadungeon.net/maps/totk/tiles/sky/6/2_51.jpg",</v>
      </c>
      <c r="H43" t="str">
        <f>QUOTIENT(ROW(A43),48)+2&amp;"_"&amp;MOD(ROW(A43),48)+8</f>
        <v>2_51</v>
      </c>
    </row>
    <row r="44" spans="1:8" x14ac:dyDescent="0.2">
      <c r="A44" s="9" t="s">
        <v>51</v>
      </c>
      <c r="B44" t="s">
        <v>728</v>
      </c>
      <c r="C44" t="str">
        <f>""""&amp;SUBSTITUTE(A44,"zzz",H44)&amp;""""&amp;","</f>
        <v>"https://www.zeldadungeon.net/maps/totk/tiles/sky/6/2_52.jpg",</v>
      </c>
      <c r="H44" t="str">
        <f>QUOTIENT(ROW(A44),48)+2&amp;"_"&amp;MOD(ROW(A44),48)+8</f>
        <v>2_52</v>
      </c>
    </row>
    <row r="45" spans="1:8" x14ac:dyDescent="0.2">
      <c r="A45" s="9" t="s">
        <v>51</v>
      </c>
      <c r="B45" t="s">
        <v>727</v>
      </c>
      <c r="C45" t="str">
        <f>""""&amp;SUBSTITUTE(A45,"zzz",H45)&amp;""""&amp;","</f>
        <v>"https://www.zeldadungeon.net/maps/totk/tiles/sky/6/2_53.jpg",</v>
      </c>
      <c r="H45" t="str">
        <f>QUOTIENT(ROW(A45),48)+2&amp;"_"&amp;MOD(ROW(A45),48)+8</f>
        <v>2_53</v>
      </c>
    </row>
    <row r="46" spans="1:8" x14ac:dyDescent="0.2">
      <c r="A46" s="9" t="s">
        <v>51</v>
      </c>
      <c r="B46" t="s">
        <v>726</v>
      </c>
      <c r="C46" t="str">
        <f>""""&amp;SUBSTITUTE(A46,"zzz",H46)&amp;""""&amp;","</f>
        <v>"https://www.zeldadungeon.net/maps/totk/tiles/sky/6/2_54.jpg",</v>
      </c>
      <c r="H46" t="str">
        <f>QUOTIENT(ROW(A46),48)+2&amp;"_"&amp;MOD(ROW(A46),48)+8</f>
        <v>2_54</v>
      </c>
    </row>
    <row r="47" spans="1:8" x14ac:dyDescent="0.2">
      <c r="A47" s="9" t="s">
        <v>51</v>
      </c>
      <c r="B47" t="s">
        <v>725</v>
      </c>
      <c r="C47" t="str">
        <f>""""&amp;SUBSTITUTE(A47,"zzz",H47)&amp;""""&amp;","</f>
        <v>"https://www.zeldadungeon.net/maps/totk/tiles/sky/6/2_55.jpg",</v>
      </c>
      <c r="H47" t="str">
        <f>QUOTIENT(ROW(A47),48)+2&amp;"_"&amp;MOD(ROW(A47),48)+8</f>
        <v>2_55</v>
      </c>
    </row>
    <row r="48" spans="1:8" x14ac:dyDescent="0.2">
      <c r="A48" s="9" t="s">
        <v>51</v>
      </c>
      <c r="B48" t="s">
        <v>724</v>
      </c>
      <c r="C48" t="str">
        <f>""""&amp;SUBSTITUTE(A48,"zzz",H48)&amp;""""&amp;","</f>
        <v>"https://www.zeldadungeon.net/maps/totk/tiles/sky/6/3_8.jpg",</v>
      </c>
      <c r="H48" t="str">
        <f>QUOTIENT(ROW(A48),48)+2&amp;"_"&amp;MOD(ROW(A48),48)+8</f>
        <v>3_8</v>
      </c>
    </row>
    <row r="49" spans="1:8" x14ac:dyDescent="0.2">
      <c r="A49" s="9" t="s">
        <v>51</v>
      </c>
      <c r="B49" t="s">
        <v>723</v>
      </c>
      <c r="C49" t="str">
        <f>""""&amp;SUBSTITUTE(A49,"zzz",H49)&amp;""""&amp;","</f>
        <v>"https://www.zeldadungeon.net/maps/totk/tiles/sky/6/3_9.jpg",</v>
      </c>
      <c r="H49" t="str">
        <f>QUOTIENT(ROW(A49),48)+2&amp;"_"&amp;MOD(ROW(A49),48)+8</f>
        <v>3_9</v>
      </c>
    </row>
    <row r="50" spans="1:8" x14ac:dyDescent="0.2">
      <c r="A50" s="9" t="s">
        <v>51</v>
      </c>
      <c r="B50" t="s">
        <v>722</v>
      </c>
      <c r="C50" t="str">
        <f>""""&amp;SUBSTITUTE(A50,"zzz",H50)&amp;""""&amp;","</f>
        <v>"https://www.zeldadungeon.net/maps/totk/tiles/sky/6/3_10.jpg",</v>
      </c>
      <c r="H50" t="str">
        <f>QUOTIENT(ROW(A50),48)+2&amp;"_"&amp;MOD(ROW(A50),48)+8</f>
        <v>3_10</v>
      </c>
    </row>
    <row r="51" spans="1:8" x14ac:dyDescent="0.2">
      <c r="A51" s="9" t="s">
        <v>51</v>
      </c>
      <c r="B51" t="s">
        <v>721</v>
      </c>
      <c r="C51" t="str">
        <f>""""&amp;SUBSTITUTE(A51,"zzz",H51)&amp;""""&amp;","</f>
        <v>"https://www.zeldadungeon.net/maps/totk/tiles/sky/6/3_11.jpg",</v>
      </c>
      <c r="H51" t="str">
        <f>QUOTIENT(ROW(A51),48)+2&amp;"_"&amp;MOD(ROW(A51),48)+8</f>
        <v>3_11</v>
      </c>
    </row>
    <row r="52" spans="1:8" x14ac:dyDescent="0.2">
      <c r="A52" s="9" t="s">
        <v>51</v>
      </c>
      <c r="B52" t="s">
        <v>720</v>
      </c>
      <c r="C52" t="str">
        <f>""""&amp;SUBSTITUTE(A52,"zzz",H52)&amp;""""&amp;","</f>
        <v>"https://www.zeldadungeon.net/maps/totk/tiles/sky/6/3_12.jpg",</v>
      </c>
      <c r="H52" t="str">
        <f>QUOTIENT(ROW(A52),48)+2&amp;"_"&amp;MOD(ROW(A52),48)+8</f>
        <v>3_12</v>
      </c>
    </row>
    <row r="53" spans="1:8" x14ac:dyDescent="0.2">
      <c r="A53" s="9" t="s">
        <v>51</v>
      </c>
      <c r="B53" t="s">
        <v>719</v>
      </c>
      <c r="C53" t="str">
        <f>""""&amp;SUBSTITUTE(A53,"zzz",H53)&amp;""""&amp;","</f>
        <v>"https://www.zeldadungeon.net/maps/totk/tiles/sky/6/3_13.jpg",</v>
      </c>
      <c r="H53" t="str">
        <f>QUOTIENT(ROW(A53),48)+2&amp;"_"&amp;MOD(ROW(A53),48)+8</f>
        <v>3_13</v>
      </c>
    </row>
    <row r="54" spans="1:8" x14ac:dyDescent="0.2">
      <c r="A54" s="9" t="s">
        <v>51</v>
      </c>
      <c r="B54" t="s">
        <v>718</v>
      </c>
      <c r="C54" t="str">
        <f>""""&amp;SUBSTITUTE(A54,"zzz",H54)&amp;""""&amp;","</f>
        <v>"https://www.zeldadungeon.net/maps/totk/tiles/sky/6/3_14.jpg",</v>
      </c>
      <c r="H54" t="str">
        <f>QUOTIENT(ROW(A54),48)+2&amp;"_"&amp;MOD(ROW(A54),48)+8</f>
        <v>3_14</v>
      </c>
    </row>
    <row r="55" spans="1:8" x14ac:dyDescent="0.2">
      <c r="A55" s="9" t="s">
        <v>51</v>
      </c>
      <c r="B55" t="s">
        <v>717</v>
      </c>
      <c r="C55" t="str">
        <f>""""&amp;SUBSTITUTE(A55,"zzz",H55)&amp;""""&amp;","</f>
        <v>"https://www.zeldadungeon.net/maps/totk/tiles/sky/6/3_15.jpg",</v>
      </c>
      <c r="H55" t="str">
        <f>QUOTIENT(ROW(A55),48)+2&amp;"_"&amp;MOD(ROW(A55),48)+8</f>
        <v>3_15</v>
      </c>
    </row>
    <row r="56" spans="1:8" x14ac:dyDescent="0.2">
      <c r="A56" s="9" t="s">
        <v>51</v>
      </c>
      <c r="B56" t="s">
        <v>716</v>
      </c>
      <c r="C56" t="str">
        <f>""""&amp;SUBSTITUTE(A56,"zzz",H56)&amp;""""&amp;","</f>
        <v>"https://www.zeldadungeon.net/maps/totk/tiles/sky/6/3_16.jpg",</v>
      </c>
      <c r="H56" t="str">
        <f>QUOTIENT(ROW(A56),48)+2&amp;"_"&amp;MOD(ROW(A56),48)+8</f>
        <v>3_16</v>
      </c>
    </row>
    <row r="57" spans="1:8" x14ac:dyDescent="0.2">
      <c r="A57" s="9" t="s">
        <v>51</v>
      </c>
      <c r="B57" t="s">
        <v>715</v>
      </c>
      <c r="C57" t="str">
        <f>""""&amp;SUBSTITUTE(A57,"zzz",H57)&amp;""""&amp;","</f>
        <v>"https://www.zeldadungeon.net/maps/totk/tiles/sky/6/3_17.jpg",</v>
      </c>
      <c r="H57" t="str">
        <f>QUOTIENT(ROW(A57),48)+2&amp;"_"&amp;MOD(ROW(A57),48)+8</f>
        <v>3_17</v>
      </c>
    </row>
    <row r="58" spans="1:8" x14ac:dyDescent="0.2">
      <c r="A58" s="9" t="s">
        <v>51</v>
      </c>
      <c r="B58" t="s">
        <v>714</v>
      </c>
      <c r="C58" t="str">
        <f>""""&amp;SUBSTITUTE(A58,"zzz",H58)&amp;""""&amp;","</f>
        <v>"https://www.zeldadungeon.net/maps/totk/tiles/sky/6/3_18.jpg",</v>
      </c>
      <c r="H58" t="str">
        <f>QUOTIENT(ROW(A58),48)+2&amp;"_"&amp;MOD(ROW(A58),48)+8</f>
        <v>3_18</v>
      </c>
    </row>
    <row r="59" spans="1:8" x14ac:dyDescent="0.2">
      <c r="A59" s="9" t="s">
        <v>51</v>
      </c>
      <c r="B59" t="s">
        <v>713</v>
      </c>
      <c r="C59" t="str">
        <f>""""&amp;SUBSTITUTE(A59,"zzz",H59)&amp;""""&amp;","</f>
        <v>"https://www.zeldadungeon.net/maps/totk/tiles/sky/6/3_19.jpg",</v>
      </c>
      <c r="H59" t="str">
        <f>QUOTIENT(ROW(A59),48)+2&amp;"_"&amp;MOD(ROW(A59),48)+8</f>
        <v>3_19</v>
      </c>
    </row>
    <row r="60" spans="1:8" x14ac:dyDescent="0.2">
      <c r="A60" s="9" t="s">
        <v>51</v>
      </c>
      <c r="B60" t="s">
        <v>712</v>
      </c>
      <c r="C60" t="str">
        <f>""""&amp;SUBSTITUTE(A60,"zzz",H60)&amp;""""&amp;","</f>
        <v>"https://www.zeldadungeon.net/maps/totk/tiles/sky/6/3_20.jpg",</v>
      </c>
      <c r="H60" t="str">
        <f>QUOTIENT(ROW(A60),48)+2&amp;"_"&amp;MOD(ROW(A60),48)+8</f>
        <v>3_20</v>
      </c>
    </row>
    <row r="61" spans="1:8" x14ac:dyDescent="0.2">
      <c r="A61" s="9" t="s">
        <v>51</v>
      </c>
      <c r="B61" t="s">
        <v>711</v>
      </c>
      <c r="C61" t="str">
        <f>""""&amp;SUBSTITUTE(A61,"zzz",H61)&amp;""""&amp;","</f>
        <v>"https://www.zeldadungeon.net/maps/totk/tiles/sky/6/3_21.jpg",</v>
      </c>
      <c r="H61" t="str">
        <f>QUOTIENT(ROW(A61),48)+2&amp;"_"&amp;MOD(ROW(A61),48)+8</f>
        <v>3_21</v>
      </c>
    </row>
    <row r="62" spans="1:8" x14ac:dyDescent="0.2">
      <c r="A62" s="9" t="s">
        <v>51</v>
      </c>
      <c r="B62" t="s">
        <v>710</v>
      </c>
      <c r="C62" t="str">
        <f>""""&amp;SUBSTITUTE(A62,"zzz",H62)&amp;""""&amp;","</f>
        <v>"https://www.zeldadungeon.net/maps/totk/tiles/sky/6/3_22.jpg",</v>
      </c>
      <c r="H62" t="str">
        <f>QUOTIENT(ROW(A62),48)+2&amp;"_"&amp;MOD(ROW(A62),48)+8</f>
        <v>3_22</v>
      </c>
    </row>
    <row r="63" spans="1:8" x14ac:dyDescent="0.2">
      <c r="A63" s="9" t="s">
        <v>51</v>
      </c>
      <c r="B63" t="s">
        <v>709</v>
      </c>
      <c r="C63" t="str">
        <f>""""&amp;SUBSTITUTE(A63,"zzz",H63)&amp;""""&amp;","</f>
        <v>"https://www.zeldadungeon.net/maps/totk/tiles/sky/6/3_23.jpg",</v>
      </c>
      <c r="H63" t="str">
        <f>QUOTIENT(ROW(A63),48)+2&amp;"_"&amp;MOD(ROW(A63),48)+8</f>
        <v>3_23</v>
      </c>
    </row>
    <row r="64" spans="1:8" x14ac:dyDescent="0.2">
      <c r="A64" s="9" t="s">
        <v>51</v>
      </c>
      <c r="B64" t="s">
        <v>708</v>
      </c>
      <c r="C64" t="str">
        <f>""""&amp;SUBSTITUTE(A64,"zzz",H64)&amp;""""&amp;","</f>
        <v>"https://www.zeldadungeon.net/maps/totk/tiles/sky/6/3_24.jpg",</v>
      </c>
      <c r="H64" t="str">
        <f>QUOTIENT(ROW(A64),48)+2&amp;"_"&amp;MOD(ROW(A64),48)+8</f>
        <v>3_24</v>
      </c>
    </row>
    <row r="65" spans="1:8" x14ac:dyDescent="0.2">
      <c r="A65" s="9" t="s">
        <v>51</v>
      </c>
      <c r="B65" t="s">
        <v>707</v>
      </c>
      <c r="C65" t="str">
        <f>""""&amp;SUBSTITUTE(A65,"zzz",H65)&amp;""""&amp;","</f>
        <v>"https://www.zeldadungeon.net/maps/totk/tiles/sky/6/3_25.jpg",</v>
      </c>
      <c r="H65" t="str">
        <f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>""""&amp;SUBSTITUTE(A66,"zzz",H66)&amp;""""&amp;","</f>
        <v>"https://www.zeldadungeon.net/maps/totk/tiles/sky/6/3_26.jpg",</v>
      </c>
      <c r="H66" t="str">
        <f>QUOTIENT(ROW(A66),48)+2&amp;"_"&amp;MOD(ROW(A66),48)+8</f>
        <v>3_26</v>
      </c>
    </row>
    <row r="67" spans="1:8" x14ac:dyDescent="0.2">
      <c r="A67" s="9" t="s">
        <v>51</v>
      </c>
      <c r="B67" t="s">
        <v>705</v>
      </c>
      <c r="C67" t="str">
        <f>""""&amp;SUBSTITUTE(A67,"zzz",H67)&amp;""""&amp;","</f>
        <v>"https://www.zeldadungeon.net/maps/totk/tiles/sky/6/3_27.jpg",</v>
      </c>
      <c r="H67" t="str">
        <f>QUOTIENT(ROW(A67),48)+2&amp;"_"&amp;MOD(ROW(A67),48)+8</f>
        <v>3_27</v>
      </c>
    </row>
    <row r="68" spans="1:8" x14ac:dyDescent="0.2">
      <c r="A68" s="9" t="s">
        <v>51</v>
      </c>
      <c r="B68" t="s">
        <v>704</v>
      </c>
      <c r="C68" t="str">
        <f>""""&amp;SUBSTITUTE(A68,"zzz",H68)&amp;""""&amp;","</f>
        <v>"https://www.zeldadungeon.net/maps/totk/tiles/sky/6/3_28.jpg",</v>
      </c>
      <c r="H68" t="str">
        <f>QUOTIENT(ROW(A68),48)+2&amp;"_"&amp;MOD(ROW(A68),48)+8</f>
        <v>3_28</v>
      </c>
    </row>
    <row r="69" spans="1:8" x14ac:dyDescent="0.2">
      <c r="A69" s="9" t="s">
        <v>51</v>
      </c>
      <c r="B69" t="s">
        <v>703</v>
      </c>
      <c r="C69" t="str">
        <f>""""&amp;SUBSTITUTE(A69,"zzz",H69)&amp;""""&amp;","</f>
        <v>"https://www.zeldadungeon.net/maps/totk/tiles/sky/6/3_29.jpg",</v>
      </c>
      <c r="H69" t="str">
        <f>QUOTIENT(ROW(A69),48)+2&amp;"_"&amp;MOD(ROW(A69),48)+8</f>
        <v>3_29</v>
      </c>
    </row>
    <row r="70" spans="1:8" x14ac:dyDescent="0.2">
      <c r="A70" s="9" t="s">
        <v>51</v>
      </c>
      <c r="B70" t="s">
        <v>702</v>
      </c>
      <c r="C70" t="str">
        <f>""""&amp;SUBSTITUTE(A70,"zzz",H70)&amp;""""&amp;","</f>
        <v>"https://www.zeldadungeon.net/maps/totk/tiles/sky/6/3_30.jpg",</v>
      </c>
      <c r="H70" t="str">
        <f>QUOTIENT(ROW(A70),48)+2&amp;"_"&amp;MOD(ROW(A70),48)+8</f>
        <v>3_30</v>
      </c>
    </row>
    <row r="71" spans="1:8" x14ac:dyDescent="0.2">
      <c r="A71" s="9" t="s">
        <v>51</v>
      </c>
      <c r="B71" t="s">
        <v>701</v>
      </c>
      <c r="C71" t="str">
        <f>""""&amp;SUBSTITUTE(A71,"zzz",H71)&amp;""""&amp;","</f>
        <v>"https://www.zeldadungeon.net/maps/totk/tiles/sky/6/3_31.jpg",</v>
      </c>
      <c r="H71" t="str">
        <f>QUOTIENT(ROW(A71),48)+2&amp;"_"&amp;MOD(ROW(A71),48)+8</f>
        <v>3_31</v>
      </c>
    </row>
    <row r="72" spans="1:8" x14ac:dyDescent="0.2">
      <c r="A72" s="9" t="s">
        <v>51</v>
      </c>
      <c r="B72" t="s">
        <v>700</v>
      </c>
      <c r="C72" t="str">
        <f>""""&amp;SUBSTITUTE(A72,"zzz",H72)&amp;""""&amp;","</f>
        <v>"https://www.zeldadungeon.net/maps/totk/tiles/sky/6/3_32.jpg",</v>
      </c>
      <c r="H72" t="str">
        <f>QUOTIENT(ROW(A72),48)+2&amp;"_"&amp;MOD(ROW(A72),48)+8</f>
        <v>3_32</v>
      </c>
    </row>
    <row r="73" spans="1:8" x14ac:dyDescent="0.2">
      <c r="A73" s="9" t="s">
        <v>51</v>
      </c>
      <c r="B73" t="s">
        <v>699</v>
      </c>
      <c r="C73" t="str">
        <f>""""&amp;SUBSTITUTE(A73,"zzz",H73)&amp;""""&amp;","</f>
        <v>"https://www.zeldadungeon.net/maps/totk/tiles/sky/6/3_33.jpg",</v>
      </c>
      <c r="H73" t="str">
        <f>QUOTIENT(ROW(A73),48)+2&amp;"_"&amp;MOD(ROW(A73),48)+8</f>
        <v>3_33</v>
      </c>
    </row>
    <row r="74" spans="1:8" x14ac:dyDescent="0.2">
      <c r="A74" s="9" t="s">
        <v>51</v>
      </c>
      <c r="B74" t="s">
        <v>698</v>
      </c>
      <c r="C74" t="str">
        <f>""""&amp;SUBSTITUTE(A74,"zzz",H74)&amp;""""&amp;","</f>
        <v>"https://www.zeldadungeon.net/maps/totk/tiles/sky/6/3_34.jpg",</v>
      </c>
      <c r="H74" t="str">
        <f>QUOTIENT(ROW(A74),48)+2&amp;"_"&amp;MOD(ROW(A74),48)+8</f>
        <v>3_34</v>
      </c>
    </row>
    <row r="75" spans="1:8" x14ac:dyDescent="0.2">
      <c r="A75" s="9" t="s">
        <v>51</v>
      </c>
      <c r="B75" t="s">
        <v>697</v>
      </c>
      <c r="C75" t="str">
        <f>""""&amp;SUBSTITUTE(A75,"zzz",H75)&amp;""""&amp;","</f>
        <v>"https://www.zeldadungeon.net/maps/totk/tiles/sky/6/3_35.jpg",</v>
      </c>
      <c r="H75" t="str">
        <f>QUOTIENT(ROW(A75),48)+2&amp;"_"&amp;MOD(ROW(A75),48)+8</f>
        <v>3_35</v>
      </c>
    </row>
    <row r="76" spans="1:8" x14ac:dyDescent="0.2">
      <c r="A76" s="9" t="s">
        <v>51</v>
      </c>
      <c r="B76" t="s">
        <v>696</v>
      </c>
      <c r="C76" t="str">
        <f>""""&amp;SUBSTITUTE(A76,"zzz",H76)&amp;""""&amp;","</f>
        <v>"https://www.zeldadungeon.net/maps/totk/tiles/sky/6/3_36.jpg",</v>
      </c>
      <c r="H76" t="str">
        <f>QUOTIENT(ROW(A76),48)+2&amp;"_"&amp;MOD(ROW(A76),48)+8</f>
        <v>3_36</v>
      </c>
    </row>
    <row r="77" spans="1:8" x14ac:dyDescent="0.2">
      <c r="A77" s="9" t="s">
        <v>51</v>
      </c>
      <c r="B77" t="s">
        <v>695</v>
      </c>
      <c r="C77" t="str">
        <f>""""&amp;SUBSTITUTE(A77,"zzz",H77)&amp;""""&amp;","</f>
        <v>"https://www.zeldadungeon.net/maps/totk/tiles/sky/6/3_37.jpg",</v>
      </c>
      <c r="H77" t="str">
        <f>QUOTIENT(ROW(A77),48)+2&amp;"_"&amp;MOD(ROW(A77),48)+8</f>
        <v>3_37</v>
      </c>
    </row>
    <row r="78" spans="1:8" x14ac:dyDescent="0.2">
      <c r="A78" s="9" t="s">
        <v>51</v>
      </c>
      <c r="B78" t="s">
        <v>694</v>
      </c>
      <c r="C78" t="str">
        <f>""""&amp;SUBSTITUTE(A78,"zzz",H78)&amp;""""&amp;","</f>
        <v>"https://www.zeldadungeon.net/maps/totk/tiles/sky/6/3_38.jpg",</v>
      </c>
      <c r="H78" t="str">
        <f>QUOTIENT(ROW(A78),48)+2&amp;"_"&amp;MOD(ROW(A78),48)+8</f>
        <v>3_38</v>
      </c>
    </row>
    <row r="79" spans="1:8" x14ac:dyDescent="0.2">
      <c r="A79" s="9" t="s">
        <v>51</v>
      </c>
      <c r="B79" t="s">
        <v>693</v>
      </c>
      <c r="C79" t="str">
        <f>""""&amp;SUBSTITUTE(A79,"zzz",H79)&amp;""""&amp;","</f>
        <v>"https://www.zeldadungeon.net/maps/totk/tiles/sky/6/3_39.jpg",</v>
      </c>
      <c r="H79" t="str">
        <f>QUOTIENT(ROW(A79),48)+2&amp;"_"&amp;MOD(ROW(A79),48)+8</f>
        <v>3_39</v>
      </c>
    </row>
    <row r="80" spans="1:8" x14ac:dyDescent="0.2">
      <c r="A80" s="9" t="s">
        <v>51</v>
      </c>
      <c r="B80" t="s">
        <v>692</v>
      </c>
      <c r="C80" t="str">
        <f>""""&amp;SUBSTITUTE(A80,"zzz",H80)&amp;""""&amp;","</f>
        <v>"https://www.zeldadungeon.net/maps/totk/tiles/sky/6/3_40.jpg",</v>
      </c>
      <c r="H80" t="str">
        <f>QUOTIENT(ROW(A80),48)+2&amp;"_"&amp;MOD(ROW(A80),48)+8</f>
        <v>3_40</v>
      </c>
    </row>
    <row r="81" spans="1:8" x14ac:dyDescent="0.2">
      <c r="A81" s="9" t="s">
        <v>51</v>
      </c>
      <c r="B81" t="s">
        <v>691</v>
      </c>
      <c r="C81" t="str">
        <f>""""&amp;SUBSTITUTE(A81,"zzz",H81)&amp;""""&amp;","</f>
        <v>"https://www.zeldadungeon.net/maps/totk/tiles/sky/6/3_41.jpg",</v>
      </c>
      <c r="H81" t="str">
        <f>QUOTIENT(ROW(A81),48)+2&amp;"_"&amp;MOD(ROW(A81),48)+8</f>
        <v>3_41</v>
      </c>
    </row>
    <row r="82" spans="1:8" x14ac:dyDescent="0.2">
      <c r="A82" s="9" t="s">
        <v>51</v>
      </c>
      <c r="B82" t="s">
        <v>690</v>
      </c>
      <c r="C82" t="str">
        <f>""""&amp;SUBSTITUTE(A82,"zzz",H82)&amp;""""&amp;","</f>
        <v>"https://www.zeldadungeon.net/maps/totk/tiles/sky/6/3_42.jpg",</v>
      </c>
      <c r="H82" t="str">
        <f>QUOTIENT(ROW(A82),48)+2&amp;"_"&amp;MOD(ROW(A82),48)+8</f>
        <v>3_42</v>
      </c>
    </row>
    <row r="83" spans="1:8" x14ac:dyDescent="0.2">
      <c r="A83" s="9" t="s">
        <v>51</v>
      </c>
      <c r="B83" t="s">
        <v>689</v>
      </c>
      <c r="C83" t="str">
        <f>""""&amp;SUBSTITUTE(A83,"zzz",H83)&amp;""""&amp;","</f>
        <v>"https://www.zeldadungeon.net/maps/totk/tiles/sky/6/3_43.jpg",</v>
      </c>
      <c r="H83" t="str">
        <f>QUOTIENT(ROW(A83),48)+2&amp;"_"&amp;MOD(ROW(A83),48)+8</f>
        <v>3_43</v>
      </c>
    </row>
    <row r="84" spans="1:8" x14ac:dyDescent="0.2">
      <c r="A84" s="9" t="s">
        <v>51</v>
      </c>
      <c r="B84" t="s">
        <v>688</v>
      </c>
      <c r="C84" t="str">
        <f>""""&amp;SUBSTITUTE(A84,"zzz",H84)&amp;""""&amp;","</f>
        <v>"https://www.zeldadungeon.net/maps/totk/tiles/sky/6/3_44.jpg",</v>
      </c>
      <c r="H84" t="str">
        <f>QUOTIENT(ROW(A84),48)+2&amp;"_"&amp;MOD(ROW(A84),48)+8</f>
        <v>3_44</v>
      </c>
    </row>
    <row r="85" spans="1:8" x14ac:dyDescent="0.2">
      <c r="A85" s="9" t="s">
        <v>51</v>
      </c>
      <c r="B85" t="s">
        <v>687</v>
      </c>
      <c r="C85" t="str">
        <f>""""&amp;SUBSTITUTE(A85,"zzz",H85)&amp;""""&amp;","</f>
        <v>"https://www.zeldadungeon.net/maps/totk/tiles/sky/6/3_45.jpg",</v>
      </c>
      <c r="H85" t="str">
        <f>QUOTIENT(ROW(A85),48)+2&amp;"_"&amp;MOD(ROW(A85),48)+8</f>
        <v>3_45</v>
      </c>
    </row>
    <row r="86" spans="1:8" x14ac:dyDescent="0.2">
      <c r="A86" s="9" t="s">
        <v>51</v>
      </c>
      <c r="B86" t="s">
        <v>686</v>
      </c>
      <c r="C86" t="str">
        <f>""""&amp;SUBSTITUTE(A86,"zzz",H86)&amp;""""&amp;","</f>
        <v>"https://www.zeldadungeon.net/maps/totk/tiles/sky/6/3_46.jpg",</v>
      </c>
      <c r="H86" t="str">
        <f>QUOTIENT(ROW(A86),48)+2&amp;"_"&amp;MOD(ROW(A86),48)+8</f>
        <v>3_46</v>
      </c>
    </row>
    <row r="87" spans="1:8" x14ac:dyDescent="0.2">
      <c r="A87" s="9" t="s">
        <v>51</v>
      </c>
      <c r="B87" t="s">
        <v>685</v>
      </c>
      <c r="C87" t="str">
        <f>""""&amp;SUBSTITUTE(A87,"zzz",H87)&amp;""""&amp;","</f>
        <v>"https://www.zeldadungeon.net/maps/totk/tiles/sky/6/3_47.jpg",</v>
      </c>
      <c r="H87" t="str">
        <f>QUOTIENT(ROW(A87),48)+2&amp;"_"&amp;MOD(ROW(A87),48)+8</f>
        <v>3_47</v>
      </c>
    </row>
    <row r="88" spans="1:8" x14ac:dyDescent="0.2">
      <c r="A88" s="9" t="s">
        <v>51</v>
      </c>
      <c r="B88" t="s">
        <v>684</v>
      </c>
      <c r="C88" t="str">
        <f>""""&amp;SUBSTITUTE(A88,"zzz",H88)&amp;""""&amp;","</f>
        <v>"https://www.zeldadungeon.net/maps/totk/tiles/sky/6/3_48.jpg",</v>
      </c>
      <c r="H88" t="str">
        <f>QUOTIENT(ROW(A88),48)+2&amp;"_"&amp;MOD(ROW(A88),48)+8</f>
        <v>3_48</v>
      </c>
    </row>
    <row r="89" spans="1:8" x14ac:dyDescent="0.2">
      <c r="A89" s="9" t="s">
        <v>51</v>
      </c>
      <c r="B89" t="s">
        <v>683</v>
      </c>
      <c r="C89" t="str">
        <f>""""&amp;SUBSTITUTE(A89,"zzz",H89)&amp;""""&amp;","</f>
        <v>"https://www.zeldadungeon.net/maps/totk/tiles/sky/6/3_49.jpg",</v>
      </c>
      <c r="H89" t="str">
        <f>QUOTIENT(ROW(A89),48)+2&amp;"_"&amp;MOD(ROW(A89),48)+8</f>
        <v>3_49</v>
      </c>
    </row>
    <row r="90" spans="1:8" x14ac:dyDescent="0.2">
      <c r="A90" s="9" t="s">
        <v>51</v>
      </c>
      <c r="B90" t="s">
        <v>682</v>
      </c>
      <c r="C90" t="str">
        <f>""""&amp;SUBSTITUTE(A90,"zzz",H90)&amp;""""&amp;","</f>
        <v>"https://www.zeldadungeon.net/maps/totk/tiles/sky/6/3_50.jpg",</v>
      </c>
      <c r="H90" t="str">
        <f>QUOTIENT(ROW(A90),48)+2&amp;"_"&amp;MOD(ROW(A90),48)+8</f>
        <v>3_50</v>
      </c>
    </row>
    <row r="91" spans="1:8" x14ac:dyDescent="0.2">
      <c r="A91" s="9" t="s">
        <v>51</v>
      </c>
      <c r="B91" t="s">
        <v>681</v>
      </c>
      <c r="C91" t="str">
        <f>""""&amp;SUBSTITUTE(A91,"zzz",H91)&amp;""""&amp;","</f>
        <v>"https://www.zeldadungeon.net/maps/totk/tiles/sky/6/3_51.jpg",</v>
      </c>
      <c r="H91" t="str">
        <f>QUOTIENT(ROW(A91),48)+2&amp;"_"&amp;MOD(ROW(A91),48)+8</f>
        <v>3_51</v>
      </c>
    </row>
    <row r="92" spans="1:8" x14ac:dyDescent="0.2">
      <c r="A92" s="9" t="s">
        <v>51</v>
      </c>
      <c r="B92" t="s">
        <v>680</v>
      </c>
      <c r="C92" t="str">
        <f>""""&amp;SUBSTITUTE(A92,"zzz",H92)&amp;""""&amp;","</f>
        <v>"https://www.zeldadungeon.net/maps/totk/tiles/sky/6/3_52.jpg",</v>
      </c>
      <c r="H92" t="str">
        <f>QUOTIENT(ROW(A92),48)+2&amp;"_"&amp;MOD(ROW(A92),48)+8</f>
        <v>3_52</v>
      </c>
    </row>
    <row r="93" spans="1:8" x14ac:dyDescent="0.2">
      <c r="A93" s="9" t="s">
        <v>51</v>
      </c>
      <c r="B93" t="s">
        <v>679</v>
      </c>
      <c r="C93" t="str">
        <f>""""&amp;SUBSTITUTE(A93,"zzz",H93)&amp;""""&amp;","</f>
        <v>"https://www.zeldadungeon.net/maps/totk/tiles/sky/6/3_53.jpg",</v>
      </c>
      <c r="H93" t="str">
        <f>QUOTIENT(ROW(A93),48)+2&amp;"_"&amp;MOD(ROW(A93),48)+8</f>
        <v>3_53</v>
      </c>
    </row>
    <row r="94" spans="1:8" x14ac:dyDescent="0.2">
      <c r="A94" s="9" t="s">
        <v>51</v>
      </c>
      <c r="B94" t="s">
        <v>678</v>
      </c>
      <c r="C94" t="str">
        <f>""""&amp;SUBSTITUTE(A94,"zzz",H94)&amp;""""&amp;","</f>
        <v>"https://www.zeldadungeon.net/maps/totk/tiles/sky/6/3_54.jpg",</v>
      </c>
      <c r="H94" t="str">
        <f>QUOTIENT(ROW(A94),48)+2&amp;"_"&amp;MOD(ROW(A94),48)+8</f>
        <v>3_54</v>
      </c>
    </row>
    <row r="95" spans="1:8" x14ac:dyDescent="0.2">
      <c r="A95" s="9" t="s">
        <v>51</v>
      </c>
      <c r="B95" t="s">
        <v>677</v>
      </c>
      <c r="C95" t="str">
        <f>""""&amp;SUBSTITUTE(A95,"zzz",H95)&amp;""""&amp;","</f>
        <v>"https://www.zeldadungeon.net/maps/totk/tiles/sky/6/3_55.jpg",</v>
      </c>
      <c r="H95" t="str">
        <f>QUOTIENT(ROW(A95),48)+2&amp;"_"&amp;MOD(ROW(A95),48)+8</f>
        <v>3_55</v>
      </c>
    </row>
    <row r="96" spans="1:8" x14ac:dyDescent="0.2">
      <c r="A96" s="9" t="s">
        <v>51</v>
      </c>
      <c r="B96" t="s">
        <v>676</v>
      </c>
      <c r="C96" t="str">
        <f>""""&amp;SUBSTITUTE(A96,"zzz",H96)&amp;""""&amp;","</f>
        <v>"https://www.zeldadungeon.net/maps/totk/tiles/sky/6/4_8.jpg",</v>
      </c>
      <c r="H96" t="str">
        <f>QUOTIENT(ROW(A96),48)+2&amp;"_"&amp;MOD(ROW(A96),48)+8</f>
        <v>4_8</v>
      </c>
    </row>
    <row r="97" spans="1:8" x14ac:dyDescent="0.2">
      <c r="A97" s="9" t="s">
        <v>51</v>
      </c>
      <c r="B97" t="s">
        <v>675</v>
      </c>
      <c r="C97" t="str">
        <f>""""&amp;SUBSTITUTE(A97,"zzz",H97)&amp;""""&amp;","</f>
        <v>"https://www.zeldadungeon.net/maps/totk/tiles/sky/6/4_9.jpg",</v>
      </c>
      <c r="H97" t="str">
        <f>QUOTIENT(ROW(A97),48)+2&amp;"_"&amp;MOD(ROW(A97),48)+8</f>
        <v>4_9</v>
      </c>
    </row>
    <row r="98" spans="1:8" x14ac:dyDescent="0.2">
      <c r="A98" s="9" t="s">
        <v>51</v>
      </c>
      <c r="B98" t="s">
        <v>674</v>
      </c>
      <c r="C98" t="str">
        <f>""""&amp;SUBSTITUTE(A98,"zzz",H98)&amp;""""&amp;","</f>
        <v>"https://www.zeldadungeon.net/maps/totk/tiles/sky/6/4_10.jpg",</v>
      </c>
      <c r="H98" t="str">
        <f>QUOTIENT(ROW(A98),48)+2&amp;"_"&amp;MOD(ROW(A98),48)+8</f>
        <v>4_10</v>
      </c>
    </row>
    <row r="99" spans="1:8" x14ac:dyDescent="0.2">
      <c r="A99" s="9" t="s">
        <v>51</v>
      </c>
      <c r="B99" t="s">
        <v>673</v>
      </c>
      <c r="C99" t="str">
        <f>""""&amp;SUBSTITUTE(A99,"zzz",H99)&amp;""""&amp;","</f>
        <v>"https://www.zeldadungeon.net/maps/totk/tiles/sky/6/4_11.jpg",</v>
      </c>
      <c r="H99" t="str">
        <f>QUOTIENT(ROW(A99),48)+2&amp;"_"&amp;MOD(ROW(A99),48)+8</f>
        <v>4_11</v>
      </c>
    </row>
    <row r="100" spans="1:8" x14ac:dyDescent="0.2">
      <c r="A100" s="9" t="s">
        <v>51</v>
      </c>
      <c r="B100" t="s">
        <v>672</v>
      </c>
      <c r="C100" t="str">
        <f>""""&amp;SUBSTITUTE(A100,"zzz",H100)&amp;""""&amp;","</f>
        <v>"https://www.zeldadungeon.net/maps/totk/tiles/sky/6/4_12.jpg",</v>
      </c>
      <c r="H100" t="str">
        <f>QUOTIENT(ROW(A100),48)+2&amp;"_"&amp;MOD(ROW(A100),48)+8</f>
        <v>4_12</v>
      </c>
    </row>
    <row r="101" spans="1:8" x14ac:dyDescent="0.2">
      <c r="A101" s="9" t="s">
        <v>51</v>
      </c>
      <c r="B101" t="s">
        <v>671</v>
      </c>
      <c r="C101" t="str">
        <f>""""&amp;SUBSTITUTE(A101,"zzz",H101)&amp;""""&amp;","</f>
        <v>"https://www.zeldadungeon.net/maps/totk/tiles/sky/6/4_13.jpg",</v>
      </c>
      <c r="H101" t="str">
        <f>QUOTIENT(ROW(A101),48)+2&amp;"_"&amp;MOD(ROW(A101),48)+8</f>
        <v>4_13</v>
      </c>
    </row>
    <row r="102" spans="1:8" x14ac:dyDescent="0.2">
      <c r="A102" s="9" t="s">
        <v>51</v>
      </c>
      <c r="B102" t="s">
        <v>670</v>
      </c>
      <c r="C102" t="str">
        <f>""""&amp;SUBSTITUTE(A102,"zzz",H102)&amp;""""&amp;","</f>
        <v>"https://www.zeldadungeon.net/maps/totk/tiles/sky/6/4_14.jpg",</v>
      </c>
      <c r="H102" t="str">
        <f>QUOTIENT(ROW(A102),48)+2&amp;"_"&amp;MOD(ROW(A102),48)+8</f>
        <v>4_14</v>
      </c>
    </row>
    <row r="103" spans="1:8" x14ac:dyDescent="0.2">
      <c r="A103" s="9" t="s">
        <v>51</v>
      </c>
      <c r="B103" t="s">
        <v>669</v>
      </c>
      <c r="C103" t="str">
        <f>""""&amp;SUBSTITUTE(A103,"zzz",H103)&amp;""""&amp;","</f>
        <v>"https://www.zeldadungeon.net/maps/totk/tiles/sky/6/4_15.jpg",</v>
      </c>
      <c r="H103" t="str">
        <f>QUOTIENT(ROW(A103),48)+2&amp;"_"&amp;MOD(ROW(A103),48)+8</f>
        <v>4_15</v>
      </c>
    </row>
    <row r="104" spans="1:8" x14ac:dyDescent="0.2">
      <c r="A104" s="9" t="s">
        <v>51</v>
      </c>
      <c r="B104" t="s">
        <v>668</v>
      </c>
      <c r="C104" t="str">
        <f>""""&amp;SUBSTITUTE(A104,"zzz",H104)&amp;""""&amp;","</f>
        <v>"https://www.zeldadungeon.net/maps/totk/tiles/sky/6/4_16.jpg",</v>
      </c>
      <c r="H104" t="str">
        <f>QUOTIENT(ROW(A104),48)+2&amp;"_"&amp;MOD(ROW(A104),48)+8</f>
        <v>4_16</v>
      </c>
    </row>
    <row r="105" spans="1:8" x14ac:dyDescent="0.2">
      <c r="A105" s="9" t="s">
        <v>51</v>
      </c>
      <c r="B105" t="s">
        <v>667</v>
      </c>
      <c r="C105" t="str">
        <f>""""&amp;SUBSTITUTE(A105,"zzz",H105)&amp;""""&amp;","</f>
        <v>"https://www.zeldadungeon.net/maps/totk/tiles/sky/6/4_17.jpg",</v>
      </c>
      <c r="H105" t="str">
        <f>QUOTIENT(ROW(A105),48)+2&amp;"_"&amp;MOD(ROW(A105),48)+8</f>
        <v>4_17</v>
      </c>
    </row>
    <row r="106" spans="1:8" x14ac:dyDescent="0.2">
      <c r="A106" s="9" t="s">
        <v>51</v>
      </c>
      <c r="B106" t="s">
        <v>666</v>
      </c>
      <c r="C106" t="str">
        <f>""""&amp;SUBSTITUTE(A106,"zzz",H106)&amp;""""&amp;","</f>
        <v>"https://www.zeldadungeon.net/maps/totk/tiles/sky/6/4_18.jpg",</v>
      </c>
      <c r="H106" t="str">
        <f>QUOTIENT(ROW(A106),48)+2&amp;"_"&amp;MOD(ROW(A106),48)+8</f>
        <v>4_18</v>
      </c>
    </row>
    <row r="107" spans="1:8" x14ac:dyDescent="0.2">
      <c r="A107" s="9" t="s">
        <v>51</v>
      </c>
      <c r="B107" t="s">
        <v>665</v>
      </c>
      <c r="C107" t="str">
        <f>""""&amp;SUBSTITUTE(A107,"zzz",H107)&amp;""""&amp;","</f>
        <v>"https://www.zeldadungeon.net/maps/totk/tiles/sky/6/4_19.jpg",</v>
      </c>
      <c r="H107" t="str">
        <f>QUOTIENT(ROW(A107),48)+2&amp;"_"&amp;MOD(ROW(A107),48)+8</f>
        <v>4_19</v>
      </c>
    </row>
    <row r="108" spans="1:8" x14ac:dyDescent="0.2">
      <c r="A108" s="9" t="s">
        <v>51</v>
      </c>
      <c r="B108" t="s">
        <v>664</v>
      </c>
      <c r="C108" t="str">
        <f>""""&amp;SUBSTITUTE(A108,"zzz",H108)&amp;""""&amp;","</f>
        <v>"https://www.zeldadungeon.net/maps/totk/tiles/sky/6/4_20.jpg",</v>
      </c>
      <c r="H108" t="str">
        <f>QUOTIENT(ROW(A108),48)+2&amp;"_"&amp;MOD(ROW(A108),48)+8</f>
        <v>4_20</v>
      </c>
    </row>
    <row r="109" spans="1:8" x14ac:dyDescent="0.2">
      <c r="A109" s="9" t="s">
        <v>51</v>
      </c>
      <c r="B109" t="s">
        <v>663</v>
      </c>
      <c r="C109" t="str">
        <f>""""&amp;SUBSTITUTE(A109,"zzz",H109)&amp;""""&amp;","</f>
        <v>"https://www.zeldadungeon.net/maps/totk/tiles/sky/6/4_21.jpg",</v>
      </c>
      <c r="H109" t="str">
        <f>QUOTIENT(ROW(A109),48)+2&amp;"_"&amp;MOD(ROW(A109),48)+8</f>
        <v>4_21</v>
      </c>
    </row>
    <row r="110" spans="1:8" x14ac:dyDescent="0.2">
      <c r="A110" s="9" t="s">
        <v>51</v>
      </c>
      <c r="B110" t="s">
        <v>662</v>
      </c>
      <c r="C110" t="str">
        <f>""""&amp;SUBSTITUTE(A110,"zzz",H110)&amp;""""&amp;","</f>
        <v>"https://www.zeldadungeon.net/maps/totk/tiles/sky/6/4_22.jpg",</v>
      </c>
      <c r="H110" t="str">
        <f>QUOTIENT(ROW(A110),48)+2&amp;"_"&amp;MOD(ROW(A110),48)+8</f>
        <v>4_22</v>
      </c>
    </row>
    <row r="111" spans="1:8" x14ac:dyDescent="0.2">
      <c r="A111" s="9" t="s">
        <v>51</v>
      </c>
      <c r="B111" t="s">
        <v>661</v>
      </c>
      <c r="C111" t="str">
        <f>""""&amp;SUBSTITUTE(A111,"zzz",H111)&amp;""""&amp;","</f>
        <v>"https://www.zeldadungeon.net/maps/totk/tiles/sky/6/4_23.jpg",</v>
      </c>
      <c r="H111" t="str">
        <f>QUOTIENT(ROW(A111),48)+2&amp;"_"&amp;MOD(ROW(A111),48)+8</f>
        <v>4_23</v>
      </c>
    </row>
    <row r="112" spans="1:8" x14ac:dyDescent="0.2">
      <c r="A112" s="9" t="s">
        <v>51</v>
      </c>
      <c r="B112" t="s">
        <v>660</v>
      </c>
      <c r="C112" t="str">
        <f>""""&amp;SUBSTITUTE(A112,"zzz",H112)&amp;""""&amp;","</f>
        <v>"https://www.zeldadungeon.net/maps/totk/tiles/sky/6/4_24.jpg",</v>
      </c>
      <c r="H112" t="str">
        <f>QUOTIENT(ROW(A112),48)+2&amp;"_"&amp;MOD(ROW(A112),48)+8</f>
        <v>4_24</v>
      </c>
    </row>
    <row r="113" spans="1:8" x14ac:dyDescent="0.2">
      <c r="A113" s="9" t="s">
        <v>51</v>
      </c>
      <c r="B113" t="s">
        <v>659</v>
      </c>
      <c r="C113" t="str">
        <f>""""&amp;SUBSTITUTE(A113,"zzz",H113)&amp;""""&amp;","</f>
        <v>"https://www.zeldadungeon.net/maps/totk/tiles/sky/6/4_25.jpg",</v>
      </c>
      <c r="H113" t="str">
        <f>QUOTIENT(ROW(A113),48)+2&amp;"_"&amp;MOD(ROW(A113),48)+8</f>
        <v>4_25</v>
      </c>
    </row>
    <row r="114" spans="1:8" x14ac:dyDescent="0.2">
      <c r="A114" s="9" t="s">
        <v>51</v>
      </c>
      <c r="B114" t="s">
        <v>658</v>
      </c>
      <c r="C114" t="str">
        <f>""""&amp;SUBSTITUTE(A114,"zzz",H114)&amp;""""&amp;","</f>
        <v>"https://www.zeldadungeon.net/maps/totk/tiles/sky/6/4_26.jpg",</v>
      </c>
      <c r="H114" t="str">
        <f>QUOTIENT(ROW(A114),48)+2&amp;"_"&amp;MOD(ROW(A114),48)+8</f>
        <v>4_26</v>
      </c>
    </row>
    <row r="115" spans="1:8" x14ac:dyDescent="0.2">
      <c r="A115" s="9" t="s">
        <v>51</v>
      </c>
      <c r="B115" t="s">
        <v>657</v>
      </c>
      <c r="C115" t="str">
        <f>""""&amp;SUBSTITUTE(A115,"zzz",H115)&amp;""""&amp;","</f>
        <v>"https://www.zeldadungeon.net/maps/totk/tiles/sky/6/4_27.jpg",</v>
      </c>
      <c r="H115" t="str">
        <f>QUOTIENT(ROW(A115),48)+2&amp;"_"&amp;MOD(ROW(A115),48)+8</f>
        <v>4_27</v>
      </c>
    </row>
    <row r="116" spans="1:8" x14ac:dyDescent="0.2">
      <c r="A116" s="9" t="s">
        <v>51</v>
      </c>
      <c r="B116" t="s">
        <v>656</v>
      </c>
      <c r="C116" t="str">
        <f>""""&amp;SUBSTITUTE(A116,"zzz",H116)&amp;""""&amp;","</f>
        <v>"https://www.zeldadungeon.net/maps/totk/tiles/sky/6/4_28.jpg",</v>
      </c>
      <c r="H116" t="str">
        <f>QUOTIENT(ROW(A116),48)+2&amp;"_"&amp;MOD(ROW(A116),48)+8</f>
        <v>4_28</v>
      </c>
    </row>
    <row r="117" spans="1:8" x14ac:dyDescent="0.2">
      <c r="A117" s="9" t="s">
        <v>51</v>
      </c>
      <c r="B117" t="s">
        <v>655</v>
      </c>
      <c r="C117" t="str">
        <f>""""&amp;SUBSTITUTE(A117,"zzz",H117)&amp;""""&amp;","</f>
        <v>"https://www.zeldadungeon.net/maps/totk/tiles/sky/6/4_29.jpg",</v>
      </c>
      <c r="H117" t="str">
        <f>QUOTIENT(ROW(A117),48)+2&amp;"_"&amp;MOD(ROW(A117),48)+8</f>
        <v>4_29</v>
      </c>
    </row>
    <row r="118" spans="1:8" x14ac:dyDescent="0.2">
      <c r="A118" s="9" t="s">
        <v>51</v>
      </c>
      <c r="B118" t="s">
        <v>654</v>
      </c>
      <c r="C118" t="str">
        <f>""""&amp;SUBSTITUTE(A118,"zzz",H118)&amp;""""&amp;","</f>
        <v>"https://www.zeldadungeon.net/maps/totk/tiles/sky/6/4_30.jpg",</v>
      </c>
      <c r="H118" t="str">
        <f>QUOTIENT(ROW(A118),48)+2&amp;"_"&amp;MOD(ROW(A118),48)+8</f>
        <v>4_30</v>
      </c>
    </row>
    <row r="119" spans="1:8" x14ac:dyDescent="0.2">
      <c r="A119" s="9" t="s">
        <v>51</v>
      </c>
      <c r="B119" t="s">
        <v>653</v>
      </c>
      <c r="C119" t="str">
        <f>""""&amp;SUBSTITUTE(A119,"zzz",H119)&amp;""""&amp;","</f>
        <v>"https://www.zeldadungeon.net/maps/totk/tiles/sky/6/4_31.jpg",</v>
      </c>
      <c r="H119" t="str">
        <f>QUOTIENT(ROW(A119),48)+2&amp;"_"&amp;MOD(ROW(A119),48)+8</f>
        <v>4_31</v>
      </c>
    </row>
    <row r="120" spans="1:8" x14ac:dyDescent="0.2">
      <c r="A120" s="9" t="s">
        <v>51</v>
      </c>
      <c r="B120" t="s">
        <v>652</v>
      </c>
      <c r="C120" t="str">
        <f>""""&amp;SUBSTITUTE(A120,"zzz",H120)&amp;""""&amp;","</f>
        <v>"https://www.zeldadungeon.net/maps/totk/tiles/sky/6/4_32.jpg",</v>
      </c>
      <c r="H120" t="str">
        <f>QUOTIENT(ROW(A120),48)+2&amp;"_"&amp;MOD(ROW(A120),48)+8</f>
        <v>4_32</v>
      </c>
    </row>
    <row r="121" spans="1:8" x14ac:dyDescent="0.2">
      <c r="A121" s="9" t="s">
        <v>51</v>
      </c>
      <c r="B121" t="s">
        <v>651</v>
      </c>
      <c r="C121" t="str">
        <f>""""&amp;SUBSTITUTE(A121,"zzz",H121)&amp;""""&amp;","</f>
        <v>"https://www.zeldadungeon.net/maps/totk/tiles/sky/6/4_33.jpg",</v>
      </c>
      <c r="H121" t="str">
        <f>QUOTIENT(ROW(A121),48)+2&amp;"_"&amp;MOD(ROW(A121),48)+8</f>
        <v>4_33</v>
      </c>
    </row>
    <row r="122" spans="1:8" x14ac:dyDescent="0.2">
      <c r="A122" s="9" t="s">
        <v>51</v>
      </c>
      <c r="B122" t="s">
        <v>650</v>
      </c>
      <c r="C122" t="str">
        <f>""""&amp;SUBSTITUTE(A122,"zzz",H122)&amp;""""&amp;","</f>
        <v>"https://www.zeldadungeon.net/maps/totk/tiles/sky/6/4_34.jpg",</v>
      </c>
      <c r="H122" t="str">
        <f>QUOTIENT(ROW(A122),48)+2&amp;"_"&amp;MOD(ROW(A122),48)+8</f>
        <v>4_34</v>
      </c>
    </row>
    <row r="123" spans="1:8" x14ac:dyDescent="0.2">
      <c r="A123" s="9" t="s">
        <v>51</v>
      </c>
      <c r="B123" t="s">
        <v>649</v>
      </c>
      <c r="C123" t="str">
        <f>""""&amp;SUBSTITUTE(A123,"zzz",H123)&amp;""""&amp;","</f>
        <v>"https://www.zeldadungeon.net/maps/totk/tiles/sky/6/4_35.jpg",</v>
      </c>
      <c r="H123" t="str">
        <f>QUOTIENT(ROW(A123),48)+2&amp;"_"&amp;MOD(ROW(A123),48)+8</f>
        <v>4_35</v>
      </c>
    </row>
    <row r="124" spans="1:8" x14ac:dyDescent="0.2">
      <c r="A124" s="9" t="s">
        <v>51</v>
      </c>
      <c r="B124" t="s">
        <v>648</v>
      </c>
      <c r="C124" t="str">
        <f>""""&amp;SUBSTITUTE(A124,"zzz",H124)&amp;""""&amp;","</f>
        <v>"https://www.zeldadungeon.net/maps/totk/tiles/sky/6/4_36.jpg",</v>
      </c>
      <c r="H124" t="str">
        <f>QUOTIENT(ROW(A124),48)+2&amp;"_"&amp;MOD(ROW(A124),48)+8</f>
        <v>4_36</v>
      </c>
    </row>
    <row r="125" spans="1:8" x14ac:dyDescent="0.2">
      <c r="A125" s="9" t="s">
        <v>51</v>
      </c>
      <c r="B125" t="s">
        <v>647</v>
      </c>
      <c r="C125" t="str">
        <f>""""&amp;SUBSTITUTE(A125,"zzz",H125)&amp;""""&amp;","</f>
        <v>"https://www.zeldadungeon.net/maps/totk/tiles/sky/6/4_37.jpg",</v>
      </c>
      <c r="H125" t="str">
        <f>QUOTIENT(ROW(A125),48)+2&amp;"_"&amp;MOD(ROW(A125),48)+8</f>
        <v>4_37</v>
      </c>
    </row>
    <row r="126" spans="1:8" x14ac:dyDescent="0.2">
      <c r="A126" s="9" t="s">
        <v>51</v>
      </c>
      <c r="B126" t="s">
        <v>646</v>
      </c>
      <c r="C126" t="str">
        <f>""""&amp;SUBSTITUTE(A126,"zzz",H126)&amp;""""&amp;","</f>
        <v>"https://www.zeldadungeon.net/maps/totk/tiles/sky/6/4_38.jpg",</v>
      </c>
      <c r="H126" t="str">
        <f>QUOTIENT(ROW(A126),48)+2&amp;"_"&amp;MOD(ROW(A126),48)+8</f>
        <v>4_38</v>
      </c>
    </row>
    <row r="127" spans="1:8" x14ac:dyDescent="0.2">
      <c r="A127" s="9" t="s">
        <v>51</v>
      </c>
      <c r="B127" t="s">
        <v>645</v>
      </c>
      <c r="C127" t="str">
        <f>""""&amp;SUBSTITUTE(A127,"zzz",H127)&amp;""""&amp;","</f>
        <v>"https://www.zeldadungeon.net/maps/totk/tiles/sky/6/4_39.jpg",</v>
      </c>
      <c r="H127" t="str">
        <f>QUOTIENT(ROW(A127),48)+2&amp;"_"&amp;MOD(ROW(A127),48)+8</f>
        <v>4_39</v>
      </c>
    </row>
    <row r="128" spans="1:8" x14ac:dyDescent="0.2">
      <c r="A128" s="9" t="s">
        <v>51</v>
      </c>
      <c r="B128" t="s">
        <v>644</v>
      </c>
      <c r="C128" t="str">
        <f>""""&amp;SUBSTITUTE(A128,"zzz",H128)&amp;""""&amp;","</f>
        <v>"https://www.zeldadungeon.net/maps/totk/tiles/sky/6/4_40.jpg",</v>
      </c>
      <c r="H128" t="str">
        <f>QUOTIENT(ROW(A128),48)+2&amp;"_"&amp;MOD(ROW(A128),48)+8</f>
        <v>4_40</v>
      </c>
    </row>
    <row r="129" spans="1:8" x14ac:dyDescent="0.2">
      <c r="A129" s="9" t="s">
        <v>51</v>
      </c>
      <c r="B129" t="s">
        <v>643</v>
      </c>
      <c r="C129" t="str">
        <f>""""&amp;SUBSTITUTE(A129,"zzz",H129)&amp;""""&amp;","</f>
        <v>"https://www.zeldadungeon.net/maps/totk/tiles/sky/6/4_41.jpg",</v>
      </c>
      <c r="H129" t="str">
        <f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>""""&amp;SUBSTITUTE(A130,"zzz",H130)&amp;""""&amp;","</f>
        <v>"https://www.zeldadungeon.net/maps/totk/tiles/sky/6/4_42.jpg",</v>
      </c>
      <c r="H130" t="str">
        <f>QUOTIENT(ROW(A130),48)+2&amp;"_"&amp;MOD(ROW(A130),48)+8</f>
        <v>4_42</v>
      </c>
    </row>
    <row r="131" spans="1:8" x14ac:dyDescent="0.2">
      <c r="A131" s="9" t="s">
        <v>51</v>
      </c>
      <c r="B131" t="s">
        <v>641</v>
      </c>
      <c r="C131" t="str">
        <f>""""&amp;SUBSTITUTE(A131,"zzz",H131)&amp;""""&amp;","</f>
        <v>"https://www.zeldadungeon.net/maps/totk/tiles/sky/6/4_43.jpg",</v>
      </c>
      <c r="H131" t="str">
        <f>QUOTIENT(ROW(A131),48)+2&amp;"_"&amp;MOD(ROW(A131),48)+8</f>
        <v>4_43</v>
      </c>
    </row>
    <row r="132" spans="1:8" x14ac:dyDescent="0.2">
      <c r="A132" s="9" t="s">
        <v>51</v>
      </c>
      <c r="B132" t="s">
        <v>640</v>
      </c>
      <c r="C132" t="str">
        <f>""""&amp;SUBSTITUTE(A132,"zzz",H132)&amp;""""&amp;","</f>
        <v>"https://www.zeldadungeon.net/maps/totk/tiles/sky/6/4_44.jpg",</v>
      </c>
      <c r="H132" t="str">
        <f>QUOTIENT(ROW(A132),48)+2&amp;"_"&amp;MOD(ROW(A132),48)+8</f>
        <v>4_44</v>
      </c>
    </row>
    <row r="133" spans="1:8" x14ac:dyDescent="0.2">
      <c r="A133" s="9" t="s">
        <v>51</v>
      </c>
      <c r="B133" t="s">
        <v>639</v>
      </c>
      <c r="C133" t="str">
        <f>""""&amp;SUBSTITUTE(A133,"zzz",H133)&amp;""""&amp;","</f>
        <v>"https://www.zeldadungeon.net/maps/totk/tiles/sky/6/4_45.jpg",</v>
      </c>
      <c r="H133" t="str">
        <f>QUOTIENT(ROW(A133),48)+2&amp;"_"&amp;MOD(ROW(A133),48)+8</f>
        <v>4_45</v>
      </c>
    </row>
    <row r="134" spans="1:8" x14ac:dyDescent="0.2">
      <c r="A134" s="9" t="s">
        <v>51</v>
      </c>
      <c r="B134" t="s">
        <v>638</v>
      </c>
      <c r="C134" t="str">
        <f>""""&amp;SUBSTITUTE(A134,"zzz",H134)&amp;""""&amp;","</f>
        <v>"https://www.zeldadungeon.net/maps/totk/tiles/sky/6/4_46.jpg",</v>
      </c>
      <c r="H134" t="str">
        <f>QUOTIENT(ROW(A134),48)+2&amp;"_"&amp;MOD(ROW(A134),48)+8</f>
        <v>4_46</v>
      </c>
    </row>
    <row r="135" spans="1:8" x14ac:dyDescent="0.2">
      <c r="A135" s="9" t="s">
        <v>51</v>
      </c>
      <c r="B135" t="s">
        <v>637</v>
      </c>
      <c r="C135" t="str">
        <f>""""&amp;SUBSTITUTE(A135,"zzz",H135)&amp;""""&amp;","</f>
        <v>"https://www.zeldadungeon.net/maps/totk/tiles/sky/6/4_47.jpg",</v>
      </c>
      <c r="H135" t="str">
        <f>QUOTIENT(ROW(A135),48)+2&amp;"_"&amp;MOD(ROW(A135),48)+8</f>
        <v>4_47</v>
      </c>
    </row>
    <row r="136" spans="1:8" x14ac:dyDescent="0.2">
      <c r="A136" s="9" t="s">
        <v>51</v>
      </c>
      <c r="B136" t="s">
        <v>636</v>
      </c>
      <c r="C136" t="str">
        <f>""""&amp;SUBSTITUTE(A136,"zzz",H136)&amp;""""&amp;","</f>
        <v>"https://www.zeldadungeon.net/maps/totk/tiles/sky/6/4_48.jpg",</v>
      </c>
      <c r="H136" t="str">
        <f>QUOTIENT(ROW(A136),48)+2&amp;"_"&amp;MOD(ROW(A136),48)+8</f>
        <v>4_48</v>
      </c>
    </row>
    <row r="137" spans="1:8" x14ac:dyDescent="0.2">
      <c r="A137" s="9" t="s">
        <v>51</v>
      </c>
      <c r="B137" t="s">
        <v>635</v>
      </c>
      <c r="C137" t="str">
        <f>""""&amp;SUBSTITUTE(A137,"zzz",H137)&amp;""""&amp;","</f>
        <v>"https://www.zeldadungeon.net/maps/totk/tiles/sky/6/4_49.jpg",</v>
      </c>
      <c r="H137" t="str">
        <f>QUOTIENT(ROW(A137),48)+2&amp;"_"&amp;MOD(ROW(A137),48)+8</f>
        <v>4_49</v>
      </c>
    </row>
    <row r="138" spans="1:8" x14ac:dyDescent="0.2">
      <c r="A138" s="9" t="s">
        <v>51</v>
      </c>
      <c r="B138" t="s">
        <v>634</v>
      </c>
      <c r="C138" t="str">
        <f>""""&amp;SUBSTITUTE(A138,"zzz",H138)&amp;""""&amp;","</f>
        <v>"https://www.zeldadungeon.net/maps/totk/tiles/sky/6/4_50.jpg",</v>
      </c>
      <c r="H138" t="str">
        <f>QUOTIENT(ROW(A138),48)+2&amp;"_"&amp;MOD(ROW(A138),48)+8</f>
        <v>4_50</v>
      </c>
    </row>
    <row r="139" spans="1:8" x14ac:dyDescent="0.2">
      <c r="A139" s="9" t="s">
        <v>51</v>
      </c>
      <c r="B139" t="s">
        <v>633</v>
      </c>
      <c r="C139" t="str">
        <f>""""&amp;SUBSTITUTE(A139,"zzz",H139)&amp;""""&amp;","</f>
        <v>"https://www.zeldadungeon.net/maps/totk/tiles/sky/6/4_51.jpg",</v>
      </c>
      <c r="H139" t="str">
        <f>QUOTIENT(ROW(A139),48)+2&amp;"_"&amp;MOD(ROW(A139),48)+8</f>
        <v>4_51</v>
      </c>
    </row>
    <row r="140" spans="1:8" x14ac:dyDescent="0.2">
      <c r="A140" s="9" t="s">
        <v>51</v>
      </c>
      <c r="B140" t="s">
        <v>632</v>
      </c>
      <c r="C140" t="str">
        <f>""""&amp;SUBSTITUTE(A140,"zzz",H140)&amp;""""&amp;","</f>
        <v>"https://www.zeldadungeon.net/maps/totk/tiles/sky/6/4_52.jpg",</v>
      </c>
      <c r="H140" t="str">
        <f>QUOTIENT(ROW(A140),48)+2&amp;"_"&amp;MOD(ROW(A140),48)+8</f>
        <v>4_52</v>
      </c>
    </row>
    <row r="141" spans="1:8" x14ac:dyDescent="0.2">
      <c r="A141" s="9" t="s">
        <v>51</v>
      </c>
      <c r="B141" t="s">
        <v>631</v>
      </c>
      <c r="C141" t="str">
        <f>""""&amp;SUBSTITUTE(A141,"zzz",H141)&amp;""""&amp;","</f>
        <v>"https://www.zeldadungeon.net/maps/totk/tiles/sky/6/4_53.jpg",</v>
      </c>
      <c r="H141" t="str">
        <f>QUOTIENT(ROW(A141),48)+2&amp;"_"&amp;MOD(ROW(A141),48)+8</f>
        <v>4_53</v>
      </c>
    </row>
    <row r="142" spans="1:8" x14ac:dyDescent="0.2">
      <c r="A142" s="9" t="s">
        <v>51</v>
      </c>
      <c r="B142" t="s">
        <v>630</v>
      </c>
      <c r="C142" t="str">
        <f>""""&amp;SUBSTITUTE(A142,"zzz",H142)&amp;""""&amp;","</f>
        <v>"https://www.zeldadungeon.net/maps/totk/tiles/sky/6/4_54.jpg",</v>
      </c>
      <c r="H142" t="str">
        <f>QUOTIENT(ROW(A142),48)+2&amp;"_"&amp;MOD(ROW(A142),48)+8</f>
        <v>4_54</v>
      </c>
    </row>
    <row r="143" spans="1:8" x14ac:dyDescent="0.2">
      <c r="A143" s="9" t="s">
        <v>51</v>
      </c>
      <c r="B143" t="s">
        <v>629</v>
      </c>
      <c r="C143" t="str">
        <f>""""&amp;SUBSTITUTE(A143,"zzz",H143)&amp;""""&amp;","</f>
        <v>"https://www.zeldadungeon.net/maps/totk/tiles/sky/6/4_55.jpg",</v>
      </c>
      <c r="H143" t="str">
        <f>QUOTIENT(ROW(A143),48)+2&amp;"_"&amp;MOD(ROW(A143),48)+8</f>
        <v>4_55</v>
      </c>
    </row>
    <row r="144" spans="1:8" x14ac:dyDescent="0.2">
      <c r="A144" s="9" t="s">
        <v>51</v>
      </c>
      <c r="B144" t="s">
        <v>628</v>
      </c>
      <c r="C144" t="str">
        <f>""""&amp;SUBSTITUTE(A144,"zzz",H144)&amp;""""&amp;","</f>
        <v>"https://www.zeldadungeon.net/maps/totk/tiles/sky/6/5_8.jpg",</v>
      </c>
      <c r="H144" t="str">
        <f>QUOTIENT(ROW(A144),48)+2&amp;"_"&amp;MOD(ROW(A144),48)+8</f>
        <v>5_8</v>
      </c>
    </row>
    <row r="145" spans="1:8" x14ac:dyDescent="0.2">
      <c r="A145" s="9" t="s">
        <v>51</v>
      </c>
      <c r="B145" t="s">
        <v>627</v>
      </c>
      <c r="C145" t="str">
        <f>""""&amp;SUBSTITUTE(A145,"zzz",H145)&amp;""""&amp;","</f>
        <v>"https://www.zeldadungeon.net/maps/totk/tiles/sky/6/5_9.jpg",</v>
      </c>
      <c r="H145" t="str">
        <f>QUOTIENT(ROW(A145),48)+2&amp;"_"&amp;MOD(ROW(A145),48)+8</f>
        <v>5_9</v>
      </c>
    </row>
    <row r="146" spans="1:8" x14ac:dyDescent="0.2">
      <c r="A146" s="9" t="s">
        <v>51</v>
      </c>
      <c r="B146" t="s">
        <v>626</v>
      </c>
      <c r="C146" t="str">
        <f>""""&amp;SUBSTITUTE(A146,"zzz",H146)&amp;""""&amp;","</f>
        <v>"https://www.zeldadungeon.net/maps/totk/tiles/sky/6/5_10.jpg",</v>
      </c>
      <c r="H146" t="str">
        <f>QUOTIENT(ROW(A146),48)+2&amp;"_"&amp;MOD(ROW(A146),48)+8</f>
        <v>5_10</v>
      </c>
    </row>
    <row r="147" spans="1:8" x14ac:dyDescent="0.2">
      <c r="A147" s="9" t="s">
        <v>51</v>
      </c>
      <c r="B147" t="s">
        <v>625</v>
      </c>
      <c r="C147" t="str">
        <f>""""&amp;SUBSTITUTE(A147,"zzz",H147)&amp;""""&amp;","</f>
        <v>"https://www.zeldadungeon.net/maps/totk/tiles/sky/6/5_11.jpg",</v>
      </c>
      <c r="H147" t="str">
        <f>QUOTIENT(ROW(A147),48)+2&amp;"_"&amp;MOD(ROW(A147),48)+8</f>
        <v>5_11</v>
      </c>
    </row>
    <row r="148" spans="1:8" x14ac:dyDescent="0.2">
      <c r="A148" s="9" t="s">
        <v>51</v>
      </c>
      <c r="B148" t="s">
        <v>624</v>
      </c>
      <c r="C148" t="str">
        <f>""""&amp;SUBSTITUTE(A148,"zzz",H148)&amp;""""&amp;","</f>
        <v>"https://www.zeldadungeon.net/maps/totk/tiles/sky/6/5_12.jpg",</v>
      </c>
      <c r="H148" t="str">
        <f>QUOTIENT(ROW(A148),48)+2&amp;"_"&amp;MOD(ROW(A148),48)+8</f>
        <v>5_12</v>
      </c>
    </row>
    <row r="149" spans="1:8" x14ac:dyDescent="0.2">
      <c r="A149" s="9" t="s">
        <v>51</v>
      </c>
      <c r="B149" t="s">
        <v>623</v>
      </c>
      <c r="C149" t="str">
        <f>""""&amp;SUBSTITUTE(A149,"zzz",H149)&amp;""""&amp;","</f>
        <v>"https://www.zeldadungeon.net/maps/totk/tiles/sky/6/5_13.jpg",</v>
      </c>
      <c r="H149" t="str">
        <f>QUOTIENT(ROW(A149),48)+2&amp;"_"&amp;MOD(ROW(A149),48)+8</f>
        <v>5_13</v>
      </c>
    </row>
    <row r="150" spans="1:8" x14ac:dyDescent="0.2">
      <c r="A150" s="9" t="s">
        <v>51</v>
      </c>
      <c r="B150" t="s">
        <v>622</v>
      </c>
      <c r="C150" t="str">
        <f>""""&amp;SUBSTITUTE(A150,"zzz",H150)&amp;""""&amp;","</f>
        <v>"https://www.zeldadungeon.net/maps/totk/tiles/sky/6/5_14.jpg",</v>
      </c>
      <c r="H150" t="str">
        <f>QUOTIENT(ROW(A150),48)+2&amp;"_"&amp;MOD(ROW(A150),48)+8</f>
        <v>5_14</v>
      </c>
    </row>
    <row r="151" spans="1:8" x14ac:dyDescent="0.2">
      <c r="A151" s="9" t="s">
        <v>51</v>
      </c>
      <c r="B151" t="s">
        <v>621</v>
      </c>
      <c r="C151" t="str">
        <f>""""&amp;SUBSTITUTE(A151,"zzz",H151)&amp;""""&amp;","</f>
        <v>"https://www.zeldadungeon.net/maps/totk/tiles/sky/6/5_15.jpg",</v>
      </c>
      <c r="H151" t="str">
        <f>QUOTIENT(ROW(A151),48)+2&amp;"_"&amp;MOD(ROW(A151),48)+8</f>
        <v>5_15</v>
      </c>
    </row>
    <row r="152" spans="1:8" x14ac:dyDescent="0.2">
      <c r="A152" s="9" t="s">
        <v>51</v>
      </c>
      <c r="B152" t="s">
        <v>620</v>
      </c>
      <c r="C152" t="str">
        <f>""""&amp;SUBSTITUTE(A152,"zzz",H152)&amp;""""&amp;","</f>
        <v>"https://www.zeldadungeon.net/maps/totk/tiles/sky/6/5_16.jpg",</v>
      </c>
      <c r="H152" t="str">
        <f>QUOTIENT(ROW(A152),48)+2&amp;"_"&amp;MOD(ROW(A152),48)+8</f>
        <v>5_16</v>
      </c>
    </row>
    <row r="153" spans="1:8" x14ac:dyDescent="0.2">
      <c r="A153" s="9" t="s">
        <v>51</v>
      </c>
      <c r="B153" t="s">
        <v>619</v>
      </c>
      <c r="C153" t="str">
        <f>""""&amp;SUBSTITUTE(A153,"zzz",H153)&amp;""""&amp;","</f>
        <v>"https://www.zeldadungeon.net/maps/totk/tiles/sky/6/5_17.jpg",</v>
      </c>
      <c r="H153" t="str">
        <f>QUOTIENT(ROW(A153),48)+2&amp;"_"&amp;MOD(ROW(A153),48)+8</f>
        <v>5_17</v>
      </c>
    </row>
    <row r="154" spans="1:8" x14ac:dyDescent="0.2">
      <c r="A154" s="9" t="s">
        <v>51</v>
      </c>
      <c r="B154" t="s">
        <v>618</v>
      </c>
      <c r="C154" t="str">
        <f>""""&amp;SUBSTITUTE(A154,"zzz",H154)&amp;""""&amp;","</f>
        <v>"https://www.zeldadungeon.net/maps/totk/tiles/sky/6/5_18.jpg",</v>
      </c>
      <c r="H154" t="str">
        <f>QUOTIENT(ROW(A154),48)+2&amp;"_"&amp;MOD(ROW(A154),48)+8</f>
        <v>5_18</v>
      </c>
    </row>
    <row r="155" spans="1:8" x14ac:dyDescent="0.2">
      <c r="A155" s="9" t="s">
        <v>51</v>
      </c>
      <c r="B155" t="s">
        <v>617</v>
      </c>
      <c r="C155" t="str">
        <f>""""&amp;SUBSTITUTE(A155,"zzz",H155)&amp;""""&amp;","</f>
        <v>"https://www.zeldadungeon.net/maps/totk/tiles/sky/6/5_19.jpg",</v>
      </c>
      <c r="H155" t="str">
        <f>QUOTIENT(ROW(A155),48)+2&amp;"_"&amp;MOD(ROW(A155),48)+8</f>
        <v>5_19</v>
      </c>
    </row>
    <row r="156" spans="1:8" x14ac:dyDescent="0.2">
      <c r="A156" s="9" t="s">
        <v>51</v>
      </c>
      <c r="B156" t="s">
        <v>616</v>
      </c>
      <c r="C156" t="str">
        <f>""""&amp;SUBSTITUTE(A156,"zzz",H156)&amp;""""&amp;","</f>
        <v>"https://www.zeldadungeon.net/maps/totk/tiles/sky/6/5_20.jpg",</v>
      </c>
      <c r="H156" t="str">
        <f>QUOTIENT(ROW(A156),48)+2&amp;"_"&amp;MOD(ROW(A156),48)+8</f>
        <v>5_20</v>
      </c>
    </row>
    <row r="157" spans="1:8" x14ac:dyDescent="0.2">
      <c r="A157" s="9" t="s">
        <v>51</v>
      </c>
      <c r="B157" t="s">
        <v>615</v>
      </c>
      <c r="C157" t="str">
        <f>""""&amp;SUBSTITUTE(A157,"zzz",H157)&amp;""""&amp;","</f>
        <v>"https://www.zeldadungeon.net/maps/totk/tiles/sky/6/5_21.jpg",</v>
      </c>
      <c r="H157" t="str">
        <f>QUOTIENT(ROW(A157),48)+2&amp;"_"&amp;MOD(ROW(A157),48)+8</f>
        <v>5_21</v>
      </c>
    </row>
    <row r="158" spans="1:8" x14ac:dyDescent="0.2">
      <c r="A158" s="9" t="s">
        <v>51</v>
      </c>
      <c r="B158" t="s">
        <v>614</v>
      </c>
      <c r="C158" t="str">
        <f>""""&amp;SUBSTITUTE(A158,"zzz",H158)&amp;""""&amp;","</f>
        <v>"https://www.zeldadungeon.net/maps/totk/tiles/sky/6/5_22.jpg",</v>
      </c>
      <c r="H158" t="str">
        <f>QUOTIENT(ROW(A158),48)+2&amp;"_"&amp;MOD(ROW(A158),48)+8</f>
        <v>5_22</v>
      </c>
    </row>
    <row r="159" spans="1:8" x14ac:dyDescent="0.2">
      <c r="A159" s="9" t="s">
        <v>51</v>
      </c>
      <c r="B159" t="s">
        <v>613</v>
      </c>
      <c r="C159" t="str">
        <f>""""&amp;SUBSTITUTE(A159,"zzz",H159)&amp;""""&amp;","</f>
        <v>"https://www.zeldadungeon.net/maps/totk/tiles/sky/6/5_23.jpg",</v>
      </c>
      <c r="H159" t="str">
        <f>QUOTIENT(ROW(A159),48)+2&amp;"_"&amp;MOD(ROW(A159),48)+8</f>
        <v>5_23</v>
      </c>
    </row>
    <row r="160" spans="1:8" x14ac:dyDescent="0.2">
      <c r="A160" s="9" t="s">
        <v>51</v>
      </c>
      <c r="B160" t="s">
        <v>612</v>
      </c>
      <c r="C160" t="str">
        <f>""""&amp;SUBSTITUTE(A160,"zzz",H160)&amp;""""&amp;","</f>
        <v>"https://www.zeldadungeon.net/maps/totk/tiles/sky/6/5_24.jpg",</v>
      </c>
      <c r="H160" t="str">
        <f>QUOTIENT(ROW(A160),48)+2&amp;"_"&amp;MOD(ROW(A160),48)+8</f>
        <v>5_24</v>
      </c>
    </row>
    <row r="161" spans="1:8" x14ac:dyDescent="0.2">
      <c r="A161" s="9" t="s">
        <v>51</v>
      </c>
      <c r="B161" t="s">
        <v>611</v>
      </c>
      <c r="C161" t="str">
        <f>""""&amp;SUBSTITUTE(A161,"zzz",H161)&amp;""""&amp;","</f>
        <v>"https://www.zeldadungeon.net/maps/totk/tiles/sky/6/5_25.jpg",</v>
      </c>
      <c r="H161" t="str">
        <f>QUOTIENT(ROW(A161),48)+2&amp;"_"&amp;MOD(ROW(A161),48)+8</f>
        <v>5_25</v>
      </c>
    </row>
    <row r="162" spans="1:8" x14ac:dyDescent="0.2">
      <c r="A162" s="9" t="s">
        <v>51</v>
      </c>
      <c r="B162" t="s">
        <v>610</v>
      </c>
      <c r="C162" t="str">
        <f>""""&amp;SUBSTITUTE(A162,"zzz",H162)&amp;""""&amp;","</f>
        <v>"https://www.zeldadungeon.net/maps/totk/tiles/sky/6/5_26.jpg",</v>
      </c>
      <c r="H162" t="str">
        <f>QUOTIENT(ROW(A162),48)+2&amp;"_"&amp;MOD(ROW(A162),48)+8</f>
        <v>5_26</v>
      </c>
    </row>
    <row r="163" spans="1:8" x14ac:dyDescent="0.2">
      <c r="A163" s="9" t="s">
        <v>51</v>
      </c>
      <c r="B163" t="s">
        <v>609</v>
      </c>
      <c r="C163" t="str">
        <f>""""&amp;SUBSTITUTE(A163,"zzz",H163)&amp;""""&amp;","</f>
        <v>"https://www.zeldadungeon.net/maps/totk/tiles/sky/6/5_27.jpg",</v>
      </c>
      <c r="H163" t="str">
        <f>QUOTIENT(ROW(A163),48)+2&amp;"_"&amp;MOD(ROW(A163),48)+8</f>
        <v>5_27</v>
      </c>
    </row>
    <row r="164" spans="1:8" x14ac:dyDescent="0.2">
      <c r="A164" s="9" t="s">
        <v>51</v>
      </c>
      <c r="B164" t="s">
        <v>608</v>
      </c>
      <c r="C164" t="str">
        <f>""""&amp;SUBSTITUTE(A164,"zzz",H164)&amp;""""&amp;","</f>
        <v>"https://www.zeldadungeon.net/maps/totk/tiles/sky/6/5_28.jpg",</v>
      </c>
      <c r="H164" t="str">
        <f>QUOTIENT(ROW(A164),48)+2&amp;"_"&amp;MOD(ROW(A164),48)+8</f>
        <v>5_28</v>
      </c>
    </row>
    <row r="165" spans="1:8" x14ac:dyDescent="0.2">
      <c r="A165" s="9" t="s">
        <v>51</v>
      </c>
      <c r="B165" t="s">
        <v>607</v>
      </c>
      <c r="C165" t="str">
        <f>""""&amp;SUBSTITUTE(A165,"zzz",H165)&amp;""""&amp;","</f>
        <v>"https://www.zeldadungeon.net/maps/totk/tiles/sky/6/5_29.jpg",</v>
      </c>
      <c r="H165" t="str">
        <f>QUOTIENT(ROW(A165),48)+2&amp;"_"&amp;MOD(ROW(A165),48)+8</f>
        <v>5_29</v>
      </c>
    </row>
    <row r="166" spans="1:8" x14ac:dyDescent="0.2">
      <c r="A166" s="9" t="s">
        <v>51</v>
      </c>
      <c r="B166" t="s">
        <v>606</v>
      </c>
      <c r="C166" t="str">
        <f>""""&amp;SUBSTITUTE(A166,"zzz",H166)&amp;""""&amp;","</f>
        <v>"https://www.zeldadungeon.net/maps/totk/tiles/sky/6/5_30.jpg",</v>
      </c>
      <c r="H166" t="str">
        <f>QUOTIENT(ROW(A166),48)+2&amp;"_"&amp;MOD(ROW(A166),48)+8</f>
        <v>5_30</v>
      </c>
    </row>
    <row r="167" spans="1:8" x14ac:dyDescent="0.2">
      <c r="A167" s="9" t="s">
        <v>51</v>
      </c>
      <c r="B167" t="s">
        <v>605</v>
      </c>
      <c r="C167" t="str">
        <f>""""&amp;SUBSTITUTE(A167,"zzz",H167)&amp;""""&amp;","</f>
        <v>"https://www.zeldadungeon.net/maps/totk/tiles/sky/6/5_31.jpg",</v>
      </c>
      <c r="H167" t="str">
        <f>QUOTIENT(ROW(A167),48)+2&amp;"_"&amp;MOD(ROW(A167),48)+8</f>
        <v>5_31</v>
      </c>
    </row>
    <row r="168" spans="1:8" x14ac:dyDescent="0.2">
      <c r="A168" s="9" t="s">
        <v>51</v>
      </c>
      <c r="B168" t="s">
        <v>604</v>
      </c>
      <c r="C168" t="str">
        <f>""""&amp;SUBSTITUTE(A168,"zzz",H168)&amp;""""&amp;","</f>
        <v>"https://www.zeldadungeon.net/maps/totk/tiles/sky/6/5_32.jpg",</v>
      </c>
      <c r="H168" t="str">
        <f>QUOTIENT(ROW(A168),48)+2&amp;"_"&amp;MOD(ROW(A168),48)+8</f>
        <v>5_32</v>
      </c>
    </row>
    <row r="169" spans="1:8" x14ac:dyDescent="0.2">
      <c r="A169" s="9" t="s">
        <v>51</v>
      </c>
      <c r="B169" t="s">
        <v>603</v>
      </c>
      <c r="C169" t="str">
        <f>""""&amp;SUBSTITUTE(A169,"zzz",H169)&amp;""""&amp;","</f>
        <v>"https://www.zeldadungeon.net/maps/totk/tiles/sky/6/5_33.jpg",</v>
      </c>
      <c r="H169" t="str">
        <f>QUOTIENT(ROW(A169),48)+2&amp;"_"&amp;MOD(ROW(A169),48)+8</f>
        <v>5_33</v>
      </c>
    </row>
    <row r="170" spans="1:8" x14ac:dyDescent="0.2">
      <c r="A170" s="9" t="s">
        <v>51</v>
      </c>
      <c r="B170" t="s">
        <v>602</v>
      </c>
      <c r="C170" t="str">
        <f>""""&amp;SUBSTITUTE(A170,"zzz",H170)&amp;""""&amp;","</f>
        <v>"https://www.zeldadungeon.net/maps/totk/tiles/sky/6/5_34.jpg",</v>
      </c>
      <c r="H170" t="str">
        <f>QUOTIENT(ROW(A170),48)+2&amp;"_"&amp;MOD(ROW(A170),48)+8</f>
        <v>5_34</v>
      </c>
    </row>
    <row r="171" spans="1:8" x14ac:dyDescent="0.2">
      <c r="A171" s="9" t="s">
        <v>51</v>
      </c>
      <c r="B171" t="s">
        <v>601</v>
      </c>
      <c r="C171" t="str">
        <f>""""&amp;SUBSTITUTE(A171,"zzz",H171)&amp;""""&amp;","</f>
        <v>"https://www.zeldadungeon.net/maps/totk/tiles/sky/6/5_35.jpg",</v>
      </c>
      <c r="H171" t="str">
        <f>QUOTIENT(ROW(A171),48)+2&amp;"_"&amp;MOD(ROW(A171),48)+8</f>
        <v>5_35</v>
      </c>
    </row>
    <row r="172" spans="1:8" x14ac:dyDescent="0.2">
      <c r="A172" s="9" t="s">
        <v>51</v>
      </c>
      <c r="B172" t="s">
        <v>600</v>
      </c>
      <c r="C172" t="str">
        <f>""""&amp;SUBSTITUTE(A172,"zzz",H172)&amp;""""&amp;","</f>
        <v>"https://www.zeldadungeon.net/maps/totk/tiles/sky/6/5_36.jpg",</v>
      </c>
      <c r="H172" t="str">
        <f>QUOTIENT(ROW(A172),48)+2&amp;"_"&amp;MOD(ROW(A172),48)+8</f>
        <v>5_36</v>
      </c>
    </row>
    <row r="173" spans="1:8" x14ac:dyDescent="0.2">
      <c r="A173" s="9" t="s">
        <v>51</v>
      </c>
      <c r="B173" t="s">
        <v>599</v>
      </c>
      <c r="C173" t="str">
        <f>""""&amp;SUBSTITUTE(A173,"zzz",H173)&amp;""""&amp;","</f>
        <v>"https://www.zeldadungeon.net/maps/totk/tiles/sky/6/5_37.jpg",</v>
      </c>
      <c r="H173" t="str">
        <f>QUOTIENT(ROW(A173),48)+2&amp;"_"&amp;MOD(ROW(A173),48)+8</f>
        <v>5_37</v>
      </c>
    </row>
    <row r="174" spans="1:8" x14ac:dyDescent="0.2">
      <c r="A174" s="9" t="s">
        <v>51</v>
      </c>
      <c r="B174" t="s">
        <v>598</v>
      </c>
      <c r="C174" t="str">
        <f>""""&amp;SUBSTITUTE(A174,"zzz",H174)&amp;""""&amp;","</f>
        <v>"https://www.zeldadungeon.net/maps/totk/tiles/sky/6/5_38.jpg",</v>
      </c>
      <c r="H174" t="str">
        <f>QUOTIENT(ROW(A174),48)+2&amp;"_"&amp;MOD(ROW(A174),48)+8</f>
        <v>5_38</v>
      </c>
    </row>
    <row r="175" spans="1:8" x14ac:dyDescent="0.2">
      <c r="A175" s="9" t="s">
        <v>51</v>
      </c>
      <c r="B175" t="s">
        <v>597</v>
      </c>
      <c r="C175" t="str">
        <f>""""&amp;SUBSTITUTE(A175,"zzz",H175)&amp;""""&amp;","</f>
        <v>"https://www.zeldadungeon.net/maps/totk/tiles/sky/6/5_39.jpg",</v>
      </c>
      <c r="H175" t="str">
        <f>QUOTIENT(ROW(A175),48)+2&amp;"_"&amp;MOD(ROW(A175),48)+8</f>
        <v>5_39</v>
      </c>
    </row>
    <row r="176" spans="1:8" x14ac:dyDescent="0.2">
      <c r="A176" s="9" t="s">
        <v>51</v>
      </c>
      <c r="B176" t="s">
        <v>596</v>
      </c>
      <c r="C176" t="str">
        <f>""""&amp;SUBSTITUTE(A176,"zzz",H176)&amp;""""&amp;","</f>
        <v>"https://www.zeldadungeon.net/maps/totk/tiles/sky/6/5_40.jpg",</v>
      </c>
      <c r="H176" t="str">
        <f>QUOTIENT(ROW(A176),48)+2&amp;"_"&amp;MOD(ROW(A176),48)+8</f>
        <v>5_40</v>
      </c>
    </row>
    <row r="177" spans="1:8" x14ac:dyDescent="0.2">
      <c r="A177" s="9" t="s">
        <v>51</v>
      </c>
      <c r="B177" t="s">
        <v>595</v>
      </c>
      <c r="C177" t="str">
        <f>""""&amp;SUBSTITUTE(A177,"zzz",H177)&amp;""""&amp;","</f>
        <v>"https://www.zeldadungeon.net/maps/totk/tiles/sky/6/5_41.jpg",</v>
      </c>
      <c r="H177" t="str">
        <f>QUOTIENT(ROW(A177),48)+2&amp;"_"&amp;MOD(ROW(A177),48)+8</f>
        <v>5_41</v>
      </c>
    </row>
    <row r="178" spans="1:8" x14ac:dyDescent="0.2">
      <c r="A178" s="9" t="s">
        <v>51</v>
      </c>
      <c r="B178" t="s">
        <v>594</v>
      </c>
      <c r="C178" t="str">
        <f>""""&amp;SUBSTITUTE(A178,"zzz",H178)&amp;""""&amp;","</f>
        <v>"https://www.zeldadungeon.net/maps/totk/tiles/sky/6/5_42.jpg",</v>
      </c>
      <c r="H178" t="str">
        <f>QUOTIENT(ROW(A178),48)+2&amp;"_"&amp;MOD(ROW(A178),48)+8</f>
        <v>5_42</v>
      </c>
    </row>
    <row r="179" spans="1:8" x14ac:dyDescent="0.2">
      <c r="A179" s="9" t="s">
        <v>51</v>
      </c>
      <c r="B179" t="s">
        <v>593</v>
      </c>
      <c r="C179" t="str">
        <f>""""&amp;SUBSTITUTE(A179,"zzz",H179)&amp;""""&amp;","</f>
        <v>"https://www.zeldadungeon.net/maps/totk/tiles/sky/6/5_43.jpg",</v>
      </c>
      <c r="H179" t="str">
        <f>QUOTIENT(ROW(A179),48)+2&amp;"_"&amp;MOD(ROW(A179),48)+8</f>
        <v>5_43</v>
      </c>
    </row>
    <row r="180" spans="1:8" x14ac:dyDescent="0.2">
      <c r="A180" s="9" t="s">
        <v>51</v>
      </c>
      <c r="B180" t="s">
        <v>592</v>
      </c>
      <c r="C180" t="str">
        <f>""""&amp;SUBSTITUTE(A180,"zzz",H180)&amp;""""&amp;","</f>
        <v>"https://www.zeldadungeon.net/maps/totk/tiles/sky/6/5_44.jpg",</v>
      </c>
      <c r="H180" t="str">
        <f>QUOTIENT(ROW(A180),48)+2&amp;"_"&amp;MOD(ROW(A180),48)+8</f>
        <v>5_44</v>
      </c>
    </row>
    <row r="181" spans="1:8" x14ac:dyDescent="0.2">
      <c r="A181" s="9" t="s">
        <v>51</v>
      </c>
      <c r="B181" t="s">
        <v>591</v>
      </c>
      <c r="C181" t="str">
        <f>""""&amp;SUBSTITUTE(A181,"zzz",H181)&amp;""""&amp;","</f>
        <v>"https://www.zeldadungeon.net/maps/totk/tiles/sky/6/5_45.jpg",</v>
      </c>
      <c r="H181" t="str">
        <f>QUOTIENT(ROW(A181),48)+2&amp;"_"&amp;MOD(ROW(A181),48)+8</f>
        <v>5_45</v>
      </c>
    </row>
    <row r="182" spans="1:8" x14ac:dyDescent="0.2">
      <c r="A182" s="9" t="s">
        <v>51</v>
      </c>
      <c r="B182" t="s">
        <v>590</v>
      </c>
      <c r="C182" t="str">
        <f>""""&amp;SUBSTITUTE(A182,"zzz",H182)&amp;""""&amp;","</f>
        <v>"https://www.zeldadungeon.net/maps/totk/tiles/sky/6/5_46.jpg",</v>
      </c>
      <c r="H182" t="str">
        <f>QUOTIENT(ROW(A182),48)+2&amp;"_"&amp;MOD(ROW(A182),48)+8</f>
        <v>5_46</v>
      </c>
    </row>
    <row r="183" spans="1:8" x14ac:dyDescent="0.2">
      <c r="A183" s="9" t="s">
        <v>51</v>
      </c>
      <c r="B183" t="s">
        <v>589</v>
      </c>
      <c r="C183" t="str">
        <f>""""&amp;SUBSTITUTE(A183,"zzz",H183)&amp;""""&amp;","</f>
        <v>"https://www.zeldadungeon.net/maps/totk/tiles/sky/6/5_47.jpg",</v>
      </c>
      <c r="H183" t="str">
        <f>QUOTIENT(ROW(A183),48)+2&amp;"_"&amp;MOD(ROW(A183),48)+8</f>
        <v>5_47</v>
      </c>
    </row>
    <row r="184" spans="1:8" x14ac:dyDescent="0.2">
      <c r="A184" s="9" t="s">
        <v>51</v>
      </c>
      <c r="B184" t="s">
        <v>588</v>
      </c>
      <c r="C184" t="str">
        <f>""""&amp;SUBSTITUTE(A184,"zzz",H184)&amp;""""&amp;","</f>
        <v>"https://www.zeldadungeon.net/maps/totk/tiles/sky/6/5_48.jpg",</v>
      </c>
      <c r="H184" t="str">
        <f>QUOTIENT(ROW(A184),48)+2&amp;"_"&amp;MOD(ROW(A184),48)+8</f>
        <v>5_48</v>
      </c>
    </row>
    <row r="185" spans="1:8" x14ac:dyDescent="0.2">
      <c r="A185" s="9" t="s">
        <v>51</v>
      </c>
      <c r="B185" t="s">
        <v>587</v>
      </c>
      <c r="C185" t="str">
        <f>""""&amp;SUBSTITUTE(A185,"zzz",H185)&amp;""""&amp;","</f>
        <v>"https://www.zeldadungeon.net/maps/totk/tiles/sky/6/5_49.jpg",</v>
      </c>
      <c r="H185" t="str">
        <f>QUOTIENT(ROW(A185),48)+2&amp;"_"&amp;MOD(ROW(A185),48)+8</f>
        <v>5_49</v>
      </c>
    </row>
    <row r="186" spans="1:8" x14ac:dyDescent="0.2">
      <c r="A186" s="9" t="s">
        <v>51</v>
      </c>
      <c r="B186" t="s">
        <v>586</v>
      </c>
      <c r="C186" t="str">
        <f>""""&amp;SUBSTITUTE(A186,"zzz",H186)&amp;""""&amp;","</f>
        <v>"https://www.zeldadungeon.net/maps/totk/tiles/sky/6/5_50.jpg",</v>
      </c>
      <c r="H186" t="str">
        <f>QUOTIENT(ROW(A186),48)+2&amp;"_"&amp;MOD(ROW(A186),48)+8</f>
        <v>5_50</v>
      </c>
    </row>
    <row r="187" spans="1:8" x14ac:dyDescent="0.2">
      <c r="A187" s="9" t="s">
        <v>51</v>
      </c>
      <c r="B187" t="s">
        <v>585</v>
      </c>
      <c r="C187" t="str">
        <f>""""&amp;SUBSTITUTE(A187,"zzz",H187)&amp;""""&amp;","</f>
        <v>"https://www.zeldadungeon.net/maps/totk/tiles/sky/6/5_51.jpg",</v>
      </c>
      <c r="H187" t="str">
        <f>QUOTIENT(ROW(A187),48)+2&amp;"_"&amp;MOD(ROW(A187),48)+8</f>
        <v>5_51</v>
      </c>
    </row>
    <row r="188" spans="1:8" x14ac:dyDescent="0.2">
      <c r="A188" s="9" t="s">
        <v>51</v>
      </c>
      <c r="B188" t="s">
        <v>584</v>
      </c>
      <c r="C188" t="str">
        <f>""""&amp;SUBSTITUTE(A188,"zzz",H188)&amp;""""&amp;","</f>
        <v>"https://www.zeldadungeon.net/maps/totk/tiles/sky/6/5_52.jpg",</v>
      </c>
      <c r="H188" t="str">
        <f>QUOTIENT(ROW(A188),48)+2&amp;"_"&amp;MOD(ROW(A188),48)+8</f>
        <v>5_52</v>
      </c>
    </row>
    <row r="189" spans="1:8" x14ac:dyDescent="0.2">
      <c r="A189" s="9" t="s">
        <v>51</v>
      </c>
      <c r="B189" t="s">
        <v>583</v>
      </c>
      <c r="C189" t="str">
        <f>""""&amp;SUBSTITUTE(A189,"zzz",H189)&amp;""""&amp;","</f>
        <v>"https://www.zeldadungeon.net/maps/totk/tiles/sky/6/5_53.jpg",</v>
      </c>
      <c r="H189" t="str">
        <f>QUOTIENT(ROW(A189),48)+2&amp;"_"&amp;MOD(ROW(A189),48)+8</f>
        <v>5_53</v>
      </c>
    </row>
    <row r="190" spans="1:8" x14ac:dyDescent="0.2">
      <c r="A190" s="9" t="s">
        <v>51</v>
      </c>
      <c r="B190" t="s">
        <v>582</v>
      </c>
      <c r="C190" t="str">
        <f>""""&amp;SUBSTITUTE(A190,"zzz",H190)&amp;""""&amp;","</f>
        <v>"https://www.zeldadungeon.net/maps/totk/tiles/sky/6/5_54.jpg",</v>
      </c>
      <c r="H190" t="str">
        <f>QUOTIENT(ROW(A190),48)+2&amp;"_"&amp;MOD(ROW(A190),48)+8</f>
        <v>5_54</v>
      </c>
    </row>
    <row r="191" spans="1:8" x14ac:dyDescent="0.2">
      <c r="A191" s="9" t="s">
        <v>51</v>
      </c>
      <c r="B191" t="s">
        <v>581</v>
      </c>
      <c r="C191" t="str">
        <f>""""&amp;SUBSTITUTE(A191,"zzz",H191)&amp;""""&amp;","</f>
        <v>"https://www.zeldadungeon.net/maps/totk/tiles/sky/6/5_55.jpg",</v>
      </c>
      <c r="H191" t="str">
        <f>QUOTIENT(ROW(A191),48)+2&amp;"_"&amp;MOD(ROW(A191),48)+8</f>
        <v>5_55</v>
      </c>
    </row>
    <row r="192" spans="1:8" x14ac:dyDescent="0.2">
      <c r="A192" s="9" t="s">
        <v>51</v>
      </c>
      <c r="B192" t="s">
        <v>580</v>
      </c>
      <c r="C192" t="str">
        <f>""""&amp;SUBSTITUTE(A192,"zzz",H192)&amp;""""&amp;","</f>
        <v>"https://www.zeldadungeon.net/maps/totk/tiles/sky/6/6_8.jpg",</v>
      </c>
      <c r="H192" t="str">
        <f>QUOTIENT(ROW(A192),48)+2&amp;"_"&amp;MOD(ROW(A192),48)+8</f>
        <v>6_8</v>
      </c>
    </row>
    <row r="193" spans="1:8" x14ac:dyDescent="0.2">
      <c r="A193" s="9" t="s">
        <v>51</v>
      </c>
      <c r="B193" t="s">
        <v>579</v>
      </c>
      <c r="C193" t="str">
        <f>""""&amp;SUBSTITUTE(A193,"zzz",H193)&amp;""""&amp;","</f>
        <v>"https://www.zeldadungeon.net/maps/totk/tiles/sky/6/6_9.jpg",</v>
      </c>
      <c r="H193" t="str">
        <f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>""""&amp;SUBSTITUTE(A194,"zzz",H194)&amp;""""&amp;","</f>
        <v>"https://www.zeldadungeon.net/maps/totk/tiles/sky/6/6_10.jpg",</v>
      </c>
      <c r="H194" t="str">
        <f>QUOTIENT(ROW(A194),48)+2&amp;"_"&amp;MOD(ROW(A194),48)+8</f>
        <v>6_10</v>
      </c>
    </row>
    <row r="195" spans="1:8" x14ac:dyDescent="0.2">
      <c r="A195" s="9" t="s">
        <v>51</v>
      </c>
      <c r="B195" t="s">
        <v>577</v>
      </c>
      <c r="C195" t="str">
        <f>""""&amp;SUBSTITUTE(A195,"zzz",H195)&amp;""""&amp;","</f>
        <v>"https://www.zeldadungeon.net/maps/totk/tiles/sky/6/6_11.jpg",</v>
      </c>
      <c r="H195" t="str">
        <f>QUOTIENT(ROW(A195),48)+2&amp;"_"&amp;MOD(ROW(A195),48)+8</f>
        <v>6_11</v>
      </c>
    </row>
    <row r="196" spans="1:8" x14ac:dyDescent="0.2">
      <c r="A196" s="9" t="s">
        <v>51</v>
      </c>
      <c r="B196" t="s">
        <v>576</v>
      </c>
      <c r="C196" t="str">
        <f>""""&amp;SUBSTITUTE(A196,"zzz",H196)&amp;""""&amp;","</f>
        <v>"https://www.zeldadungeon.net/maps/totk/tiles/sky/6/6_12.jpg",</v>
      </c>
      <c r="H196" t="str">
        <f>QUOTIENT(ROW(A196),48)+2&amp;"_"&amp;MOD(ROW(A196),48)+8</f>
        <v>6_12</v>
      </c>
    </row>
    <row r="197" spans="1:8" x14ac:dyDescent="0.2">
      <c r="A197" s="9" t="s">
        <v>51</v>
      </c>
      <c r="B197" t="s">
        <v>575</v>
      </c>
      <c r="C197" t="str">
        <f>""""&amp;SUBSTITUTE(A197,"zzz",H197)&amp;""""&amp;","</f>
        <v>"https://www.zeldadungeon.net/maps/totk/tiles/sky/6/6_13.jpg",</v>
      </c>
      <c r="H197" t="str">
        <f>QUOTIENT(ROW(A197),48)+2&amp;"_"&amp;MOD(ROW(A197),48)+8</f>
        <v>6_13</v>
      </c>
    </row>
    <row r="198" spans="1:8" x14ac:dyDescent="0.2">
      <c r="A198" s="9" t="s">
        <v>51</v>
      </c>
      <c r="B198" t="s">
        <v>574</v>
      </c>
      <c r="C198" t="str">
        <f>""""&amp;SUBSTITUTE(A198,"zzz",H198)&amp;""""&amp;","</f>
        <v>"https://www.zeldadungeon.net/maps/totk/tiles/sky/6/6_14.jpg",</v>
      </c>
      <c r="H198" t="str">
        <f>QUOTIENT(ROW(A198),48)+2&amp;"_"&amp;MOD(ROW(A198),48)+8</f>
        <v>6_14</v>
      </c>
    </row>
    <row r="199" spans="1:8" x14ac:dyDescent="0.2">
      <c r="A199" s="9" t="s">
        <v>51</v>
      </c>
      <c r="B199" t="s">
        <v>573</v>
      </c>
      <c r="C199" t="str">
        <f>""""&amp;SUBSTITUTE(A199,"zzz",H199)&amp;""""&amp;","</f>
        <v>"https://www.zeldadungeon.net/maps/totk/tiles/sky/6/6_15.jpg",</v>
      </c>
      <c r="H199" t="str">
        <f>QUOTIENT(ROW(A199),48)+2&amp;"_"&amp;MOD(ROW(A199),48)+8</f>
        <v>6_15</v>
      </c>
    </row>
    <row r="200" spans="1:8" x14ac:dyDescent="0.2">
      <c r="A200" s="9" t="s">
        <v>51</v>
      </c>
      <c r="B200" t="s">
        <v>572</v>
      </c>
      <c r="C200" t="str">
        <f>""""&amp;SUBSTITUTE(A200,"zzz",H200)&amp;""""&amp;","</f>
        <v>"https://www.zeldadungeon.net/maps/totk/tiles/sky/6/6_16.jpg",</v>
      </c>
      <c r="H200" t="str">
        <f>QUOTIENT(ROW(A200),48)+2&amp;"_"&amp;MOD(ROW(A200),48)+8</f>
        <v>6_16</v>
      </c>
    </row>
    <row r="201" spans="1:8" x14ac:dyDescent="0.2">
      <c r="A201" s="9" t="s">
        <v>51</v>
      </c>
      <c r="B201" t="s">
        <v>571</v>
      </c>
      <c r="C201" t="str">
        <f>""""&amp;SUBSTITUTE(A201,"zzz",H201)&amp;""""&amp;","</f>
        <v>"https://www.zeldadungeon.net/maps/totk/tiles/sky/6/6_17.jpg",</v>
      </c>
      <c r="H201" t="str">
        <f>QUOTIENT(ROW(A201),48)+2&amp;"_"&amp;MOD(ROW(A201),48)+8</f>
        <v>6_17</v>
      </c>
    </row>
    <row r="202" spans="1:8" x14ac:dyDescent="0.2">
      <c r="A202" s="9" t="s">
        <v>51</v>
      </c>
      <c r="B202" t="s">
        <v>570</v>
      </c>
      <c r="C202" t="str">
        <f>""""&amp;SUBSTITUTE(A202,"zzz",H202)&amp;""""&amp;","</f>
        <v>"https://www.zeldadungeon.net/maps/totk/tiles/sky/6/6_18.jpg",</v>
      </c>
      <c r="H202" t="str">
        <f>QUOTIENT(ROW(A202),48)+2&amp;"_"&amp;MOD(ROW(A202),48)+8</f>
        <v>6_18</v>
      </c>
    </row>
    <row r="203" spans="1:8" x14ac:dyDescent="0.2">
      <c r="A203" s="9" t="s">
        <v>51</v>
      </c>
      <c r="B203" t="s">
        <v>569</v>
      </c>
      <c r="C203" t="str">
        <f>""""&amp;SUBSTITUTE(A203,"zzz",H203)&amp;""""&amp;","</f>
        <v>"https://www.zeldadungeon.net/maps/totk/tiles/sky/6/6_19.jpg",</v>
      </c>
      <c r="H203" t="str">
        <f>QUOTIENT(ROW(A203),48)+2&amp;"_"&amp;MOD(ROW(A203),48)+8</f>
        <v>6_19</v>
      </c>
    </row>
    <row r="204" spans="1:8" x14ac:dyDescent="0.2">
      <c r="A204" s="9" t="s">
        <v>51</v>
      </c>
      <c r="B204" t="s">
        <v>568</v>
      </c>
      <c r="C204" t="str">
        <f>""""&amp;SUBSTITUTE(A204,"zzz",H204)&amp;""""&amp;","</f>
        <v>"https://www.zeldadungeon.net/maps/totk/tiles/sky/6/6_20.jpg",</v>
      </c>
      <c r="H204" t="str">
        <f>QUOTIENT(ROW(A204),48)+2&amp;"_"&amp;MOD(ROW(A204),48)+8</f>
        <v>6_20</v>
      </c>
    </row>
    <row r="205" spans="1:8" x14ac:dyDescent="0.2">
      <c r="A205" s="9" t="s">
        <v>51</v>
      </c>
      <c r="B205" t="s">
        <v>567</v>
      </c>
      <c r="C205" t="str">
        <f>""""&amp;SUBSTITUTE(A205,"zzz",H205)&amp;""""&amp;","</f>
        <v>"https://www.zeldadungeon.net/maps/totk/tiles/sky/6/6_21.jpg",</v>
      </c>
      <c r="H205" t="str">
        <f>QUOTIENT(ROW(A205),48)+2&amp;"_"&amp;MOD(ROW(A205),48)+8</f>
        <v>6_21</v>
      </c>
    </row>
    <row r="206" spans="1:8" x14ac:dyDescent="0.2">
      <c r="A206" s="9" t="s">
        <v>51</v>
      </c>
      <c r="B206" t="s">
        <v>566</v>
      </c>
      <c r="C206" t="str">
        <f>""""&amp;SUBSTITUTE(A206,"zzz",H206)&amp;""""&amp;","</f>
        <v>"https://www.zeldadungeon.net/maps/totk/tiles/sky/6/6_22.jpg",</v>
      </c>
      <c r="H206" t="str">
        <f>QUOTIENT(ROW(A206),48)+2&amp;"_"&amp;MOD(ROW(A206),48)+8</f>
        <v>6_22</v>
      </c>
    </row>
    <row r="207" spans="1:8" x14ac:dyDescent="0.2">
      <c r="A207" s="9" t="s">
        <v>51</v>
      </c>
      <c r="B207" t="s">
        <v>565</v>
      </c>
      <c r="C207" t="str">
        <f>""""&amp;SUBSTITUTE(A207,"zzz",H207)&amp;""""&amp;","</f>
        <v>"https://www.zeldadungeon.net/maps/totk/tiles/sky/6/6_23.jpg",</v>
      </c>
      <c r="H207" t="str">
        <f>QUOTIENT(ROW(A207),48)+2&amp;"_"&amp;MOD(ROW(A207),48)+8</f>
        <v>6_23</v>
      </c>
    </row>
    <row r="208" spans="1:8" x14ac:dyDescent="0.2">
      <c r="A208" s="9" t="s">
        <v>51</v>
      </c>
      <c r="B208" t="s">
        <v>564</v>
      </c>
      <c r="C208" t="str">
        <f>""""&amp;SUBSTITUTE(A208,"zzz",H208)&amp;""""&amp;","</f>
        <v>"https://www.zeldadungeon.net/maps/totk/tiles/sky/6/6_24.jpg",</v>
      </c>
      <c r="H208" t="str">
        <f>QUOTIENT(ROW(A208),48)+2&amp;"_"&amp;MOD(ROW(A208),48)+8</f>
        <v>6_24</v>
      </c>
    </row>
    <row r="209" spans="1:8" x14ac:dyDescent="0.2">
      <c r="A209" s="9" t="s">
        <v>51</v>
      </c>
      <c r="B209" t="s">
        <v>563</v>
      </c>
      <c r="C209" t="str">
        <f>""""&amp;SUBSTITUTE(A209,"zzz",H209)&amp;""""&amp;","</f>
        <v>"https://www.zeldadungeon.net/maps/totk/tiles/sky/6/6_25.jpg",</v>
      </c>
      <c r="H209" t="str">
        <f>QUOTIENT(ROW(A209),48)+2&amp;"_"&amp;MOD(ROW(A209),48)+8</f>
        <v>6_25</v>
      </c>
    </row>
    <row r="210" spans="1:8" x14ac:dyDescent="0.2">
      <c r="A210" s="9" t="s">
        <v>51</v>
      </c>
      <c r="B210" t="s">
        <v>562</v>
      </c>
      <c r="C210" t="str">
        <f>""""&amp;SUBSTITUTE(A210,"zzz",H210)&amp;""""&amp;","</f>
        <v>"https://www.zeldadungeon.net/maps/totk/tiles/sky/6/6_26.jpg",</v>
      </c>
      <c r="H210" t="str">
        <f>QUOTIENT(ROW(A210),48)+2&amp;"_"&amp;MOD(ROW(A210),48)+8</f>
        <v>6_26</v>
      </c>
    </row>
    <row r="211" spans="1:8" x14ac:dyDescent="0.2">
      <c r="A211" s="9" t="s">
        <v>51</v>
      </c>
      <c r="B211" t="s">
        <v>561</v>
      </c>
      <c r="C211" t="str">
        <f>""""&amp;SUBSTITUTE(A211,"zzz",H211)&amp;""""&amp;","</f>
        <v>"https://www.zeldadungeon.net/maps/totk/tiles/sky/6/6_27.jpg",</v>
      </c>
      <c r="H211" t="str">
        <f>QUOTIENT(ROW(A211),48)+2&amp;"_"&amp;MOD(ROW(A211),48)+8</f>
        <v>6_27</v>
      </c>
    </row>
    <row r="212" spans="1:8" x14ac:dyDescent="0.2">
      <c r="A212" s="9" t="s">
        <v>51</v>
      </c>
      <c r="B212" t="s">
        <v>560</v>
      </c>
      <c r="C212" t="str">
        <f>""""&amp;SUBSTITUTE(A212,"zzz",H212)&amp;""""&amp;","</f>
        <v>"https://www.zeldadungeon.net/maps/totk/tiles/sky/6/6_28.jpg",</v>
      </c>
      <c r="H212" t="str">
        <f>QUOTIENT(ROW(A212),48)+2&amp;"_"&amp;MOD(ROW(A212),48)+8</f>
        <v>6_28</v>
      </c>
    </row>
    <row r="213" spans="1:8" x14ac:dyDescent="0.2">
      <c r="A213" s="9" t="s">
        <v>51</v>
      </c>
      <c r="B213" t="s">
        <v>559</v>
      </c>
      <c r="C213" t="str">
        <f>""""&amp;SUBSTITUTE(A213,"zzz",H213)&amp;""""&amp;","</f>
        <v>"https://www.zeldadungeon.net/maps/totk/tiles/sky/6/6_29.jpg",</v>
      </c>
      <c r="H213" t="str">
        <f>QUOTIENT(ROW(A213),48)+2&amp;"_"&amp;MOD(ROW(A213),48)+8</f>
        <v>6_29</v>
      </c>
    </row>
    <row r="214" spans="1:8" x14ac:dyDescent="0.2">
      <c r="A214" s="9" t="s">
        <v>51</v>
      </c>
      <c r="B214" t="s">
        <v>558</v>
      </c>
      <c r="C214" t="str">
        <f>""""&amp;SUBSTITUTE(A214,"zzz",H214)&amp;""""&amp;","</f>
        <v>"https://www.zeldadungeon.net/maps/totk/tiles/sky/6/6_30.jpg",</v>
      </c>
      <c r="H214" t="str">
        <f>QUOTIENT(ROW(A214),48)+2&amp;"_"&amp;MOD(ROW(A214),48)+8</f>
        <v>6_30</v>
      </c>
    </row>
    <row r="215" spans="1:8" x14ac:dyDescent="0.2">
      <c r="A215" s="9" t="s">
        <v>51</v>
      </c>
      <c r="B215" t="s">
        <v>557</v>
      </c>
      <c r="C215" t="str">
        <f>""""&amp;SUBSTITUTE(A215,"zzz",H215)&amp;""""&amp;","</f>
        <v>"https://www.zeldadungeon.net/maps/totk/tiles/sky/6/6_31.jpg",</v>
      </c>
      <c r="H215" t="str">
        <f>QUOTIENT(ROW(A215),48)+2&amp;"_"&amp;MOD(ROW(A215),48)+8</f>
        <v>6_31</v>
      </c>
    </row>
    <row r="216" spans="1:8" x14ac:dyDescent="0.2">
      <c r="A216" s="9" t="s">
        <v>51</v>
      </c>
      <c r="B216" t="s">
        <v>556</v>
      </c>
      <c r="C216" t="str">
        <f>""""&amp;SUBSTITUTE(A216,"zzz",H216)&amp;""""&amp;","</f>
        <v>"https://www.zeldadungeon.net/maps/totk/tiles/sky/6/6_32.jpg",</v>
      </c>
      <c r="H216" t="str">
        <f>QUOTIENT(ROW(A216),48)+2&amp;"_"&amp;MOD(ROW(A216),48)+8</f>
        <v>6_32</v>
      </c>
    </row>
    <row r="217" spans="1:8" x14ac:dyDescent="0.2">
      <c r="A217" s="9" t="s">
        <v>51</v>
      </c>
      <c r="B217" t="s">
        <v>555</v>
      </c>
      <c r="C217" t="str">
        <f>""""&amp;SUBSTITUTE(A217,"zzz",H217)&amp;""""&amp;","</f>
        <v>"https://www.zeldadungeon.net/maps/totk/tiles/sky/6/6_33.jpg",</v>
      </c>
      <c r="H217" t="str">
        <f>QUOTIENT(ROW(A217),48)+2&amp;"_"&amp;MOD(ROW(A217),48)+8</f>
        <v>6_33</v>
      </c>
    </row>
    <row r="218" spans="1:8" x14ac:dyDescent="0.2">
      <c r="A218" s="9" t="s">
        <v>51</v>
      </c>
      <c r="B218" t="s">
        <v>554</v>
      </c>
      <c r="C218" t="str">
        <f>""""&amp;SUBSTITUTE(A218,"zzz",H218)&amp;""""&amp;","</f>
        <v>"https://www.zeldadungeon.net/maps/totk/tiles/sky/6/6_34.jpg",</v>
      </c>
      <c r="H218" t="str">
        <f>QUOTIENT(ROW(A218),48)+2&amp;"_"&amp;MOD(ROW(A218),48)+8</f>
        <v>6_34</v>
      </c>
    </row>
    <row r="219" spans="1:8" x14ac:dyDescent="0.2">
      <c r="A219" s="9" t="s">
        <v>51</v>
      </c>
      <c r="B219" t="s">
        <v>553</v>
      </c>
      <c r="C219" t="str">
        <f>""""&amp;SUBSTITUTE(A219,"zzz",H219)&amp;""""&amp;","</f>
        <v>"https://www.zeldadungeon.net/maps/totk/tiles/sky/6/6_35.jpg",</v>
      </c>
      <c r="H219" t="str">
        <f>QUOTIENT(ROW(A219),48)+2&amp;"_"&amp;MOD(ROW(A219),48)+8</f>
        <v>6_35</v>
      </c>
    </row>
    <row r="220" spans="1:8" x14ac:dyDescent="0.2">
      <c r="A220" s="9" t="s">
        <v>51</v>
      </c>
      <c r="B220" t="s">
        <v>552</v>
      </c>
      <c r="C220" t="str">
        <f>""""&amp;SUBSTITUTE(A220,"zzz",H220)&amp;""""&amp;","</f>
        <v>"https://www.zeldadungeon.net/maps/totk/tiles/sky/6/6_36.jpg",</v>
      </c>
      <c r="H220" t="str">
        <f>QUOTIENT(ROW(A220),48)+2&amp;"_"&amp;MOD(ROW(A220),48)+8</f>
        <v>6_36</v>
      </c>
    </row>
    <row r="221" spans="1:8" x14ac:dyDescent="0.2">
      <c r="A221" s="9" t="s">
        <v>51</v>
      </c>
      <c r="B221" t="s">
        <v>551</v>
      </c>
      <c r="C221" t="str">
        <f>""""&amp;SUBSTITUTE(A221,"zzz",H221)&amp;""""&amp;","</f>
        <v>"https://www.zeldadungeon.net/maps/totk/tiles/sky/6/6_37.jpg",</v>
      </c>
      <c r="H221" t="str">
        <f>QUOTIENT(ROW(A221),48)+2&amp;"_"&amp;MOD(ROW(A221),48)+8</f>
        <v>6_37</v>
      </c>
    </row>
    <row r="222" spans="1:8" x14ac:dyDescent="0.2">
      <c r="A222" s="9" t="s">
        <v>51</v>
      </c>
      <c r="B222" t="s">
        <v>550</v>
      </c>
      <c r="C222" t="str">
        <f>""""&amp;SUBSTITUTE(A222,"zzz",H222)&amp;""""&amp;","</f>
        <v>"https://www.zeldadungeon.net/maps/totk/tiles/sky/6/6_38.jpg",</v>
      </c>
      <c r="H222" t="str">
        <f>QUOTIENT(ROW(A222),48)+2&amp;"_"&amp;MOD(ROW(A222),48)+8</f>
        <v>6_38</v>
      </c>
    </row>
    <row r="223" spans="1:8" x14ac:dyDescent="0.2">
      <c r="A223" s="9" t="s">
        <v>51</v>
      </c>
      <c r="B223" t="s">
        <v>549</v>
      </c>
      <c r="C223" t="str">
        <f>""""&amp;SUBSTITUTE(A223,"zzz",H223)&amp;""""&amp;","</f>
        <v>"https://www.zeldadungeon.net/maps/totk/tiles/sky/6/6_39.jpg",</v>
      </c>
      <c r="H223" t="str">
        <f>QUOTIENT(ROW(A223),48)+2&amp;"_"&amp;MOD(ROW(A223),48)+8</f>
        <v>6_39</v>
      </c>
    </row>
    <row r="224" spans="1:8" x14ac:dyDescent="0.2">
      <c r="A224" s="9" t="s">
        <v>51</v>
      </c>
      <c r="B224" t="s">
        <v>548</v>
      </c>
      <c r="C224" t="str">
        <f>""""&amp;SUBSTITUTE(A224,"zzz",H224)&amp;""""&amp;","</f>
        <v>"https://www.zeldadungeon.net/maps/totk/tiles/sky/6/6_40.jpg",</v>
      </c>
      <c r="H224" t="str">
        <f>QUOTIENT(ROW(A224),48)+2&amp;"_"&amp;MOD(ROW(A224),48)+8</f>
        <v>6_40</v>
      </c>
    </row>
    <row r="225" spans="1:8" x14ac:dyDescent="0.2">
      <c r="A225" s="9" t="s">
        <v>51</v>
      </c>
      <c r="B225" t="s">
        <v>547</v>
      </c>
      <c r="C225" t="str">
        <f>""""&amp;SUBSTITUTE(A225,"zzz",H225)&amp;""""&amp;","</f>
        <v>"https://www.zeldadungeon.net/maps/totk/tiles/sky/6/6_41.jpg",</v>
      </c>
      <c r="H225" t="str">
        <f>QUOTIENT(ROW(A225),48)+2&amp;"_"&amp;MOD(ROW(A225),48)+8</f>
        <v>6_41</v>
      </c>
    </row>
    <row r="226" spans="1:8" x14ac:dyDescent="0.2">
      <c r="A226" s="9" t="s">
        <v>51</v>
      </c>
      <c r="B226" t="s">
        <v>546</v>
      </c>
      <c r="C226" t="str">
        <f>""""&amp;SUBSTITUTE(A226,"zzz",H226)&amp;""""&amp;","</f>
        <v>"https://www.zeldadungeon.net/maps/totk/tiles/sky/6/6_42.jpg",</v>
      </c>
      <c r="H226" t="str">
        <f>QUOTIENT(ROW(A226),48)+2&amp;"_"&amp;MOD(ROW(A226),48)+8</f>
        <v>6_42</v>
      </c>
    </row>
    <row r="227" spans="1:8" x14ac:dyDescent="0.2">
      <c r="A227" s="9" t="s">
        <v>51</v>
      </c>
      <c r="B227" t="s">
        <v>545</v>
      </c>
      <c r="C227" t="str">
        <f>""""&amp;SUBSTITUTE(A227,"zzz",H227)&amp;""""&amp;","</f>
        <v>"https://www.zeldadungeon.net/maps/totk/tiles/sky/6/6_43.jpg",</v>
      </c>
      <c r="H227" t="str">
        <f>QUOTIENT(ROW(A227),48)+2&amp;"_"&amp;MOD(ROW(A227),48)+8</f>
        <v>6_43</v>
      </c>
    </row>
    <row r="228" spans="1:8" x14ac:dyDescent="0.2">
      <c r="A228" s="9" t="s">
        <v>51</v>
      </c>
      <c r="B228" t="s">
        <v>544</v>
      </c>
      <c r="C228" t="str">
        <f>""""&amp;SUBSTITUTE(A228,"zzz",H228)&amp;""""&amp;","</f>
        <v>"https://www.zeldadungeon.net/maps/totk/tiles/sky/6/6_44.jpg",</v>
      </c>
      <c r="H228" t="str">
        <f>QUOTIENT(ROW(A228),48)+2&amp;"_"&amp;MOD(ROW(A228),48)+8</f>
        <v>6_44</v>
      </c>
    </row>
    <row r="229" spans="1:8" x14ac:dyDescent="0.2">
      <c r="A229" s="9" t="s">
        <v>51</v>
      </c>
      <c r="B229" t="s">
        <v>543</v>
      </c>
      <c r="C229" t="str">
        <f>""""&amp;SUBSTITUTE(A229,"zzz",H229)&amp;""""&amp;","</f>
        <v>"https://www.zeldadungeon.net/maps/totk/tiles/sky/6/6_45.jpg",</v>
      </c>
      <c r="H229" t="str">
        <f>QUOTIENT(ROW(A229),48)+2&amp;"_"&amp;MOD(ROW(A229),48)+8</f>
        <v>6_45</v>
      </c>
    </row>
    <row r="230" spans="1:8" x14ac:dyDescent="0.2">
      <c r="A230" s="9" t="s">
        <v>51</v>
      </c>
      <c r="B230" t="s">
        <v>542</v>
      </c>
      <c r="C230" t="str">
        <f>""""&amp;SUBSTITUTE(A230,"zzz",H230)&amp;""""&amp;","</f>
        <v>"https://www.zeldadungeon.net/maps/totk/tiles/sky/6/6_46.jpg",</v>
      </c>
      <c r="H230" t="str">
        <f>QUOTIENT(ROW(A230),48)+2&amp;"_"&amp;MOD(ROW(A230),48)+8</f>
        <v>6_46</v>
      </c>
    </row>
    <row r="231" spans="1:8" x14ac:dyDescent="0.2">
      <c r="A231" s="9" t="s">
        <v>51</v>
      </c>
      <c r="B231" t="s">
        <v>541</v>
      </c>
      <c r="C231" t="str">
        <f>""""&amp;SUBSTITUTE(A231,"zzz",H231)&amp;""""&amp;","</f>
        <v>"https://www.zeldadungeon.net/maps/totk/tiles/sky/6/6_47.jpg",</v>
      </c>
      <c r="H231" t="str">
        <f>QUOTIENT(ROW(A231),48)+2&amp;"_"&amp;MOD(ROW(A231),48)+8</f>
        <v>6_47</v>
      </c>
    </row>
    <row r="232" spans="1:8" x14ac:dyDescent="0.2">
      <c r="A232" s="9" t="s">
        <v>51</v>
      </c>
      <c r="B232" t="s">
        <v>540</v>
      </c>
      <c r="C232" t="str">
        <f>""""&amp;SUBSTITUTE(A232,"zzz",H232)&amp;""""&amp;","</f>
        <v>"https://www.zeldadungeon.net/maps/totk/tiles/sky/6/6_48.jpg",</v>
      </c>
      <c r="H232" t="str">
        <f>QUOTIENT(ROW(A232),48)+2&amp;"_"&amp;MOD(ROW(A232),48)+8</f>
        <v>6_48</v>
      </c>
    </row>
    <row r="233" spans="1:8" x14ac:dyDescent="0.2">
      <c r="A233" s="9" t="s">
        <v>51</v>
      </c>
      <c r="B233" t="s">
        <v>539</v>
      </c>
      <c r="C233" t="str">
        <f>""""&amp;SUBSTITUTE(A233,"zzz",H233)&amp;""""&amp;","</f>
        <v>"https://www.zeldadungeon.net/maps/totk/tiles/sky/6/6_49.jpg",</v>
      </c>
      <c r="H233" t="str">
        <f>QUOTIENT(ROW(A233),48)+2&amp;"_"&amp;MOD(ROW(A233),48)+8</f>
        <v>6_49</v>
      </c>
    </row>
    <row r="234" spans="1:8" x14ac:dyDescent="0.2">
      <c r="A234" s="9" t="s">
        <v>51</v>
      </c>
      <c r="B234" t="s">
        <v>538</v>
      </c>
      <c r="C234" t="str">
        <f>""""&amp;SUBSTITUTE(A234,"zzz",H234)&amp;""""&amp;","</f>
        <v>"https://www.zeldadungeon.net/maps/totk/tiles/sky/6/6_50.jpg",</v>
      </c>
      <c r="H234" t="str">
        <f>QUOTIENT(ROW(A234),48)+2&amp;"_"&amp;MOD(ROW(A234),48)+8</f>
        <v>6_50</v>
      </c>
    </row>
    <row r="235" spans="1:8" x14ac:dyDescent="0.2">
      <c r="A235" s="9" t="s">
        <v>51</v>
      </c>
      <c r="B235" t="s">
        <v>537</v>
      </c>
      <c r="C235" t="str">
        <f>""""&amp;SUBSTITUTE(A235,"zzz",H235)&amp;""""&amp;","</f>
        <v>"https://www.zeldadungeon.net/maps/totk/tiles/sky/6/6_51.jpg",</v>
      </c>
      <c r="H235" t="str">
        <f>QUOTIENT(ROW(A235),48)+2&amp;"_"&amp;MOD(ROW(A235),48)+8</f>
        <v>6_51</v>
      </c>
    </row>
    <row r="236" spans="1:8" x14ac:dyDescent="0.2">
      <c r="A236" s="9" t="s">
        <v>51</v>
      </c>
      <c r="B236" t="s">
        <v>536</v>
      </c>
      <c r="C236" t="str">
        <f>""""&amp;SUBSTITUTE(A236,"zzz",H236)&amp;""""&amp;","</f>
        <v>"https://www.zeldadungeon.net/maps/totk/tiles/sky/6/6_52.jpg",</v>
      </c>
      <c r="H236" t="str">
        <f>QUOTIENT(ROW(A236),48)+2&amp;"_"&amp;MOD(ROW(A236),48)+8</f>
        <v>6_52</v>
      </c>
    </row>
    <row r="237" spans="1:8" x14ac:dyDescent="0.2">
      <c r="A237" s="9" t="s">
        <v>51</v>
      </c>
      <c r="B237" t="s">
        <v>535</v>
      </c>
      <c r="C237" t="str">
        <f>""""&amp;SUBSTITUTE(A237,"zzz",H237)&amp;""""&amp;","</f>
        <v>"https://www.zeldadungeon.net/maps/totk/tiles/sky/6/6_53.jpg",</v>
      </c>
      <c r="H237" t="str">
        <f>QUOTIENT(ROW(A237),48)+2&amp;"_"&amp;MOD(ROW(A237),48)+8</f>
        <v>6_53</v>
      </c>
    </row>
    <row r="238" spans="1:8" x14ac:dyDescent="0.2">
      <c r="A238" s="9" t="s">
        <v>51</v>
      </c>
      <c r="B238" t="s">
        <v>534</v>
      </c>
      <c r="C238" t="str">
        <f>""""&amp;SUBSTITUTE(A238,"zzz",H238)&amp;""""&amp;","</f>
        <v>"https://www.zeldadungeon.net/maps/totk/tiles/sky/6/6_54.jpg",</v>
      </c>
      <c r="H238" t="str">
        <f>QUOTIENT(ROW(A238),48)+2&amp;"_"&amp;MOD(ROW(A238),48)+8</f>
        <v>6_54</v>
      </c>
    </row>
    <row r="239" spans="1:8" x14ac:dyDescent="0.2">
      <c r="A239" s="9" t="s">
        <v>51</v>
      </c>
      <c r="B239" t="s">
        <v>533</v>
      </c>
      <c r="C239" t="str">
        <f>""""&amp;SUBSTITUTE(A239,"zzz",H239)&amp;""""&amp;","</f>
        <v>"https://www.zeldadungeon.net/maps/totk/tiles/sky/6/6_55.jpg",</v>
      </c>
      <c r="H239" t="str">
        <f>QUOTIENT(ROW(A239),48)+2&amp;"_"&amp;MOD(ROW(A239),48)+8</f>
        <v>6_55</v>
      </c>
    </row>
    <row r="240" spans="1:8" x14ac:dyDescent="0.2">
      <c r="A240" s="9" t="s">
        <v>51</v>
      </c>
      <c r="B240" t="s">
        <v>532</v>
      </c>
      <c r="C240" t="str">
        <f>""""&amp;SUBSTITUTE(A240,"zzz",H240)&amp;""""&amp;","</f>
        <v>"https://www.zeldadungeon.net/maps/totk/tiles/sky/6/7_8.jpg",</v>
      </c>
      <c r="H240" t="str">
        <f>QUOTIENT(ROW(A240),48)+2&amp;"_"&amp;MOD(ROW(A240),48)+8</f>
        <v>7_8</v>
      </c>
    </row>
    <row r="241" spans="1:8" x14ac:dyDescent="0.2">
      <c r="A241" s="9" t="s">
        <v>51</v>
      </c>
      <c r="B241" t="s">
        <v>531</v>
      </c>
      <c r="C241" t="str">
        <f>""""&amp;SUBSTITUTE(A241,"zzz",H241)&amp;""""&amp;","</f>
        <v>"https://www.zeldadungeon.net/maps/totk/tiles/sky/6/7_9.jpg",</v>
      </c>
      <c r="H241" t="str">
        <f>QUOTIENT(ROW(A241),48)+2&amp;"_"&amp;MOD(ROW(A241),48)+8</f>
        <v>7_9</v>
      </c>
    </row>
    <row r="242" spans="1:8" x14ac:dyDescent="0.2">
      <c r="A242" s="9" t="s">
        <v>51</v>
      </c>
      <c r="B242" t="s">
        <v>530</v>
      </c>
      <c r="C242" t="str">
        <f>""""&amp;SUBSTITUTE(A242,"zzz",H242)&amp;""""&amp;","</f>
        <v>"https://www.zeldadungeon.net/maps/totk/tiles/sky/6/7_10.jpg",</v>
      </c>
      <c r="H242" t="str">
        <f>QUOTIENT(ROW(A242),48)+2&amp;"_"&amp;MOD(ROW(A242),48)+8</f>
        <v>7_10</v>
      </c>
    </row>
    <row r="243" spans="1:8" x14ac:dyDescent="0.2">
      <c r="A243" s="9" t="s">
        <v>51</v>
      </c>
      <c r="B243" t="s">
        <v>529</v>
      </c>
      <c r="C243" t="str">
        <f>""""&amp;SUBSTITUTE(A243,"zzz",H243)&amp;""""&amp;","</f>
        <v>"https://www.zeldadungeon.net/maps/totk/tiles/sky/6/7_11.jpg",</v>
      </c>
      <c r="H243" t="str">
        <f>QUOTIENT(ROW(A243),48)+2&amp;"_"&amp;MOD(ROW(A243),48)+8</f>
        <v>7_11</v>
      </c>
    </row>
    <row r="244" spans="1:8" x14ac:dyDescent="0.2">
      <c r="A244" s="9" t="s">
        <v>51</v>
      </c>
      <c r="B244" t="s">
        <v>528</v>
      </c>
      <c r="C244" t="str">
        <f>""""&amp;SUBSTITUTE(A244,"zzz",H244)&amp;""""&amp;","</f>
        <v>"https://www.zeldadungeon.net/maps/totk/tiles/sky/6/7_12.jpg",</v>
      </c>
      <c r="H244" t="str">
        <f>QUOTIENT(ROW(A244),48)+2&amp;"_"&amp;MOD(ROW(A244),48)+8</f>
        <v>7_12</v>
      </c>
    </row>
    <row r="245" spans="1:8" x14ac:dyDescent="0.2">
      <c r="A245" s="9" t="s">
        <v>51</v>
      </c>
      <c r="B245" t="s">
        <v>527</v>
      </c>
      <c r="C245" t="str">
        <f>""""&amp;SUBSTITUTE(A245,"zzz",H245)&amp;""""&amp;","</f>
        <v>"https://www.zeldadungeon.net/maps/totk/tiles/sky/6/7_13.jpg",</v>
      </c>
      <c r="H245" t="str">
        <f>QUOTIENT(ROW(A245),48)+2&amp;"_"&amp;MOD(ROW(A245),48)+8</f>
        <v>7_13</v>
      </c>
    </row>
    <row r="246" spans="1:8" x14ac:dyDescent="0.2">
      <c r="A246" s="9" t="s">
        <v>51</v>
      </c>
      <c r="B246" t="s">
        <v>526</v>
      </c>
      <c r="C246" t="str">
        <f>""""&amp;SUBSTITUTE(A246,"zzz",H246)&amp;""""&amp;","</f>
        <v>"https://www.zeldadungeon.net/maps/totk/tiles/sky/6/7_14.jpg",</v>
      </c>
      <c r="H246" t="str">
        <f>QUOTIENT(ROW(A246),48)+2&amp;"_"&amp;MOD(ROW(A246),48)+8</f>
        <v>7_14</v>
      </c>
    </row>
    <row r="247" spans="1:8" x14ac:dyDescent="0.2">
      <c r="A247" s="9" t="s">
        <v>51</v>
      </c>
      <c r="B247" t="s">
        <v>525</v>
      </c>
      <c r="C247" t="str">
        <f>""""&amp;SUBSTITUTE(A247,"zzz",H247)&amp;""""&amp;","</f>
        <v>"https://www.zeldadungeon.net/maps/totk/tiles/sky/6/7_15.jpg",</v>
      </c>
      <c r="H247" t="str">
        <f>QUOTIENT(ROW(A247),48)+2&amp;"_"&amp;MOD(ROW(A247),48)+8</f>
        <v>7_15</v>
      </c>
    </row>
    <row r="248" spans="1:8" x14ac:dyDescent="0.2">
      <c r="A248" s="9" t="s">
        <v>51</v>
      </c>
      <c r="B248" t="s">
        <v>524</v>
      </c>
      <c r="C248" t="str">
        <f>""""&amp;SUBSTITUTE(A248,"zzz",H248)&amp;""""&amp;","</f>
        <v>"https://www.zeldadungeon.net/maps/totk/tiles/sky/6/7_16.jpg",</v>
      </c>
      <c r="H248" t="str">
        <f>QUOTIENT(ROW(A248),48)+2&amp;"_"&amp;MOD(ROW(A248),48)+8</f>
        <v>7_16</v>
      </c>
    </row>
    <row r="249" spans="1:8" x14ac:dyDescent="0.2">
      <c r="A249" s="9" t="s">
        <v>51</v>
      </c>
      <c r="B249" t="s">
        <v>523</v>
      </c>
      <c r="C249" t="str">
        <f>""""&amp;SUBSTITUTE(A249,"zzz",H249)&amp;""""&amp;","</f>
        <v>"https://www.zeldadungeon.net/maps/totk/tiles/sky/6/7_17.jpg",</v>
      </c>
      <c r="H249" t="str">
        <f>QUOTIENT(ROW(A249),48)+2&amp;"_"&amp;MOD(ROW(A249),48)+8</f>
        <v>7_17</v>
      </c>
    </row>
    <row r="250" spans="1:8" x14ac:dyDescent="0.2">
      <c r="A250" s="9" t="s">
        <v>51</v>
      </c>
      <c r="B250" t="s">
        <v>522</v>
      </c>
      <c r="C250" t="str">
        <f>""""&amp;SUBSTITUTE(A250,"zzz",H250)&amp;""""&amp;","</f>
        <v>"https://www.zeldadungeon.net/maps/totk/tiles/sky/6/7_18.jpg",</v>
      </c>
      <c r="H250" t="str">
        <f>QUOTIENT(ROW(A250),48)+2&amp;"_"&amp;MOD(ROW(A250),48)+8</f>
        <v>7_18</v>
      </c>
    </row>
    <row r="251" spans="1:8" x14ac:dyDescent="0.2">
      <c r="A251" s="9" t="s">
        <v>51</v>
      </c>
      <c r="B251" t="s">
        <v>521</v>
      </c>
      <c r="C251" t="str">
        <f>""""&amp;SUBSTITUTE(A251,"zzz",H251)&amp;""""&amp;","</f>
        <v>"https://www.zeldadungeon.net/maps/totk/tiles/sky/6/7_19.jpg",</v>
      </c>
      <c r="H251" t="str">
        <f>QUOTIENT(ROW(A251),48)+2&amp;"_"&amp;MOD(ROW(A251),48)+8</f>
        <v>7_19</v>
      </c>
    </row>
    <row r="252" spans="1:8" x14ac:dyDescent="0.2">
      <c r="A252" s="9" t="s">
        <v>51</v>
      </c>
      <c r="B252" t="s">
        <v>520</v>
      </c>
      <c r="C252" t="str">
        <f>""""&amp;SUBSTITUTE(A252,"zzz",H252)&amp;""""&amp;","</f>
        <v>"https://www.zeldadungeon.net/maps/totk/tiles/sky/6/7_20.jpg",</v>
      </c>
      <c r="H252" t="str">
        <f>QUOTIENT(ROW(A252),48)+2&amp;"_"&amp;MOD(ROW(A252),48)+8</f>
        <v>7_20</v>
      </c>
    </row>
    <row r="253" spans="1:8" x14ac:dyDescent="0.2">
      <c r="A253" s="9" t="s">
        <v>51</v>
      </c>
      <c r="B253" t="s">
        <v>519</v>
      </c>
      <c r="C253" t="str">
        <f>""""&amp;SUBSTITUTE(A253,"zzz",H253)&amp;""""&amp;","</f>
        <v>"https://www.zeldadungeon.net/maps/totk/tiles/sky/6/7_21.jpg",</v>
      </c>
      <c r="H253" t="str">
        <f>QUOTIENT(ROW(A253),48)+2&amp;"_"&amp;MOD(ROW(A253),48)+8</f>
        <v>7_21</v>
      </c>
    </row>
    <row r="254" spans="1:8" x14ac:dyDescent="0.2">
      <c r="A254" s="9" t="s">
        <v>51</v>
      </c>
      <c r="B254" t="s">
        <v>518</v>
      </c>
      <c r="C254" t="str">
        <f>""""&amp;SUBSTITUTE(A254,"zzz",H254)&amp;""""&amp;","</f>
        <v>"https://www.zeldadungeon.net/maps/totk/tiles/sky/6/7_22.jpg",</v>
      </c>
      <c r="H254" t="str">
        <f>QUOTIENT(ROW(A254),48)+2&amp;"_"&amp;MOD(ROW(A254),48)+8</f>
        <v>7_22</v>
      </c>
    </row>
    <row r="255" spans="1:8" x14ac:dyDescent="0.2">
      <c r="A255" s="9" t="s">
        <v>51</v>
      </c>
      <c r="B255" t="s">
        <v>517</v>
      </c>
      <c r="C255" t="str">
        <f>""""&amp;SUBSTITUTE(A255,"zzz",H255)&amp;""""&amp;","</f>
        <v>"https://www.zeldadungeon.net/maps/totk/tiles/sky/6/7_23.jpg",</v>
      </c>
      <c r="H255" t="str">
        <f>QUOTIENT(ROW(A255),48)+2&amp;"_"&amp;MOD(ROW(A255),48)+8</f>
        <v>7_23</v>
      </c>
    </row>
    <row r="256" spans="1:8" x14ac:dyDescent="0.2">
      <c r="A256" s="9" t="s">
        <v>51</v>
      </c>
      <c r="B256" t="s">
        <v>516</v>
      </c>
      <c r="C256" t="str">
        <f>""""&amp;SUBSTITUTE(A256,"zzz",H256)&amp;""""&amp;","</f>
        <v>"https://www.zeldadungeon.net/maps/totk/tiles/sky/6/7_24.jpg",</v>
      </c>
      <c r="H256" t="str">
        <f>QUOTIENT(ROW(A256),48)+2&amp;"_"&amp;MOD(ROW(A256),48)+8</f>
        <v>7_24</v>
      </c>
    </row>
    <row r="257" spans="1:8" x14ac:dyDescent="0.2">
      <c r="A257" s="9" t="s">
        <v>51</v>
      </c>
      <c r="B257" t="s">
        <v>515</v>
      </c>
      <c r="C257" t="str">
        <f>""""&amp;SUBSTITUTE(A257,"zzz",H257)&amp;""""&amp;","</f>
        <v>"https://www.zeldadungeon.net/maps/totk/tiles/sky/6/7_25.jpg",</v>
      </c>
      <c r="H257" t="str">
        <f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>""""&amp;SUBSTITUTE(A258,"zzz",H258)&amp;""""&amp;","</f>
        <v>"https://www.zeldadungeon.net/maps/totk/tiles/sky/6/7_26.jpg",</v>
      </c>
      <c r="H258" t="str">
        <f>QUOTIENT(ROW(A258),48)+2&amp;"_"&amp;MOD(ROW(A258),48)+8</f>
        <v>7_26</v>
      </c>
    </row>
    <row r="259" spans="1:8" x14ac:dyDescent="0.2">
      <c r="A259" s="9" t="s">
        <v>51</v>
      </c>
      <c r="B259" t="s">
        <v>513</v>
      </c>
      <c r="C259" t="str">
        <f>""""&amp;SUBSTITUTE(A259,"zzz",H259)&amp;""""&amp;","</f>
        <v>"https://www.zeldadungeon.net/maps/totk/tiles/sky/6/7_27.jpg",</v>
      </c>
      <c r="H259" t="str">
        <f>QUOTIENT(ROW(A259),48)+2&amp;"_"&amp;MOD(ROW(A259),48)+8</f>
        <v>7_27</v>
      </c>
    </row>
    <row r="260" spans="1:8" x14ac:dyDescent="0.2">
      <c r="A260" s="9" t="s">
        <v>51</v>
      </c>
      <c r="B260" t="s">
        <v>512</v>
      </c>
      <c r="C260" t="str">
        <f>""""&amp;SUBSTITUTE(A260,"zzz",H260)&amp;""""&amp;","</f>
        <v>"https://www.zeldadungeon.net/maps/totk/tiles/sky/6/7_28.jpg",</v>
      </c>
      <c r="H260" t="str">
        <f>QUOTIENT(ROW(A260),48)+2&amp;"_"&amp;MOD(ROW(A260),48)+8</f>
        <v>7_28</v>
      </c>
    </row>
    <row r="261" spans="1:8" x14ac:dyDescent="0.2">
      <c r="A261" s="9" t="s">
        <v>51</v>
      </c>
      <c r="B261" t="s">
        <v>511</v>
      </c>
      <c r="C261" t="str">
        <f>""""&amp;SUBSTITUTE(A261,"zzz",H261)&amp;""""&amp;","</f>
        <v>"https://www.zeldadungeon.net/maps/totk/tiles/sky/6/7_29.jpg",</v>
      </c>
      <c r="H261" t="str">
        <f>QUOTIENT(ROW(A261),48)+2&amp;"_"&amp;MOD(ROW(A261),48)+8</f>
        <v>7_29</v>
      </c>
    </row>
    <row r="262" spans="1:8" x14ac:dyDescent="0.2">
      <c r="A262" s="9" t="s">
        <v>51</v>
      </c>
      <c r="B262" t="s">
        <v>510</v>
      </c>
      <c r="C262" t="str">
        <f>""""&amp;SUBSTITUTE(A262,"zzz",H262)&amp;""""&amp;","</f>
        <v>"https://www.zeldadungeon.net/maps/totk/tiles/sky/6/7_30.jpg",</v>
      </c>
      <c r="H262" t="str">
        <f>QUOTIENT(ROW(A262),48)+2&amp;"_"&amp;MOD(ROW(A262),48)+8</f>
        <v>7_30</v>
      </c>
    </row>
    <row r="263" spans="1:8" x14ac:dyDescent="0.2">
      <c r="A263" s="9" t="s">
        <v>51</v>
      </c>
      <c r="B263" t="s">
        <v>509</v>
      </c>
      <c r="C263" t="str">
        <f>""""&amp;SUBSTITUTE(A263,"zzz",H263)&amp;""""&amp;","</f>
        <v>"https://www.zeldadungeon.net/maps/totk/tiles/sky/6/7_31.jpg",</v>
      </c>
      <c r="H263" t="str">
        <f>QUOTIENT(ROW(A263),48)+2&amp;"_"&amp;MOD(ROW(A263),48)+8</f>
        <v>7_31</v>
      </c>
    </row>
    <row r="264" spans="1:8" x14ac:dyDescent="0.2">
      <c r="A264" s="9" t="s">
        <v>51</v>
      </c>
      <c r="B264" t="s">
        <v>508</v>
      </c>
      <c r="C264" t="str">
        <f>""""&amp;SUBSTITUTE(A264,"zzz",H264)&amp;""""&amp;","</f>
        <v>"https://www.zeldadungeon.net/maps/totk/tiles/sky/6/7_32.jpg",</v>
      </c>
      <c r="H264" t="str">
        <f>QUOTIENT(ROW(A264),48)+2&amp;"_"&amp;MOD(ROW(A264),48)+8</f>
        <v>7_32</v>
      </c>
    </row>
    <row r="265" spans="1:8" x14ac:dyDescent="0.2">
      <c r="A265" s="9" t="s">
        <v>51</v>
      </c>
      <c r="B265" t="s">
        <v>507</v>
      </c>
      <c r="C265" t="str">
        <f>""""&amp;SUBSTITUTE(A265,"zzz",H265)&amp;""""&amp;","</f>
        <v>"https://www.zeldadungeon.net/maps/totk/tiles/sky/6/7_33.jpg",</v>
      </c>
      <c r="H265" t="str">
        <f>QUOTIENT(ROW(A265),48)+2&amp;"_"&amp;MOD(ROW(A265),48)+8</f>
        <v>7_33</v>
      </c>
    </row>
    <row r="266" spans="1:8" x14ac:dyDescent="0.2">
      <c r="A266" s="9" t="s">
        <v>51</v>
      </c>
      <c r="B266" t="s">
        <v>506</v>
      </c>
      <c r="C266" t="str">
        <f>""""&amp;SUBSTITUTE(A266,"zzz",H266)&amp;""""&amp;","</f>
        <v>"https://www.zeldadungeon.net/maps/totk/tiles/sky/6/7_34.jpg",</v>
      </c>
      <c r="H266" t="str">
        <f>QUOTIENT(ROW(A266),48)+2&amp;"_"&amp;MOD(ROW(A266),48)+8</f>
        <v>7_34</v>
      </c>
    </row>
    <row r="267" spans="1:8" x14ac:dyDescent="0.2">
      <c r="A267" s="9" t="s">
        <v>51</v>
      </c>
      <c r="B267" t="s">
        <v>505</v>
      </c>
      <c r="C267" t="str">
        <f>""""&amp;SUBSTITUTE(A267,"zzz",H267)&amp;""""&amp;","</f>
        <v>"https://www.zeldadungeon.net/maps/totk/tiles/sky/6/7_35.jpg",</v>
      </c>
      <c r="H267" t="str">
        <f>QUOTIENT(ROW(A267),48)+2&amp;"_"&amp;MOD(ROW(A267),48)+8</f>
        <v>7_35</v>
      </c>
    </row>
    <row r="268" spans="1:8" x14ac:dyDescent="0.2">
      <c r="A268" s="9" t="s">
        <v>51</v>
      </c>
      <c r="B268" t="s">
        <v>504</v>
      </c>
      <c r="C268" t="str">
        <f>""""&amp;SUBSTITUTE(A268,"zzz",H268)&amp;""""&amp;","</f>
        <v>"https://www.zeldadungeon.net/maps/totk/tiles/sky/6/7_36.jpg",</v>
      </c>
      <c r="H268" t="str">
        <f>QUOTIENT(ROW(A268),48)+2&amp;"_"&amp;MOD(ROW(A268),48)+8</f>
        <v>7_36</v>
      </c>
    </row>
    <row r="269" spans="1:8" x14ac:dyDescent="0.2">
      <c r="A269" s="9" t="s">
        <v>51</v>
      </c>
      <c r="B269" t="s">
        <v>503</v>
      </c>
      <c r="C269" t="str">
        <f>""""&amp;SUBSTITUTE(A269,"zzz",H269)&amp;""""&amp;","</f>
        <v>"https://www.zeldadungeon.net/maps/totk/tiles/sky/6/7_37.jpg",</v>
      </c>
      <c r="H269" t="str">
        <f>QUOTIENT(ROW(A269),48)+2&amp;"_"&amp;MOD(ROW(A269),48)+8</f>
        <v>7_37</v>
      </c>
    </row>
    <row r="270" spans="1:8" x14ac:dyDescent="0.2">
      <c r="A270" s="9" t="s">
        <v>51</v>
      </c>
      <c r="B270" t="s">
        <v>502</v>
      </c>
      <c r="C270" t="str">
        <f>""""&amp;SUBSTITUTE(A270,"zzz",H270)&amp;""""&amp;","</f>
        <v>"https://www.zeldadungeon.net/maps/totk/tiles/sky/6/7_38.jpg",</v>
      </c>
      <c r="H270" t="str">
        <f>QUOTIENT(ROW(A270),48)+2&amp;"_"&amp;MOD(ROW(A270),48)+8</f>
        <v>7_38</v>
      </c>
    </row>
    <row r="271" spans="1:8" x14ac:dyDescent="0.2">
      <c r="A271" s="9" t="s">
        <v>51</v>
      </c>
      <c r="B271" t="s">
        <v>501</v>
      </c>
      <c r="C271" t="str">
        <f>""""&amp;SUBSTITUTE(A271,"zzz",H271)&amp;""""&amp;","</f>
        <v>"https://www.zeldadungeon.net/maps/totk/tiles/sky/6/7_39.jpg",</v>
      </c>
      <c r="H271" t="str">
        <f>QUOTIENT(ROW(A271),48)+2&amp;"_"&amp;MOD(ROW(A271),48)+8</f>
        <v>7_39</v>
      </c>
    </row>
    <row r="272" spans="1:8" x14ac:dyDescent="0.2">
      <c r="A272" s="9" t="s">
        <v>51</v>
      </c>
      <c r="B272" t="s">
        <v>500</v>
      </c>
      <c r="C272" t="str">
        <f>""""&amp;SUBSTITUTE(A272,"zzz",H272)&amp;""""&amp;","</f>
        <v>"https://www.zeldadungeon.net/maps/totk/tiles/sky/6/7_40.jpg",</v>
      </c>
      <c r="H272" t="str">
        <f>QUOTIENT(ROW(A272),48)+2&amp;"_"&amp;MOD(ROW(A272),48)+8</f>
        <v>7_40</v>
      </c>
    </row>
    <row r="273" spans="1:8" x14ac:dyDescent="0.2">
      <c r="A273" s="9" t="s">
        <v>51</v>
      </c>
      <c r="B273" t="s">
        <v>499</v>
      </c>
      <c r="C273" t="str">
        <f>""""&amp;SUBSTITUTE(A273,"zzz",H273)&amp;""""&amp;","</f>
        <v>"https://www.zeldadungeon.net/maps/totk/tiles/sky/6/7_41.jpg",</v>
      </c>
      <c r="H273" t="str">
        <f>QUOTIENT(ROW(A273),48)+2&amp;"_"&amp;MOD(ROW(A273),48)+8</f>
        <v>7_41</v>
      </c>
    </row>
    <row r="274" spans="1:8" x14ac:dyDescent="0.2">
      <c r="A274" s="9" t="s">
        <v>51</v>
      </c>
      <c r="B274" t="s">
        <v>498</v>
      </c>
      <c r="C274" t="str">
        <f>""""&amp;SUBSTITUTE(A274,"zzz",H274)&amp;""""&amp;","</f>
        <v>"https://www.zeldadungeon.net/maps/totk/tiles/sky/6/7_42.jpg",</v>
      </c>
      <c r="H274" t="str">
        <f>QUOTIENT(ROW(A274),48)+2&amp;"_"&amp;MOD(ROW(A274),48)+8</f>
        <v>7_42</v>
      </c>
    </row>
    <row r="275" spans="1:8" x14ac:dyDescent="0.2">
      <c r="A275" s="9" t="s">
        <v>51</v>
      </c>
      <c r="B275" t="s">
        <v>497</v>
      </c>
      <c r="C275" t="str">
        <f>""""&amp;SUBSTITUTE(A275,"zzz",H275)&amp;""""&amp;","</f>
        <v>"https://www.zeldadungeon.net/maps/totk/tiles/sky/6/7_43.jpg",</v>
      </c>
      <c r="H275" t="str">
        <f>QUOTIENT(ROW(A275),48)+2&amp;"_"&amp;MOD(ROW(A275),48)+8</f>
        <v>7_43</v>
      </c>
    </row>
    <row r="276" spans="1:8" x14ac:dyDescent="0.2">
      <c r="A276" s="9" t="s">
        <v>51</v>
      </c>
      <c r="B276" t="s">
        <v>496</v>
      </c>
      <c r="C276" t="str">
        <f>""""&amp;SUBSTITUTE(A276,"zzz",H276)&amp;""""&amp;","</f>
        <v>"https://www.zeldadungeon.net/maps/totk/tiles/sky/6/7_44.jpg",</v>
      </c>
      <c r="H276" t="str">
        <f>QUOTIENT(ROW(A276),48)+2&amp;"_"&amp;MOD(ROW(A276),48)+8</f>
        <v>7_44</v>
      </c>
    </row>
    <row r="277" spans="1:8" x14ac:dyDescent="0.2">
      <c r="A277" s="9" t="s">
        <v>51</v>
      </c>
      <c r="B277" t="s">
        <v>495</v>
      </c>
      <c r="C277" t="str">
        <f>""""&amp;SUBSTITUTE(A277,"zzz",H277)&amp;""""&amp;","</f>
        <v>"https://www.zeldadungeon.net/maps/totk/tiles/sky/6/7_45.jpg",</v>
      </c>
      <c r="H277" t="str">
        <f>QUOTIENT(ROW(A277),48)+2&amp;"_"&amp;MOD(ROW(A277),48)+8</f>
        <v>7_45</v>
      </c>
    </row>
    <row r="278" spans="1:8" x14ac:dyDescent="0.2">
      <c r="A278" s="9" t="s">
        <v>51</v>
      </c>
      <c r="B278" t="s">
        <v>494</v>
      </c>
      <c r="C278" t="str">
        <f>""""&amp;SUBSTITUTE(A278,"zzz",H278)&amp;""""&amp;","</f>
        <v>"https://www.zeldadungeon.net/maps/totk/tiles/sky/6/7_46.jpg",</v>
      </c>
      <c r="H278" t="str">
        <f>QUOTIENT(ROW(A278),48)+2&amp;"_"&amp;MOD(ROW(A278),48)+8</f>
        <v>7_46</v>
      </c>
    </row>
    <row r="279" spans="1:8" x14ac:dyDescent="0.2">
      <c r="A279" s="9" t="s">
        <v>51</v>
      </c>
      <c r="B279" t="s">
        <v>493</v>
      </c>
      <c r="C279" t="str">
        <f>""""&amp;SUBSTITUTE(A279,"zzz",H279)&amp;""""&amp;","</f>
        <v>"https://www.zeldadungeon.net/maps/totk/tiles/sky/6/7_47.jpg",</v>
      </c>
      <c r="H279" t="str">
        <f>QUOTIENT(ROW(A279),48)+2&amp;"_"&amp;MOD(ROW(A279),48)+8</f>
        <v>7_47</v>
      </c>
    </row>
    <row r="280" spans="1:8" x14ac:dyDescent="0.2">
      <c r="A280" s="9" t="s">
        <v>51</v>
      </c>
      <c r="B280" t="s">
        <v>492</v>
      </c>
      <c r="C280" t="str">
        <f>""""&amp;SUBSTITUTE(A280,"zzz",H280)&amp;""""&amp;","</f>
        <v>"https://www.zeldadungeon.net/maps/totk/tiles/sky/6/7_48.jpg",</v>
      </c>
      <c r="H280" t="str">
        <f>QUOTIENT(ROW(A280),48)+2&amp;"_"&amp;MOD(ROW(A280),48)+8</f>
        <v>7_48</v>
      </c>
    </row>
    <row r="281" spans="1:8" x14ac:dyDescent="0.2">
      <c r="A281" s="9" t="s">
        <v>51</v>
      </c>
      <c r="B281" t="s">
        <v>491</v>
      </c>
      <c r="C281" t="str">
        <f>""""&amp;SUBSTITUTE(A281,"zzz",H281)&amp;""""&amp;","</f>
        <v>"https://www.zeldadungeon.net/maps/totk/tiles/sky/6/7_49.jpg",</v>
      </c>
      <c r="H281" t="str">
        <f>QUOTIENT(ROW(A281),48)+2&amp;"_"&amp;MOD(ROW(A281),48)+8</f>
        <v>7_49</v>
      </c>
    </row>
    <row r="282" spans="1:8" x14ac:dyDescent="0.2">
      <c r="A282" s="9" t="s">
        <v>51</v>
      </c>
      <c r="B282" t="s">
        <v>490</v>
      </c>
      <c r="C282" t="str">
        <f>""""&amp;SUBSTITUTE(A282,"zzz",H282)&amp;""""&amp;","</f>
        <v>"https://www.zeldadungeon.net/maps/totk/tiles/sky/6/7_50.jpg",</v>
      </c>
      <c r="H282" t="str">
        <f>QUOTIENT(ROW(A282),48)+2&amp;"_"&amp;MOD(ROW(A282),48)+8</f>
        <v>7_50</v>
      </c>
    </row>
    <row r="283" spans="1:8" x14ac:dyDescent="0.2">
      <c r="A283" s="9" t="s">
        <v>51</v>
      </c>
      <c r="B283" t="s">
        <v>489</v>
      </c>
      <c r="C283" t="str">
        <f>""""&amp;SUBSTITUTE(A283,"zzz",H283)&amp;""""&amp;","</f>
        <v>"https://www.zeldadungeon.net/maps/totk/tiles/sky/6/7_51.jpg",</v>
      </c>
      <c r="H283" t="str">
        <f>QUOTIENT(ROW(A283),48)+2&amp;"_"&amp;MOD(ROW(A283),48)+8</f>
        <v>7_51</v>
      </c>
    </row>
    <row r="284" spans="1:8" x14ac:dyDescent="0.2">
      <c r="A284" s="9" t="s">
        <v>51</v>
      </c>
      <c r="B284" t="s">
        <v>488</v>
      </c>
      <c r="C284" t="str">
        <f>""""&amp;SUBSTITUTE(A284,"zzz",H284)&amp;""""&amp;","</f>
        <v>"https://www.zeldadungeon.net/maps/totk/tiles/sky/6/7_52.jpg",</v>
      </c>
      <c r="H284" t="str">
        <f>QUOTIENT(ROW(A284),48)+2&amp;"_"&amp;MOD(ROW(A284),48)+8</f>
        <v>7_52</v>
      </c>
    </row>
    <row r="285" spans="1:8" x14ac:dyDescent="0.2">
      <c r="A285" s="9" t="s">
        <v>51</v>
      </c>
      <c r="B285" t="s">
        <v>487</v>
      </c>
      <c r="C285" t="str">
        <f>""""&amp;SUBSTITUTE(A285,"zzz",H285)&amp;""""&amp;","</f>
        <v>"https://www.zeldadungeon.net/maps/totk/tiles/sky/6/7_53.jpg",</v>
      </c>
      <c r="H285" t="str">
        <f>QUOTIENT(ROW(A285),48)+2&amp;"_"&amp;MOD(ROW(A285),48)+8</f>
        <v>7_53</v>
      </c>
    </row>
    <row r="286" spans="1:8" x14ac:dyDescent="0.2">
      <c r="A286" s="9" t="s">
        <v>51</v>
      </c>
      <c r="B286" t="s">
        <v>486</v>
      </c>
      <c r="C286" t="str">
        <f>""""&amp;SUBSTITUTE(A286,"zzz",H286)&amp;""""&amp;","</f>
        <v>"https://www.zeldadungeon.net/maps/totk/tiles/sky/6/7_54.jpg",</v>
      </c>
      <c r="H286" t="str">
        <f>QUOTIENT(ROW(A286),48)+2&amp;"_"&amp;MOD(ROW(A286),48)+8</f>
        <v>7_54</v>
      </c>
    </row>
    <row r="287" spans="1:8" x14ac:dyDescent="0.2">
      <c r="A287" s="9" t="s">
        <v>51</v>
      </c>
      <c r="B287" t="s">
        <v>485</v>
      </c>
      <c r="C287" t="str">
        <f>""""&amp;SUBSTITUTE(A287,"zzz",H287)&amp;""""&amp;","</f>
        <v>"https://www.zeldadungeon.net/maps/totk/tiles/sky/6/7_55.jpg",</v>
      </c>
      <c r="H287" t="str">
        <f>QUOTIENT(ROW(A287),48)+2&amp;"_"&amp;MOD(ROW(A287),48)+8</f>
        <v>7_55</v>
      </c>
    </row>
    <row r="288" spans="1:8" x14ac:dyDescent="0.2">
      <c r="A288" s="9" t="s">
        <v>51</v>
      </c>
      <c r="B288" t="s">
        <v>484</v>
      </c>
      <c r="C288" t="str">
        <f>""""&amp;SUBSTITUTE(A288,"zzz",H288)&amp;""""&amp;","</f>
        <v>"https://www.zeldadungeon.net/maps/totk/tiles/sky/6/8_8.jpg",</v>
      </c>
      <c r="H288" t="str">
        <f>QUOTIENT(ROW(A288),48)+2&amp;"_"&amp;MOD(ROW(A288),48)+8</f>
        <v>8_8</v>
      </c>
    </row>
    <row r="289" spans="1:8" x14ac:dyDescent="0.2">
      <c r="A289" s="9" t="s">
        <v>51</v>
      </c>
      <c r="B289" t="s">
        <v>483</v>
      </c>
      <c r="C289" t="str">
        <f>""""&amp;SUBSTITUTE(A289,"zzz",H289)&amp;""""&amp;","</f>
        <v>"https://www.zeldadungeon.net/maps/totk/tiles/sky/6/8_9.jpg",</v>
      </c>
      <c r="H289" t="str">
        <f>QUOTIENT(ROW(A289),48)+2&amp;"_"&amp;MOD(ROW(A289),48)+8</f>
        <v>8_9</v>
      </c>
    </row>
    <row r="290" spans="1:8" x14ac:dyDescent="0.2">
      <c r="A290" s="9" t="s">
        <v>51</v>
      </c>
      <c r="B290" t="s">
        <v>482</v>
      </c>
      <c r="C290" t="str">
        <f>""""&amp;SUBSTITUTE(A290,"zzz",H290)&amp;""""&amp;","</f>
        <v>"https://www.zeldadungeon.net/maps/totk/tiles/sky/6/8_10.jpg",</v>
      </c>
      <c r="H290" t="str">
        <f>QUOTIENT(ROW(A290),48)+2&amp;"_"&amp;MOD(ROW(A290),48)+8</f>
        <v>8_10</v>
      </c>
    </row>
    <row r="291" spans="1:8" x14ac:dyDescent="0.2">
      <c r="A291" s="9" t="s">
        <v>51</v>
      </c>
      <c r="B291" t="s">
        <v>481</v>
      </c>
      <c r="C291" t="str">
        <f>""""&amp;SUBSTITUTE(A291,"zzz",H291)&amp;""""&amp;","</f>
        <v>"https://www.zeldadungeon.net/maps/totk/tiles/sky/6/8_11.jpg",</v>
      </c>
      <c r="H291" t="str">
        <f>QUOTIENT(ROW(A291),48)+2&amp;"_"&amp;MOD(ROW(A291),48)+8</f>
        <v>8_11</v>
      </c>
    </row>
    <row r="292" spans="1:8" x14ac:dyDescent="0.2">
      <c r="A292" s="9" t="s">
        <v>51</v>
      </c>
      <c r="B292" t="s">
        <v>480</v>
      </c>
      <c r="C292" t="str">
        <f>""""&amp;SUBSTITUTE(A292,"zzz",H292)&amp;""""&amp;","</f>
        <v>"https://www.zeldadungeon.net/maps/totk/tiles/sky/6/8_12.jpg",</v>
      </c>
      <c r="H292" t="str">
        <f>QUOTIENT(ROW(A292),48)+2&amp;"_"&amp;MOD(ROW(A292),48)+8</f>
        <v>8_12</v>
      </c>
    </row>
    <row r="293" spans="1:8" x14ac:dyDescent="0.2">
      <c r="A293" s="9" t="s">
        <v>51</v>
      </c>
      <c r="B293" t="s">
        <v>479</v>
      </c>
      <c r="C293" t="str">
        <f>""""&amp;SUBSTITUTE(A293,"zzz",H293)&amp;""""&amp;","</f>
        <v>"https://www.zeldadungeon.net/maps/totk/tiles/sky/6/8_13.jpg",</v>
      </c>
      <c r="H293" t="str">
        <f>QUOTIENT(ROW(A293),48)+2&amp;"_"&amp;MOD(ROW(A293),48)+8</f>
        <v>8_13</v>
      </c>
    </row>
    <row r="294" spans="1:8" x14ac:dyDescent="0.2">
      <c r="A294" s="9" t="s">
        <v>51</v>
      </c>
      <c r="B294" t="s">
        <v>478</v>
      </c>
      <c r="C294" t="str">
        <f>""""&amp;SUBSTITUTE(A294,"zzz",H294)&amp;""""&amp;","</f>
        <v>"https://www.zeldadungeon.net/maps/totk/tiles/sky/6/8_14.jpg",</v>
      </c>
      <c r="H294" t="str">
        <f>QUOTIENT(ROW(A294),48)+2&amp;"_"&amp;MOD(ROW(A294),48)+8</f>
        <v>8_14</v>
      </c>
    </row>
    <row r="295" spans="1:8" x14ac:dyDescent="0.2">
      <c r="A295" s="9" t="s">
        <v>51</v>
      </c>
      <c r="B295" t="s">
        <v>477</v>
      </c>
      <c r="C295" t="str">
        <f>""""&amp;SUBSTITUTE(A295,"zzz",H295)&amp;""""&amp;","</f>
        <v>"https://www.zeldadungeon.net/maps/totk/tiles/sky/6/8_15.jpg",</v>
      </c>
      <c r="H295" t="str">
        <f>QUOTIENT(ROW(A295),48)+2&amp;"_"&amp;MOD(ROW(A295),48)+8</f>
        <v>8_15</v>
      </c>
    </row>
    <row r="296" spans="1:8" x14ac:dyDescent="0.2">
      <c r="A296" s="9" t="s">
        <v>51</v>
      </c>
      <c r="B296" t="s">
        <v>476</v>
      </c>
      <c r="C296" t="str">
        <f>""""&amp;SUBSTITUTE(A296,"zzz",H296)&amp;""""&amp;","</f>
        <v>"https://www.zeldadungeon.net/maps/totk/tiles/sky/6/8_16.jpg",</v>
      </c>
      <c r="H296" t="str">
        <f>QUOTIENT(ROW(A296),48)+2&amp;"_"&amp;MOD(ROW(A296),48)+8</f>
        <v>8_16</v>
      </c>
    </row>
    <row r="297" spans="1:8" x14ac:dyDescent="0.2">
      <c r="A297" s="9" t="s">
        <v>51</v>
      </c>
      <c r="B297" t="s">
        <v>475</v>
      </c>
      <c r="C297" t="str">
        <f>""""&amp;SUBSTITUTE(A297,"zzz",H297)&amp;""""&amp;","</f>
        <v>"https://www.zeldadungeon.net/maps/totk/tiles/sky/6/8_17.jpg",</v>
      </c>
      <c r="H297" t="str">
        <f>QUOTIENT(ROW(A297),48)+2&amp;"_"&amp;MOD(ROW(A297),48)+8</f>
        <v>8_17</v>
      </c>
    </row>
    <row r="298" spans="1:8" x14ac:dyDescent="0.2">
      <c r="A298" s="9" t="s">
        <v>51</v>
      </c>
      <c r="B298" t="s">
        <v>474</v>
      </c>
      <c r="C298" t="str">
        <f>""""&amp;SUBSTITUTE(A298,"zzz",H298)&amp;""""&amp;","</f>
        <v>"https://www.zeldadungeon.net/maps/totk/tiles/sky/6/8_18.jpg",</v>
      </c>
      <c r="H298" t="str">
        <f>QUOTIENT(ROW(A298),48)+2&amp;"_"&amp;MOD(ROW(A298),48)+8</f>
        <v>8_18</v>
      </c>
    </row>
    <row r="299" spans="1:8" x14ac:dyDescent="0.2">
      <c r="A299" s="9" t="s">
        <v>51</v>
      </c>
      <c r="B299" t="s">
        <v>473</v>
      </c>
      <c r="C299" t="str">
        <f>""""&amp;SUBSTITUTE(A299,"zzz",H299)&amp;""""&amp;","</f>
        <v>"https://www.zeldadungeon.net/maps/totk/tiles/sky/6/8_19.jpg",</v>
      </c>
      <c r="H299" t="str">
        <f>QUOTIENT(ROW(A299),48)+2&amp;"_"&amp;MOD(ROW(A299),48)+8</f>
        <v>8_19</v>
      </c>
    </row>
    <row r="300" spans="1:8" x14ac:dyDescent="0.2">
      <c r="A300" s="9" t="s">
        <v>51</v>
      </c>
      <c r="B300" t="s">
        <v>472</v>
      </c>
      <c r="C300" t="str">
        <f>""""&amp;SUBSTITUTE(A300,"zzz",H300)&amp;""""&amp;","</f>
        <v>"https://www.zeldadungeon.net/maps/totk/tiles/sky/6/8_20.jpg",</v>
      </c>
      <c r="H300" t="str">
        <f>QUOTIENT(ROW(A300),48)+2&amp;"_"&amp;MOD(ROW(A300),48)+8</f>
        <v>8_20</v>
      </c>
    </row>
    <row r="301" spans="1:8" x14ac:dyDescent="0.2">
      <c r="A301" s="9" t="s">
        <v>51</v>
      </c>
      <c r="B301" t="s">
        <v>471</v>
      </c>
      <c r="C301" t="str">
        <f>""""&amp;SUBSTITUTE(A301,"zzz",H301)&amp;""""&amp;","</f>
        <v>"https://www.zeldadungeon.net/maps/totk/tiles/sky/6/8_21.jpg",</v>
      </c>
      <c r="H301" t="str">
        <f>QUOTIENT(ROW(A301),48)+2&amp;"_"&amp;MOD(ROW(A301),48)+8</f>
        <v>8_21</v>
      </c>
    </row>
    <row r="302" spans="1:8" x14ac:dyDescent="0.2">
      <c r="A302" s="9" t="s">
        <v>51</v>
      </c>
      <c r="B302" t="s">
        <v>470</v>
      </c>
      <c r="C302" t="str">
        <f>""""&amp;SUBSTITUTE(A302,"zzz",H302)&amp;""""&amp;","</f>
        <v>"https://www.zeldadungeon.net/maps/totk/tiles/sky/6/8_22.jpg",</v>
      </c>
      <c r="H302" t="str">
        <f>QUOTIENT(ROW(A302),48)+2&amp;"_"&amp;MOD(ROW(A302),48)+8</f>
        <v>8_22</v>
      </c>
    </row>
    <row r="303" spans="1:8" x14ac:dyDescent="0.2">
      <c r="A303" s="9" t="s">
        <v>51</v>
      </c>
      <c r="B303" t="s">
        <v>469</v>
      </c>
      <c r="C303" t="str">
        <f>""""&amp;SUBSTITUTE(A303,"zzz",H303)&amp;""""&amp;","</f>
        <v>"https://www.zeldadungeon.net/maps/totk/tiles/sky/6/8_23.jpg",</v>
      </c>
      <c r="H303" t="str">
        <f>QUOTIENT(ROW(A303),48)+2&amp;"_"&amp;MOD(ROW(A303),48)+8</f>
        <v>8_23</v>
      </c>
    </row>
    <row r="304" spans="1:8" x14ac:dyDescent="0.2">
      <c r="A304" s="9" t="s">
        <v>51</v>
      </c>
      <c r="B304" t="s">
        <v>468</v>
      </c>
      <c r="C304" t="str">
        <f>""""&amp;SUBSTITUTE(A304,"zzz",H304)&amp;""""&amp;","</f>
        <v>"https://www.zeldadungeon.net/maps/totk/tiles/sky/6/8_24.jpg",</v>
      </c>
      <c r="H304" t="str">
        <f>QUOTIENT(ROW(A304),48)+2&amp;"_"&amp;MOD(ROW(A304),48)+8</f>
        <v>8_24</v>
      </c>
    </row>
    <row r="305" spans="1:8" x14ac:dyDescent="0.2">
      <c r="A305" s="9" t="s">
        <v>51</v>
      </c>
      <c r="B305" t="s">
        <v>467</v>
      </c>
      <c r="C305" t="str">
        <f>""""&amp;SUBSTITUTE(A305,"zzz",H305)&amp;""""&amp;","</f>
        <v>"https://www.zeldadungeon.net/maps/totk/tiles/sky/6/8_25.jpg",</v>
      </c>
      <c r="H305" t="str">
        <f>QUOTIENT(ROW(A305),48)+2&amp;"_"&amp;MOD(ROW(A305),48)+8</f>
        <v>8_25</v>
      </c>
    </row>
    <row r="306" spans="1:8" x14ac:dyDescent="0.2">
      <c r="A306" s="9" t="s">
        <v>51</v>
      </c>
      <c r="B306" t="s">
        <v>466</v>
      </c>
      <c r="C306" t="str">
        <f>""""&amp;SUBSTITUTE(A306,"zzz",H306)&amp;""""&amp;","</f>
        <v>"https://www.zeldadungeon.net/maps/totk/tiles/sky/6/8_26.jpg",</v>
      </c>
      <c r="H306" t="str">
        <f>QUOTIENT(ROW(A306),48)+2&amp;"_"&amp;MOD(ROW(A306),48)+8</f>
        <v>8_26</v>
      </c>
    </row>
    <row r="307" spans="1:8" x14ac:dyDescent="0.2">
      <c r="A307" s="9" t="s">
        <v>51</v>
      </c>
      <c r="B307" t="s">
        <v>465</v>
      </c>
      <c r="C307" t="str">
        <f>""""&amp;SUBSTITUTE(A307,"zzz",H307)&amp;""""&amp;","</f>
        <v>"https://www.zeldadungeon.net/maps/totk/tiles/sky/6/8_27.jpg",</v>
      </c>
      <c r="H307" t="str">
        <f>QUOTIENT(ROW(A307),48)+2&amp;"_"&amp;MOD(ROW(A307),48)+8</f>
        <v>8_27</v>
      </c>
    </row>
    <row r="308" spans="1:8" x14ac:dyDescent="0.2">
      <c r="A308" s="9" t="s">
        <v>51</v>
      </c>
      <c r="B308" t="s">
        <v>464</v>
      </c>
      <c r="C308" t="str">
        <f>""""&amp;SUBSTITUTE(A308,"zzz",H308)&amp;""""&amp;","</f>
        <v>"https://www.zeldadungeon.net/maps/totk/tiles/sky/6/8_28.jpg",</v>
      </c>
      <c r="H308" t="str">
        <f>QUOTIENT(ROW(A308),48)+2&amp;"_"&amp;MOD(ROW(A308),48)+8</f>
        <v>8_28</v>
      </c>
    </row>
    <row r="309" spans="1:8" x14ac:dyDescent="0.2">
      <c r="A309" s="9" t="s">
        <v>51</v>
      </c>
      <c r="B309" t="s">
        <v>463</v>
      </c>
      <c r="C309" t="str">
        <f>""""&amp;SUBSTITUTE(A309,"zzz",H309)&amp;""""&amp;","</f>
        <v>"https://www.zeldadungeon.net/maps/totk/tiles/sky/6/8_29.jpg",</v>
      </c>
      <c r="H309" t="str">
        <f>QUOTIENT(ROW(A309),48)+2&amp;"_"&amp;MOD(ROW(A309),48)+8</f>
        <v>8_29</v>
      </c>
    </row>
    <row r="310" spans="1:8" x14ac:dyDescent="0.2">
      <c r="A310" s="9" t="s">
        <v>51</v>
      </c>
      <c r="B310" t="s">
        <v>462</v>
      </c>
      <c r="C310" t="str">
        <f>""""&amp;SUBSTITUTE(A310,"zzz",H310)&amp;""""&amp;","</f>
        <v>"https://www.zeldadungeon.net/maps/totk/tiles/sky/6/8_30.jpg",</v>
      </c>
      <c r="H310" t="str">
        <f>QUOTIENT(ROW(A310),48)+2&amp;"_"&amp;MOD(ROW(A310),48)+8</f>
        <v>8_30</v>
      </c>
    </row>
    <row r="311" spans="1:8" x14ac:dyDescent="0.2">
      <c r="A311" s="9" t="s">
        <v>51</v>
      </c>
      <c r="B311" t="s">
        <v>461</v>
      </c>
      <c r="C311" t="str">
        <f>""""&amp;SUBSTITUTE(A311,"zzz",H311)&amp;""""&amp;","</f>
        <v>"https://www.zeldadungeon.net/maps/totk/tiles/sky/6/8_31.jpg",</v>
      </c>
      <c r="H311" t="str">
        <f>QUOTIENT(ROW(A311),48)+2&amp;"_"&amp;MOD(ROW(A311),48)+8</f>
        <v>8_31</v>
      </c>
    </row>
    <row r="312" spans="1:8" x14ac:dyDescent="0.2">
      <c r="A312" s="9" t="s">
        <v>51</v>
      </c>
      <c r="B312" t="s">
        <v>460</v>
      </c>
      <c r="C312" t="str">
        <f>""""&amp;SUBSTITUTE(A312,"zzz",H312)&amp;""""&amp;","</f>
        <v>"https://www.zeldadungeon.net/maps/totk/tiles/sky/6/8_32.jpg",</v>
      </c>
      <c r="H312" t="str">
        <f>QUOTIENT(ROW(A312),48)+2&amp;"_"&amp;MOD(ROW(A312),48)+8</f>
        <v>8_32</v>
      </c>
    </row>
    <row r="313" spans="1:8" x14ac:dyDescent="0.2">
      <c r="A313" s="9" t="s">
        <v>51</v>
      </c>
      <c r="B313" t="s">
        <v>459</v>
      </c>
      <c r="C313" t="str">
        <f>""""&amp;SUBSTITUTE(A313,"zzz",H313)&amp;""""&amp;","</f>
        <v>"https://www.zeldadungeon.net/maps/totk/tiles/sky/6/8_33.jpg",</v>
      </c>
      <c r="H313" t="str">
        <f>QUOTIENT(ROW(A313),48)+2&amp;"_"&amp;MOD(ROW(A313),48)+8</f>
        <v>8_33</v>
      </c>
    </row>
    <row r="314" spans="1:8" x14ac:dyDescent="0.2">
      <c r="A314" s="9" t="s">
        <v>51</v>
      </c>
      <c r="B314" t="s">
        <v>458</v>
      </c>
      <c r="C314" t="str">
        <f>""""&amp;SUBSTITUTE(A314,"zzz",H314)&amp;""""&amp;","</f>
        <v>"https://www.zeldadungeon.net/maps/totk/tiles/sky/6/8_34.jpg",</v>
      </c>
      <c r="H314" t="str">
        <f>QUOTIENT(ROW(A314),48)+2&amp;"_"&amp;MOD(ROW(A314),48)+8</f>
        <v>8_34</v>
      </c>
    </row>
    <row r="315" spans="1:8" x14ac:dyDescent="0.2">
      <c r="A315" s="9" t="s">
        <v>51</v>
      </c>
      <c r="B315" t="s">
        <v>457</v>
      </c>
      <c r="C315" t="str">
        <f>""""&amp;SUBSTITUTE(A315,"zzz",H315)&amp;""""&amp;","</f>
        <v>"https://www.zeldadungeon.net/maps/totk/tiles/sky/6/8_35.jpg",</v>
      </c>
      <c r="H315" t="str">
        <f>QUOTIENT(ROW(A315),48)+2&amp;"_"&amp;MOD(ROW(A315),48)+8</f>
        <v>8_35</v>
      </c>
    </row>
    <row r="316" spans="1:8" x14ac:dyDescent="0.2">
      <c r="A316" s="9" t="s">
        <v>51</v>
      </c>
      <c r="B316" t="s">
        <v>456</v>
      </c>
      <c r="C316" t="str">
        <f>""""&amp;SUBSTITUTE(A316,"zzz",H316)&amp;""""&amp;","</f>
        <v>"https://www.zeldadungeon.net/maps/totk/tiles/sky/6/8_36.jpg",</v>
      </c>
      <c r="H316" t="str">
        <f>QUOTIENT(ROW(A316),48)+2&amp;"_"&amp;MOD(ROW(A316),48)+8</f>
        <v>8_36</v>
      </c>
    </row>
    <row r="317" spans="1:8" x14ac:dyDescent="0.2">
      <c r="A317" s="9" t="s">
        <v>51</v>
      </c>
      <c r="B317" t="s">
        <v>455</v>
      </c>
      <c r="C317" t="str">
        <f>""""&amp;SUBSTITUTE(A317,"zzz",H317)&amp;""""&amp;","</f>
        <v>"https://www.zeldadungeon.net/maps/totk/tiles/sky/6/8_37.jpg",</v>
      </c>
      <c r="H317" t="str">
        <f>QUOTIENT(ROW(A317),48)+2&amp;"_"&amp;MOD(ROW(A317),48)+8</f>
        <v>8_37</v>
      </c>
    </row>
    <row r="318" spans="1:8" x14ac:dyDescent="0.2">
      <c r="A318" s="9" t="s">
        <v>51</v>
      </c>
      <c r="B318" t="s">
        <v>454</v>
      </c>
      <c r="C318" t="str">
        <f>""""&amp;SUBSTITUTE(A318,"zzz",H318)&amp;""""&amp;","</f>
        <v>"https://www.zeldadungeon.net/maps/totk/tiles/sky/6/8_38.jpg",</v>
      </c>
      <c r="H318" t="str">
        <f>QUOTIENT(ROW(A318),48)+2&amp;"_"&amp;MOD(ROW(A318),48)+8</f>
        <v>8_38</v>
      </c>
    </row>
    <row r="319" spans="1:8" x14ac:dyDescent="0.2">
      <c r="A319" s="9" t="s">
        <v>51</v>
      </c>
      <c r="B319" t="s">
        <v>453</v>
      </c>
      <c r="C319" t="str">
        <f>""""&amp;SUBSTITUTE(A319,"zzz",H319)&amp;""""&amp;","</f>
        <v>"https://www.zeldadungeon.net/maps/totk/tiles/sky/6/8_39.jpg",</v>
      </c>
      <c r="H319" t="str">
        <f>QUOTIENT(ROW(A319),48)+2&amp;"_"&amp;MOD(ROW(A319),48)+8</f>
        <v>8_39</v>
      </c>
    </row>
    <row r="320" spans="1:8" x14ac:dyDescent="0.2">
      <c r="A320" s="9" t="s">
        <v>51</v>
      </c>
      <c r="B320" t="s">
        <v>452</v>
      </c>
      <c r="C320" t="str">
        <f>""""&amp;SUBSTITUTE(A320,"zzz",H320)&amp;""""&amp;","</f>
        <v>"https://www.zeldadungeon.net/maps/totk/tiles/sky/6/8_40.jpg",</v>
      </c>
      <c r="H320" t="str">
        <f>QUOTIENT(ROW(A320),48)+2&amp;"_"&amp;MOD(ROW(A320),48)+8</f>
        <v>8_40</v>
      </c>
    </row>
    <row r="321" spans="1:8" x14ac:dyDescent="0.2">
      <c r="A321" s="9" t="s">
        <v>51</v>
      </c>
      <c r="B321" t="s">
        <v>451</v>
      </c>
      <c r="C321" t="str">
        <f>""""&amp;SUBSTITUTE(A321,"zzz",H321)&amp;""""&amp;","</f>
        <v>"https://www.zeldadungeon.net/maps/totk/tiles/sky/6/8_41.jpg",</v>
      </c>
      <c r="H321" t="str">
        <f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>""""&amp;SUBSTITUTE(A322,"zzz",H322)&amp;""""&amp;","</f>
        <v>"https://www.zeldadungeon.net/maps/totk/tiles/sky/6/8_42.jpg",</v>
      </c>
      <c r="H322" t="str">
        <f>QUOTIENT(ROW(A322),48)+2&amp;"_"&amp;MOD(ROW(A322),48)+8</f>
        <v>8_42</v>
      </c>
    </row>
    <row r="323" spans="1:8" x14ac:dyDescent="0.2">
      <c r="A323" s="9" t="s">
        <v>51</v>
      </c>
      <c r="B323" t="s">
        <v>449</v>
      </c>
      <c r="C323" t="str">
        <f>""""&amp;SUBSTITUTE(A323,"zzz",H323)&amp;""""&amp;","</f>
        <v>"https://www.zeldadungeon.net/maps/totk/tiles/sky/6/8_43.jpg",</v>
      </c>
      <c r="H323" t="str">
        <f>QUOTIENT(ROW(A323),48)+2&amp;"_"&amp;MOD(ROW(A323),48)+8</f>
        <v>8_43</v>
      </c>
    </row>
    <row r="324" spans="1:8" x14ac:dyDescent="0.2">
      <c r="A324" s="9" t="s">
        <v>51</v>
      </c>
      <c r="B324" t="s">
        <v>448</v>
      </c>
      <c r="C324" t="str">
        <f>""""&amp;SUBSTITUTE(A324,"zzz",H324)&amp;""""&amp;","</f>
        <v>"https://www.zeldadungeon.net/maps/totk/tiles/sky/6/8_44.jpg",</v>
      </c>
      <c r="H324" t="str">
        <f>QUOTIENT(ROW(A324),48)+2&amp;"_"&amp;MOD(ROW(A324),48)+8</f>
        <v>8_44</v>
      </c>
    </row>
    <row r="325" spans="1:8" x14ac:dyDescent="0.2">
      <c r="A325" s="9" t="s">
        <v>51</v>
      </c>
      <c r="B325" t="s">
        <v>447</v>
      </c>
      <c r="C325" t="str">
        <f>""""&amp;SUBSTITUTE(A325,"zzz",H325)&amp;""""&amp;","</f>
        <v>"https://www.zeldadungeon.net/maps/totk/tiles/sky/6/8_45.jpg",</v>
      </c>
      <c r="H325" t="str">
        <f>QUOTIENT(ROW(A325),48)+2&amp;"_"&amp;MOD(ROW(A325),48)+8</f>
        <v>8_45</v>
      </c>
    </row>
    <row r="326" spans="1:8" x14ac:dyDescent="0.2">
      <c r="A326" s="9" t="s">
        <v>51</v>
      </c>
      <c r="B326" t="s">
        <v>446</v>
      </c>
      <c r="C326" t="str">
        <f>""""&amp;SUBSTITUTE(A326,"zzz",H326)&amp;""""&amp;","</f>
        <v>"https://www.zeldadungeon.net/maps/totk/tiles/sky/6/8_46.jpg",</v>
      </c>
      <c r="H326" t="str">
        <f>QUOTIENT(ROW(A326),48)+2&amp;"_"&amp;MOD(ROW(A326),48)+8</f>
        <v>8_46</v>
      </c>
    </row>
    <row r="327" spans="1:8" x14ac:dyDescent="0.2">
      <c r="A327" s="9" t="s">
        <v>51</v>
      </c>
      <c r="B327" t="s">
        <v>445</v>
      </c>
      <c r="C327" t="str">
        <f>""""&amp;SUBSTITUTE(A327,"zzz",H327)&amp;""""&amp;","</f>
        <v>"https://www.zeldadungeon.net/maps/totk/tiles/sky/6/8_47.jpg",</v>
      </c>
      <c r="H327" t="str">
        <f>QUOTIENT(ROW(A327),48)+2&amp;"_"&amp;MOD(ROW(A327),48)+8</f>
        <v>8_47</v>
      </c>
    </row>
    <row r="328" spans="1:8" x14ac:dyDescent="0.2">
      <c r="A328" s="9" t="s">
        <v>51</v>
      </c>
      <c r="B328" t="s">
        <v>444</v>
      </c>
      <c r="C328" t="str">
        <f>""""&amp;SUBSTITUTE(A328,"zzz",H328)&amp;""""&amp;","</f>
        <v>"https://www.zeldadungeon.net/maps/totk/tiles/sky/6/8_48.jpg",</v>
      </c>
      <c r="H328" t="str">
        <f>QUOTIENT(ROW(A328),48)+2&amp;"_"&amp;MOD(ROW(A328),48)+8</f>
        <v>8_48</v>
      </c>
    </row>
    <row r="329" spans="1:8" x14ac:dyDescent="0.2">
      <c r="A329" s="9" t="s">
        <v>51</v>
      </c>
      <c r="B329" t="s">
        <v>443</v>
      </c>
      <c r="C329" t="str">
        <f>""""&amp;SUBSTITUTE(A329,"zzz",H329)&amp;""""&amp;","</f>
        <v>"https://www.zeldadungeon.net/maps/totk/tiles/sky/6/8_49.jpg",</v>
      </c>
      <c r="H329" t="str">
        <f>QUOTIENT(ROW(A329),48)+2&amp;"_"&amp;MOD(ROW(A329),48)+8</f>
        <v>8_49</v>
      </c>
    </row>
    <row r="330" spans="1:8" x14ac:dyDescent="0.2">
      <c r="A330" s="9" t="s">
        <v>51</v>
      </c>
      <c r="B330" t="s">
        <v>442</v>
      </c>
      <c r="C330" t="str">
        <f>""""&amp;SUBSTITUTE(A330,"zzz",H330)&amp;""""&amp;","</f>
        <v>"https://www.zeldadungeon.net/maps/totk/tiles/sky/6/8_50.jpg",</v>
      </c>
      <c r="H330" t="str">
        <f>QUOTIENT(ROW(A330),48)+2&amp;"_"&amp;MOD(ROW(A330),48)+8</f>
        <v>8_50</v>
      </c>
    </row>
    <row r="331" spans="1:8" x14ac:dyDescent="0.2">
      <c r="A331" s="9" t="s">
        <v>51</v>
      </c>
      <c r="B331" t="s">
        <v>441</v>
      </c>
      <c r="C331" t="str">
        <f>""""&amp;SUBSTITUTE(A331,"zzz",H331)&amp;""""&amp;","</f>
        <v>"https://www.zeldadungeon.net/maps/totk/tiles/sky/6/8_51.jpg",</v>
      </c>
      <c r="H331" t="str">
        <f>QUOTIENT(ROW(A331),48)+2&amp;"_"&amp;MOD(ROW(A331),48)+8</f>
        <v>8_51</v>
      </c>
    </row>
    <row r="332" spans="1:8" x14ac:dyDescent="0.2">
      <c r="A332" s="9" t="s">
        <v>51</v>
      </c>
      <c r="B332" t="s">
        <v>440</v>
      </c>
      <c r="C332" t="str">
        <f>""""&amp;SUBSTITUTE(A332,"zzz",H332)&amp;""""&amp;","</f>
        <v>"https://www.zeldadungeon.net/maps/totk/tiles/sky/6/8_52.jpg",</v>
      </c>
      <c r="H332" t="str">
        <f>QUOTIENT(ROW(A332),48)+2&amp;"_"&amp;MOD(ROW(A332),48)+8</f>
        <v>8_52</v>
      </c>
    </row>
    <row r="333" spans="1:8" x14ac:dyDescent="0.2">
      <c r="A333" s="9" t="s">
        <v>51</v>
      </c>
      <c r="B333" t="s">
        <v>439</v>
      </c>
      <c r="C333" t="str">
        <f>""""&amp;SUBSTITUTE(A333,"zzz",H333)&amp;""""&amp;","</f>
        <v>"https://www.zeldadungeon.net/maps/totk/tiles/sky/6/8_53.jpg",</v>
      </c>
      <c r="H333" t="str">
        <f>QUOTIENT(ROW(A333),48)+2&amp;"_"&amp;MOD(ROW(A333),48)+8</f>
        <v>8_53</v>
      </c>
    </row>
    <row r="334" spans="1:8" x14ac:dyDescent="0.2">
      <c r="A334" s="9" t="s">
        <v>51</v>
      </c>
      <c r="B334" t="s">
        <v>438</v>
      </c>
      <c r="C334" t="str">
        <f>""""&amp;SUBSTITUTE(A334,"zzz",H334)&amp;""""&amp;","</f>
        <v>"https://www.zeldadungeon.net/maps/totk/tiles/sky/6/8_54.jpg",</v>
      </c>
      <c r="H334" t="str">
        <f>QUOTIENT(ROW(A334),48)+2&amp;"_"&amp;MOD(ROW(A334),48)+8</f>
        <v>8_54</v>
      </c>
    </row>
    <row r="335" spans="1:8" x14ac:dyDescent="0.2">
      <c r="A335" s="9" t="s">
        <v>51</v>
      </c>
      <c r="B335" t="s">
        <v>437</v>
      </c>
      <c r="C335" t="str">
        <f>""""&amp;SUBSTITUTE(A335,"zzz",H335)&amp;""""&amp;","</f>
        <v>"https://www.zeldadungeon.net/maps/totk/tiles/sky/6/8_55.jpg",</v>
      </c>
      <c r="H335" t="str">
        <f>QUOTIENT(ROW(A335),48)+2&amp;"_"&amp;MOD(ROW(A335),48)+8</f>
        <v>8_55</v>
      </c>
    </row>
    <row r="336" spans="1:8" x14ac:dyDescent="0.2">
      <c r="A336" s="9" t="s">
        <v>51</v>
      </c>
      <c r="B336" t="s">
        <v>436</v>
      </c>
      <c r="C336" t="str">
        <f>""""&amp;SUBSTITUTE(A336,"zzz",H336)&amp;""""&amp;","</f>
        <v>"https://www.zeldadungeon.net/maps/totk/tiles/sky/6/9_8.jpg",</v>
      </c>
      <c r="H336" t="str">
        <f>QUOTIENT(ROW(A336),48)+2&amp;"_"&amp;MOD(ROW(A336),48)+8</f>
        <v>9_8</v>
      </c>
    </row>
    <row r="337" spans="1:8" x14ac:dyDescent="0.2">
      <c r="A337" s="9" t="s">
        <v>51</v>
      </c>
      <c r="B337" t="s">
        <v>435</v>
      </c>
      <c r="C337" t="str">
        <f>""""&amp;SUBSTITUTE(A337,"zzz",H337)&amp;""""&amp;","</f>
        <v>"https://www.zeldadungeon.net/maps/totk/tiles/sky/6/9_9.jpg",</v>
      </c>
      <c r="H337" t="str">
        <f>QUOTIENT(ROW(A337),48)+2&amp;"_"&amp;MOD(ROW(A337),48)+8</f>
        <v>9_9</v>
      </c>
    </row>
    <row r="338" spans="1:8" x14ac:dyDescent="0.2">
      <c r="A338" s="9" t="s">
        <v>51</v>
      </c>
      <c r="B338" t="s">
        <v>434</v>
      </c>
      <c r="C338" t="str">
        <f>""""&amp;SUBSTITUTE(A338,"zzz",H338)&amp;""""&amp;","</f>
        <v>"https://www.zeldadungeon.net/maps/totk/tiles/sky/6/9_10.jpg",</v>
      </c>
      <c r="H338" t="str">
        <f>QUOTIENT(ROW(A338),48)+2&amp;"_"&amp;MOD(ROW(A338),48)+8</f>
        <v>9_10</v>
      </c>
    </row>
    <row r="339" spans="1:8" x14ac:dyDescent="0.2">
      <c r="A339" s="9" t="s">
        <v>51</v>
      </c>
      <c r="B339" t="s">
        <v>433</v>
      </c>
      <c r="C339" t="str">
        <f>""""&amp;SUBSTITUTE(A339,"zzz",H339)&amp;""""&amp;","</f>
        <v>"https://www.zeldadungeon.net/maps/totk/tiles/sky/6/9_11.jpg",</v>
      </c>
      <c r="H339" t="str">
        <f>QUOTIENT(ROW(A339),48)+2&amp;"_"&amp;MOD(ROW(A339),48)+8</f>
        <v>9_11</v>
      </c>
    </row>
    <row r="340" spans="1:8" x14ac:dyDescent="0.2">
      <c r="A340" s="9" t="s">
        <v>51</v>
      </c>
      <c r="B340" t="s">
        <v>432</v>
      </c>
      <c r="C340" t="str">
        <f>""""&amp;SUBSTITUTE(A340,"zzz",H340)&amp;""""&amp;","</f>
        <v>"https://www.zeldadungeon.net/maps/totk/tiles/sky/6/9_12.jpg",</v>
      </c>
      <c r="H340" t="str">
        <f>QUOTIENT(ROW(A340),48)+2&amp;"_"&amp;MOD(ROW(A340),48)+8</f>
        <v>9_12</v>
      </c>
    </row>
    <row r="341" spans="1:8" x14ac:dyDescent="0.2">
      <c r="A341" s="9" t="s">
        <v>51</v>
      </c>
      <c r="B341" t="s">
        <v>431</v>
      </c>
      <c r="C341" t="str">
        <f>""""&amp;SUBSTITUTE(A341,"zzz",H341)&amp;""""&amp;","</f>
        <v>"https://www.zeldadungeon.net/maps/totk/tiles/sky/6/9_13.jpg",</v>
      </c>
      <c r="H341" t="str">
        <f>QUOTIENT(ROW(A341),48)+2&amp;"_"&amp;MOD(ROW(A341),48)+8</f>
        <v>9_13</v>
      </c>
    </row>
    <row r="342" spans="1:8" x14ac:dyDescent="0.2">
      <c r="A342" s="9" t="s">
        <v>51</v>
      </c>
      <c r="B342" t="s">
        <v>430</v>
      </c>
      <c r="C342" t="str">
        <f>""""&amp;SUBSTITUTE(A342,"zzz",H342)&amp;""""&amp;","</f>
        <v>"https://www.zeldadungeon.net/maps/totk/tiles/sky/6/9_14.jpg",</v>
      </c>
      <c r="H342" t="str">
        <f>QUOTIENT(ROW(A342),48)+2&amp;"_"&amp;MOD(ROW(A342),48)+8</f>
        <v>9_14</v>
      </c>
    </row>
    <row r="343" spans="1:8" x14ac:dyDescent="0.2">
      <c r="A343" s="9" t="s">
        <v>51</v>
      </c>
      <c r="B343" t="s">
        <v>429</v>
      </c>
      <c r="C343" t="str">
        <f>""""&amp;SUBSTITUTE(A343,"zzz",H343)&amp;""""&amp;","</f>
        <v>"https://www.zeldadungeon.net/maps/totk/tiles/sky/6/9_15.jpg",</v>
      </c>
      <c r="H343" t="str">
        <f>QUOTIENT(ROW(A343),48)+2&amp;"_"&amp;MOD(ROW(A343),48)+8</f>
        <v>9_15</v>
      </c>
    </row>
    <row r="344" spans="1:8" x14ac:dyDescent="0.2">
      <c r="A344" s="9" t="s">
        <v>51</v>
      </c>
      <c r="B344" t="s">
        <v>428</v>
      </c>
      <c r="C344" t="str">
        <f>""""&amp;SUBSTITUTE(A344,"zzz",H344)&amp;""""&amp;","</f>
        <v>"https://www.zeldadungeon.net/maps/totk/tiles/sky/6/9_16.jpg",</v>
      </c>
      <c r="H344" t="str">
        <f>QUOTIENT(ROW(A344),48)+2&amp;"_"&amp;MOD(ROW(A344),48)+8</f>
        <v>9_16</v>
      </c>
    </row>
    <row r="345" spans="1:8" x14ac:dyDescent="0.2">
      <c r="A345" s="9" t="s">
        <v>51</v>
      </c>
      <c r="B345" t="s">
        <v>427</v>
      </c>
      <c r="C345" t="str">
        <f>""""&amp;SUBSTITUTE(A345,"zzz",H345)&amp;""""&amp;","</f>
        <v>"https://www.zeldadungeon.net/maps/totk/tiles/sky/6/9_17.jpg",</v>
      </c>
      <c r="H345" t="str">
        <f>QUOTIENT(ROW(A345),48)+2&amp;"_"&amp;MOD(ROW(A345),48)+8</f>
        <v>9_17</v>
      </c>
    </row>
    <row r="346" spans="1:8" x14ac:dyDescent="0.2">
      <c r="A346" s="9" t="s">
        <v>51</v>
      </c>
      <c r="B346" t="s">
        <v>426</v>
      </c>
      <c r="C346" t="str">
        <f>""""&amp;SUBSTITUTE(A346,"zzz",H346)&amp;""""&amp;","</f>
        <v>"https://www.zeldadungeon.net/maps/totk/tiles/sky/6/9_18.jpg",</v>
      </c>
      <c r="H346" t="str">
        <f>QUOTIENT(ROW(A346),48)+2&amp;"_"&amp;MOD(ROW(A346),48)+8</f>
        <v>9_18</v>
      </c>
    </row>
    <row r="347" spans="1:8" x14ac:dyDescent="0.2">
      <c r="A347" s="9" t="s">
        <v>51</v>
      </c>
      <c r="B347" t="s">
        <v>425</v>
      </c>
      <c r="C347" t="str">
        <f>""""&amp;SUBSTITUTE(A347,"zzz",H347)&amp;""""&amp;","</f>
        <v>"https://www.zeldadungeon.net/maps/totk/tiles/sky/6/9_19.jpg",</v>
      </c>
      <c r="H347" t="str">
        <f>QUOTIENT(ROW(A347),48)+2&amp;"_"&amp;MOD(ROW(A347),48)+8</f>
        <v>9_19</v>
      </c>
    </row>
    <row r="348" spans="1:8" x14ac:dyDescent="0.2">
      <c r="A348" s="9" t="s">
        <v>51</v>
      </c>
      <c r="B348" t="s">
        <v>424</v>
      </c>
      <c r="C348" t="str">
        <f>""""&amp;SUBSTITUTE(A348,"zzz",H348)&amp;""""&amp;","</f>
        <v>"https://www.zeldadungeon.net/maps/totk/tiles/sky/6/9_20.jpg",</v>
      </c>
      <c r="H348" t="str">
        <f>QUOTIENT(ROW(A348),48)+2&amp;"_"&amp;MOD(ROW(A348),48)+8</f>
        <v>9_20</v>
      </c>
    </row>
    <row r="349" spans="1:8" x14ac:dyDescent="0.2">
      <c r="A349" s="9" t="s">
        <v>51</v>
      </c>
      <c r="B349" t="s">
        <v>423</v>
      </c>
      <c r="C349" t="str">
        <f>""""&amp;SUBSTITUTE(A349,"zzz",H349)&amp;""""&amp;","</f>
        <v>"https://www.zeldadungeon.net/maps/totk/tiles/sky/6/9_21.jpg",</v>
      </c>
      <c r="H349" t="str">
        <f>QUOTIENT(ROW(A349),48)+2&amp;"_"&amp;MOD(ROW(A349),48)+8</f>
        <v>9_21</v>
      </c>
    </row>
    <row r="350" spans="1:8" x14ac:dyDescent="0.2">
      <c r="A350" s="9" t="s">
        <v>51</v>
      </c>
      <c r="B350" t="s">
        <v>422</v>
      </c>
      <c r="C350" t="str">
        <f>""""&amp;SUBSTITUTE(A350,"zzz",H350)&amp;""""&amp;","</f>
        <v>"https://www.zeldadungeon.net/maps/totk/tiles/sky/6/9_22.jpg",</v>
      </c>
      <c r="H350" t="str">
        <f>QUOTIENT(ROW(A350),48)+2&amp;"_"&amp;MOD(ROW(A350),48)+8</f>
        <v>9_22</v>
      </c>
    </row>
    <row r="351" spans="1:8" x14ac:dyDescent="0.2">
      <c r="A351" s="9" t="s">
        <v>51</v>
      </c>
      <c r="B351" t="s">
        <v>421</v>
      </c>
      <c r="C351" t="str">
        <f>""""&amp;SUBSTITUTE(A351,"zzz",H351)&amp;""""&amp;","</f>
        <v>"https://www.zeldadungeon.net/maps/totk/tiles/sky/6/9_23.jpg",</v>
      </c>
      <c r="H351" t="str">
        <f>QUOTIENT(ROW(A351),48)+2&amp;"_"&amp;MOD(ROW(A351),48)+8</f>
        <v>9_23</v>
      </c>
    </row>
    <row r="352" spans="1:8" x14ac:dyDescent="0.2">
      <c r="A352" s="9" t="s">
        <v>51</v>
      </c>
      <c r="B352" t="s">
        <v>420</v>
      </c>
      <c r="C352" t="str">
        <f>""""&amp;SUBSTITUTE(A352,"zzz",H352)&amp;""""&amp;","</f>
        <v>"https://www.zeldadungeon.net/maps/totk/tiles/sky/6/9_24.jpg",</v>
      </c>
      <c r="H352" t="str">
        <f>QUOTIENT(ROW(A352),48)+2&amp;"_"&amp;MOD(ROW(A352),48)+8</f>
        <v>9_24</v>
      </c>
    </row>
    <row r="353" spans="1:8" x14ac:dyDescent="0.2">
      <c r="A353" s="9" t="s">
        <v>51</v>
      </c>
      <c r="B353" t="s">
        <v>419</v>
      </c>
      <c r="C353" t="str">
        <f>""""&amp;SUBSTITUTE(A353,"zzz",H353)&amp;""""&amp;","</f>
        <v>"https://www.zeldadungeon.net/maps/totk/tiles/sky/6/9_25.jpg",</v>
      </c>
      <c r="H353" t="str">
        <f>QUOTIENT(ROW(A353),48)+2&amp;"_"&amp;MOD(ROW(A353),48)+8</f>
        <v>9_25</v>
      </c>
    </row>
    <row r="354" spans="1:8" x14ac:dyDescent="0.2">
      <c r="A354" s="9" t="s">
        <v>51</v>
      </c>
      <c r="B354" t="s">
        <v>418</v>
      </c>
      <c r="C354" t="str">
        <f>""""&amp;SUBSTITUTE(A354,"zzz",H354)&amp;""""&amp;","</f>
        <v>"https://www.zeldadungeon.net/maps/totk/tiles/sky/6/9_26.jpg",</v>
      </c>
      <c r="H354" t="str">
        <f>QUOTIENT(ROW(A354),48)+2&amp;"_"&amp;MOD(ROW(A354),48)+8</f>
        <v>9_26</v>
      </c>
    </row>
    <row r="355" spans="1:8" x14ac:dyDescent="0.2">
      <c r="A355" s="9" t="s">
        <v>51</v>
      </c>
      <c r="B355" t="s">
        <v>417</v>
      </c>
      <c r="C355" t="str">
        <f>""""&amp;SUBSTITUTE(A355,"zzz",H355)&amp;""""&amp;","</f>
        <v>"https://www.zeldadungeon.net/maps/totk/tiles/sky/6/9_27.jpg",</v>
      </c>
      <c r="H355" t="str">
        <f>QUOTIENT(ROW(A355),48)+2&amp;"_"&amp;MOD(ROW(A355),48)+8</f>
        <v>9_27</v>
      </c>
    </row>
    <row r="356" spans="1:8" x14ac:dyDescent="0.2">
      <c r="A356" s="9" t="s">
        <v>51</v>
      </c>
      <c r="B356" t="s">
        <v>416</v>
      </c>
      <c r="C356" t="str">
        <f>""""&amp;SUBSTITUTE(A356,"zzz",H356)&amp;""""&amp;","</f>
        <v>"https://www.zeldadungeon.net/maps/totk/tiles/sky/6/9_28.jpg",</v>
      </c>
      <c r="H356" t="str">
        <f>QUOTIENT(ROW(A356),48)+2&amp;"_"&amp;MOD(ROW(A356),48)+8</f>
        <v>9_28</v>
      </c>
    </row>
    <row r="357" spans="1:8" x14ac:dyDescent="0.2">
      <c r="A357" s="9" t="s">
        <v>51</v>
      </c>
      <c r="B357" t="s">
        <v>415</v>
      </c>
      <c r="C357" t="str">
        <f>""""&amp;SUBSTITUTE(A357,"zzz",H357)&amp;""""&amp;","</f>
        <v>"https://www.zeldadungeon.net/maps/totk/tiles/sky/6/9_29.jpg",</v>
      </c>
      <c r="H357" t="str">
        <f>QUOTIENT(ROW(A357),48)+2&amp;"_"&amp;MOD(ROW(A357),48)+8</f>
        <v>9_29</v>
      </c>
    </row>
    <row r="358" spans="1:8" x14ac:dyDescent="0.2">
      <c r="A358" s="9" t="s">
        <v>51</v>
      </c>
      <c r="B358" t="s">
        <v>414</v>
      </c>
      <c r="C358" t="str">
        <f>""""&amp;SUBSTITUTE(A358,"zzz",H358)&amp;""""&amp;","</f>
        <v>"https://www.zeldadungeon.net/maps/totk/tiles/sky/6/9_30.jpg",</v>
      </c>
      <c r="H358" t="str">
        <f>QUOTIENT(ROW(A358),48)+2&amp;"_"&amp;MOD(ROW(A358),48)+8</f>
        <v>9_30</v>
      </c>
    </row>
    <row r="359" spans="1:8" x14ac:dyDescent="0.2">
      <c r="A359" s="9" t="s">
        <v>51</v>
      </c>
      <c r="B359" t="s">
        <v>413</v>
      </c>
      <c r="C359" t="str">
        <f>""""&amp;SUBSTITUTE(A359,"zzz",H359)&amp;""""&amp;","</f>
        <v>"https://www.zeldadungeon.net/maps/totk/tiles/sky/6/9_31.jpg",</v>
      </c>
      <c r="H359" t="str">
        <f>QUOTIENT(ROW(A359),48)+2&amp;"_"&amp;MOD(ROW(A359),48)+8</f>
        <v>9_31</v>
      </c>
    </row>
    <row r="360" spans="1:8" x14ac:dyDescent="0.2">
      <c r="A360" s="9" t="s">
        <v>51</v>
      </c>
      <c r="B360" t="s">
        <v>412</v>
      </c>
      <c r="C360" t="str">
        <f>""""&amp;SUBSTITUTE(A360,"zzz",H360)&amp;""""&amp;","</f>
        <v>"https://www.zeldadungeon.net/maps/totk/tiles/sky/6/9_32.jpg",</v>
      </c>
      <c r="H360" t="str">
        <f>QUOTIENT(ROW(A360),48)+2&amp;"_"&amp;MOD(ROW(A360),48)+8</f>
        <v>9_32</v>
      </c>
    </row>
    <row r="361" spans="1:8" x14ac:dyDescent="0.2">
      <c r="A361" s="9" t="s">
        <v>51</v>
      </c>
      <c r="B361" t="s">
        <v>411</v>
      </c>
      <c r="C361" t="str">
        <f>""""&amp;SUBSTITUTE(A361,"zzz",H361)&amp;""""&amp;","</f>
        <v>"https://www.zeldadungeon.net/maps/totk/tiles/sky/6/9_33.jpg",</v>
      </c>
      <c r="H361" t="str">
        <f>QUOTIENT(ROW(A361),48)+2&amp;"_"&amp;MOD(ROW(A361),48)+8</f>
        <v>9_33</v>
      </c>
    </row>
    <row r="362" spans="1:8" x14ac:dyDescent="0.2">
      <c r="A362" s="9" t="s">
        <v>51</v>
      </c>
      <c r="B362" t="s">
        <v>410</v>
      </c>
      <c r="C362" t="str">
        <f>""""&amp;SUBSTITUTE(A362,"zzz",H362)&amp;""""&amp;","</f>
        <v>"https://www.zeldadungeon.net/maps/totk/tiles/sky/6/9_34.jpg",</v>
      </c>
      <c r="H362" t="str">
        <f>QUOTIENT(ROW(A362),48)+2&amp;"_"&amp;MOD(ROW(A362),48)+8</f>
        <v>9_34</v>
      </c>
    </row>
    <row r="363" spans="1:8" x14ac:dyDescent="0.2">
      <c r="A363" s="9" t="s">
        <v>51</v>
      </c>
      <c r="B363" t="s">
        <v>409</v>
      </c>
      <c r="C363" t="str">
        <f>""""&amp;SUBSTITUTE(A363,"zzz",H363)&amp;""""&amp;","</f>
        <v>"https://www.zeldadungeon.net/maps/totk/tiles/sky/6/9_35.jpg",</v>
      </c>
      <c r="H363" t="str">
        <f>QUOTIENT(ROW(A363),48)+2&amp;"_"&amp;MOD(ROW(A363),48)+8</f>
        <v>9_35</v>
      </c>
    </row>
    <row r="364" spans="1:8" x14ac:dyDescent="0.2">
      <c r="A364" s="9" t="s">
        <v>51</v>
      </c>
      <c r="B364" t="s">
        <v>408</v>
      </c>
      <c r="C364" t="str">
        <f>""""&amp;SUBSTITUTE(A364,"zzz",H364)&amp;""""&amp;","</f>
        <v>"https://www.zeldadungeon.net/maps/totk/tiles/sky/6/9_36.jpg",</v>
      </c>
      <c r="H364" t="str">
        <f>QUOTIENT(ROW(A364),48)+2&amp;"_"&amp;MOD(ROW(A364),48)+8</f>
        <v>9_36</v>
      </c>
    </row>
    <row r="365" spans="1:8" x14ac:dyDescent="0.2">
      <c r="A365" s="9" t="s">
        <v>51</v>
      </c>
      <c r="B365" t="s">
        <v>407</v>
      </c>
      <c r="C365" t="str">
        <f>""""&amp;SUBSTITUTE(A365,"zzz",H365)&amp;""""&amp;","</f>
        <v>"https://www.zeldadungeon.net/maps/totk/tiles/sky/6/9_37.jpg",</v>
      </c>
      <c r="H365" t="str">
        <f>QUOTIENT(ROW(A365),48)+2&amp;"_"&amp;MOD(ROW(A365),48)+8</f>
        <v>9_37</v>
      </c>
    </row>
    <row r="366" spans="1:8" x14ac:dyDescent="0.2">
      <c r="A366" s="9" t="s">
        <v>51</v>
      </c>
      <c r="B366" t="s">
        <v>406</v>
      </c>
      <c r="C366" t="str">
        <f>""""&amp;SUBSTITUTE(A366,"zzz",H366)&amp;""""&amp;","</f>
        <v>"https://www.zeldadungeon.net/maps/totk/tiles/sky/6/9_38.jpg",</v>
      </c>
      <c r="H366" t="str">
        <f>QUOTIENT(ROW(A366),48)+2&amp;"_"&amp;MOD(ROW(A366),48)+8</f>
        <v>9_38</v>
      </c>
    </row>
    <row r="367" spans="1:8" x14ac:dyDescent="0.2">
      <c r="A367" s="9" t="s">
        <v>51</v>
      </c>
      <c r="B367" t="s">
        <v>405</v>
      </c>
      <c r="C367" t="str">
        <f>""""&amp;SUBSTITUTE(A367,"zzz",H367)&amp;""""&amp;","</f>
        <v>"https://www.zeldadungeon.net/maps/totk/tiles/sky/6/9_39.jpg",</v>
      </c>
      <c r="H367" t="str">
        <f>QUOTIENT(ROW(A367),48)+2&amp;"_"&amp;MOD(ROW(A367),48)+8</f>
        <v>9_39</v>
      </c>
    </row>
    <row r="368" spans="1:8" x14ac:dyDescent="0.2">
      <c r="A368" s="9" t="s">
        <v>51</v>
      </c>
      <c r="B368" t="s">
        <v>404</v>
      </c>
      <c r="C368" t="str">
        <f>""""&amp;SUBSTITUTE(A368,"zzz",H368)&amp;""""&amp;","</f>
        <v>"https://www.zeldadungeon.net/maps/totk/tiles/sky/6/9_40.jpg",</v>
      </c>
      <c r="H368" t="str">
        <f>QUOTIENT(ROW(A368),48)+2&amp;"_"&amp;MOD(ROW(A368),48)+8</f>
        <v>9_40</v>
      </c>
    </row>
    <row r="369" spans="1:8" x14ac:dyDescent="0.2">
      <c r="A369" s="9" t="s">
        <v>51</v>
      </c>
      <c r="B369" t="s">
        <v>403</v>
      </c>
      <c r="C369" t="str">
        <f>""""&amp;SUBSTITUTE(A369,"zzz",H369)&amp;""""&amp;","</f>
        <v>"https://www.zeldadungeon.net/maps/totk/tiles/sky/6/9_41.jpg",</v>
      </c>
      <c r="H369" t="str">
        <f>QUOTIENT(ROW(A369),48)+2&amp;"_"&amp;MOD(ROW(A369),48)+8</f>
        <v>9_41</v>
      </c>
    </row>
    <row r="370" spans="1:8" x14ac:dyDescent="0.2">
      <c r="A370" s="9" t="s">
        <v>51</v>
      </c>
      <c r="B370" t="s">
        <v>402</v>
      </c>
      <c r="C370" t="str">
        <f>""""&amp;SUBSTITUTE(A370,"zzz",H370)&amp;""""&amp;","</f>
        <v>"https://www.zeldadungeon.net/maps/totk/tiles/sky/6/9_42.jpg",</v>
      </c>
      <c r="H370" t="str">
        <f>QUOTIENT(ROW(A370),48)+2&amp;"_"&amp;MOD(ROW(A370),48)+8</f>
        <v>9_42</v>
      </c>
    </row>
    <row r="371" spans="1:8" x14ac:dyDescent="0.2">
      <c r="A371" s="9" t="s">
        <v>51</v>
      </c>
      <c r="B371" t="s">
        <v>401</v>
      </c>
      <c r="C371" t="str">
        <f>""""&amp;SUBSTITUTE(A371,"zzz",H371)&amp;""""&amp;","</f>
        <v>"https://www.zeldadungeon.net/maps/totk/tiles/sky/6/9_43.jpg",</v>
      </c>
      <c r="H371" t="str">
        <f>QUOTIENT(ROW(A371),48)+2&amp;"_"&amp;MOD(ROW(A371),48)+8</f>
        <v>9_43</v>
      </c>
    </row>
    <row r="372" spans="1:8" x14ac:dyDescent="0.2">
      <c r="A372" s="9" t="s">
        <v>51</v>
      </c>
      <c r="B372" t="s">
        <v>400</v>
      </c>
      <c r="C372" t="str">
        <f>""""&amp;SUBSTITUTE(A372,"zzz",H372)&amp;""""&amp;","</f>
        <v>"https://www.zeldadungeon.net/maps/totk/tiles/sky/6/9_44.jpg",</v>
      </c>
      <c r="H372" t="str">
        <f>QUOTIENT(ROW(A372),48)+2&amp;"_"&amp;MOD(ROW(A372),48)+8</f>
        <v>9_44</v>
      </c>
    </row>
    <row r="373" spans="1:8" x14ac:dyDescent="0.2">
      <c r="A373" s="9" t="s">
        <v>51</v>
      </c>
      <c r="B373" t="s">
        <v>399</v>
      </c>
      <c r="C373" t="str">
        <f>""""&amp;SUBSTITUTE(A373,"zzz",H373)&amp;""""&amp;","</f>
        <v>"https://www.zeldadungeon.net/maps/totk/tiles/sky/6/9_45.jpg",</v>
      </c>
      <c r="H373" t="str">
        <f>QUOTIENT(ROW(A373),48)+2&amp;"_"&amp;MOD(ROW(A373),48)+8</f>
        <v>9_45</v>
      </c>
    </row>
    <row r="374" spans="1:8" x14ac:dyDescent="0.2">
      <c r="A374" s="9" t="s">
        <v>51</v>
      </c>
      <c r="B374" t="s">
        <v>398</v>
      </c>
      <c r="C374" t="str">
        <f>""""&amp;SUBSTITUTE(A374,"zzz",H374)&amp;""""&amp;","</f>
        <v>"https://www.zeldadungeon.net/maps/totk/tiles/sky/6/9_46.jpg",</v>
      </c>
      <c r="H374" t="str">
        <f>QUOTIENT(ROW(A374),48)+2&amp;"_"&amp;MOD(ROW(A374),48)+8</f>
        <v>9_46</v>
      </c>
    </row>
    <row r="375" spans="1:8" x14ac:dyDescent="0.2">
      <c r="A375" s="9" t="s">
        <v>51</v>
      </c>
      <c r="B375" t="s">
        <v>397</v>
      </c>
      <c r="C375" t="str">
        <f>""""&amp;SUBSTITUTE(A375,"zzz",H375)&amp;""""&amp;","</f>
        <v>"https://www.zeldadungeon.net/maps/totk/tiles/sky/6/9_47.jpg",</v>
      </c>
      <c r="H375" t="str">
        <f>QUOTIENT(ROW(A375),48)+2&amp;"_"&amp;MOD(ROW(A375),48)+8</f>
        <v>9_47</v>
      </c>
    </row>
    <row r="376" spans="1:8" x14ac:dyDescent="0.2">
      <c r="A376" s="9" t="s">
        <v>51</v>
      </c>
      <c r="B376" t="s">
        <v>396</v>
      </c>
      <c r="C376" t="str">
        <f>""""&amp;SUBSTITUTE(A376,"zzz",H376)&amp;""""&amp;","</f>
        <v>"https://www.zeldadungeon.net/maps/totk/tiles/sky/6/9_48.jpg",</v>
      </c>
      <c r="H376" t="str">
        <f>QUOTIENT(ROW(A376),48)+2&amp;"_"&amp;MOD(ROW(A376),48)+8</f>
        <v>9_48</v>
      </c>
    </row>
    <row r="377" spans="1:8" x14ac:dyDescent="0.2">
      <c r="A377" s="9" t="s">
        <v>51</v>
      </c>
      <c r="B377" t="s">
        <v>395</v>
      </c>
      <c r="C377" t="str">
        <f>""""&amp;SUBSTITUTE(A377,"zzz",H377)&amp;""""&amp;","</f>
        <v>"https://www.zeldadungeon.net/maps/totk/tiles/sky/6/9_49.jpg",</v>
      </c>
      <c r="H377" t="str">
        <f>QUOTIENT(ROW(A377),48)+2&amp;"_"&amp;MOD(ROW(A377),48)+8</f>
        <v>9_49</v>
      </c>
    </row>
    <row r="378" spans="1:8" x14ac:dyDescent="0.2">
      <c r="A378" s="9" t="s">
        <v>51</v>
      </c>
      <c r="B378" t="s">
        <v>394</v>
      </c>
      <c r="C378" t="str">
        <f>""""&amp;SUBSTITUTE(A378,"zzz",H378)&amp;""""&amp;","</f>
        <v>"https://www.zeldadungeon.net/maps/totk/tiles/sky/6/9_50.jpg",</v>
      </c>
      <c r="H378" t="str">
        <f>QUOTIENT(ROW(A378),48)+2&amp;"_"&amp;MOD(ROW(A378),48)+8</f>
        <v>9_50</v>
      </c>
    </row>
    <row r="379" spans="1:8" x14ac:dyDescent="0.2">
      <c r="A379" s="9" t="s">
        <v>51</v>
      </c>
      <c r="B379" t="s">
        <v>393</v>
      </c>
      <c r="C379" t="str">
        <f>""""&amp;SUBSTITUTE(A379,"zzz",H379)&amp;""""&amp;","</f>
        <v>"https://www.zeldadungeon.net/maps/totk/tiles/sky/6/9_51.jpg",</v>
      </c>
      <c r="H379" t="str">
        <f>QUOTIENT(ROW(A379),48)+2&amp;"_"&amp;MOD(ROW(A379),48)+8</f>
        <v>9_51</v>
      </c>
    </row>
    <row r="380" spans="1:8" x14ac:dyDescent="0.2">
      <c r="A380" s="9" t="s">
        <v>51</v>
      </c>
      <c r="B380" t="s">
        <v>392</v>
      </c>
      <c r="C380" t="str">
        <f>""""&amp;SUBSTITUTE(A380,"zzz",H380)&amp;""""&amp;","</f>
        <v>"https://www.zeldadungeon.net/maps/totk/tiles/sky/6/9_52.jpg",</v>
      </c>
      <c r="H380" t="str">
        <f>QUOTIENT(ROW(A380),48)+2&amp;"_"&amp;MOD(ROW(A380),48)+8</f>
        <v>9_52</v>
      </c>
    </row>
    <row r="381" spans="1:8" x14ac:dyDescent="0.2">
      <c r="A381" s="9" t="s">
        <v>51</v>
      </c>
      <c r="B381" t="s">
        <v>391</v>
      </c>
      <c r="C381" t="str">
        <f>""""&amp;SUBSTITUTE(A381,"zzz",H381)&amp;""""&amp;","</f>
        <v>"https://www.zeldadungeon.net/maps/totk/tiles/sky/6/9_53.jpg",</v>
      </c>
      <c r="H381" t="str">
        <f>QUOTIENT(ROW(A381),48)+2&amp;"_"&amp;MOD(ROW(A381),48)+8</f>
        <v>9_53</v>
      </c>
    </row>
    <row r="382" spans="1:8" x14ac:dyDescent="0.2">
      <c r="A382" s="9" t="s">
        <v>51</v>
      </c>
      <c r="B382" t="s">
        <v>390</v>
      </c>
      <c r="C382" t="str">
        <f>""""&amp;SUBSTITUTE(A382,"zzz",H382)&amp;""""&amp;","</f>
        <v>"https://www.zeldadungeon.net/maps/totk/tiles/sky/6/9_54.jpg",</v>
      </c>
      <c r="H382" t="str">
        <f>QUOTIENT(ROW(A382),48)+2&amp;"_"&amp;MOD(ROW(A382),48)+8</f>
        <v>9_54</v>
      </c>
    </row>
    <row r="383" spans="1:8" x14ac:dyDescent="0.2">
      <c r="A383" s="9" t="s">
        <v>51</v>
      </c>
      <c r="B383" t="s">
        <v>389</v>
      </c>
      <c r="C383" t="str">
        <f>""""&amp;SUBSTITUTE(A383,"zzz",H383)&amp;""""&amp;","</f>
        <v>"https://www.zeldadungeon.net/maps/totk/tiles/sky/6/9_55.jpg",</v>
      </c>
      <c r="H383" t="str">
        <f>QUOTIENT(ROW(A383),48)+2&amp;"_"&amp;MOD(ROW(A383),48)+8</f>
        <v>9_55</v>
      </c>
    </row>
    <row r="384" spans="1:8" x14ac:dyDescent="0.2">
      <c r="A384" s="9" t="s">
        <v>51</v>
      </c>
      <c r="B384" t="s">
        <v>388</v>
      </c>
      <c r="C384" t="str">
        <f>""""&amp;SUBSTITUTE(A384,"zzz",H384)&amp;""""&amp;","</f>
        <v>"https://www.zeldadungeon.net/maps/totk/tiles/sky/6/10_8.jpg",</v>
      </c>
      <c r="H384" t="str">
        <f>QUOTIENT(ROW(A384),48)+2&amp;"_"&amp;MOD(ROW(A384),48)+8</f>
        <v>10_8</v>
      </c>
    </row>
    <row r="385" spans="1:8" x14ac:dyDescent="0.2">
      <c r="A385" s="9" t="s">
        <v>51</v>
      </c>
      <c r="B385" t="s">
        <v>387</v>
      </c>
      <c r="C385" t="str">
        <f>""""&amp;SUBSTITUTE(A385,"zzz",H385)&amp;""""&amp;","</f>
        <v>"https://www.zeldadungeon.net/maps/totk/tiles/sky/6/10_9.jpg",</v>
      </c>
      <c r="H385" t="str">
        <f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>""""&amp;SUBSTITUTE(A386,"zzz",H386)&amp;""""&amp;","</f>
        <v>"https://www.zeldadungeon.net/maps/totk/tiles/sky/6/10_10.jpg",</v>
      </c>
      <c r="H386" t="str">
        <f>QUOTIENT(ROW(A386),48)+2&amp;"_"&amp;MOD(ROW(A386),48)+8</f>
        <v>10_10</v>
      </c>
    </row>
    <row r="387" spans="1:8" x14ac:dyDescent="0.2">
      <c r="A387" s="9" t="s">
        <v>51</v>
      </c>
      <c r="B387" t="s">
        <v>385</v>
      </c>
      <c r="C387" t="str">
        <f>""""&amp;SUBSTITUTE(A387,"zzz",H387)&amp;""""&amp;","</f>
        <v>"https://www.zeldadungeon.net/maps/totk/tiles/sky/6/10_11.jpg",</v>
      </c>
      <c r="H387" t="str">
        <f>QUOTIENT(ROW(A387),48)+2&amp;"_"&amp;MOD(ROW(A387),48)+8</f>
        <v>10_11</v>
      </c>
    </row>
    <row r="388" spans="1:8" x14ac:dyDescent="0.2">
      <c r="A388" s="9" t="s">
        <v>51</v>
      </c>
      <c r="B388" t="s">
        <v>384</v>
      </c>
      <c r="C388" t="str">
        <f>""""&amp;SUBSTITUTE(A388,"zzz",H388)&amp;""""&amp;","</f>
        <v>"https://www.zeldadungeon.net/maps/totk/tiles/sky/6/10_12.jpg",</v>
      </c>
      <c r="H388" t="str">
        <f>QUOTIENT(ROW(A388),48)+2&amp;"_"&amp;MOD(ROW(A388),48)+8</f>
        <v>10_12</v>
      </c>
    </row>
    <row r="389" spans="1:8" x14ac:dyDescent="0.2">
      <c r="A389" s="9" t="s">
        <v>51</v>
      </c>
      <c r="B389" t="s">
        <v>383</v>
      </c>
      <c r="C389" t="str">
        <f>""""&amp;SUBSTITUTE(A389,"zzz",H389)&amp;""""&amp;","</f>
        <v>"https://www.zeldadungeon.net/maps/totk/tiles/sky/6/10_13.jpg",</v>
      </c>
      <c r="H389" t="str">
        <f>QUOTIENT(ROW(A389),48)+2&amp;"_"&amp;MOD(ROW(A389),48)+8</f>
        <v>10_13</v>
      </c>
    </row>
    <row r="390" spans="1:8" x14ac:dyDescent="0.2">
      <c r="A390" s="9" t="s">
        <v>51</v>
      </c>
      <c r="B390" t="s">
        <v>382</v>
      </c>
      <c r="C390" t="str">
        <f>""""&amp;SUBSTITUTE(A390,"zzz",H390)&amp;""""&amp;","</f>
        <v>"https://www.zeldadungeon.net/maps/totk/tiles/sky/6/10_14.jpg",</v>
      </c>
      <c r="H390" t="str">
        <f>QUOTIENT(ROW(A390),48)+2&amp;"_"&amp;MOD(ROW(A390),48)+8</f>
        <v>10_14</v>
      </c>
    </row>
    <row r="391" spans="1:8" x14ac:dyDescent="0.2">
      <c r="A391" s="9" t="s">
        <v>51</v>
      </c>
      <c r="B391" t="s">
        <v>381</v>
      </c>
      <c r="C391" t="str">
        <f>""""&amp;SUBSTITUTE(A391,"zzz",H391)&amp;""""&amp;","</f>
        <v>"https://www.zeldadungeon.net/maps/totk/tiles/sky/6/10_15.jpg",</v>
      </c>
      <c r="H391" t="str">
        <f>QUOTIENT(ROW(A391),48)+2&amp;"_"&amp;MOD(ROW(A391),48)+8</f>
        <v>10_15</v>
      </c>
    </row>
    <row r="392" spans="1:8" x14ac:dyDescent="0.2">
      <c r="A392" s="9" t="s">
        <v>51</v>
      </c>
      <c r="B392" t="s">
        <v>380</v>
      </c>
      <c r="C392" t="str">
        <f>""""&amp;SUBSTITUTE(A392,"zzz",H392)&amp;""""&amp;","</f>
        <v>"https://www.zeldadungeon.net/maps/totk/tiles/sky/6/10_16.jpg",</v>
      </c>
      <c r="H392" t="str">
        <f>QUOTIENT(ROW(A392),48)+2&amp;"_"&amp;MOD(ROW(A392),48)+8</f>
        <v>10_16</v>
      </c>
    </row>
    <row r="393" spans="1:8" x14ac:dyDescent="0.2">
      <c r="A393" s="9" t="s">
        <v>51</v>
      </c>
      <c r="B393" t="s">
        <v>379</v>
      </c>
      <c r="C393" t="str">
        <f>""""&amp;SUBSTITUTE(A393,"zzz",H393)&amp;""""&amp;","</f>
        <v>"https://www.zeldadungeon.net/maps/totk/tiles/sky/6/10_17.jpg",</v>
      </c>
      <c r="H393" t="str">
        <f>QUOTIENT(ROW(A393),48)+2&amp;"_"&amp;MOD(ROW(A393),48)+8</f>
        <v>10_17</v>
      </c>
    </row>
    <row r="394" spans="1:8" x14ac:dyDescent="0.2">
      <c r="A394" s="9" t="s">
        <v>51</v>
      </c>
      <c r="B394" t="s">
        <v>378</v>
      </c>
      <c r="C394" t="str">
        <f>""""&amp;SUBSTITUTE(A394,"zzz",H394)&amp;""""&amp;","</f>
        <v>"https://www.zeldadungeon.net/maps/totk/tiles/sky/6/10_18.jpg",</v>
      </c>
      <c r="H394" t="str">
        <f>QUOTIENT(ROW(A394),48)+2&amp;"_"&amp;MOD(ROW(A394),48)+8</f>
        <v>10_18</v>
      </c>
    </row>
    <row r="395" spans="1:8" x14ac:dyDescent="0.2">
      <c r="A395" s="9" t="s">
        <v>51</v>
      </c>
      <c r="B395" t="s">
        <v>377</v>
      </c>
      <c r="C395" t="str">
        <f>""""&amp;SUBSTITUTE(A395,"zzz",H395)&amp;""""&amp;","</f>
        <v>"https://www.zeldadungeon.net/maps/totk/tiles/sky/6/10_19.jpg",</v>
      </c>
      <c r="H395" t="str">
        <f>QUOTIENT(ROW(A395),48)+2&amp;"_"&amp;MOD(ROW(A395),48)+8</f>
        <v>10_19</v>
      </c>
    </row>
    <row r="396" spans="1:8" x14ac:dyDescent="0.2">
      <c r="A396" s="9" t="s">
        <v>51</v>
      </c>
      <c r="B396" t="s">
        <v>376</v>
      </c>
      <c r="C396" t="str">
        <f>""""&amp;SUBSTITUTE(A396,"zzz",H396)&amp;""""&amp;","</f>
        <v>"https://www.zeldadungeon.net/maps/totk/tiles/sky/6/10_20.jpg",</v>
      </c>
      <c r="H396" t="str">
        <f>QUOTIENT(ROW(A396),48)+2&amp;"_"&amp;MOD(ROW(A396),48)+8</f>
        <v>10_20</v>
      </c>
    </row>
    <row r="397" spans="1:8" x14ac:dyDescent="0.2">
      <c r="A397" s="9" t="s">
        <v>51</v>
      </c>
      <c r="B397" t="s">
        <v>375</v>
      </c>
      <c r="C397" t="str">
        <f>""""&amp;SUBSTITUTE(A397,"zzz",H397)&amp;""""&amp;","</f>
        <v>"https://www.zeldadungeon.net/maps/totk/tiles/sky/6/10_21.jpg",</v>
      </c>
      <c r="H397" t="str">
        <f>QUOTIENT(ROW(A397),48)+2&amp;"_"&amp;MOD(ROW(A397),48)+8</f>
        <v>10_21</v>
      </c>
    </row>
    <row r="398" spans="1:8" x14ac:dyDescent="0.2">
      <c r="A398" s="9" t="s">
        <v>51</v>
      </c>
      <c r="B398" t="s">
        <v>374</v>
      </c>
      <c r="C398" t="str">
        <f>""""&amp;SUBSTITUTE(A398,"zzz",H398)&amp;""""&amp;","</f>
        <v>"https://www.zeldadungeon.net/maps/totk/tiles/sky/6/10_22.jpg",</v>
      </c>
      <c r="H398" t="str">
        <f>QUOTIENT(ROW(A398),48)+2&amp;"_"&amp;MOD(ROW(A398),48)+8</f>
        <v>10_22</v>
      </c>
    </row>
    <row r="399" spans="1:8" x14ac:dyDescent="0.2">
      <c r="A399" s="9" t="s">
        <v>51</v>
      </c>
      <c r="B399" t="s">
        <v>373</v>
      </c>
      <c r="C399" t="str">
        <f>""""&amp;SUBSTITUTE(A399,"zzz",H399)&amp;""""&amp;","</f>
        <v>"https://www.zeldadungeon.net/maps/totk/tiles/sky/6/10_23.jpg",</v>
      </c>
      <c r="H399" t="str">
        <f>QUOTIENT(ROW(A399),48)+2&amp;"_"&amp;MOD(ROW(A399),48)+8</f>
        <v>10_23</v>
      </c>
    </row>
    <row r="400" spans="1:8" x14ac:dyDescent="0.2">
      <c r="A400" s="9" t="s">
        <v>51</v>
      </c>
      <c r="B400" t="s">
        <v>372</v>
      </c>
      <c r="C400" t="str">
        <f>""""&amp;SUBSTITUTE(A400,"zzz",H400)&amp;""""&amp;","</f>
        <v>"https://www.zeldadungeon.net/maps/totk/tiles/sky/6/10_24.jpg",</v>
      </c>
      <c r="H400" t="str">
        <f>QUOTIENT(ROW(A400),48)+2&amp;"_"&amp;MOD(ROW(A400),48)+8</f>
        <v>10_24</v>
      </c>
    </row>
    <row r="401" spans="1:8" x14ac:dyDescent="0.2">
      <c r="A401" s="9" t="s">
        <v>51</v>
      </c>
      <c r="B401" t="s">
        <v>371</v>
      </c>
      <c r="C401" t="str">
        <f>""""&amp;SUBSTITUTE(A401,"zzz",H401)&amp;""""&amp;","</f>
        <v>"https://www.zeldadungeon.net/maps/totk/tiles/sky/6/10_25.jpg",</v>
      </c>
      <c r="H401" t="str">
        <f>QUOTIENT(ROW(A401),48)+2&amp;"_"&amp;MOD(ROW(A401),48)+8</f>
        <v>10_25</v>
      </c>
    </row>
    <row r="402" spans="1:8" x14ac:dyDescent="0.2">
      <c r="A402" s="9" t="s">
        <v>51</v>
      </c>
      <c r="B402" t="s">
        <v>370</v>
      </c>
      <c r="C402" t="str">
        <f>""""&amp;SUBSTITUTE(A402,"zzz",H402)&amp;""""&amp;","</f>
        <v>"https://www.zeldadungeon.net/maps/totk/tiles/sky/6/10_26.jpg",</v>
      </c>
      <c r="H402" t="str">
        <f>QUOTIENT(ROW(A402),48)+2&amp;"_"&amp;MOD(ROW(A402),48)+8</f>
        <v>10_26</v>
      </c>
    </row>
    <row r="403" spans="1:8" x14ac:dyDescent="0.2">
      <c r="A403" s="9" t="s">
        <v>51</v>
      </c>
      <c r="B403" t="s">
        <v>369</v>
      </c>
      <c r="C403" t="str">
        <f>""""&amp;SUBSTITUTE(A403,"zzz",H403)&amp;""""&amp;","</f>
        <v>"https://www.zeldadungeon.net/maps/totk/tiles/sky/6/10_27.jpg",</v>
      </c>
      <c r="H403" t="str">
        <f>QUOTIENT(ROW(A403),48)+2&amp;"_"&amp;MOD(ROW(A403),48)+8</f>
        <v>10_27</v>
      </c>
    </row>
    <row r="404" spans="1:8" x14ac:dyDescent="0.2">
      <c r="A404" s="9" t="s">
        <v>51</v>
      </c>
      <c r="B404" t="s">
        <v>368</v>
      </c>
      <c r="C404" t="str">
        <f>""""&amp;SUBSTITUTE(A404,"zzz",H404)&amp;""""&amp;","</f>
        <v>"https://www.zeldadungeon.net/maps/totk/tiles/sky/6/10_28.jpg",</v>
      </c>
      <c r="H404" t="str">
        <f>QUOTIENT(ROW(A404),48)+2&amp;"_"&amp;MOD(ROW(A404),48)+8</f>
        <v>10_28</v>
      </c>
    </row>
    <row r="405" spans="1:8" x14ac:dyDescent="0.2">
      <c r="A405" s="9" t="s">
        <v>51</v>
      </c>
      <c r="B405" t="s">
        <v>367</v>
      </c>
      <c r="C405" t="str">
        <f>""""&amp;SUBSTITUTE(A405,"zzz",H405)&amp;""""&amp;","</f>
        <v>"https://www.zeldadungeon.net/maps/totk/tiles/sky/6/10_29.jpg",</v>
      </c>
      <c r="H405" t="str">
        <f>QUOTIENT(ROW(A405),48)+2&amp;"_"&amp;MOD(ROW(A405),48)+8</f>
        <v>10_29</v>
      </c>
    </row>
    <row r="406" spans="1:8" x14ac:dyDescent="0.2">
      <c r="A406" s="9" t="s">
        <v>51</v>
      </c>
      <c r="B406" t="s">
        <v>366</v>
      </c>
      <c r="C406" t="str">
        <f>""""&amp;SUBSTITUTE(A406,"zzz",H406)&amp;""""&amp;","</f>
        <v>"https://www.zeldadungeon.net/maps/totk/tiles/sky/6/10_30.jpg",</v>
      </c>
      <c r="H406" t="str">
        <f>QUOTIENT(ROW(A406),48)+2&amp;"_"&amp;MOD(ROW(A406),48)+8</f>
        <v>10_30</v>
      </c>
    </row>
    <row r="407" spans="1:8" x14ac:dyDescent="0.2">
      <c r="A407" s="9" t="s">
        <v>51</v>
      </c>
      <c r="B407" t="s">
        <v>365</v>
      </c>
      <c r="C407" t="str">
        <f>""""&amp;SUBSTITUTE(A407,"zzz",H407)&amp;""""&amp;","</f>
        <v>"https://www.zeldadungeon.net/maps/totk/tiles/sky/6/10_31.jpg",</v>
      </c>
      <c r="H407" t="str">
        <f>QUOTIENT(ROW(A407),48)+2&amp;"_"&amp;MOD(ROW(A407),48)+8</f>
        <v>10_31</v>
      </c>
    </row>
    <row r="408" spans="1:8" x14ac:dyDescent="0.2">
      <c r="A408" s="9" t="s">
        <v>51</v>
      </c>
      <c r="B408" t="s">
        <v>364</v>
      </c>
      <c r="C408" t="str">
        <f>""""&amp;SUBSTITUTE(A408,"zzz",H408)&amp;""""&amp;","</f>
        <v>"https://www.zeldadungeon.net/maps/totk/tiles/sky/6/10_32.jpg",</v>
      </c>
      <c r="H408" t="str">
        <f>QUOTIENT(ROW(A408),48)+2&amp;"_"&amp;MOD(ROW(A408),48)+8</f>
        <v>10_32</v>
      </c>
    </row>
    <row r="409" spans="1:8" x14ac:dyDescent="0.2">
      <c r="A409" s="9" t="s">
        <v>51</v>
      </c>
      <c r="B409" t="s">
        <v>363</v>
      </c>
      <c r="C409" t="str">
        <f>""""&amp;SUBSTITUTE(A409,"zzz",H409)&amp;""""&amp;","</f>
        <v>"https://www.zeldadungeon.net/maps/totk/tiles/sky/6/10_33.jpg",</v>
      </c>
      <c r="H409" t="str">
        <f>QUOTIENT(ROW(A409),48)+2&amp;"_"&amp;MOD(ROW(A409),48)+8</f>
        <v>10_33</v>
      </c>
    </row>
    <row r="410" spans="1:8" x14ac:dyDescent="0.2">
      <c r="A410" s="9" t="s">
        <v>51</v>
      </c>
      <c r="B410" t="s">
        <v>362</v>
      </c>
      <c r="C410" t="str">
        <f>""""&amp;SUBSTITUTE(A410,"zzz",H410)&amp;""""&amp;","</f>
        <v>"https://www.zeldadungeon.net/maps/totk/tiles/sky/6/10_34.jpg",</v>
      </c>
      <c r="H410" t="str">
        <f>QUOTIENT(ROW(A410),48)+2&amp;"_"&amp;MOD(ROW(A410),48)+8</f>
        <v>10_34</v>
      </c>
    </row>
    <row r="411" spans="1:8" x14ac:dyDescent="0.2">
      <c r="A411" s="9" t="s">
        <v>51</v>
      </c>
      <c r="B411" t="s">
        <v>361</v>
      </c>
      <c r="C411" t="str">
        <f>""""&amp;SUBSTITUTE(A411,"zzz",H411)&amp;""""&amp;","</f>
        <v>"https://www.zeldadungeon.net/maps/totk/tiles/sky/6/10_35.jpg",</v>
      </c>
      <c r="H411" t="str">
        <f>QUOTIENT(ROW(A411),48)+2&amp;"_"&amp;MOD(ROW(A411),48)+8</f>
        <v>10_35</v>
      </c>
    </row>
    <row r="412" spans="1:8" x14ac:dyDescent="0.2">
      <c r="A412" s="9" t="s">
        <v>51</v>
      </c>
      <c r="B412" t="s">
        <v>360</v>
      </c>
      <c r="C412" t="str">
        <f>""""&amp;SUBSTITUTE(A412,"zzz",H412)&amp;""""&amp;","</f>
        <v>"https://www.zeldadungeon.net/maps/totk/tiles/sky/6/10_36.jpg",</v>
      </c>
      <c r="H412" t="str">
        <f>QUOTIENT(ROW(A412),48)+2&amp;"_"&amp;MOD(ROW(A412),48)+8</f>
        <v>10_36</v>
      </c>
    </row>
    <row r="413" spans="1:8" x14ac:dyDescent="0.2">
      <c r="A413" s="9" t="s">
        <v>51</v>
      </c>
      <c r="B413" t="s">
        <v>359</v>
      </c>
      <c r="C413" t="str">
        <f>""""&amp;SUBSTITUTE(A413,"zzz",H413)&amp;""""&amp;","</f>
        <v>"https://www.zeldadungeon.net/maps/totk/tiles/sky/6/10_37.jpg",</v>
      </c>
      <c r="H413" t="str">
        <f>QUOTIENT(ROW(A413),48)+2&amp;"_"&amp;MOD(ROW(A413),48)+8</f>
        <v>10_37</v>
      </c>
    </row>
    <row r="414" spans="1:8" x14ac:dyDescent="0.2">
      <c r="A414" s="9" t="s">
        <v>51</v>
      </c>
      <c r="B414" t="s">
        <v>358</v>
      </c>
      <c r="C414" t="str">
        <f>""""&amp;SUBSTITUTE(A414,"zzz",H414)&amp;""""&amp;","</f>
        <v>"https://www.zeldadungeon.net/maps/totk/tiles/sky/6/10_38.jpg",</v>
      </c>
      <c r="H414" t="str">
        <f>QUOTIENT(ROW(A414),48)+2&amp;"_"&amp;MOD(ROW(A414),48)+8</f>
        <v>10_38</v>
      </c>
    </row>
    <row r="415" spans="1:8" x14ac:dyDescent="0.2">
      <c r="A415" s="9" t="s">
        <v>51</v>
      </c>
      <c r="B415" t="s">
        <v>357</v>
      </c>
      <c r="C415" t="str">
        <f>""""&amp;SUBSTITUTE(A415,"zzz",H415)&amp;""""&amp;","</f>
        <v>"https://www.zeldadungeon.net/maps/totk/tiles/sky/6/10_39.jpg",</v>
      </c>
      <c r="H415" t="str">
        <f>QUOTIENT(ROW(A415),48)+2&amp;"_"&amp;MOD(ROW(A415),48)+8</f>
        <v>10_39</v>
      </c>
    </row>
    <row r="416" spans="1:8" x14ac:dyDescent="0.2">
      <c r="A416" s="9" t="s">
        <v>51</v>
      </c>
      <c r="B416" t="s">
        <v>356</v>
      </c>
      <c r="C416" t="str">
        <f>""""&amp;SUBSTITUTE(A416,"zzz",H416)&amp;""""&amp;","</f>
        <v>"https://www.zeldadungeon.net/maps/totk/tiles/sky/6/10_40.jpg",</v>
      </c>
      <c r="H416" t="str">
        <f>QUOTIENT(ROW(A416),48)+2&amp;"_"&amp;MOD(ROW(A416),48)+8</f>
        <v>10_40</v>
      </c>
    </row>
    <row r="417" spans="1:8" x14ac:dyDescent="0.2">
      <c r="A417" s="9" t="s">
        <v>51</v>
      </c>
      <c r="B417" t="s">
        <v>355</v>
      </c>
      <c r="C417" t="str">
        <f>""""&amp;SUBSTITUTE(A417,"zzz",H417)&amp;""""&amp;","</f>
        <v>"https://www.zeldadungeon.net/maps/totk/tiles/sky/6/10_41.jpg",</v>
      </c>
      <c r="H417" t="str">
        <f>QUOTIENT(ROW(A417),48)+2&amp;"_"&amp;MOD(ROW(A417),48)+8</f>
        <v>10_41</v>
      </c>
    </row>
    <row r="418" spans="1:8" x14ac:dyDescent="0.2">
      <c r="A418" s="9" t="s">
        <v>51</v>
      </c>
      <c r="B418" t="s">
        <v>354</v>
      </c>
      <c r="C418" t="str">
        <f>""""&amp;SUBSTITUTE(A418,"zzz",H418)&amp;""""&amp;","</f>
        <v>"https://www.zeldadungeon.net/maps/totk/tiles/sky/6/10_42.jpg",</v>
      </c>
      <c r="H418" t="str">
        <f>QUOTIENT(ROW(A418),48)+2&amp;"_"&amp;MOD(ROW(A418),48)+8</f>
        <v>10_42</v>
      </c>
    </row>
    <row r="419" spans="1:8" x14ac:dyDescent="0.2">
      <c r="A419" s="9" t="s">
        <v>51</v>
      </c>
      <c r="B419" t="s">
        <v>353</v>
      </c>
      <c r="C419" t="str">
        <f>""""&amp;SUBSTITUTE(A419,"zzz",H419)&amp;""""&amp;","</f>
        <v>"https://www.zeldadungeon.net/maps/totk/tiles/sky/6/10_43.jpg",</v>
      </c>
      <c r="H419" t="str">
        <f>QUOTIENT(ROW(A419),48)+2&amp;"_"&amp;MOD(ROW(A419),48)+8</f>
        <v>10_43</v>
      </c>
    </row>
    <row r="420" spans="1:8" x14ac:dyDescent="0.2">
      <c r="A420" s="9" t="s">
        <v>51</v>
      </c>
      <c r="B420" t="s">
        <v>352</v>
      </c>
      <c r="C420" t="str">
        <f>""""&amp;SUBSTITUTE(A420,"zzz",H420)&amp;""""&amp;","</f>
        <v>"https://www.zeldadungeon.net/maps/totk/tiles/sky/6/10_44.jpg",</v>
      </c>
      <c r="H420" t="str">
        <f>QUOTIENT(ROW(A420),48)+2&amp;"_"&amp;MOD(ROW(A420),48)+8</f>
        <v>10_44</v>
      </c>
    </row>
    <row r="421" spans="1:8" x14ac:dyDescent="0.2">
      <c r="A421" s="9" t="s">
        <v>51</v>
      </c>
      <c r="B421" t="s">
        <v>351</v>
      </c>
      <c r="C421" t="str">
        <f>""""&amp;SUBSTITUTE(A421,"zzz",H421)&amp;""""&amp;","</f>
        <v>"https://www.zeldadungeon.net/maps/totk/tiles/sky/6/10_45.jpg",</v>
      </c>
      <c r="H421" t="str">
        <f>QUOTIENT(ROW(A421),48)+2&amp;"_"&amp;MOD(ROW(A421),48)+8</f>
        <v>10_45</v>
      </c>
    </row>
    <row r="422" spans="1:8" x14ac:dyDescent="0.2">
      <c r="A422" s="9" t="s">
        <v>51</v>
      </c>
      <c r="B422" t="s">
        <v>350</v>
      </c>
      <c r="C422" t="str">
        <f>""""&amp;SUBSTITUTE(A422,"zzz",H422)&amp;""""&amp;","</f>
        <v>"https://www.zeldadungeon.net/maps/totk/tiles/sky/6/10_46.jpg",</v>
      </c>
      <c r="H422" t="str">
        <f>QUOTIENT(ROW(A422),48)+2&amp;"_"&amp;MOD(ROW(A422),48)+8</f>
        <v>10_46</v>
      </c>
    </row>
    <row r="423" spans="1:8" x14ac:dyDescent="0.2">
      <c r="A423" s="9" t="s">
        <v>51</v>
      </c>
      <c r="B423" t="s">
        <v>349</v>
      </c>
      <c r="C423" t="str">
        <f>""""&amp;SUBSTITUTE(A423,"zzz",H423)&amp;""""&amp;","</f>
        <v>"https://www.zeldadungeon.net/maps/totk/tiles/sky/6/10_47.jpg",</v>
      </c>
      <c r="H423" t="str">
        <f>QUOTIENT(ROW(A423),48)+2&amp;"_"&amp;MOD(ROW(A423),48)+8</f>
        <v>10_47</v>
      </c>
    </row>
    <row r="424" spans="1:8" x14ac:dyDescent="0.2">
      <c r="A424" s="9" t="s">
        <v>51</v>
      </c>
      <c r="B424" t="s">
        <v>348</v>
      </c>
      <c r="C424" t="str">
        <f>""""&amp;SUBSTITUTE(A424,"zzz",H424)&amp;""""&amp;","</f>
        <v>"https://www.zeldadungeon.net/maps/totk/tiles/sky/6/10_48.jpg",</v>
      </c>
      <c r="H424" t="str">
        <f>QUOTIENT(ROW(A424),48)+2&amp;"_"&amp;MOD(ROW(A424),48)+8</f>
        <v>10_48</v>
      </c>
    </row>
    <row r="425" spans="1:8" x14ac:dyDescent="0.2">
      <c r="A425" s="9" t="s">
        <v>51</v>
      </c>
      <c r="B425" t="s">
        <v>347</v>
      </c>
      <c r="C425" t="str">
        <f>""""&amp;SUBSTITUTE(A425,"zzz",H425)&amp;""""&amp;","</f>
        <v>"https://www.zeldadungeon.net/maps/totk/tiles/sky/6/10_49.jpg",</v>
      </c>
      <c r="H425" t="str">
        <f>QUOTIENT(ROW(A425),48)+2&amp;"_"&amp;MOD(ROW(A425),48)+8</f>
        <v>10_49</v>
      </c>
    </row>
    <row r="426" spans="1:8" x14ac:dyDescent="0.2">
      <c r="A426" s="9" t="s">
        <v>51</v>
      </c>
      <c r="B426" t="s">
        <v>346</v>
      </c>
      <c r="C426" t="str">
        <f>""""&amp;SUBSTITUTE(A426,"zzz",H426)&amp;""""&amp;","</f>
        <v>"https://www.zeldadungeon.net/maps/totk/tiles/sky/6/10_50.jpg",</v>
      </c>
      <c r="H426" t="str">
        <f>QUOTIENT(ROW(A426),48)+2&amp;"_"&amp;MOD(ROW(A426),48)+8</f>
        <v>10_50</v>
      </c>
    </row>
    <row r="427" spans="1:8" x14ac:dyDescent="0.2">
      <c r="A427" s="9" t="s">
        <v>51</v>
      </c>
      <c r="B427" t="s">
        <v>345</v>
      </c>
      <c r="C427" t="str">
        <f>""""&amp;SUBSTITUTE(A427,"zzz",H427)&amp;""""&amp;","</f>
        <v>"https://www.zeldadungeon.net/maps/totk/tiles/sky/6/10_51.jpg",</v>
      </c>
      <c r="H427" t="str">
        <f>QUOTIENT(ROW(A427),48)+2&amp;"_"&amp;MOD(ROW(A427),48)+8</f>
        <v>10_51</v>
      </c>
    </row>
    <row r="428" spans="1:8" x14ac:dyDescent="0.2">
      <c r="A428" s="9" t="s">
        <v>51</v>
      </c>
      <c r="B428" t="s">
        <v>344</v>
      </c>
      <c r="C428" t="str">
        <f>""""&amp;SUBSTITUTE(A428,"zzz",H428)&amp;""""&amp;","</f>
        <v>"https://www.zeldadungeon.net/maps/totk/tiles/sky/6/10_52.jpg",</v>
      </c>
      <c r="H428" t="str">
        <f>QUOTIENT(ROW(A428),48)+2&amp;"_"&amp;MOD(ROW(A428),48)+8</f>
        <v>10_52</v>
      </c>
    </row>
    <row r="429" spans="1:8" x14ac:dyDescent="0.2">
      <c r="A429" s="9" t="s">
        <v>51</v>
      </c>
      <c r="B429" t="s">
        <v>343</v>
      </c>
      <c r="C429" t="str">
        <f>""""&amp;SUBSTITUTE(A429,"zzz",H429)&amp;""""&amp;","</f>
        <v>"https://www.zeldadungeon.net/maps/totk/tiles/sky/6/10_53.jpg",</v>
      </c>
      <c r="H429" t="str">
        <f>QUOTIENT(ROW(A429),48)+2&amp;"_"&amp;MOD(ROW(A429),48)+8</f>
        <v>10_53</v>
      </c>
    </row>
    <row r="430" spans="1:8" x14ac:dyDescent="0.2">
      <c r="A430" s="9" t="s">
        <v>51</v>
      </c>
      <c r="B430" t="s">
        <v>342</v>
      </c>
      <c r="C430" t="str">
        <f>""""&amp;SUBSTITUTE(A430,"zzz",H430)&amp;""""&amp;","</f>
        <v>"https://www.zeldadungeon.net/maps/totk/tiles/sky/6/10_54.jpg",</v>
      </c>
      <c r="H430" t="str">
        <f>QUOTIENT(ROW(A430),48)+2&amp;"_"&amp;MOD(ROW(A430),48)+8</f>
        <v>10_54</v>
      </c>
    </row>
    <row r="431" spans="1:8" x14ac:dyDescent="0.2">
      <c r="A431" s="9" t="s">
        <v>51</v>
      </c>
      <c r="B431" t="s">
        <v>341</v>
      </c>
      <c r="C431" t="str">
        <f>""""&amp;SUBSTITUTE(A431,"zzz",H431)&amp;""""&amp;","</f>
        <v>"https://www.zeldadungeon.net/maps/totk/tiles/sky/6/10_55.jpg",</v>
      </c>
      <c r="H431" t="str">
        <f>QUOTIENT(ROW(A431),48)+2&amp;"_"&amp;MOD(ROW(A431),48)+8</f>
        <v>10_55</v>
      </c>
    </row>
    <row r="432" spans="1:8" x14ac:dyDescent="0.2">
      <c r="A432" s="9" t="s">
        <v>51</v>
      </c>
      <c r="B432" t="s">
        <v>340</v>
      </c>
      <c r="C432" t="str">
        <f>""""&amp;SUBSTITUTE(A432,"zzz",H432)&amp;""""&amp;","</f>
        <v>"https://www.zeldadungeon.net/maps/totk/tiles/sky/6/11_8.jpg",</v>
      </c>
      <c r="H432" t="str">
        <f>QUOTIENT(ROW(A432),48)+2&amp;"_"&amp;MOD(ROW(A432),48)+8</f>
        <v>11_8</v>
      </c>
    </row>
    <row r="433" spans="1:8" x14ac:dyDescent="0.2">
      <c r="A433" s="9" t="s">
        <v>51</v>
      </c>
      <c r="B433" t="s">
        <v>339</v>
      </c>
      <c r="C433" t="str">
        <f>""""&amp;SUBSTITUTE(A433,"zzz",H433)&amp;""""&amp;","</f>
        <v>"https://www.zeldadungeon.net/maps/totk/tiles/sky/6/11_9.jpg",</v>
      </c>
      <c r="H433" t="str">
        <f>QUOTIENT(ROW(A433),48)+2&amp;"_"&amp;MOD(ROW(A433),48)+8</f>
        <v>11_9</v>
      </c>
    </row>
    <row r="434" spans="1:8" x14ac:dyDescent="0.2">
      <c r="A434" s="9" t="s">
        <v>51</v>
      </c>
      <c r="B434" t="s">
        <v>338</v>
      </c>
      <c r="C434" t="str">
        <f>""""&amp;SUBSTITUTE(A434,"zzz",H434)&amp;""""&amp;","</f>
        <v>"https://www.zeldadungeon.net/maps/totk/tiles/sky/6/11_10.jpg",</v>
      </c>
      <c r="H434" t="str">
        <f>QUOTIENT(ROW(A434),48)+2&amp;"_"&amp;MOD(ROW(A434),48)+8</f>
        <v>11_10</v>
      </c>
    </row>
    <row r="435" spans="1:8" x14ac:dyDescent="0.2">
      <c r="A435" s="9" t="s">
        <v>51</v>
      </c>
      <c r="B435" t="s">
        <v>337</v>
      </c>
      <c r="C435" t="str">
        <f>""""&amp;SUBSTITUTE(A435,"zzz",H435)&amp;""""&amp;","</f>
        <v>"https://www.zeldadungeon.net/maps/totk/tiles/sky/6/11_11.jpg",</v>
      </c>
      <c r="H435" t="str">
        <f>QUOTIENT(ROW(A435),48)+2&amp;"_"&amp;MOD(ROW(A435),48)+8</f>
        <v>11_11</v>
      </c>
    </row>
    <row r="436" spans="1:8" x14ac:dyDescent="0.2">
      <c r="A436" s="9" t="s">
        <v>51</v>
      </c>
      <c r="B436" t="s">
        <v>336</v>
      </c>
      <c r="C436" t="str">
        <f>""""&amp;SUBSTITUTE(A436,"zzz",H436)&amp;""""&amp;","</f>
        <v>"https://www.zeldadungeon.net/maps/totk/tiles/sky/6/11_12.jpg",</v>
      </c>
      <c r="H436" t="str">
        <f>QUOTIENT(ROW(A436),48)+2&amp;"_"&amp;MOD(ROW(A436),48)+8</f>
        <v>11_12</v>
      </c>
    </row>
    <row r="437" spans="1:8" x14ac:dyDescent="0.2">
      <c r="A437" s="9" t="s">
        <v>51</v>
      </c>
      <c r="B437" t="s">
        <v>335</v>
      </c>
      <c r="C437" t="str">
        <f>""""&amp;SUBSTITUTE(A437,"zzz",H437)&amp;""""&amp;","</f>
        <v>"https://www.zeldadungeon.net/maps/totk/tiles/sky/6/11_13.jpg",</v>
      </c>
      <c r="H437" t="str">
        <f>QUOTIENT(ROW(A437),48)+2&amp;"_"&amp;MOD(ROW(A437),48)+8</f>
        <v>11_13</v>
      </c>
    </row>
    <row r="438" spans="1:8" x14ac:dyDescent="0.2">
      <c r="A438" s="9" t="s">
        <v>51</v>
      </c>
      <c r="B438" t="s">
        <v>334</v>
      </c>
      <c r="C438" t="str">
        <f>""""&amp;SUBSTITUTE(A438,"zzz",H438)&amp;""""&amp;","</f>
        <v>"https://www.zeldadungeon.net/maps/totk/tiles/sky/6/11_14.jpg",</v>
      </c>
      <c r="H438" t="str">
        <f>QUOTIENT(ROW(A438),48)+2&amp;"_"&amp;MOD(ROW(A438),48)+8</f>
        <v>11_14</v>
      </c>
    </row>
    <row r="439" spans="1:8" x14ac:dyDescent="0.2">
      <c r="A439" s="9" t="s">
        <v>51</v>
      </c>
      <c r="B439" t="s">
        <v>333</v>
      </c>
      <c r="C439" t="str">
        <f>""""&amp;SUBSTITUTE(A439,"zzz",H439)&amp;""""&amp;","</f>
        <v>"https://www.zeldadungeon.net/maps/totk/tiles/sky/6/11_15.jpg",</v>
      </c>
      <c r="H439" t="str">
        <f>QUOTIENT(ROW(A439),48)+2&amp;"_"&amp;MOD(ROW(A439),48)+8</f>
        <v>11_15</v>
      </c>
    </row>
    <row r="440" spans="1:8" x14ac:dyDescent="0.2">
      <c r="A440" s="9" t="s">
        <v>51</v>
      </c>
      <c r="B440" t="s">
        <v>332</v>
      </c>
      <c r="C440" t="str">
        <f>""""&amp;SUBSTITUTE(A440,"zzz",H440)&amp;""""&amp;","</f>
        <v>"https://www.zeldadungeon.net/maps/totk/tiles/sky/6/11_16.jpg",</v>
      </c>
      <c r="H440" t="str">
        <f>QUOTIENT(ROW(A440),48)+2&amp;"_"&amp;MOD(ROW(A440),48)+8</f>
        <v>11_16</v>
      </c>
    </row>
    <row r="441" spans="1:8" x14ac:dyDescent="0.2">
      <c r="A441" s="9" t="s">
        <v>51</v>
      </c>
      <c r="B441" t="s">
        <v>331</v>
      </c>
      <c r="C441" t="str">
        <f>""""&amp;SUBSTITUTE(A441,"zzz",H441)&amp;""""&amp;","</f>
        <v>"https://www.zeldadungeon.net/maps/totk/tiles/sky/6/11_17.jpg",</v>
      </c>
      <c r="H441" t="str">
        <f>QUOTIENT(ROW(A441),48)+2&amp;"_"&amp;MOD(ROW(A441),48)+8</f>
        <v>11_17</v>
      </c>
    </row>
    <row r="442" spans="1:8" x14ac:dyDescent="0.2">
      <c r="A442" s="9" t="s">
        <v>51</v>
      </c>
      <c r="B442" t="s">
        <v>330</v>
      </c>
      <c r="C442" t="str">
        <f>""""&amp;SUBSTITUTE(A442,"zzz",H442)&amp;""""&amp;","</f>
        <v>"https://www.zeldadungeon.net/maps/totk/tiles/sky/6/11_18.jpg",</v>
      </c>
      <c r="H442" t="str">
        <f>QUOTIENT(ROW(A442),48)+2&amp;"_"&amp;MOD(ROW(A442),48)+8</f>
        <v>11_18</v>
      </c>
    </row>
    <row r="443" spans="1:8" x14ac:dyDescent="0.2">
      <c r="A443" s="9" t="s">
        <v>51</v>
      </c>
      <c r="B443" t="s">
        <v>329</v>
      </c>
      <c r="C443" t="str">
        <f>""""&amp;SUBSTITUTE(A443,"zzz",H443)&amp;""""&amp;","</f>
        <v>"https://www.zeldadungeon.net/maps/totk/tiles/sky/6/11_19.jpg",</v>
      </c>
      <c r="H443" t="str">
        <f>QUOTIENT(ROW(A443),48)+2&amp;"_"&amp;MOD(ROW(A443),48)+8</f>
        <v>11_19</v>
      </c>
    </row>
    <row r="444" spans="1:8" x14ac:dyDescent="0.2">
      <c r="A444" s="9" t="s">
        <v>51</v>
      </c>
      <c r="B444" t="s">
        <v>328</v>
      </c>
      <c r="C444" t="str">
        <f>""""&amp;SUBSTITUTE(A444,"zzz",H444)&amp;""""&amp;","</f>
        <v>"https://www.zeldadungeon.net/maps/totk/tiles/sky/6/11_20.jpg",</v>
      </c>
      <c r="H444" t="str">
        <f>QUOTIENT(ROW(A444),48)+2&amp;"_"&amp;MOD(ROW(A444),48)+8</f>
        <v>11_20</v>
      </c>
    </row>
    <row r="445" spans="1:8" x14ac:dyDescent="0.2">
      <c r="A445" s="9" t="s">
        <v>51</v>
      </c>
      <c r="B445" t="s">
        <v>327</v>
      </c>
      <c r="C445" t="str">
        <f>""""&amp;SUBSTITUTE(A445,"zzz",H445)&amp;""""&amp;","</f>
        <v>"https://www.zeldadungeon.net/maps/totk/tiles/sky/6/11_21.jpg",</v>
      </c>
      <c r="H445" t="str">
        <f>QUOTIENT(ROW(A445),48)+2&amp;"_"&amp;MOD(ROW(A445),48)+8</f>
        <v>11_21</v>
      </c>
    </row>
    <row r="446" spans="1:8" x14ac:dyDescent="0.2">
      <c r="A446" s="9" t="s">
        <v>51</v>
      </c>
      <c r="B446" t="s">
        <v>326</v>
      </c>
      <c r="C446" t="str">
        <f>""""&amp;SUBSTITUTE(A446,"zzz",H446)&amp;""""&amp;","</f>
        <v>"https://www.zeldadungeon.net/maps/totk/tiles/sky/6/11_22.jpg",</v>
      </c>
      <c r="H446" t="str">
        <f>QUOTIENT(ROW(A446),48)+2&amp;"_"&amp;MOD(ROW(A446),48)+8</f>
        <v>11_22</v>
      </c>
    </row>
    <row r="447" spans="1:8" x14ac:dyDescent="0.2">
      <c r="A447" s="9" t="s">
        <v>51</v>
      </c>
      <c r="B447" t="s">
        <v>325</v>
      </c>
      <c r="C447" t="str">
        <f>""""&amp;SUBSTITUTE(A447,"zzz",H447)&amp;""""&amp;","</f>
        <v>"https://www.zeldadungeon.net/maps/totk/tiles/sky/6/11_23.jpg",</v>
      </c>
      <c r="H447" t="str">
        <f>QUOTIENT(ROW(A447),48)+2&amp;"_"&amp;MOD(ROW(A447),48)+8</f>
        <v>11_23</v>
      </c>
    </row>
    <row r="448" spans="1:8" x14ac:dyDescent="0.2">
      <c r="A448" s="9" t="s">
        <v>51</v>
      </c>
      <c r="B448" t="s">
        <v>324</v>
      </c>
      <c r="C448" t="str">
        <f>""""&amp;SUBSTITUTE(A448,"zzz",H448)&amp;""""&amp;","</f>
        <v>"https://www.zeldadungeon.net/maps/totk/tiles/sky/6/11_24.jpg",</v>
      </c>
      <c r="H448" t="str">
        <f>QUOTIENT(ROW(A448),48)+2&amp;"_"&amp;MOD(ROW(A448),48)+8</f>
        <v>11_24</v>
      </c>
    </row>
    <row r="449" spans="1:8" x14ac:dyDescent="0.2">
      <c r="A449" s="9" t="s">
        <v>51</v>
      </c>
      <c r="B449" t="s">
        <v>323</v>
      </c>
      <c r="C449" t="str">
        <f>""""&amp;SUBSTITUTE(A449,"zzz",H449)&amp;""""&amp;","</f>
        <v>"https://www.zeldadungeon.net/maps/totk/tiles/sky/6/11_25.jpg",</v>
      </c>
      <c r="H449" t="str">
        <f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>""""&amp;SUBSTITUTE(A450,"zzz",H450)&amp;""""&amp;","</f>
        <v>"https://www.zeldadungeon.net/maps/totk/tiles/sky/6/11_26.jpg",</v>
      </c>
      <c r="H450" t="str">
        <f>QUOTIENT(ROW(A450),48)+2&amp;"_"&amp;MOD(ROW(A450),48)+8</f>
        <v>11_26</v>
      </c>
    </row>
    <row r="451" spans="1:8" x14ac:dyDescent="0.2">
      <c r="A451" s="9" t="s">
        <v>51</v>
      </c>
      <c r="B451" t="s">
        <v>321</v>
      </c>
      <c r="C451" t="str">
        <f>""""&amp;SUBSTITUTE(A451,"zzz",H451)&amp;""""&amp;","</f>
        <v>"https://www.zeldadungeon.net/maps/totk/tiles/sky/6/11_27.jpg",</v>
      </c>
      <c r="H451" t="str">
        <f>QUOTIENT(ROW(A451),48)+2&amp;"_"&amp;MOD(ROW(A451),48)+8</f>
        <v>11_27</v>
      </c>
    </row>
    <row r="452" spans="1:8" x14ac:dyDescent="0.2">
      <c r="A452" s="9" t="s">
        <v>51</v>
      </c>
      <c r="B452" t="s">
        <v>320</v>
      </c>
      <c r="C452" t="str">
        <f>""""&amp;SUBSTITUTE(A452,"zzz",H452)&amp;""""&amp;","</f>
        <v>"https://www.zeldadungeon.net/maps/totk/tiles/sky/6/11_28.jpg",</v>
      </c>
      <c r="H452" t="str">
        <f>QUOTIENT(ROW(A452),48)+2&amp;"_"&amp;MOD(ROW(A452),48)+8</f>
        <v>11_28</v>
      </c>
    </row>
    <row r="453" spans="1:8" x14ac:dyDescent="0.2">
      <c r="A453" s="9" t="s">
        <v>51</v>
      </c>
      <c r="B453" t="s">
        <v>319</v>
      </c>
      <c r="C453" t="str">
        <f>""""&amp;SUBSTITUTE(A453,"zzz",H453)&amp;""""&amp;","</f>
        <v>"https://www.zeldadungeon.net/maps/totk/tiles/sky/6/11_29.jpg",</v>
      </c>
      <c r="H453" t="str">
        <f>QUOTIENT(ROW(A453),48)+2&amp;"_"&amp;MOD(ROW(A453),48)+8</f>
        <v>11_29</v>
      </c>
    </row>
    <row r="454" spans="1:8" x14ac:dyDescent="0.2">
      <c r="A454" s="9" t="s">
        <v>51</v>
      </c>
      <c r="B454" t="s">
        <v>318</v>
      </c>
      <c r="C454" t="str">
        <f>""""&amp;SUBSTITUTE(A454,"zzz",H454)&amp;""""&amp;","</f>
        <v>"https://www.zeldadungeon.net/maps/totk/tiles/sky/6/11_30.jpg",</v>
      </c>
      <c r="H454" t="str">
        <f>QUOTIENT(ROW(A454),48)+2&amp;"_"&amp;MOD(ROW(A454),48)+8</f>
        <v>11_30</v>
      </c>
    </row>
    <row r="455" spans="1:8" x14ac:dyDescent="0.2">
      <c r="A455" s="9" t="s">
        <v>51</v>
      </c>
      <c r="B455" t="s">
        <v>317</v>
      </c>
      <c r="C455" t="str">
        <f>""""&amp;SUBSTITUTE(A455,"zzz",H455)&amp;""""&amp;","</f>
        <v>"https://www.zeldadungeon.net/maps/totk/tiles/sky/6/11_31.jpg",</v>
      </c>
      <c r="H455" t="str">
        <f>QUOTIENT(ROW(A455),48)+2&amp;"_"&amp;MOD(ROW(A455),48)+8</f>
        <v>11_31</v>
      </c>
    </row>
    <row r="456" spans="1:8" x14ac:dyDescent="0.2">
      <c r="A456" s="9" t="s">
        <v>51</v>
      </c>
      <c r="B456" t="s">
        <v>316</v>
      </c>
      <c r="C456" t="str">
        <f>""""&amp;SUBSTITUTE(A456,"zzz",H456)&amp;""""&amp;","</f>
        <v>"https://www.zeldadungeon.net/maps/totk/tiles/sky/6/11_32.jpg",</v>
      </c>
      <c r="H456" t="str">
        <f>QUOTIENT(ROW(A456),48)+2&amp;"_"&amp;MOD(ROW(A456),48)+8</f>
        <v>11_32</v>
      </c>
    </row>
    <row r="457" spans="1:8" x14ac:dyDescent="0.2">
      <c r="A457" s="9" t="s">
        <v>51</v>
      </c>
      <c r="B457" t="s">
        <v>315</v>
      </c>
      <c r="C457" t="str">
        <f>""""&amp;SUBSTITUTE(A457,"zzz",H457)&amp;""""&amp;","</f>
        <v>"https://www.zeldadungeon.net/maps/totk/tiles/sky/6/11_33.jpg",</v>
      </c>
      <c r="H457" t="str">
        <f>QUOTIENT(ROW(A457),48)+2&amp;"_"&amp;MOD(ROW(A457),48)+8</f>
        <v>11_33</v>
      </c>
    </row>
    <row r="458" spans="1:8" x14ac:dyDescent="0.2">
      <c r="A458" s="9" t="s">
        <v>51</v>
      </c>
      <c r="B458" t="s">
        <v>314</v>
      </c>
      <c r="C458" t="str">
        <f>""""&amp;SUBSTITUTE(A458,"zzz",H458)&amp;""""&amp;","</f>
        <v>"https://www.zeldadungeon.net/maps/totk/tiles/sky/6/11_34.jpg",</v>
      </c>
      <c r="H458" t="str">
        <f>QUOTIENT(ROW(A458),48)+2&amp;"_"&amp;MOD(ROW(A458),48)+8</f>
        <v>11_34</v>
      </c>
    </row>
    <row r="459" spans="1:8" x14ac:dyDescent="0.2">
      <c r="A459" s="9" t="s">
        <v>51</v>
      </c>
      <c r="B459" t="s">
        <v>313</v>
      </c>
      <c r="C459" t="str">
        <f>""""&amp;SUBSTITUTE(A459,"zzz",H459)&amp;""""&amp;","</f>
        <v>"https://www.zeldadungeon.net/maps/totk/tiles/sky/6/11_35.jpg",</v>
      </c>
      <c r="H459" t="str">
        <f>QUOTIENT(ROW(A459),48)+2&amp;"_"&amp;MOD(ROW(A459),48)+8</f>
        <v>11_35</v>
      </c>
    </row>
    <row r="460" spans="1:8" x14ac:dyDescent="0.2">
      <c r="A460" s="9" t="s">
        <v>51</v>
      </c>
      <c r="B460" t="s">
        <v>312</v>
      </c>
      <c r="C460" t="str">
        <f>""""&amp;SUBSTITUTE(A460,"zzz",H460)&amp;""""&amp;","</f>
        <v>"https://www.zeldadungeon.net/maps/totk/tiles/sky/6/11_36.jpg",</v>
      </c>
      <c r="H460" t="str">
        <f>QUOTIENT(ROW(A460),48)+2&amp;"_"&amp;MOD(ROW(A460),48)+8</f>
        <v>11_36</v>
      </c>
    </row>
    <row r="461" spans="1:8" x14ac:dyDescent="0.2">
      <c r="A461" s="9" t="s">
        <v>51</v>
      </c>
      <c r="B461" t="s">
        <v>311</v>
      </c>
      <c r="C461" t="str">
        <f>""""&amp;SUBSTITUTE(A461,"zzz",H461)&amp;""""&amp;","</f>
        <v>"https://www.zeldadungeon.net/maps/totk/tiles/sky/6/11_37.jpg",</v>
      </c>
      <c r="H461" t="str">
        <f>QUOTIENT(ROW(A461),48)+2&amp;"_"&amp;MOD(ROW(A461),48)+8</f>
        <v>11_37</v>
      </c>
    </row>
    <row r="462" spans="1:8" x14ac:dyDescent="0.2">
      <c r="A462" s="9" t="s">
        <v>51</v>
      </c>
      <c r="B462" t="s">
        <v>310</v>
      </c>
      <c r="C462" t="str">
        <f>""""&amp;SUBSTITUTE(A462,"zzz",H462)&amp;""""&amp;","</f>
        <v>"https://www.zeldadungeon.net/maps/totk/tiles/sky/6/11_38.jpg",</v>
      </c>
      <c r="H462" t="str">
        <f>QUOTIENT(ROW(A462),48)+2&amp;"_"&amp;MOD(ROW(A462),48)+8</f>
        <v>11_38</v>
      </c>
    </row>
    <row r="463" spans="1:8" x14ac:dyDescent="0.2">
      <c r="A463" s="9" t="s">
        <v>51</v>
      </c>
      <c r="B463" t="s">
        <v>309</v>
      </c>
      <c r="C463" t="str">
        <f>""""&amp;SUBSTITUTE(A463,"zzz",H463)&amp;""""&amp;","</f>
        <v>"https://www.zeldadungeon.net/maps/totk/tiles/sky/6/11_39.jpg",</v>
      </c>
      <c r="H463" t="str">
        <f>QUOTIENT(ROW(A463),48)+2&amp;"_"&amp;MOD(ROW(A463),48)+8</f>
        <v>11_39</v>
      </c>
    </row>
    <row r="464" spans="1:8" x14ac:dyDescent="0.2">
      <c r="A464" s="9" t="s">
        <v>51</v>
      </c>
      <c r="B464" t="s">
        <v>308</v>
      </c>
      <c r="C464" t="str">
        <f>""""&amp;SUBSTITUTE(A464,"zzz",H464)&amp;""""&amp;","</f>
        <v>"https://www.zeldadungeon.net/maps/totk/tiles/sky/6/11_40.jpg",</v>
      </c>
      <c r="H464" t="str">
        <f>QUOTIENT(ROW(A464),48)+2&amp;"_"&amp;MOD(ROW(A464),48)+8</f>
        <v>11_40</v>
      </c>
    </row>
    <row r="465" spans="1:8" x14ac:dyDescent="0.2">
      <c r="A465" s="9" t="s">
        <v>51</v>
      </c>
      <c r="B465" t="s">
        <v>307</v>
      </c>
      <c r="C465" t="str">
        <f>""""&amp;SUBSTITUTE(A465,"zzz",H465)&amp;""""&amp;","</f>
        <v>"https://www.zeldadungeon.net/maps/totk/tiles/sky/6/11_41.jpg",</v>
      </c>
      <c r="H465" t="str">
        <f>QUOTIENT(ROW(A465),48)+2&amp;"_"&amp;MOD(ROW(A465),48)+8</f>
        <v>11_41</v>
      </c>
    </row>
    <row r="466" spans="1:8" x14ac:dyDescent="0.2">
      <c r="A466" s="9" t="s">
        <v>51</v>
      </c>
      <c r="B466" t="s">
        <v>306</v>
      </c>
      <c r="C466" t="str">
        <f>""""&amp;SUBSTITUTE(A466,"zzz",H466)&amp;""""&amp;","</f>
        <v>"https://www.zeldadungeon.net/maps/totk/tiles/sky/6/11_42.jpg",</v>
      </c>
      <c r="H466" t="str">
        <f>QUOTIENT(ROW(A466),48)+2&amp;"_"&amp;MOD(ROW(A466),48)+8</f>
        <v>11_42</v>
      </c>
    </row>
    <row r="467" spans="1:8" x14ac:dyDescent="0.2">
      <c r="A467" s="9" t="s">
        <v>51</v>
      </c>
      <c r="B467" t="s">
        <v>305</v>
      </c>
      <c r="C467" t="str">
        <f>""""&amp;SUBSTITUTE(A467,"zzz",H467)&amp;""""&amp;","</f>
        <v>"https://www.zeldadungeon.net/maps/totk/tiles/sky/6/11_43.jpg",</v>
      </c>
      <c r="H467" t="str">
        <f>QUOTIENT(ROW(A467),48)+2&amp;"_"&amp;MOD(ROW(A467),48)+8</f>
        <v>11_43</v>
      </c>
    </row>
    <row r="468" spans="1:8" x14ac:dyDescent="0.2">
      <c r="A468" s="9" t="s">
        <v>51</v>
      </c>
      <c r="B468" t="s">
        <v>304</v>
      </c>
      <c r="C468" t="str">
        <f>""""&amp;SUBSTITUTE(A468,"zzz",H468)&amp;""""&amp;","</f>
        <v>"https://www.zeldadungeon.net/maps/totk/tiles/sky/6/11_44.jpg",</v>
      </c>
      <c r="H468" t="str">
        <f>QUOTIENT(ROW(A468),48)+2&amp;"_"&amp;MOD(ROW(A468),48)+8</f>
        <v>11_44</v>
      </c>
    </row>
    <row r="469" spans="1:8" x14ac:dyDescent="0.2">
      <c r="A469" s="9" t="s">
        <v>51</v>
      </c>
      <c r="B469" t="s">
        <v>303</v>
      </c>
      <c r="C469" t="str">
        <f>""""&amp;SUBSTITUTE(A469,"zzz",H469)&amp;""""&amp;","</f>
        <v>"https://www.zeldadungeon.net/maps/totk/tiles/sky/6/11_45.jpg",</v>
      </c>
      <c r="H469" t="str">
        <f>QUOTIENT(ROW(A469),48)+2&amp;"_"&amp;MOD(ROW(A469),48)+8</f>
        <v>11_45</v>
      </c>
    </row>
    <row r="470" spans="1:8" x14ac:dyDescent="0.2">
      <c r="A470" s="9" t="s">
        <v>51</v>
      </c>
      <c r="B470" t="s">
        <v>302</v>
      </c>
      <c r="C470" t="str">
        <f>""""&amp;SUBSTITUTE(A470,"zzz",H470)&amp;""""&amp;","</f>
        <v>"https://www.zeldadungeon.net/maps/totk/tiles/sky/6/11_46.jpg",</v>
      </c>
      <c r="H470" t="str">
        <f>QUOTIENT(ROW(A470),48)+2&amp;"_"&amp;MOD(ROW(A470),48)+8</f>
        <v>11_46</v>
      </c>
    </row>
    <row r="471" spans="1:8" x14ac:dyDescent="0.2">
      <c r="A471" s="9" t="s">
        <v>51</v>
      </c>
      <c r="B471" t="s">
        <v>301</v>
      </c>
      <c r="C471" t="str">
        <f>""""&amp;SUBSTITUTE(A471,"zzz",H471)&amp;""""&amp;","</f>
        <v>"https://www.zeldadungeon.net/maps/totk/tiles/sky/6/11_47.jpg",</v>
      </c>
      <c r="H471" t="str">
        <f>QUOTIENT(ROW(A471),48)+2&amp;"_"&amp;MOD(ROW(A471),48)+8</f>
        <v>11_47</v>
      </c>
    </row>
    <row r="472" spans="1:8" x14ac:dyDescent="0.2">
      <c r="A472" s="9" t="s">
        <v>51</v>
      </c>
      <c r="B472" t="s">
        <v>300</v>
      </c>
      <c r="C472" t="str">
        <f>""""&amp;SUBSTITUTE(A472,"zzz",H472)&amp;""""&amp;","</f>
        <v>"https://www.zeldadungeon.net/maps/totk/tiles/sky/6/11_48.jpg",</v>
      </c>
      <c r="H472" t="str">
        <f>QUOTIENT(ROW(A472),48)+2&amp;"_"&amp;MOD(ROW(A472),48)+8</f>
        <v>11_48</v>
      </c>
    </row>
    <row r="473" spans="1:8" x14ac:dyDescent="0.2">
      <c r="A473" s="9" t="s">
        <v>51</v>
      </c>
      <c r="B473" t="s">
        <v>299</v>
      </c>
      <c r="C473" t="str">
        <f>""""&amp;SUBSTITUTE(A473,"zzz",H473)&amp;""""&amp;","</f>
        <v>"https://www.zeldadungeon.net/maps/totk/tiles/sky/6/11_49.jpg",</v>
      </c>
      <c r="H473" t="str">
        <f>QUOTIENT(ROW(A473),48)+2&amp;"_"&amp;MOD(ROW(A473),48)+8</f>
        <v>11_49</v>
      </c>
    </row>
    <row r="474" spans="1:8" x14ac:dyDescent="0.2">
      <c r="A474" s="9" t="s">
        <v>51</v>
      </c>
      <c r="B474" t="s">
        <v>298</v>
      </c>
      <c r="C474" t="str">
        <f>""""&amp;SUBSTITUTE(A474,"zzz",H474)&amp;""""&amp;","</f>
        <v>"https://www.zeldadungeon.net/maps/totk/tiles/sky/6/11_50.jpg",</v>
      </c>
      <c r="H474" t="str">
        <f>QUOTIENT(ROW(A474),48)+2&amp;"_"&amp;MOD(ROW(A474),48)+8</f>
        <v>11_50</v>
      </c>
    </row>
    <row r="475" spans="1:8" x14ac:dyDescent="0.2">
      <c r="A475" s="9" t="s">
        <v>51</v>
      </c>
      <c r="B475" t="s">
        <v>297</v>
      </c>
      <c r="C475" t="str">
        <f>""""&amp;SUBSTITUTE(A475,"zzz",H475)&amp;""""&amp;","</f>
        <v>"https://www.zeldadungeon.net/maps/totk/tiles/sky/6/11_51.jpg",</v>
      </c>
      <c r="H475" t="str">
        <f>QUOTIENT(ROW(A475),48)+2&amp;"_"&amp;MOD(ROW(A475),48)+8</f>
        <v>11_51</v>
      </c>
    </row>
    <row r="476" spans="1:8" x14ac:dyDescent="0.2">
      <c r="A476" s="9" t="s">
        <v>51</v>
      </c>
      <c r="B476" t="s">
        <v>296</v>
      </c>
      <c r="C476" t="str">
        <f>""""&amp;SUBSTITUTE(A476,"zzz",H476)&amp;""""&amp;","</f>
        <v>"https://www.zeldadungeon.net/maps/totk/tiles/sky/6/11_52.jpg",</v>
      </c>
      <c r="H476" t="str">
        <f>QUOTIENT(ROW(A476),48)+2&amp;"_"&amp;MOD(ROW(A476),48)+8</f>
        <v>11_52</v>
      </c>
    </row>
    <row r="477" spans="1:8" x14ac:dyDescent="0.2">
      <c r="A477" s="9" t="s">
        <v>51</v>
      </c>
      <c r="B477" t="s">
        <v>295</v>
      </c>
      <c r="C477" t="str">
        <f>""""&amp;SUBSTITUTE(A477,"zzz",H477)&amp;""""&amp;","</f>
        <v>"https://www.zeldadungeon.net/maps/totk/tiles/sky/6/11_53.jpg",</v>
      </c>
      <c r="H477" t="str">
        <f>QUOTIENT(ROW(A477),48)+2&amp;"_"&amp;MOD(ROW(A477),48)+8</f>
        <v>11_53</v>
      </c>
    </row>
    <row r="478" spans="1:8" x14ac:dyDescent="0.2">
      <c r="A478" s="9" t="s">
        <v>51</v>
      </c>
      <c r="B478" t="s">
        <v>294</v>
      </c>
      <c r="C478" t="str">
        <f>""""&amp;SUBSTITUTE(A478,"zzz",H478)&amp;""""&amp;","</f>
        <v>"https://www.zeldadungeon.net/maps/totk/tiles/sky/6/11_54.jpg",</v>
      </c>
      <c r="H478" t="str">
        <f>QUOTIENT(ROW(A478),48)+2&amp;"_"&amp;MOD(ROW(A478),48)+8</f>
        <v>11_54</v>
      </c>
    </row>
    <row r="479" spans="1:8" x14ac:dyDescent="0.2">
      <c r="A479" s="9" t="s">
        <v>51</v>
      </c>
      <c r="B479" t="s">
        <v>293</v>
      </c>
      <c r="C479" t="str">
        <f>""""&amp;SUBSTITUTE(A479,"zzz",H479)&amp;""""&amp;","</f>
        <v>"https://www.zeldadungeon.net/maps/totk/tiles/sky/6/11_55.jpg",</v>
      </c>
      <c r="H479" t="str">
        <f>QUOTIENT(ROW(A479),48)+2&amp;"_"&amp;MOD(ROW(A479),48)+8</f>
        <v>11_55</v>
      </c>
    </row>
    <row r="480" spans="1:8" x14ac:dyDescent="0.2">
      <c r="A480" s="9" t="s">
        <v>51</v>
      </c>
      <c r="B480" t="s">
        <v>292</v>
      </c>
      <c r="C480" t="str">
        <f>""""&amp;SUBSTITUTE(A480,"zzz",H480)&amp;""""&amp;","</f>
        <v>"https://www.zeldadungeon.net/maps/totk/tiles/sky/6/12_8.jpg",</v>
      </c>
      <c r="H480" t="str">
        <f>QUOTIENT(ROW(A480),48)+2&amp;"_"&amp;MOD(ROW(A480),48)+8</f>
        <v>12_8</v>
      </c>
    </row>
    <row r="481" spans="1:8" x14ac:dyDescent="0.2">
      <c r="A481" s="9" t="s">
        <v>51</v>
      </c>
      <c r="B481" t="s">
        <v>291</v>
      </c>
      <c r="C481" t="str">
        <f>""""&amp;SUBSTITUTE(A481,"zzz",H481)&amp;""""&amp;","</f>
        <v>"https://www.zeldadungeon.net/maps/totk/tiles/sky/6/12_9.jpg",</v>
      </c>
      <c r="H481" t="str">
        <f>QUOTIENT(ROW(A481),48)+2&amp;"_"&amp;MOD(ROW(A481),48)+8</f>
        <v>12_9</v>
      </c>
    </row>
    <row r="482" spans="1:8" x14ac:dyDescent="0.2">
      <c r="A482" s="9" t="s">
        <v>51</v>
      </c>
      <c r="B482" t="s">
        <v>290</v>
      </c>
      <c r="C482" t="str">
        <f>""""&amp;SUBSTITUTE(A482,"zzz",H482)&amp;""""&amp;","</f>
        <v>"https://www.zeldadungeon.net/maps/totk/tiles/sky/6/12_10.jpg",</v>
      </c>
      <c r="H482" t="str">
        <f>QUOTIENT(ROW(A482),48)+2&amp;"_"&amp;MOD(ROW(A482),48)+8</f>
        <v>12_10</v>
      </c>
    </row>
    <row r="483" spans="1:8" x14ac:dyDescent="0.2">
      <c r="A483" s="9" t="s">
        <v>51</v>
      </c>
      <c r="B483" t="s">
        <v>289</v>
      </c>
      <c r="C483" t="str">
        <f>""""&amp;SUBSTITUTE(A483,"zzz",H483)&amp;""""&amp;","</f>
        <v>"https://www.zeldadungeon.net/maps/totk/tiles/sky/6/12_11.jpg",</v>
      </c>
      <c r="H483" t="str">
        <f>QUOTIENT(ROW(A483),48)+2&amp;"_"&amp;MOD(ROW(A483),48)+8</f>
        <v>12_11</v>
      </c>
    </row>
    <row r="484" spans="1:8" x14ac:dyDescent="0.2">
      <c r="A484" s="9" t="s">
        <v>51</v>
      </c>
      <c r="B484" t="s">
        <v>288</v>
      </c>
      <c r="C484" t="str">
        <f>""""&amp;SUBSTITUTE(A484,"zzz",H484)&amp;""""&amp;","</f>
        <v>"https://www.zeldadungeon.net/maps/totk/tiles/sky/6/12_12.jpg",</v>
      </c>
      <c r="H484" t="str">
        <f>QUOTIENT(ROW(A484),48)+2&amp;"_"&amp;MOD(ROW(A484),48)+8</f>
        <v>12_12</v>
      </c>
    </row>
    <row r="485" spans="1:8" x14ac:dyDescent="0.2">
      <c r="A485" s="9" t="s">
        <v>51</v>
      </c>
      <c r="B485" t="s">
        <v>287</v>
      </c>
      <c r="C485" t="str">
        <f>""""&amp;SUBSTITUTE(A485,"zzz",H485)&amp;""""&amp;","</f>
        <v>"https://www.zeldadungeon.net/maps/totk/tiles/sky/6/12_13.jpg",</v>
      </c>
      <c r="H485" t="str">
        <f>QUOTIENT(ROW(A485),48)+2&amp;"_"&amp;MOD(ROW(A485),48)+8</f>
        <v>12_13</v>
      </c>
    </row>
    <row r="486" spans="1:8" x14ac:dyDescent="0.2">
      <c r="A486" s="9" t="s">
        <v>51</v>
      </c>
      <c r="B486" t="s">
        <v>286</v>
      </c>
      <c r="C486" t="str">
        <f>""""&amp;SUBSTITUTE(A486,"zzz",H486)&amp;""""&amp;","</f>
        <v>"https://www.zeldadungeon.net/maps/totk/tiles/sky/6/12_14.jpg",</v>
      </c>
      <c r="H486" t="str">
        <f>QUOTIENT(ROW(A486),48)+2&amp;"_"&amp;MOD(ROW(A486),48)+8</f>
        <v>12_14</v>
      </c>
    </row>
    <row r="487" spans="1:8" x14ac:dyDescent="0.2">
      <c r="A487" s="9" t="s">
        <v>51</v>
      </c>
      <c r="B487" t="s">
        <v>285</v>
      </c>
      <c r="C487" t="str">
        <f>""""&amp;SUBSTITUTE(A487,"zzz",H487)&amp;""""&amp;","</f>
        <v>"https://www.zeldadungeon.net/maps/totk/tiles/sky/6/12_15.jpg",</v>
      </c>
      <c r="H487" t="str">
        <f>QUOTIENT(ROW(A487),48)+2&amp;"_"&amp;MOD(ROW(A487),48)+8</f>
        <v>12_15</v>
      </c>
    </row>
    <row r="488" spans="1:8" x14ac:dyDescent="0.2">
      <c r="A488" s="9" t="s">
        <v>51</v>
      </c>
      <c r="B488" t="s">
        <v>284</v>
      </c>
      <c r="C488" t="str">
        <f>""""&amp;SUBSTITUTE(A488,"zzz",H488)&amp;""""&amp;","</f>
        <v>"https://www.zeldadungeon.net/maps/totk/tiles/sky/6/12_16.jpg",</v>
      </c>
      <c r="H488" t="str">
        <f>QUOTIENT(ROW(A488),48)+2&amp;"_"&amp;MOD(ROW(A488),48)+8</f>
        <v>12_16</v>
      </c>
    </row>
    <row r="489" spans="1:8" x14ac:dyDescent="0.2">
      <c r="A489" s="9" t="s">
        <v>51</v>
      </c>
      <c r="B489" t="s">
        <v>283</v>
      </c>
      <c r="C489" t="str">
        <f>""""&amp;SUBSTITUTE(A489,"zzz",H489)&amp;""""&amp;","</f>
        <v>"https://www.zeldadungeon.net/maps/totk/tiles/sky/6/12_17.jpg",</v>
      </c>
      <c r="H489" t="str">
        <f>QUOTIENT(ROW(A489),48)+2&amp;"_"&amp;MOD(ROW(A489),48)+8</f>
        <v>12_17</v>
      </c>
    </row>
    <row r="490" spans="1:8" x14ac:dyDescent="0.2">
      <c r="A490" s="9" t="s">
        <v>51</v>
      </c>
      <c r="B490" t="s">
        <v>282</v>
      </c>
      <c r="C490" t="str">
        <f>""""&amp;SUBSTITUTE(A490,"zzz",H490)&amp;""""&amp;","</f>
        <v>"https://www.zeldadungeon.net/maps/totk/tiles/sky/6/12_18.jpg",</v>
      </c>
      <c r="H490" t="str">
        <f>QUOTIENT(ROW(A490),48)+2&amp;"_"&amp;MOD(ROW(A490),48)+8</f>
        <v>12_18</v>
      </c>
    </row>
    <row r="491" spans="1:8" x14ac:dyDescent="0.2">
      <c r="A491" s="9" t="s">
        <v>51</v>
      </c>
      <c r="B491" t="s">
        <v>281</v>
      </c>
      <c r="C491" t="str">
        <f>""""&amp;SUBSTITUTE(A491,"zzz",H491)&amp;""""&amp;","</f>
        <v>"https://www.zeldadungeon.net/maps/totk/tiles/sky/6/12_19.jpg",</v>
      </c>
      <c r="H491" t="str">
        <f>QUOTIENT(ROW(A491),48)+2&amp;"_"&amp;MOD(ROW(A491),48)+8</f>
        <v>12_19</v>
      </c>
    </row>
    <row r="492" spans="1:8" x14ac:dyDescent="0.2">
      <c r="A492" s="9" t="s">
        <v>51</v>
      </c>
      <c r="B492" t="s">
        <v>280</v>
      </c>
      <c r="C492" t="str">
        <f>""""&amp;SUBSTITUTE(A492,"zzz",H492)&amp;""""&amp;","</f>
        <v>"https://www.zeldadungeon.net/maps/totk/tiles/sky/6/12_20.jpg",</v>
      </c>
      <c r="H492" t="str">
        <f>QUOTIENT(ROW(A492),48)+2&amp;"_"&amp;MOD(ROW(A492),48)+8</f>
        <v>12_20</v>
      </c>
    </row>
    <row r="493" spans="1:8" x14ac:dyDescent="0.2">
      <c r="A493" s="9" t="s">
        <v>51</v>
      </c>
      <c r="B493" t="s">
        <v>279</v>
      </c>
      <c r="C493" t="str">
        <f>""""&amp;SUBSTITUTE(A493,"zzz",H493)&amp;""""&amp;","</f>
        <v>"https://www.zeldadungeon.net/maps/totk/tiles/sky/6/12_21.jpg",</v>
      </c>
      <c r="H493" t="str">
        <f>QUOTIENT(ROW(A493),48)+2&amp;"_"&amp;MOD(ROW(A493),48)+8</f>
        <v>12_21</v>
      </c>
    </row>
    <row r="494" spans="1:8" x14ac:dyDescent="0.2">
      <c r="A494" s="9" t="s">
        <v>51</v>
      </c>
      <c r="B494" t="s">
        <v>278</v>
      </c>
      <c r="C494" t="str">
        <f>""""&amp;SUBSTITUTE(A494,"zzz",H494)&amp;""""&amp;","</f>
        <v>"https://www.zeldadungeon.net/maps/totk/tiles/sky/6/12_22.jpg",</v>
      </c>
      <c r="H494" t="str">
        <f>QUOTIENT(ROW(A494),48)+2&amp;"_"&amp;MOD(ROW(A494),48)+8</f>
        <v>12_22</v>
      </c>
    </row>
    <row r="495" spans="1:8" x14ac:dyDescent="0.2">
      <c r="A495" s="9" t="s">
        <v>51</v>
      </c>
      <c r="B495" t="s">
        <v>277</v>
      </c>
      <c r="C495" t="str">
        <f>""""&amp;SUBSTITUTE(A495,"zzz",H495)&amp;""""&amp;","</f>
        <v>"https://www.zeldadungeon.net/maps/totk/tiles/sky/6/12_23.jpg",</v>
      </c>
      <c r="H495" t="str">
        <f>QUOTIENT(ROW(A495),48)+2&amp;"_"&amp;MOD(ROW(A495),48)+8</f>
        <v>12_23</v>
      </c>
    </row>
    <row r="496" spans="1:8" x14ac:dyDescent="0.2">
      <c r="A496" s="9" t="s">
        <v>51</v>
      </c>
      <c r="B496" t="s">
        <v>276</v>
      </c>
      <c r="C496" t="str">
        <f>""""&amp;SUBSTITUTE(A496,"zzz",H496)&amp;""""&amp;","</f>
        <v>"https://www.zeldadungeon.net/maps/totk/tiles/sky/6/12_24.jpg",</v>
      </c>
      <c r="H496" t="str">
        <f>QUOTIENT(ROW(A496),48)+2&amp;"_"&amp;MOD(ROW(A496),48)+8</f>
        <v>12_24</v>
      </c>
    </row>
    <row r="497" spans="1:8" x14ac:dyDescent="0.2">
      <c r="A497" s="9" t="s">
        <v>51</v>
      </c>
      <c r="B497" t="s">
        <v>275</v>
      </c>
      <c r="C497" t="str">
        <f>""""&amp;SUBSTITUTE(A497,"zzz",H497)&amp;""""&amp;","</f>
        <v>"https://www.zeldadungeon.net/maps/totk/tiles/sky/6/12_25.jpg",</v>
      </c>
      <c r="H497" t="str">
        <f>QUOTIENT(ROW(A497),48)+2&amp;"_"&amp;MOD(ROW(A497),48)+8</f>
        <v>12_25</v>
      </c>
    </row>
    <row r="498" spans="1:8" x14ac:dyDescent="0.2">
      <c r="A498" s="9" t="s">
        <v>51</v>
      </c>
      <c r="B498" t="s">
        <v>274</v>
      </c>
      <c r="C498" t="str">
        <f>""""&amp;SUBSTITUTE(A498,"zzz",H498)&amp;""""&amp;","</f>
        <v>"https://www.zeldadungeon.net/maps/totk/tiles/sky/6/12_26.jpg",</v>
      </c>
      <c r="H498" t="str">
        <f>QUOTIENT(ROW(A498),48)+2&amp;"_"&amp;MOD(ROW(A498),48)+8</f>
        <v>12_26</v>
      </c>
    </row>
    <row r="499" spans="1:8" x14ac:dyDescent="0.2">
      <c r="A499" s="9" t="s">
        <v>51</v>
      </c>
      <c r="B499" t="s">
        <v>273</v>
      </c>
      <c r="C499" t="str">
        <f>""""&amp;SUBSTITUTE(A499,"zzz",H499)&amp;""""&amp;","</f>
        <v>"https://www.zeldadungeon.net/maps/totk/tiles/sky/6/12_27.jpg",</v>
      </c>
      <c r="H499" t="str">
        <f>QUOTIENT(ROW(A499),48)+2&amp;"_"&amp;MOD(ROW(A499),48)+8</f>
        <v>12_27</v>
      </c>
    </row>
    <row r="500" spans="1:8" x14ac:dyDescent="0.2">
      <c r="A500" s="9" t="s">
        <v>51</v>
      </c>
      <c r="B500" t="s">
        <v>272</v>
      </c>
      <c r="C500" t="str">
        <f>""""&amp;SUBSTITUTE(A500,"zzz",H500)&amp;""""&amp;","</f>
        <v>"https://www.zeldadungeon.net/maps/totk/tiles/sky/6/12_28.jpg",</v>
      </c>
      <c r="H500" t="str">
        <f>QUOTIENT(ROW(A500),48)+2&amp;"_"&amp;MOD(ROW(A500),48)+8</f>
        <v>12_28</v>
      </c>
    </row>
    <row r="501" spans="1:8" x14ac:dyDescent="0.2">
      <c r="A501" s="9" t="s">
        <v>51</v>
      </c>
      <c r="B501" t="s">
        <v>271</v>
      </c>
      <c r="C501" t="str">
        <f>""""&amp;SUBSTITUTE(A501,"zzz",H501)&amp;""""&amp;","</f>
        <v>"https://www.zeldadungeon.net/maps/totk/tiles/sky/6/12_29.jpg",</v>
      </c>
      <c r="H501" t="str">
        <f>QUOTIENT(ROW(A501),48)+2&amp;"_"&amp;MOD(ROW(A501),48)+8</f>
        <v>12_29</v>
      </c>
    </row>
    <row r="502" spans="1:8" x14ac:dyDescent="0.2">
      <c r="A502" s="9" t="s">
        <v>51</v>
      </c>
      <c r="B502" t="s">
        <v>270</v>
      </c>
      <c r="C502" t="str">
        <f>""""&amp;SUBSTITUTE(A502,"zzz",H502)&amp;""""&amp;","</f>
        <v>"https://www.zeldadungeon.net/maps/totk/tiles/sky/6/12_30.jpg",</v>
      </c>
      <c r="H502" t="str">
        <f>QUOTIENT(ROW(A502),48)+2&amp;"_"&amp;MOD(ROW(A502),48)+8</f>
        <v>12_30</v>
      </c>
    </row>
    <row r="503" spans="1:8" x14ac:dyDescent="0.2">
      <c r="A503" s="9" t="s">
        <v>51</v>
      </c>
      <c r="B503" t="s">
        <v>269</v>
      </c>
      <c r="C503" t="str">
        <f>""""&amp;SUBSTITUTE(A503,"zzz",H503)&amp;""""&amp;","</f>
        <v>"https://www.zeldadungeon.net/maps/totk/tiles/sky/6/12_31.jpg",</v>
      </c>
      <c r="H503" t="str">
        <f>QUOTIENT(ROW(A503),48)+2&amp;"_"&amp;MOD(ROW(A503),48)+8</f>
        <v>12_31</v>
      </c>
    </row>
    <row r="504" spans="1:8" x14ac:dyDescent="0.2">
      <c r="A504" s="9" t="s">
        <v>51</v>
      </c>
      <c r="B504" t="s">
        <v>268</v>
      </c>
      <c r="C504" t="str">
        <f>""""&amp;SUBSTITUTE(A504,"zzz",H504)&amp;""""&amp;","</f>
        <v>"https://www.zeldadungeon.net/maps/totk/tiles/sky/6/12_32.jpg",</v>
      </c>
      <c r="H504" t="str">
        <f>QUOTIENT(ROW(A504),48)+2&amp;"_"&amp;MOD(ROW(A504),48)+8</f>
        <v>12_32</v>
      </c>
    </row>
    <row r="505" spans="1:8" x14ac:dyDescent="0.2">
      <c r="A505" s="9" t="s">
        <v>51</v>
      </c>
      <c r="B505" t="s">
        <v>267</v>
      </c>
      <c r="C505" t="str">
        <f>""""&amp;SUBSTITUTE(A505,"zzz",H505)&amp;""""&amp;","</f>
        <v>"https://www.zeldadungeon.net/maps/totk/tiles/sky/6/12_33.jpg",</v>
      </c>
      <c r="H505" t="str">
        <f>QUOTIENT(ROW(A505),48)+2&amp;"_"&amp;MOD(ROW(A505),48)+8</f>
        <v>12_33</v>
      </c>
    </row>
    <row r="506" spans="1:8" x14ac:dyDescent="0.2">
      <c r="A506" s="9" t="s">
        <v>51</v>
      </c>
      <c r="B506" t="s">
        <v>266</v>
      </c>
      <c r="C506" t="str">
        <f>""""&amp;SUBSTITUTE(A506,"zzz",H506)&amp;""""&amp;","</f>
        <v>"https://www.zeldadungeon.net/maps/totk/tiles/sky/6/12_34.jpg",</v>
      </c>
      <c r="H506" t="str">
        <f>QUOTIENT(ROW(A506),48)+2&amp;"_"&amp;MOD(ROW(A506),48)+8</f>
        <v>12_34</v>
      </c>
    </row>
    <row r="507" spans="1:8" x14ac:dyDescent="0.2">
      <c r="A507" s="9" t="s">
        <v>51</v>
      </c>
      <c r="B507" t="s">
        <v>265</v>
      </c>
      <c r="C507" t="str">
        <f>""""&amp;SUBSTITUTE(A507,"zzz",H507)&amp;""""&amp;","</f>
        <v>"https://www.zeldadungeon.net/maps/totk/tiles/sky/6/12_35.jpg",</v>
      </c>
      <c r="H507" t="str">
        <f>QUOTIENT(ROW(A507),48)+2&amp;"_"&amp;MOD(ROW(A507),48)+8</f>
        <v>12_35</v>
      </c>
    </row>
    <row r="508" spans="1:8" x14ac:dyDescent="0.2">
      <c r="A508" s="9" t="s">
        <v>51</v>
      </c>
      <c r="B508" t="s">
        <v>264</v>
      </c>
      <c r="C508" t="str">
        <f>""""&amp;SUBSTITUTE(A508,"zzz",H508)&amp;""""&amp;","</f>
        <v>"https://www.zeldadungeon.net/maps/totk/tiles/sky/6/12_36.jpg",</v>
      </c>
      <c r="H508" t="str">
        <f>QUOTIENT(ROW(A508),48)+2&amp;"_"&amp;MOD(ROW(A508),48)+8</f>
        <v>12_36</v>
      </c>
    </row>
    <row r="509" spans="1:8" x14ac:dyDescent="0.2">
      <c r="A509" s="9" t="s">
        <v>51</v>
      </c>
      <c r="B509" t="s">
        <v>263</v>
      </c>
      <c r="C509" t="str">
        <f>""""&amp;SUBSTITUTE(A509,"zzz",H509)&amp;""""&amp;","</f>
        <v>"https://www.zeldadungeon.net/maps/totk/tiles/sky/6/12_37.jpg",</v>
      </c>
      <c r="H509" t="str">
        <f>QUOTIENT(ROW(A509),48)+2&amp;"_"&amp;MOD(ROW(A509),48)+8</f>
        <v>12_37</v>
      </c>
    </row>
    <row r="510" spans="1:8" x14ac:dyDescent="0.2">
      <c r="A510" s="9" t="s">
        <v>51</v>
      </c>
      <c r="B510" t="s">
        <v>262</v>
      </c>
      <c r="C510" t="str">
        <f>""""&amp;SUBSTITUTE(A510,"zzz",H510)&amp;""""&amp;","</f>
        <v>"https://www.zeldadungeon.net/maps/totk/tiles/sky/6/12_38.jpg",</v>
      </c>
      <c r="H510" t="str">
        <f>QUOTIENT(ROW(A510),48)+2&amp;"_"&amp;MOD(ROW(A510),48)+8</f>
        <v>12_38</v>
      </c>
    </row>
    <row r="511" spans="1:8" x14ac:dyDescent="0.2">
      <c r="A511" s="9" t="s">
        <v>51</v>
      </c>
      <c r="B511" t="s">
        <v>261</v>
      </c>
      <c r="C511" t="str">
        <f>""""&amp;SUBSTITUTE(A511,"zzz",H511)&amp;""""&amp;","</f>
        <v>"https://www.zeldadungeon.net/maps/totk/tiles/sky/6/12_39.jpg",</v>
      </c>
      <c r="H511" t="str">
        <f>QUOTIENT(ROW(A511),48)+2&amp;"_"&amp;MOD(ROW(A511),48)+8</f>
        <v>12_39</v>
      </c>
    </row>
    <row r="512" spans="1:8" x14ac:dyDescent="0.2">
      <c r="A512" s="9" t="s">
        <v>51</v>
      </c>
      <c r="B512" t="s">
        <v>260</v>
      </c>
      <c r="C512" t="str">
        <f>""""&amp;SUBSTITUTE(A512,"zzz",H512)&amp;""""&amp;","</f>
        <v>"https://www.zeldadungeon.net/maps/totk/tiles/sky/6/12_40.jpg",</v>
      </c>
      <c r="H512" t="str">
        <f>QUOTIENT(ROW(A512),48)+2&amp;"_"&amp;MOD(ROW(A512),48)+8</f>
        <v>12_40</v>
      </c>
    </row>
    <row r="513" spans="1:8" x14ac:dyDescent="0.2">
      <c r="A513" s="9" t="s">
        <v>51</v>
      </c>
      <c r="B513" t="s">
        <v>259</v>
      </c>
      <c r="C513" t="str">
        <f>""""&amp;SUBSTITUTE(A513,"zzz",H513)&amp;""""&amp;","</f>
        <v>"https://www.zeldadungeon.net/maps/totk/tiles/sky/6/12_41.jpg",</v>
      </c>
      <c r="H513" t="str">
        <f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>""""&amp;SUBSTITUTE(A514,"zzz",H514)&amp;""""&amp;","</f>
        <v>"https://www.zeldadungeon.net/maps/totk/tiles/sky/6/12_42.jpg",</v>
      </c>
      <c r="H514" t="str">
        <f>QUOTIENT(ROW(A514),48)+2&amp;"_"&amp;MOD(ROW(A514),48)+8</f>
        <v>12_42</v>
      </c>
    </row>
    <row r="515" spans="1:8" x14ac:dyDescent="0.2">
      <c r="A515" s="9" t="s">
        <v>51</v>
      </c>
      <c r="B515" t="s">
        <v>257</v>
      </c>
      <c r="C515" t="str">
        <f>""""&amp;SUBSTITUTE(A515,"zzz",H515)&amp;""""&amp;","</f>
        <v>"https://www.zeldadungeon.net/maps/totk/tiles/sky/6/12_43.jpg",</v>
      </c>
      <c r="H515" t="str">
        <f>QUOTIENT(ROW(A515),48)+2&amp;"_"&amp;MOD(ROW(A515),48)+8</f>
        <v>12_43</v>
      </c>
    </row>
    <row r="516" spans="1:8" x14ac:dyDescent="0.2">
      <c r="A516" s="9" t="s">
        <v>51</v>
      </c>
      <c r="B516" t="s">
        <v>256</v>
      </c>
      <c r="C516" t="str">
        <f>""""&amp;SUBSTITUTE(A516,"zzz",H516)&amp;""""&amp;","</f>
        <v>"https://www.zeldadungeon.net/maps/totk/tiles/sky/6/12_44.jpg",</v>
      </c>
      <c r="H516" t="str">
        <f>QUOTIENT(ROW(A516),48)+2&amp;"_"&amp;MOD(ROW(A516),48)+8</f>
        <v>12_44</v>
      </c>
    </row>
    <row r="517" spans="1:8" x14ac:dyDescent="0.2">
      <c r="A517" s="9" t="s">
        <v>51</v>
      </c>
      <c r="B517" t="s">
        <v>255</v>
      </c>
      <c r="C517" t="str">
        <f>""""&amp;SUBSTITUTE(A517,"zzz",H517)&amp;""""&amp;","</f>
        <v>"https://www.zeldadungeon.net/maps/totk/tiles/sky/6/12_45.jpg",</v>
      </c>
      <c r="H517" t="str">
        <f>QUOTIENT(ROW(A517),48)+2&amp;"_"&amp;MOD(ROW(A517),48)+8</f>
        <v>12_45</v>
      </c>
    </row>
    <row r="518" spans="1:8" x14ac:dyDescent="0.2">
      <c r="A518" s="9" t="s">
        <v>51</v>
      </c>
      <c r="B518" t="s">
        <v>254</v>
      </c>
      <c r="C518" t="str">
        <f>""""&amp;SUBSTITUTE(A518,"zzz",H518)&amp;""""&amp;","</f>
        <v>"https://www.zeldadungeon.net/maps/totk/tiles/sky/6/12_46.jpg",</v>
      </c>
      <c r="H518" t="str">
        <f>QUOTIENT(ROW(A518),48)+2&amp;"_"&amp;MOD(ROW(A518),48)+8</f>
        <v>12_46</v>
      </c>
    </row>
    <row r="519" spans="1:8" x14ac:dyDescent="0.2">
      <c r="A519" s="9" t="s">
        <v>51</v>
      </c>
      <c r="B519" t="s">
        <v>253</v>
      </c>
      <c r="C519" t="str">
        <f>""""&amp;SUBSTITUTE(A519,"zzz",H519)&amp;""""&amp;","</f>
        <v>"https://www.zeldadungeon.net/maps/totk/tiles/sky/6/12_47.jpg",</v>
      </c>
      <c r="H519" t="str">
        <f>QUOTIENT(ROW(A519),48)+2&amp;"_"&amp;MOD(ROW(A519),48)+8</f>
        <v>12_47</v>
      </c>
    </row>
    <row r="520" spans="1:8" x14ac:dyDescent="0.2">
      <c r="A520" s="9" t="s">
        <v>51</v>
      </c>
      <c r="B520" t="s">
        <v>252</v>
      </c>
      <c r="C520" t="str">
        <f>""""&amp;SUBSTITUTE(A520,"zzz",H520)&amp;""""&amp;","</f>
        <v>"https://www.zeldadungeon.net/maps/totk/tiles/sky/6/12_48.jpg",</v>
      </c>
      <c r="H520" t="str">
        <f>QUOTIENT(ROW(A520),48)+2&amp;"_"&amp;MOD(ROW(A520),48)+8</f>
        <v>12_48</v>
      </c>
    </row>
    <row r="521" spans="1:8" x14ac:dyDescent="0.2">
      <c r="A521" s="9" t="s">
        <v>51</v>
      </c>
      <c r="B521" t="s">
        <v>251</v>
      </c>
      <c r="C521" t="str">
        <f>""""&amp;SUBSTITUTE(A521,"zzz",H521)&amp;""""&amp;","</f>
        <v>"https://www.zeldadungeon.net/maps/totk/tiles/sky/6/12_49.jpg",</v>
      </c>
      <c r="H521" t="str">
        <f>QUOTIENT(ROW(A521),48)+2&amp;"_"&amp;MOD(ROW(A521),48)+8</f>
        <v>12_49</v>
      </c>
    </row>
    <row r="522" spans="1:8" x14ac:dyDescent="0.2">
      <c r="A522" s="9" t="s">
        <v>51</v>
      </c>
      <c r="B522" t="s">
        <v>250</v>
      </c>
      <c r="C522" t="str">
        <f>""""&amp;SUBSTITUTE(A522,"zzz",H522)&amp;""""&amp;","</f>
        <v>"https://www.zeldadungeon.net/maps/totk/tiles/sky/6/12_50.jpg",</v>
      </c>
      <c r="H522" t="str">
        <f>QUOTIENT(ROW(A522),48)+2&amp;"_"&amp;MOD(ROW(A522),48)+8</f>
        <v>12_50</v>
      </c>
    </row>
    <row r="523" spans="1:8" x14ac:dyDescent="0.2">
      <c r="A523" s="9" t="s">
        <v>51</v>
      </c>
      <c r="B523" t="s">
        <v>249</v>
      </c>
      <c r="C523" t="str">
        <f>""""&amp;SUBSTITUTE(A523,"zzz",H523)&amp;""""&amp;","</f>
        <v>"https://www.zeldadungeon.net/maps/totk/tiles/sky/6/12_51.jpg",</v>
      </c>
      <c r="H523" t="str">
        <f>QUOTIENT(ROW(A523),48)+2&amp;"_"&amp;MOD(ROW(A523),48)+8</f>
        <v>12_51</v>
      </c>
    </row>
    <row r="524" spans="1:8" x14ac:dyDescent="0.2">
      <c r="A524" s="9" t="s">
        <v>51</v>
      </c>
      <c r="B524" t="s">
        <v>248</v>
      </c>
      <c r="C524" t="str">
        <f>""""&amp;SUBSTITUTE(A524,"zzz",H524)&amp;""""&amp;","</f>
        <v>"https://www.zeldadungeon.net/maps/totk/tiles/sky/6/12_52.jpg",</v>
      </c>
      <c r="H524" t="str">
        <f>QUOTIENT(ROW(A524),48)+2&amp;"_"&amp;MOD(ROW(A524),48)+8</f>
        <v>12_52</v>
      </c>
    </row>
    <row r="525" spans="1:8" x14ac:dyDescent="0.2">
      <c r="A525" s="9" t="s">
        <v>51</v>
      </c>
      <c r="B525" t="s">
        <v>247</v>
      </c>
      <c r="C525" t="str">
        <f>""""&amp;SUBSTITUTE(A525,"zzz",H525)&amp;""""&amp;","</f>
        <v>"https://www.zeldadungeon.net/maps/totk/tiles/sky/6/12_53.jpg",</v>
      </c>
      <c r="H525" t="str">
        <f>QUOTIENT(ROW(A525),48)+2&amp;"_"&amp;MOD(ROW(A525),48)+8</f>
        <v>12_53</v>
      </c>
    </row>
    <row r="526" spans="1:8" x14ac:dyDescent="0.2">
      <c r="A526" s="9" t="s">
        <v>51</v>
      </c>
      <c r="B526" t="s">
        <v>246</v>
      </c>
      <c r="C526" t="str">
        <f>""""&amp;SUBSTITUTE(A526,"zzz",H526)&amp;""""&amp;","</f>
        <v>"https://www.zeldadungeon.net/maps/totk/tiles/sky/6/12_54.jpg",</v>
      </c>
      <c r="H526" t="str">
        <f>QUOTIENT(ROW(A526),48)+2&amp;"_"&amp;MOD(ROW(A526),48)+8</f>
        <v>12_54</v>
      </c>
    </row>
    <row r="527" spans="1:8" x14ac:dyDescent="0.2">
      <c r="A527" s="9" t="s">
        <v>51</v>
      </c>
      <c r="B527" t="s">
        <v>245</v>
      </c>
      <c r="C527" t="str">
        <f>""""&amp;SUBSTITUTE(A527,"zzz",H527)&amp;""""&amp;","</f>
        <v>"https://www.zeldadungeon.net/maps/totk/tiles/sky/6/12_55.jpg",</v>
      </c>
      <c r="H527" t="str">
        <f>QUOTIENT(ROW(A527),48)+2&amp;"_"&amp;MOD(ROW(A527),48)+8</f>
        <v>12_55</v>
      </c>
    </row>
    <row r="528" spans="1:8" x14ac:dyDescent="0.2">
      <c r="A528" s="9" t="s">
        <v>51</v>
      </c>
      <c r="B528" t="s">
        <v>244</v>
      </c>
      <c r="C528" t="str">
        <f>""""&amp;SUBSTITUTE(A528,"zzz",H528)&amp;""""&amp;","</f>
        <v>"https://www.zeldadungeon.net/maps/totk/tiles/sky/6/13_8.jpg",</v>
      </c>
      <c r="H528" t="str">
        <f>QUOTIENT(ROW(A528),48)+2&amp;"_"&amp;MOD(ROW(A528),48)+8</f>
        <v>13_8</v>
      </c>
    </row>
    <row r="529" spans="1:8" x14ac:dyDescent="0.2">
      <c r="A529" s="9" t="s">
        <v>51</v>
      </c>
      <c r="B529" t="s">
        <v>243</v>
      </c>
      <c r="C529" t="str">
        <f>""""&amp;SUBSTITUTE(A529,"zzz",H529)&amp;""""&amp;","</f>
        <v>"https://www.zeldadungeon.net/maps/totk/tiles/sky/6/13_9.jpg",</v>
      </c>
      <c r="H529" t="str">
        <f>QUOTIENT(ROW(A529),48)+2&amp;"_"&amp;MOD(ROW(A529),48)+8</f>
        <v>13_9</v>
      </c>
    </row>
    <row r="530" spans="1:8" x14ac:dyDescent="0.2">
      <c r="A530" s="9" t="s">
        <v>51</v>
      </c>
      <c r="B530" t="s">
        <v>242</v>
      </c>
      <c r="C530" t="str">
        <f>""""&amp;SUBSTITUTE(A530,"zzz",H530)&amp;""""&amp;","</f>
        <v>"https://www.zeldadungeon.net/maps/totk/tiles/sky/6/13_10.jpg",</v>
      </c>
      <c r="H530" t="str">
        <f>QUOTIENT(ROW(A530),48)+2&amp;"_"&amp;MOD(ROW(A530),48)+8</f>
        <v>13_10</v>
      </c>
    </row>
    <row r="531" spans="1:8" x14ac:dyDescent="0.2">
      <c r="A531" s="9" t="s">
        <v>51</v>
      </c>
      <c r="B531" t="s">
        <v>241</v>
      </c>
      <c r="C531" t="str">
        <f>""""&amp;SUBSTITUTE(A531,"zzz",H531)&amp;""""&amp;","</f>
        <v>"https://www.zeldadungeon.net/maps/totk/tiles/sky/6/13_11.jpg",</v>
      </c>
      <c r="H531" t="str">
        <f>QUOTIENT(ROW(A531),48)+2&amp;"_"&amp;MOD(ROW(A531),48)+8</f>
        <v>13_11</v>
      </c>
    </row>
    <row r="532" spans="1:8" x14ac:dyDescent="0.2">
      <c r="A532" s="9" t="s">
        <v>51</v>
      </c>
      <c r="B532" t="s">
        <v>240</v>
      </c>
      <c r="C532" t="str">
        <f>""""&amp;SUBSTITUTE(A532,"zzz",H532)&amp;""""&amp;","</f>
        <v>"https://www.zeldadungeon.net/maps/totk/tiles/sky/6/13_12.jpg",</v>
      </c>
      <c r="H532" t="str">
        <f>QUOTIENT(ROW(A532),48)+2&amp;"_"&amp;MOD(ROW(A532),48)+8</f>
        <v>13_12</v>
      </c>
    </row>
    <row r="533" spans="1:8" x14ac:dyDescent="0.2">
      <c r="A533" s="9" t="s">
        <v>51</v>
      </c>
      <c r="B533" t="s">
        <v>239</v>
      </c>
      <c r="C533" t="str">
        <f>""""&amp;SUBSTITUTE(A533,"zzz",H533)&amp;""""&amp;","</f>
        <v>"https://www.zeldadungeon.net/maps/totk/tiles/sky/6/13_13.jpg",</v>
      </c>
      <c r="H533" t="str">
        <f>QUOTIENT(ROW(A533),48)+2&amp;"_"&amp;MOD(ROW(A533),48)+8</f>
        <v>13_13</v>
      </c>
    </row>
    <row r="534" spans="1:8" x14ac:dyDescent="0.2">
      <c r="A534" s="9" t="s">
        <v>51</v>
      </c>
      <c r="B534" t="s">
        <v>238</v>
      </c>
      <c r="C534" t="str">
        <f>""""&amp;SUBSTITUTE(A534,"zzz",H534)&amp;""""&amp;","</f>
        <v>"https://www.zeldadungeon.net/maps/totk/tiles/sky/6/13_14.jpg",</v>
      </c>
      <c r="H534" t="str">
        <f>QUOTIENT(ROW(A534),48)+2&amp;"_"&amp;MOD(ROW(A534),48)+8</f>
        <v>13_14</v>
      </c>
    </row>
    <row r="535" spans="1:8" x14ac:dyDescent="0.2">
      <c r="A535" s="9" t="s">
        <v>51</v>
      </c>
      <c r="B535" t="s">
        <v>237</v>
      </c>
      <c r="C535" t="str">
        <f>""""&amp;SUBSTITUTE(A535,"zzz",H535)&amp;""""&amp;","</f>
        <v>"https://www.zeldadungeon.net/maps/totk/tiles/sky/6/13_15.jpg",</v>
      </c>
      <c r="H535" t="str">
        <f>QUOTIENT(ROW(A535),48)+2&amp;"_"&amp;MOD(ROW(A535),48)+8</f>
        <v>13_15</v>
      </c>
    </row>
    <row r="536" spans="1:8" x14ac:dyDescent="0.2">
      <c r="A536" s="9" t="s">
        <v>51</v>
      </c>
      <c r="B536" t="s">
        <v>236</v>
      </c>
      <c r="C536" t="str">
        <f>""""&amp;SUBSTITUTE(A536,"zzz",H536)&amp;""""&amp;","</f>
        <v>"https://www.zeldadungeon.net/maps/totk/tiles/sky/6/13_16.jpg",</v>
      </c>
      <c r="H536" t="str">
        <f>QUOTIENT(ROW(A536),48)+2&amp;"_"&amp;MOD(ROW(A536),48)+8</f>
        <v>13_16</v>
      </c>
    </row>
    <row r="537" spans="1:8" x14ac:dyDescent="0.2">
      <c r="A537" s="9" t="s">
        <v>51</v>
      </c>
      <c r="B537" t="s">
        <v>235</v>
      </c>
      <c r="C537" t="str">
        <f>""""&amp;SUBSTITUTE(A537,"zzz",H537)&amp;""""&amp;","</f>
        <v>"https://www.zeldadungeon.net/maps/totk/tiles/sky/6/13_17.jpg",</v>
      </c>
      <c r="H537" t="str">
        <f>QUOTIENT(ROW(A537),48)+2&amp;"_"&amp;MOD(ROW(A537),48)+8</f>
        <v>13_17</v>
      </c>
    </row>
    <row r="538" spans="1:8" x14ac:dyDescent="0.2">
      <c r="A538" s="9" t="s">
        <v>51</v>
      </c>
      <c r="B538" t="s">
        <v>234</v>
      </c>
      <c r="C538" t="str">
        <f>""""&amp;SUBSTITUTE(A538,"zzz",H538)&amp;""""&amp;","</f>
        <v>"https://www.zeldadungeon.net/maps/totk/tiles/sky/6/13_18.jpg",</v>
      </c>
      <c r="H538" t="str">
        <f>QUOTIENT(ROW(A538),48)+2&amp;"_"&amp;MOD(ROW(A538),48)+8</f>
        <v>13_18</v>
      </c>
    </row>
    <row r="539" spans="1:8" x14ac:dyDescent="0.2">
      <c r="A539" s="9" t="s">
        <v>51</v>
      </c>
      <c r="B539" t="s">
        <v>233</v>
      </c>
      <c r="C539" t="str">
        <f>""""&amp;SUBSTITUTE(A539,"zzz",H539)&amp;""""&amp;","</f>
        <v>"https://www.zeldadungeon.net/maps/totk/tiles/sky/6/13_19.jpg",</v>
      </c>
      <c r="H539" t="str">
        <f>QUOTIENT(ROW(A539),48)+2&amp;"_"&amp;MOD(ROW(A539),48)+8</f>
        <v>13_19</v>
      </c>
    </row>
    <row r="540" spans="1:8" x14ac:dyDescent="0.2">
      <c r="A540" s="9" t="s">
        <v>51</v>
      </c>
      <c r="B540" t="s">
        <v>232</v>
      </c>
      <c r="C540" t="str">
        <f>""""&amp;SUBSTITUTE(A540,"zzz",H540)&amp;""""&amp;","</f>
        <v>"https://www.zeldadungeon.net/maps/totk/tiles/sky/6/13_20.jpg",</v>
      </c>
      <c r="H540" t="str">
        <f>QUOTIENT(ROW(A540),48)+2&amp;"_"&amp;MOD(ROW(A540),48)+8</f>
        <v>13_20</v>
      </c>
    </row>
    <row r="541" spans="1:8" x14ac:dyDescent="0.2">
      <c r="A541" s="9" t="s">
        <v>51</v>
      </c>
      <c r="B541" t="s">
        <v>231</v>
      </c>
      <c r="C541" t="str">
        <f>""""&amp;SUBSTITUTE(A541,"zzz",H541)&amp;""""&amp;","</f>
        <v>"https://www.zeldadungeon.net/maps/totk/tiles/sky/6/13_21.jpg",</v>
      </c>
      <c r="H541" t="str">
        <f>QUOTIENT(ROW(A541),48)+2&amp;"_"&amp;MOD(ROW(A541),48)+8</f>
        <v>13_21</v>
      </c>
    </row>
    <row r="542" spans="1:8" x14ac:dyDescent="0.2">
      <c r="A542" s="9" t="s">
        <v>51</v>
      </c>
      <c r="B542" t="s">
        <v>230</v>
      </c>
      <c r="C542" t="str">
        <f>""""&amp;SUBSTITUTE(A542,"zzz",H542)&amp;""""&amp;","</f>
        <v>"https://www.zeldadungeon.net/maps/totk/tiles/sky/6/13_22.jpg",</v>
      </c>
      <c r="H542" t="str">
        <f>QUOTIENT(ROW(A542),48)+2&amp;"_"&amp;MOD(ROW(A542),48)+8</f>
        <v>13_22</v>
      </c>
    </row>
    <row r="543" spans="1:8" x14ac:dyDescent="0.2">
      <c r="A543" s="9" t="s">
        <v>51</v>
      </c>
      <c r="B543" t="s">
        <v>229</v>
      </c>
      <c r="C543" t="str">
        <f>""""&amp;SUBSTITUTE(A543,"zzz",H543)&amp;""""&amp;","</f>
        <v>"https://www.zeldadungeon.net/maps/totk/tiles/sky/6/13_23.jpg",</v>
      </c>
      <c r="H543" t="str">
        <f>QUOTIENT(ROW(A543),48)+2&amp;"_"&amp;MOD(ROW(A543),48)+8</f>
        <v>13_23</v>
      </c>
    </row>
    <row r="544" spans="1:8" x14ac:dyDescent="0.2">
      <c r="A544" s="9" t="s">
        <v>51</v>
      </c>
      <c r="B544" t="s">
        <v>228</v>
      </c>
      <c r="C544" t="str">
        <f>""""&amp;SUBSTITUTE(A544,"zzz",H544)&amp;""""&amp;","</f>
        <v>"https://www.zeldadungeon.net/maps/totk/tiles/sky/6/13_24.jpg",</v>
      </c>
      <c r="H544" t="str">
        <f>QUOTIENT(ROW(A544),48)+2&amp;"_"&amp;MOD(ROW(A544),48)+8</f>
        <v>13_24</v>
      </c>
    </row>
    <row r="545" spans="1:8" x14ac:dyDescent="0.2">
      <c r="A545" s="9" t="s">
        <v>51</v>
      </c>
      <c r="B545" t="s">
        <v>227</v>
      </c>
      <c r="C545" t="str">
        <f>""""&amp;SUBSTITUTE(A545,"zzz",H545)&amp;""""&amp;","</f>
        <v>"https://www.zeldadungeon.net/maps/totk/tiles/sky/6/13_25.jpg",</v>
      </c>
      <c r="H545" t="str">
        <f>QUOTIENT(ROW(A545),48)+2&amp;"_"&amp;MOD(ROW(A545),48)+8</f>
        <v>13_25</v>
      </c>
    </row>
    <row r="546" spans="1:8" x14ac:dyDescent="0.2">
      <c r="A546" s="9" t="s">
        <v>51</v>
      </c>
      <c r="B546" t="s">
        <v>226</v>
      </c>
      <c r="C546" t="str">
        <f>""""&amp;SUBSTITUTE(A546,"zzz",H546)&amp;""""&amp;","</f>
        <v>"https://www.zeldadungeon.net/maps/totk/tiles/sky/6/13_26.jpg",</v>
      </c>
      <c r="H546" t="str">
        <f>QUOTIENT(ROW(A546),48)+2&amp;"_"&amp;MOD(ROW(A546),48)+8</f>
        <v>13_26</v>
      </c>
    </row>
    <row r="547" spans="1:8" x14ac:dyDescent="0.2">
      <c r="A547" s="9" t="s">
        <v>51</v>
      </c>
      <c r="B547" t="s">
        <v>225</v>
      </c>
      <c r="C547" t="str">
        <f>""""&amp;SUBSTITUTE(A547,"zzz",H547)&amp;""""&amp;","</f>
        <v>"https://www.zeldadungeon.net/maps/totk/tiles/sky/6/13_27.jpg",</v>
      </c>
      <c r="H547" t="str">
        <f>QUOTIENT(ROW(A547),48)+2&amp;"_"&amp;MOD(ROW(A547),48)+8</f>
        <v>13_27</v>
      </c>
    </row>
    <row r="548" spans="1:8" x14ac:dyDescent="0.2">
      <c r="A548" s="9" t="s">
        <v>51</v>
      </c>
      <c r="B548" t="s">
        <v>224</v>
      </c>
      <c r="C548" t="str">
        <f>""""&amp;SUBSTITUTE(A548,"zzz",H548)&amp;""""&amp;","</f>
        <v>"https://www.zeldadungeon.net/maps/totk/tiles/sky/6/13_28.jpg",</v>
      </c>
      <c r="H548" t="str">
        <f>QUOTIENT(ROW(A548),48)+2&amp;"_"&amp;MOD(ROW(A548),48)+8</f>
        <v>13_28</v>
      </c>
    </row>
    <row r="549" spans="1:8" x14ac:dyDescent="0.2">
      <c r="A549" s="9" t="s">
        <v>51</v>
      </c>
      <c r="B549" t="s">
        <v>223</v>
      </c>
      <c r="C549" t="str">
        <f>""""&amp;SUBSTITUTE(A549,"zzz",H549)&amp;""""&amp;","</f>
        <v>"https://www.zeldadungeon.net/maps/totk/tiles/sky/6/13_29.jpg",</v>
      </c>
      <c r="H549" t="str">
        <f>QUOTIENT(ROW(A549),48)+2&amp;"_"&amp;MOD(ROW(A549),48)+8</f>
        <v>13_29</v>
      </c>
    </row>
    <row r="550" spans="1:8" x14ac:dyDescent="0.2">
      <c r="A550" s="9" t="s">
        <v>51</v>
      </c>
      <c r="B550" t="s">
        <v>222</v>
      </c>
      <c r="C550" t="str">
        <f>""""&amp;SUBSTITUTE(A550,"zzz",H550)&amp;""""&amp;","</f>
        <v>"https://www.zeldadungeon.net/maps/totk/tiles/sky/6/13_30.jpg",</v>
      </c>
      <c r="H550" t="str">
        <f>QUOTIENT(ROW(A550),48)+2&amp;"_"&amp;MOD(ROW(A550),48)+8</f>
        <v>13_30</v>
      </c>
    </row>
    <row r="551" spans="1:8" x14ac:dyDescent="0.2">
      <c r="A551" s="9" t="s">
        <v>51</v>
      </c>
      <c r="B551" t="s">
        <v>221</v>
      </c>
      <c r="C551" t="str">
        <f>""""&amp;SUBSTITUTE(A551,"zzz",H551)&amp;""""&amp;","</f>
        <v>"https://www.zeldadungeon.net/maps/totk/tiles/sky/6/13_31.jpg",</v>
      </c>
      <c r="H551" t="str">
        <f>QUOTIENT(ROW(A551),48)+2&amp;"_"&amp;MOD(ROW(A551),48)+8</f>
        <v>13_31</v>
      </c>
    </row>
    <row r="552" spans="1:8" x14ac:dyDescent="0.2">
      <c r="A552" s="9" t="s">
        <v>51</v>
      </c>
      <c r="B552" t="s">
        <v>220</v>
      </c>
      <c r="C552" t="str">
        <f>""""&amp;SUBSTITUTE(A552,"zzz",H552)&amp;""""&amp;","</f>
        <v>"https://www.zeldadungeon.net/maps/totk/tiles/sky/6/13_32.jpg",</v>
      </c>
      <c r="H552" t="str">
        <f>QUOTIENT(ROW(A552),48)+2&amp;"_"&amp;MOD(ROW(A552),48)+8</f>
        <v>13_32</v>
      </c>
    </row>
    <row r="553" spans="1:8" x14ac:dyDescent="0.2">
      <c r="A553" s="9" t="s">
        <v>51</v>
      </c>
      <c r="B553" t="s">
        <v>219</v>
      </c>
      <c r="C553" t="str">
        <f>""""&amp;SUBSTITUTE(A553,"zzz",H553)&amp;""""&amp;","</f>
        <v>"https://www.zeldadungeon.net/maps/totk/tiles/sky/6/13_33.jpg",</v>
      </c>
      <c r="H553" t="str">
        <f>QUOTIENT(ROW(A553),48)+2&amp;"_"&amp;MOD(ROW(A553),48)+8</f>
        <v>13_33</v>
      </c>
    </row>
    <row r="554" spans="1:8" x14ac:dyDescent="0.2">
      <c r="A554" s="9" t="s">
        <v>51</v>
      </c>
      <c r="B554" t="s">
        <v>218</v>
      </c>
      <c r="C554" t="str">
        <f>""""&amp;SUBSTITUTE(A554,"zzz",H554)&amp;""""&amp;","</f>
        <v>"https://www.zeldadungeon.net/maps/totk/tiles/sky/6/13_34.jpg",</v>
      </c>
      <c r="H554" t="str">
        <f>QUOTIENT(ROW(A554),48)+2&amp;"_"&amp;MOD(ROW(A554),48)+8</f>
        <v>13_34</v>
      </c>
    </row>
    <row r="555" spans="1:8" x14ac:dyDescent="0.2">
      <c r="A555" s="9" t="s">
        <v>51</v>
      </c>
      <c r="B555" t="s">
        <v>217</v>
      </c>
      <c r="C555" t="str">
        <f>""""&amp;SUBSTITUTE(A555,"zzz",H555)&amp;""""&amp;","</f>
        <v>"https://www.zeldadungeon.net/maps/totk/tiles/sky/6/13_35.jpg",</v>
      </c>
      <c r="H555" t="str">
        <f>QUOTIENT(ROW(A555),48)+2&amp;"_"&amp;MOD(ROW(A555),48)+8</f>
        <v>13_35</v>
      </c>
    </row>
    <row r="556" spans="1:8" x14ac:dyDescent="0.2">
      <c r="A556" s="9" t="s">
        <v>51</v>
      </c>
      <c r="B556" t="s">
        <v>216</v>
      </c>
      <c r="C556" t="str">
        <f>""""&amp;SUBSTITUTE(A556,"zzz",H556)&amp;""""&amp;","</f>
        <v>"https://www.zeldadungeon.net/maps/totk/tiles/sky/6/13_36.jpg",</v>
      </c>
      <c r="H556" t="str">
        <f>QUOTIENT(ROW(A556),48)+2&amp;"_"&amp;MOD(ROW(A556),48)+8</f>
        <v>13_36</v>
      </c>
    </row>
    <row r="557" spans="1:8" x14ac:dyDescent="0.2">
      <c r="A557" s="9" t="s">
        <v>51</v>
      </c>
      <c r="B557" t="s">
        <v>215</v>
      </c>
      <c r="C557" t="str">
        <f>""""&amp;SUBSTITUTE(A557,"zzz",H557)&amp;""""&amp;","</f>
        <v>"https://www.zeldadungeon.net/maps/totk/tiles/sky/6/13_37.jpg",</v>
      </c>
      <c r="H557" t="str">
        <f>QUOTIENT(ROW(A557),48)+2&amp;"_"&amp;MOD(ROW(A557),48)+8</f>
        <v>13_37</v>
      </c>
    </row>
    <row r="558" spans="1:8" x14ac:dyDescent="0.2">
      <c r="A558" s="9" t="s">
        <v>51</v>
      </c>
      <c r="B558" t="s">
        <v>214</v>
      </c>
      <c r="C558" t="str">
        <f>""""&amp;SUBSTITUTE(A558,"zzz",H558)&amp;""""&amp;","</f>
        <v>"https://www.zeldadungeon.net/maps/totk/tiles/sky/6/13_38.jpg",</v>
      </c>
      <c r="H558" t="str">
        <f>QUOTIENT(ROW(A558),48)+2&amp;"_"&amp;MOD(ROW(A558),48)+8</f>
        <v>13_38</v>
      </c>
    </row>
    <row r="559" spans="1:8" x14ac:dyDescent="0.2">
      <c r="A559" s="9" t="s">
        <v>51</v>
      </c>
      <c r="B559" t="s">
        <v>213</v>
      </c>
      <c r="C559" t="str">
        <f>""""&amp;SUBSTITUTE(A559,"zzz",H559)&amp;""""&amp;","</f>
        <v>"https://www.zeldadungeon.net/maps/totk/tiles/sky/6/13_39.jpg",</v>
      </c>
      <c r="H559" t="str">
        <f>QUOTIENT(ROW(A559),48)+2&amp;"_"&amp;MOD(ROW(A559),48)+8</f>
        <v>13_39</v>
      </c>
    </row>
    <row r="560" spans="1:8" x14ac:dyDescent="0.2">
      <c r="A560" s="9" t="s">
        <v>51</v>
      </c>
      <c r="B560" t="s">
        <v>212</v>
      </c>
      <c r="C560" t="str">
        <f>""""&amp;SUBSTITUTE(A560,"zzz",H560)&amp;""""&amp;","</f>
        <v>"https://www.zeldadungeon.net/maps/totk/tiles/sky/6/13_40.jpg",</v>
      </c>
      <c r="H560" t="str">
        <f>QUOTIENT(ROW(A560),48)+2&amp;"_"&amp;MOD(ROW(A560),48)+8</f>
        <v>13_40</v>
      </c>
    </row>
    <row r="561" spans="1:8" x14ac:dyDescent="0.2">
      <c r="A561" s="9" t="s">
        <v>51</v>
      </c>
      <c r="B561" t="s">
        <v>211</v>
      </c>
      <c r="C561" t="str">
        <f>""""&amp;SUBSTITUTE(A561,"zzz",H561)&amp;""""&amp;","</f>
        <v>"https://www.zeldadungeon.net/maps/totk/tiles/sky/6/13_41.jpg",</v>
      </c>
      <c r="H561" t="str">
        <f>QUOTIENT(ROW(A561),48)+2&amp;"_"&amp;MOD(ROW(A561),48)+8</f>
        <v>13_41</v>
      </c>
    </row>
    <row r="562" spans="1:8" x14ac:dyDescent="0.2">
      <c r="A562" s="9" t="s">
        <v>51</v>
      </c>
      <c r="B562" t="s">
        <v>210</v>
      </c>
      <c r="C562" t="str">
        <f>""""&amp;SUBSTITUTE(A562,"zzz",H562)&amp;""""&amp;","</f>
        <v>"https://www.zeldadungeon.net/maps/totk/tiles/sky/6/13_42.jpg",</v>
      </c>
      <c r="H562" t="str">
        <f>QUOTIENT(ROW(A562),48)+2&amp;"_"&amp;MOD(ROW(A562),48)+8</f>
        <v>13_42</v>
      </c>
    </row>
    <row r="563" spans="1:8" x14ac:dyDescent="0.2">
      <c r="A563" s="9" t="s">
        <v>51</v>
      </c>
      <c r="B563" t="s">
        <v>209</v>
      </c>
      <c r="C563" t="str">
        <f>""""&amp;SUBSTITUTE(A563,"zzz",H563)&amp;""""&amp;","</f>
        <v>"https://www.zeldadungeon.net/maps/totk/tiles/sky/6/13_43.jpg",</v>
      </c>
      <c r="H563" t="str">
        <f>QUOTIENT(ROW(A563),48)+2&amp;"_"&amp;MOD(ROW(A563),48)+8</f>
        <v>13_43</v>
      </c>
    </row>
    <row r="564" spans="1:8" x14ac:dyDescent="0.2">
      <c r="A564" s="9" t="s">
        <v>51</v>
      </c>
      <c r="B564" t="s">
        <v>208</v>
      </c>
      <c r="C564" t="str">
        <f>""""&amp;SUBSTITUTE(A564,"zzz",H564)&amp;""""&amp;","</f>
        <v>"https://www.zeldadungeon.net/maps/totk/tiles/sky/6/13_44.jpg",</v>
      </c>
      <c r="H564" t="str">
        <f>QUOTIENT(ROW(A564),48)+2&amp;"_"&amp;MOD(ROW(A564),48)+8</f>
        <v>13_44</v>
      </c>
    </row>
    <row r="565" spans="1:8" x14ac:dyDescent="0.2">
      <c r="A565" s="9" t="s">
        <v>51</v>
      </c>
      <c r="B565" t="s">
        <v>207</v>
      </c>
      <c r="C565" t="str">
        <f>""""&amp;SUBSTITUTE(A565,"zzz",H565)&amp;""""&amp;","</f>
        <v>"https://www.zeldadungeon.net/maps/totk/tiles/sky/6/13_45.jpg",</v>
      </c>
      <c r="H565" t="str">
        <f>QUOTIENT(ROW(A565),48)+2&amp;"_"&amp;MOD(ROW(A565),48)+8</f>
        <v>13_45</v>
      </c>
    </row>
    <row r="566" spans="1:8" x14ac:dyDescent="0.2">
      <c r="A566" s="9" t="s">
        <v>51</v>
      </c>
      <c r="B566" t="s">
        <v>206</v>
      </c>
      <c r="C566" t="str">
        <f>""""&amp;SUBSTITUTE(A566,"zzz",H566)&amp;""""&amp;","</f>
        <v>"https://www.zeldadungeon.net/maps/totk/tiles/sky/6/13_46.jpg",</v>
      </c>
      <c r="H566" t="str">
        <f>QUOTIENT(ROW(A566),48)+2&amp;"_"&amp;MOD(ROW(A566),48)+8</f>
        <v>13_46</v>
      </c>
    </row>
    <row r="567" spans="1:8" x14ac:dyDescent="0.2">
      <c r="A567" s="9" t="s">
        <v>51</v>
      </c>
      <c r="B567" t="s">
        <v>205</v>
      </c>
      <c r="C567" t="str">
        <f>""""&amp;SUBSTITUTE(A567,"zzz",H567)&amp;""""&amp;","</f>
        <v>"https://www.zeldadungeon.net/maps/totk/tiles/sky/6/13_47.jpg",</v>
      </c>
      <c r="H567" t="str">
        <f>QUOTIENT(ROW(A567),48)+2&amp;"_"&amp;MOD(ROW(A567),48)+8</f>
        <v>13_47</v>
      </c>
    </row>
    <row r="568" spans="1:8" x14ac:dyDescent="0.2">
      <c r="A568" s="9" t="s">
        <v>51</v>
      </c>
      <c r="B568" t="s">
        <v>204</v>
      </c>
      <c r="C568" t="str">
        <f>""""&amp;SUBSTITUTE(A568,"zzz",H568)&amp;""""&amp;","</f>
        <v>"https://www.zeldadungeon.net/maps/totk/tiles/sky/6/13_48.jpg",</v>
      </c>
      <c r="H568" t="str">
        <f>QUOTIENT(ROW(A568),48)+2&amp;"_"&amp;MOD(ROW(A568),48)+8</f>
        <v>13_48</v>
      </c>
    </row>
    <row r="569" spans="1:8" x14ac:dyDescent="0.2">
      <c r="A569" s="9" t="s">
        <v>51</v>
      </c>
      <c r="B569" t="s">
        <v>203</v>
      </c>
      <c r="C569" t="str">
        <f>""""&amp;SUBSTITUTE(A569,"zzz",H569)&amp;""""&amp;","</f>
        <v>"https://www.zeldadungeon.net/maps/totk/tiles/sky/6/13_49.jpg",</v>
      </c>
      <c r="H569" t="str">
        <f>QUOTIENT(ROW(A569),48)+2&amp;"_"&amp;MOD(ROW(A569),48)+8</f>
        <v>13_49</v>
      </c>
    </row>
    <row r="570" spans="1:8" x14ac:dyDescent="0.2">
      <c r="A570" s="9" t="s">
        <v>51</v>
      </c>
      <c r="B570" t="s">
        <v>202</v>
      </c>
      <c r="C570" t="str">
        <f>""""&amp;SUBSTITUTE(A570,"zzz",H570)&amp;""""&amp;","</f>
        <v>"https://www.zeldadungeon.net/maps/totk/tiles/sky/6/13_50.jpg",</v>
      </c>
      <c r="H570" t="str">
        <f>QUOTIENT(ROW(A570),48)+2&amp;"_"&amp;MOD(ROW(A570),48)+8</f>
        <v>13_50</v>
      </c>
    </row>
    <row r="571" spans="1:8" x14ac:dyDescent="0.2">
      <c r="A571" s="9" t="s">
        <v>51</v>
      </c>
      <c r="B571" t="s">
        <v>201</v>
      </c>
      <c r="C571" t="str">
        <f>""""&amp;SUBSTITUTE(A571,"zzz",H571)&amp;""""&amp;","</f>
        <v>"https://www.zeldadungeon.net/maps/totk/tiles/sky/6/13_51.jpg",</v>
      </c>
      <c r="H571" t="str">
        <f>QUOTIENT(ROW(A571),48)+2&amp;"_"&amp;MOD(ROW(A571),48)+8</f>
        <v>13_51</v>
      </c>
    </row>
    <row r="572" spans="1:8" x14ac:dyDescent="0.2">
      <c r="A572" s="9" t="s">
        <v>51</v>
      </c>
      <c r="B572" t="s">
        <v>200</v>
      </c>
      <c r="C572" t="str">
        <f>""""&amp;SUBSTITUTE(A572,"zzz",H572)&amp;""""&amp;","</f>
        <v>"https://www.zeldadungeon.net/maps/totk/tiles/sky/6/13_52.jpg",</v>
      </c>
      <c r="H572" t="str">
        <f>QUOTIENT(ROW(A572),48)+2&amp;"_"&amp;MOD(ROW(A572),48)+8</f>
        <v>13_52</v>
      </c>
    </row>
    <row r="573" spans="1:8" x14ac:dyDescent="0.2">
      <c r="A573" s="9" t="s">
        <v>51</v>
      </c>
      <c r="B573" t="s">
        <v>199</v>
      </c>
      <c r="C573" t="str">
        <f>""""&amp;SUBSTITUTE(A573,"zzz",H573)&amp;""""&amp;","</f>
        <v>"https://www.zeldadungeon.net/maps/totk/tiles/sky/6/13_53.jpg",</v>
      </c>
      <c r="H573" t="str">
        <f>QUOTIENT(ROW(A573),48)+2&amp;"_"&amp;MOD(ROW(A573),48)+8</f>
        <v>13_53</v>
      </c>
    </row>
    <row r="574" spans="1:8" x14ac:dyDescent="0.2">
      <c r="A574" s="9" t="s">
        <v>51</v>
      </c>
      <c r="B574" t="s">
        <v>198</v>
      </c>
      <c r="C574" t="str">
        <f>""""&amp;SUBSTITUTE(A574,"zzz",H574)&amp;""""&amp;","</f>
        <v>"https://www.zeldadungeon.net/maps/totk/tiles/sky/6/13_54.jpg",</v>
      </c>
      <c r="H574" t="str">
        <f>QUOTIENT(ROW(A574),48)+2&amp;"_"&amp;MOD(ROW(A574),48)+8</f>
        <v>13_54</v>
      </c>
    </row>
    <row r="575" spans="1:8" x14ac:dyDescent="0.2">
      <c r="A575" s="9" t="s">
        <v>51</v>
      </c>
      <c r="B575" t="s">
        <v>197</v>
      </c>
      <c r="C575" t="str">
        <f>""""&amp;SUBSTITUTE(A575,"zzz",H575)&amp;""""&amp;","</f>
        <v>"https://www.zeldadungeon.net/maps/totk/tiles/sky/6/13_55.jpg",</v>
      </c>
      <c r="H575" t="str">
        <f>QUOTIENT(ROW(A575),48)+2&amp;"_"&amp;MOD(ROW(A575),48)+8</f>
        <v>13_55</v>
      </c>
    </row>
    <row r="576" spans="1:8" x14ac:dyDescent="0.2">
      <c r="A576" s="9" t="s">
        <v>51</v>
      </c>
      <c r="B576" t="s">
        <v>196</v>
      </c>
      <c r="C576" t="str">
        <f>""""&amp;SUBSTITUTE(A576,"zzz",H576)&amp;""""&amp;","</f>
        <v>"https://www.zeldadungeon.net/maps/totk/tiles/sky/6/14_8.jpg",</v>
      </c>
      <c r="H576" t="str">
        <f>QUOTIENT(ROW(A576),48)+2&amp;"_"&amp;MOD(ROW(A576),48)+8</f>
        <v>14_8</v>
      </c>
    </row>
    <row r="577" spans="1:8" x14ac:dyDescent="0.2">
      <c r="A577" s="9" t="s">
        <v>51</v>
      </c>
      <c r="B577" t="s">
        <v>195</v>
      </c>
      <c r="C577" t="str">
        <f>""""&amp;SUBSTITUTE(A577,"zzz",H577)&amp;""""&amp;","</f>
        <v>"https://www.zeldadungeon.net/maps/totk/tiles/sky/6/14_9.jpg",</v>
      </c>
      <c r="H577" t="str">
        <f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>""""&amp;SUBSTITUTE(A578,"zzz",H578)&amp;""""&amp;","</f>
        <v>"https://www.zeldadungeon.net/maps/totk/tiles/sky/6/14_10.jpg",</v>
      </c>
      <c r="H578" t="str">
        <f>QUOTIENT(ROW(A578),48)+2&amp;"_"&amp;MOD(ROW(A578),48)+8</f>
        <v>14_10</v>
      </c>
    </row>
    <row r="579" spans="1:8" x14ac:dyDescent="0.2">
      <c r="A579" s="9" t="s">
        <v>51</v>
      </c>
      <c r="B579" t="s">
        <v>193</v>
      </c>
      <c r="C579" t="str">
        <f>""""&amp;SUBSTITUTE(A579,"zzz",H579)&amp;""""&amp;","</f>
        <v>"https://www.zeldadungeon.net/maps/totk/tiles/sky/6/14_11.jpg",</v>
      </c>
      <c r="H579" t="str">
        <f>QUOTIENT(ROW(A579),48)+2&amp;"_"&amp;MOD(ROW(A579),48)+8</f>
        <v>14_11</v>
      </c>
    </row>
    <row r="580" spans="1:8" x14ac:dyDescent="0.2">
      <c r="A580" s="9" t="s">
        <v>51</v>
      </c>
      <c r="B580" t="s">
        <v>192</v>
      </c>
      <c r="C580" t="str">
        <f>""""&amp;SUBSTITUTE(A580,"zzz",H580)&amp;""""&amp;","</f>
        <v>"https://www.zeldadungeon.net/maps/totk/tiles/sky/6/14_12.jpg",</v>
      </c>
      <c r="H580" t="str">
        <f>QUOTIENT(ROW(A580),48)+2&amp;"_"&amp;MOD(ROW(A580),48)+8</f>
        <v>14_12</v>
      </c>
    </row>
    <row r="581" spans="1:8" x14ac:dyDescent="0.2">
      <c r="A581" s="9" t="s">
        <v>51</v>
      </c>
      <c r="B581" t="s">
        <v>191</v>
      </c>
      <c r="C581" t="str">
        <f>""""&amp;SUBSTITUTE(A581,"zzz",H581)&amp;""""&amp;","</f>
        <v>"https://www.zeldadungeon.net/maps/totk/tiles/sky/6/14_13.jpg",</v>
      </c>
      <c r="H581" t="str">
        <f>QUOTIENT(ROW(A581),48)+2&amp;"_"&amp;MOD(ROW(A581),48)+8</f>
        <v>14_13</v>
      </c>
    </row>
    <row r="582" spans="1:8" x14ac:dyDescent="0.2">
      <c r="A582" s="9" t="s">
        <v>51</v>
      </c>
      <c r="B582" t="s">
        <v>190</v>
      </c>
      <c r="C582" t="str">
        <f>""""&amp;SUBSTITUTE(A582,"zzz",H582)&amp;""""&amp;","</f>
        <v>"https://www.zeldadungeon.net/maps/totk/tiles/sky/6/14_14.jpg",</v>
      </c>
      <c r="H582" t="str">
        <f>QUOTIENT(ROW(A582),48)+2&amp;"_"&amp;MOD(ROW(A582),48)+8</f>
        <v>14_14</v>
      </c>
    </row>
    <row r="583" spans="1:8" x14ac:dyDescent="0.2">
      <c r="A583" s="9" t="s">
        <v>51</v>
      </c>
      <c r="B583" t="s">
        <v>189</v>
      </c>
      <c r="C583" t="str">
        <f>""""&amp;SUBSTITUTE(A583,"zzz",H583)&amp;""""&amp;","</f>
        <v>"https://www.zeldadungeon.net/maps/totk/tiles/sky/6/14_15.jpg",</v>
      </c>
      <c r="H583" t="str">
        <f>QUOTIENT(ROW(A583),48)+2&amp;"_"&amp;MOD(ROW(A583),48)+8</f>
        <v>14_15</v>
      </c>
    </row>
    <row r="584" spans="1:8" x14ac:dyDescent="0.2">
      <c r="A584" s="9" t="s">
        <v>51</v>
      </c>
      <c r="B584" t="s">
        <v>188</v>
      </c>
      <c r="C584" t="str">
        <f>""""&amp;SUBSTITUTE(A584,"zzz",H584)&amp;""""&amp;","</f>
        <v>"https://www.zeldadungeon.net/maps/totk/tiles/sky/6/14_16.jpg",</v>
      </c>
      <c r="H584" t="str">
        <f>QUOTIENT(ROW(A584),48)+2&amp;"_"&amp;MOD(ROW(A584),48)+8</f>
        <v>14_16</v>
      </c>
    </row>
    <row r="585" spans="1:8" x14ac:dyDescent="0.2">
      <c r="A585" s="9" t="s">
        <v>51</v>
      </c>
      <c r="B585" t="s">
        <v>187</v>
      </c>
      <c r="C585" t="str">
        <f>""""&amp;SUBSTITUTE(A585,"zzz",H585)&amp;""""&amp;","</f>
        <v>"https://www.zeldadungeon.net/maps/totk/tiles/sky/6/14_17.jpg",</v>
      </c>
      <c r="H585" t="str">
        <f>QUOTIENT(ROW(A585),48)+2&amp;"_"&amp;MOD(ROW(A585),48)+8</f>
        <v>14_17</v>
      </c>
    </row>
    <row r="586" spans="1:8" x14ac:dyDescent="0.2">
      <c r="A586" s="9" t="s">
        <v>51</v>
      </c>
      <c r="B586" t="s">
        <v>186</v>
      </c>
      <c r="C586" t="str">
        <f>""""&amp;SUBSTITUTE(A586,"zzz",H586)&amp;""""&amp;","</f>
        <v>"https://www.zeldadungeon.net/maps/totk/tiles/sky/6/14_18.jpg",</v>
      </c>
      <c r="H586" t="str">
        <f>QUOTIENT(ROW(A586),48)+2&amp;"_"&amp;MOD(ROW(A586),48)+8</f>
        <v>14_18</v>
      </c>
    </row>
    <row r="587" spans="1:8" x14ac:dyDescent="0.2">
      <c r="A587" s="9" t="s">
        <v>51</v>
      </c>
      <c r="B587" t="s">
        <v>185</v>
      </c>
      <c r="C587" t="str">
        <f>""""&amp;SUBSTITUTE(A587,"zzz",H587)&amp;""""&amp;","</f>
        <v>"https://www.zeldadungeon.net/maps/totk/tiles/sky/6/14_19.jpg",</v>
      </c>
      <c r="H587" t="str">
        <f>QUOTIENT(ROW(A587),48)+2&amp;"_"&amp;MOD(ROW(A587),48)+8</f>
        <v>14_19</v>
      </c>
    </row>
    <row r="588" spans="1:8" x14ac:dyDescent="0.2">
      <c r="A588" s="9" t="s">
        <v>51</v>
      </c>
      <c r="B588" t="s">
        <v>184</v>
      </c>
      <c r="C588" t="str">
        <f>""""&amp;SUBSTITUTE(A588,"zzz",H588)&amp;""""&amp;","</f>
        <v>"https://www.zeldadungeon.net/maps/totk/tiles/sky/6/14_20.jpg",</v>
      </c>
      <c r="H588" t="str">
        <f>QUOTIENT(ROW(A588),48)+2&amp;"_"&amp;MOD(ROW(A588),48)+8</f>
        <v>14_20</v>
      </c>
    </row>
    <row r="589" spans="1:8" x14ac:dyDescent="0.2">
      <c r="A589" s="9" t="s">
        <v>51</v>
      </c>
      <c r="B589" t="s">
        <v>183</v>
      </c>
      <c r="C589" t="str">
        <f>""""&amp;SUBSTITUTE(A589,"zzz",H589)&amp;""""&amp;","</f>
        <v>"https://www.zeldadungeon.net/maps/totk/tiles/sky/6/14_21.jpg",</v>
      </c>
      <c r="H589" t="str">
        <f>QUOTIENT(ROW(A589),48)+2&amp;"_"&amp;MOD(ROW(A589),48)+8</f>
        <v>14_21</v>
      </c>
    </row>
    <row r="590" spans="1:8" x14ac:dyDescent="0.2">
      <c r="A590" s="9" t="s">
        <v>51</v>
      </c>
      <c r="B590" t="s">
        <v>182</v>
      </c>
      <c r="C590" t="str">
        <f>""""&amp;SUBSTITUTE(A590,"zzz",H590)&amp;""""&amp;","</f>
        <v>"https://www.zeldadungeon.net/maps/totk/tiles/sky/6/14_22.jpg",</v>
      </c>
      <c r="H590" t="str">
        <f>QUOTIENT(ROW(A590),48)+2&amp;"_"&amp;MOD(ROW(A590),48)+8</f>
        <v>14_22</v>
      </c>
    </row>
    <row r="591" spans="1:8" x14ac:dyDescent="0.2">
      <c r="A591" s="9" t="s">
        <v>51</v>
      </c>
      <c r="B591" t="s">
        <v>181</v>
      </c>
      <c r="C591" t="str">
        <f>""""&amp;SUBSTITUTE(A591,"zzz",H591)&amp;""""&amp;","</f>
        <v>"https://www.zeldadungeon.net/maps/totk/tiles/sky/6/14_23.jpg",</v>
      </c>
      <c r="H591" t="str">
        <f>QUOTIENT(ROW(A591),48)+2&amp;"_"&amp;MOD(ROW(A591),48)+8</f>
        <v>14_23</v>
      </c>
    </row>
    <row r="592" spans="1:8" x14ac:dyDescent="0.2">
      <c r="A592" s="9" t="s">
        <v>51</v>
      </c>
      <c r="B592" t="s">
        <v>180</v>
      </c>
      <c r="C592" t="str">
        <f>""""&amp;SUBSTITUTE(A592,"zzz",H592)&amp;""""&amp;","</f>
        <v>"https://www.zeldadungeon.net/maps/totk/tiles/sky/6/14_24.jpg",</v>
      </c>
      <c r="H592" t="str">
        <f>QUOTIENT(ROW(A592),48)+2&amp;"_"&amp;MOD(ROW(A592),48)+8</f>
        <v>14_24</v>
      </c>
    </row>
    <row r="593" spans="1:8" x14ac:dyDescent="0.2">
      <c r="A593" s="9" t="s">
        <v>51</v>
      </c>
      <c r="B593" t="s">
        <v>179</v>
      </c>
      <c r="C593" t="str">
        <f>""""&amp;SUBSTITUTE(A593,"zzz",H593)&amp;""""&amp;","</f>
        <v>"https://www.zeldadungeon.net/maps/totk/tiles/sky/6/14_25.jpg",</v>
      </c>
      <c r="H593" t="str">
        <f>QUOTIENT(ROW(A593),48)+2&amp;"_"&amp;MOD(ROW(A593),48)+8</f>
        <v>14_25</v>
      </c>
    </row>
    <row r="594" spans="1:8" x14ac:dyDescent="0.2">
      <c r="A594" s="9" t="s">
        <v>51</v>
      </c>
      <c r="B594" t="s">
        <v>178</v>
      </c>
      <c r="C594" t="str">
        <f>""""&amp;SUBSTITUTE(A594,"zzz",H594)&amp;""""&amp;","</f>
        <v>"https://www.zeldadungeon.net/maps/totk/tiles/sky/6/14_26.jpg",</v>
      </c>
      <c r="H594" t="str">
        <f>QUOTIENT(ROW(A594),48)+2&amp;"_"&amp;MOD(ROW(A594),48)+8</f>
        <v>14_26</v>
      </c>
    </row>
    <row r="595" spans="1:8" x14ac:dyDescent="0.2">
      <c r="A595" s="9" t="s">
        <v>51</v>
      </c>
      <c r="B595" t="s">
        <v>177</v>
      </c>
      <c r="C595" t="str">
        <f>""""&amp;SUBSTITUTE(A595,"zzz",H595)&amp;""""&amp;","</f>
        <v>"https://www.zeldadungeon.net/maps/totk/tiles/sky/6/14_27.jpg",</v>
      </c>
      <c r="H595" t="str">
        <f>QUOTIENT(ROW(A595),48)+2&amp;"_"&amp;MOD(ROW(A595),48)+8</f>
        <v>14_27</v>
      </c>
    </row>
    <row r="596" spans="1:8" x14ac:dyDescent="0.2">
      <c r="A596" s="9" t="s">
        <v>51</v>
      </c>
      <c r="B596" t="s">
        <v>176</v>
      </c>
      <c r="C596" t="str">
        <f>""""&amp;SUBSTITUTE(A596,"zzz",H596)&amp;""""&amp;","</f>
        <v>"https://www.zeldadungeon.net/maps/totk/tiles/sky/6/14_28.jpg",</v>
      </c>
      <c r="H596" t="str">
        <f>QUOTIENT(ROW(A596),48)+2&amp;"_"&amp;MOD(ROW(A596),48)+8</f>
        <v>14_28</v>
      </c>
    </row>
    <row r="597" spans="1:8" x14ac:dyDescent="0.2">
      <c r="A597" s="9" t="s">
        <v>51</v>
      </c>
      <c r="B597" t="s">
        <v>175</v>
      </c>
      <c r="C597" t="str">
        <f>""""&amp;SUBSTITUTE(A597,"zzz",H597)&amp;""""&amp;","</f>
        <v>"https://www.zeldadungeon.net/maps/totk/tiles/sky/6/14_29.jpg",</v>
      </c>
      <c r="H597" t="str">
        <f>QUOTIENT(ROW(A597),48)+2&amp;"_"&amp;MOD(ROW(A597),48)+8</f>
        <v>14_29</v>
      </c>
    </row>
    <row r="598" spans="1:8" x14ac:dyDescent="0.2">
      <c r="A598" s="9" t="s">
        <v>51</v>
      </c>
      <c r="B598" t="s">
        <v>174</v>
      </c>
      <c r="C598" t="str">
        <f>""""&amp;SUBSTITUTE(A598,"zzz",H598)&amp;""""&amp;","</f>
        <v>"https://www.zeldadungeon.net/maps/totk/tiles/sky/6/14_30.jpg",</v>
      </c>
      <c r="H598" t="str">
        <f>QUOTIENT(ROW(A598),48)+2&amp;"_"&amp;MOD(ROW(A598),48)+8</f>
        <v>14_30</v>
      </c>
    </row>
    <row r="599" spans="1:8" x14ac:dyDescent="0.2">
      <c r="A599" s="9" t="s">
        <v>51</v>
      </c>
      <c r="B599" t="s">
        <v>173</v>
      </c>
      <c r="C599" t="str">
        <f>""""&amp;SUBSTITUTE(A599,"zzz",H599)&amp;""""&amp;","</f>
        <v>"https://www.zeldadungeon.net/maps/totk/tiles/sky/6/14_31.jpg",</v>
      </c>
      <c r="H599" t="str">
        <f>QUOTIENT(ROW(A599),48)+2&amp;"_"&amp;MOD(ROW(A599),48)+8</f>
        <v>14_31</v>
      </c>
    </row>
    <row r="600" spans="1:8" x14ac:dyDescent="0.2">
      <c r="A600" s="9" t="s">
        <v>51</v>
      </c>
      <c r="B600" t="s">
        <v>172</v>
      </c>
      <c r="C600" t="str">
        <f>""""&amp;SUBSTITUTE(A600,"zzz",H600)&amp;""""&amp;","</f>
        <v>"https://www.zeldadungeon.net/maps/totk/tiles/sky/6/14_32.jpg",</v>
      </c>
      <c r="H600" t="str">
        <f>QUOTIENT(ROW(A600),48)+2&amp;"_"&amp;MOD(ROW(A600),48)+8</f>
        <v>14_32</v>
      </c>
    </row>
    <row r="601" spans="1:8" x14ac:dyDescent="0.2">
      <c r="A601" s="9" t="s">
        <v>51</v>
      </c>
      <c r="B601" t="s">
        <v>171</v>
      </c>
      <c r="C601" t="str">
        <f>""""&amp;SUBSTITUTE(A601,"zzz",H601)&amp;""""&amp;","</f>
        <v>"https://www.zeldadungeon.net/maps/totk/tiles/sky/6/14_33.jpg",</v>
      </c>
      <c r="H601" t="str">
        <f>QUOTIENT(ROW(A601),48)+2&amp;"_"&amp;MOD(ROW(A601),48)+8</f>
        <v>14_33</v>
      </c>
    </row>
    <row r="602" spans="1:8" x14ac:dyDescent="0.2">
      <c r="A602" s="9" t="s">
        <v>51</v>
      </c>
      <c r="B602" t="s">
        <v>170</v>
      </c>
      <c r="C602" t="str">
        <f>""""&amp;SUBSTITUTE(A602,"zzz",H602)&amp;""""&amp;","</f>
        <v>"https://www.zeldadungeon.net/maps/totk/tiles/sky/6/14_34.jpg",</v>
      </c>
      <c r="H602" t="str">
        <f>QUOTIENT(ROW(A602),48)+2&amp;"_"&amp;MOD(ROW(A602),48)+8</f>
        <v>14_34</v>
      </c>
    </row>
    <row r="603" spans="1:8" x14ac:dyDescent="0.2">
      <c r="A603" s="9" t="s">
        <v>51</v>
      </c>
      <c r="B603" t="s">
        <v>169</v>
      </c>
      <c r="C603" t="str">
        <f>""""&amp;SUBSTITUTE(A603,"zzz",H603)&amp;""""&amp;","</f>
        <v>"https://www.zeldadungeon.net/maps/totk/tiles/sky/6/14_35.jpg",</v>
      </c>
      <c r="H603" t="str">
        <f>QUOTIENT(ROW(A603),48)+2&amp;"_"&amp;MOD(ROW(A603),48)+8</f>
        <v>14_35</v>
      </c>
    </row>
    <row r="604" spans="1:8" x14ac:dyDescent="0.2">
      <c r="A604" s="9" t="s">
        <v>51</v>
      </c>
      <c r="B604" t="s">
        <v>168</v>
      </c>
      <c r="C604" t="str">
        <f>""""&amp;SUBSTITUTE(A604,"zzz",H604)&amp;""""&amp;","</f>
        <v>"https://www.zeldadungeon.net/maps/totk/tiles/sky/6/14_36.jpg",</v>
      </c>
      <c r="H604" t="str">
        <f>QUOTIENT(ROW(A604),48)+2&amp;"_"&amp;MOD(ROW(A604),48)+8</f>
        <v>14_36</v>
      </c>
    </row>
    <row r="605" spans="1:8" x14ac:dyDescent="0.2">
      <c r="A605" s="9" t="s">
        <v>51</v>
      </c>
      <c r="B605" t="s">
        <v>167</v>
      </c>
      <c r="C605" t="str">
        <f>""""&amp;SUBSTITUTE(A605,"zzz",H605)&amp;""""&amp;","</f>
        <v>"https://www.zeldadungeon.net/maps/totk/tiles/sky/6/14_37.jpg",</v>
      </c>
      <c r="H605" t="str">
        <f>QUOTIENT(ROW(A605),48)+2&amp;"_"&amp;MOD(ROW(A605),48)+8</f>
        <v>14_37</v>
      </c>
    </row>
    <row r="606" spans="1:8" x14ac:dyDescent="0.2">
      <c r="A606" s="9" t="s">
        <v>51</v>
      </c>
      <c r="B606" t="s">
        <v>166</v>
      </c>
      <c r="C606" t="str">
        <f>""""&amp;SUBSTITUTE(A606,"zzz",H606)&amp;""""&amp;","</f>
        <v>"https://www.zeldadungeon.net/maps/totk/tiles/sky/6/14_38.jpg",</v>
      </c>
      <c r="H606" t="str">
        <f>QUOTIENT(ROW(A606),48)+2&amp;"_"&amp;MOD(ROW(A606),48)+8</f>
        <v>14_38</v>
      </c>
    </row>
    <row r="607" spans="1:8" x14ac:dyDescent="0.2">
      <c r="A607" s="9" t="s">
        <v>51</v>
      </c>
      <c r="B607" t="s">
        <v>165</v>
      </c>
      <c r="C607" t="str">
        <f>""""&amp;SUBSTITUTE(A607,"zzz",H607)&amp;""""&amp;","</f>
        <v>"https://www.zeldadungeon.net/maps/totk/tiles/sky/6/14_39.jpg",</v>
      </c>
      <c r="H607" t="str">
        <f>QUOTIENT(ROW(A607),48)+2&amp;"_"&amp;MOD(ROW(A607),48)+8</f>
        <v>14_39</v>
      </c>
    </row>
    <row r="608" spans="1:8" x14ac:dyDescent="0.2">
      <c r="A608" s="9" t="s">
        <v>51</v>
      </c>
      <c r="B608" t="s">
        <v>164</v>
      </c>
      <c r="C608" t="str">
        <f>""""&amp;SUBSTITUTE(A608,"zzz",H608)&amp;""""&amp;","</f>
        <v>"https://www.zeldadungeon.net/maps/totk/tiles/sky/6/14_40.jpg",</v>
      </c>
      <c r="H608" t="str">
        <f>QUOTIENT(ROW(A608),48)+2&amp;"_"&amp;MOD(ROW(A608),48)+8</f>
        <v>14_40</v>
      </c>
    </row>
    <row r="609" spans="1:8" x14ac:dyDescent="0.2">
      <c r="A609" s="9" t="s">
        <v>51</v>
      </c>
      <c r="B609" t="s">
        <v>163</v>
      </c>
      <c r="C609" t="str">
        <f>""""&amp;SUBSTITUTE(A609,"zzz",H609)&amp;""""&amp;","</f>
        <v>"https://www.zeldadungeon.net/maps/totk/tiles/sky/6/14_41.jpg",</v>
      </c>
      <c r="H609" t="str">
        <f>QUOTIENT(ROW(A609),48)+2&amp;"_"&amp;MOD(ROW(A609),48)+8</f>
        <v>14_41</v>
      </c>
    </row>
    <row r="610" spans="1:8" x14ac:dyDescent="0.2">
      <c r="A610" s="9" t="s">
        <v>51</v>
      </c>
      <c r="B610" t="s">
        <v>162</v>
      </c>
      <c r="C610" t="str">
        <f>""""&amp;SUBSTITUTE(A610,"zzz",H610)&amp;""""&amp;","</f>
        <v>"https://www.zeldadungeon.net/maps/totk/tiles/sky/6/14_42.jpg",</v>
      </c>
      <c r="H610" t="str">
        <f>QUOTIENT(ROW(A610),48)+2&amp;"_"&amp;MOD(ROW(A610),48)+8</f>
        <v>14_42</v>
      </c>
    </row>
    <row r="611" spans="1:8" x14ac:dyDescent="0.2">
      <c r="A611" s="9" t="s">
        <v>51</v>
      </c>
      <c r="B611" t="s">
        <v>161</v>
      </c>
      <c r="C611" t="str">
        <f>""""&amp;SUBSTITUTE(A611,"zzz",H611)&amp;""""&amp;","</f>
        <v>"https://www.zeldadungeon.net/maps/totk/tiles/sky/6/14_43.jpg",</v>
      </c>
      <c r="H611" t="str">
        <f>QUOTIENT(ROW(A611),48)+2&amp;"_"&amp;MOD(ROW(A611),48)+8</f>
        <v>14_43</v>
      </c>
    </row>
    <row r="612" spans="1:8" x14ac:dyDescent="0.2">
      <c r="A612" s="9" t="s">
        <v>51</v>
      </c>
      <c r="B612" t="s">
        <v>160</v>
      </c>
      <c r="C612" t="str">
        <f>""""&amp;SUBSTITUTE(A612,"zzz",H612)&amp;""""&amp;","</f>
        <v>"https://www.zeldadungeon.net/maps/totk/tiles/sky/6/14_44.jpg",</v>
      </c>
      <c r="H612" t="str">
        <f>QUOTIENT(ROW(A612),48)+2&amp;"_"&amp;MOD(ROW(A612),48)+8</f>
        <v>14_44</v>
      </c>
    </row>
    <row r="613" spans="1:8" x14ac:dyDescent="0.2">
      <c r="A613" s="9" t="s">
        <v>51</v>
      </c>
      <c r="B613" t="s">
        <v>159</v>
      </c>
      <c r="C613" t="str">
        <f>""""&amp;SUBSTITUTE(A613,"zzz",H613)&amp;""""&amp;","</f>
        <v>"https://www.zeldadungeon.net/maps/totk/tiles/sky/6/14_45.jpg",</v>
      </c>
      <c r="H613" t="str">
        <f>QUOTIENT(ROW(A613),48)+2&amp;"_"&amp;MOD(ROW(A613),48)+8</f>
        <v>14_45</v>
      </c>
    </row>
    <row r="614" spans="1:8" x14ac:dyDescent="0.2">
      <c r="A614" s="9" t="s">
        <v>51</v>
      </c>
      <c r="B614" t="s">
        <v>158</v>
      </c>
      <c r="C614" t="str">
        <f>""""&amp;SUBSTITUTE(A614,"zzz",H614)&amp;""""&amp;","</f>
        <v>"https://www.zeldadungeon.net/maps/totk/tiles/sky/6/14_46.jpg",</v>
      </c>
      <c r="H614" t="str">
        <f>QUOTIENT(ROW(A614),48)+2&amp;"_"&amp;MOD(ROW(A614),48)+8</f>
        <v>14_46</v>
      </c>
    </row>
    <row r="615" spans="1:8" x14ac:dyDescent="0.2">
      <c r="A615" s="9" t="s">
        <v>51</v>
      </c>
      <c r="B615" t="s">
        <v>157</v>
      </c>
      <c r="C615" t="str">
        <f>""""&amp;SUBSTITUTE(A615,"zzz",H615)&amp;""""&amp;","</f>
        <v>"https://www.zeldadungeon.net/maps/totk/tiles/sky/6/14_47.jpg",</v>
      </c>
      <c r="H615" t="str">
        <f>QUOTIENT(ROW(A615),48)+2&amp;"_"&amp;MOD(ROW(A615),48)+8</f>
        <v>14_47</v>
      </c>
    </row>
    <row r="616" spans="1:8" x14ac:dyDescent="0.2">
      <c r="A616" s="9" t="s">
        <v>51</v>
      </c>
      <c r="B616" t="s">
        <v>156</v>
      </c>
      <c r="C616" t="str">
        <f>""""&amp;SUBSTITUTE(A616,"zzz",H616)&amp;""""&amp;","</f>
        <v>"https://www.zeldadungeon.net/maps/totk/tiles/sky/6/14_48.jpg",</v>
      </c>
      <c r="H616" t="str">
        <f>QUOTIENT(ROW(A616),48)+2&amp;"_"&amp;MOD(ROW(A616),48)+8</f>
        <v>14_48</v>
      </c>
    </row>
    <row r="617" spans="1:8" x14ac:dyDescent="0.2">
      <c r="A617" s="9" t="s">
        <v>51</v>
      </c>
      <c r="B617" t="s">
        <v>155</v>
      </c>
      <c r="C617" t="str">
        <f>""""&amp;SUBSTITUTE(A617,"zzz",H617)&amp;""""&amp;","</f>
        <v>"https://www.zeldadungeon.net/maps/totk/tiles/sky/6/14_49.jpg",</v>
      </c>
      <c r="H617" t="str">
        <f>QUOTIENT(ROW(A617),48)+2&amp;"_"&amp;MOD(ROW(A617),48)+8</f>
        <v>14_49</v>
      </c>
    </row>
    <row r="618" spans="1:8" x14ac:dyDescent="0.2">
      <c r="A618" s="9" t="s">
        <v>51</v>
      </c>
      <c r="B618" t="s">
        <v>154</v>
      </c>
      <c r="C618" t="str">
        <f>""""&amp;SUBSTITUTE(A618,"zzz",H618)&amp;""""&amp;","</f>
        <v>"https://www.zeldadungeon.net/maps/totk/tiles/sky/6/14_50.jpg",</v>
      </c>
      <c r="H618" t="str">
        <f>QUOTIENT(ROW(A618),48)+2&amp;"_"&amp;MOD(ROW(A618),48)+8</f>
        <v>14_50</v>
      </c>
    </row>
    <row r="619" spans="1:8" x14ac:dyDescent="0.2">
      <c r="A619" s="9" t="s">
        <v>51</v>
      </c>
      <c r="B619" t="s">
        <v>153</v>
      </c>
      <c r="C619" t="str">
        <f>""""&amp;SUBSTITUTE(A619,"zzz",H619)&amp;""""&amp;","</f>
        <v>"https://www.zeldadungeon.net/maps/totk/tiles/sky/6/14_51.jpg",</v>
      </c>
      <c r="H619" t="str">
        <f>QUOTIENT(ROW(A619),48)+2&amp;"_"&amp;MOD(ROW(A619),48)+8</f>
        <v>14_51</v>
      </c>
    </row>
    <row r="620" spans="1:8" x14ac:dyDescent="0.2">
      <c r="A620" s="9" t="s">
        <v>51</v>
      </c>
      <c r="B620" t="s">
        <v>152</v>
      </c>
      <c r="C620" t="str">
        <f>""""&amp;SUBSTITUTE(A620,"zzz",H620)&amp;""""&amp;","</f>
        <v>"https://www.zeldadungeon.net/maps/totk/tiles/sky/6/14_52.jpg",</v>
      </c>
      <c r="H620" t="str">
        <f>QUOTIENT(ROW(A620),48)+2&amp;"_"&amp;MOD(ROW(A620),48)+8</f>
        <v>14_52</v>
      </c>
    </row>
    <row r="621" spans="1:8" x14ac:dyDescent="0.2">
      <c r="A621" s="9" t="s">
        <v>51</v>
      </c>
      <c r="B621" t="s">
        <v>151</v>
      </c>
      <c r="C621" t="str">
        <f>""""&amp;SUBSTITUTE(A621,"zzz",H621)&amp;""""&amp;","</f>
        <v>"https://www.zeldadungeon.net/maps/totk/tiles/sky/6/14_53.jpg",</v>
      </c>
      <c r="H621" t="str">
        <f>QUOTIENT(ROW(A621),48)+2&amp;"_"&amp;MOD(ROW(A621),48)+8</f>
        <v>14_53</v>
      </c>
    </row>
    <row r="622" spans="1:8" x14ac:dyDescent="0.2">
      <c r="A622" s="9" t="s">
        <v>51</v>
      </c>
      <c r="B622" t="s">
        <v>150</v>
      </c>
      <c r="C622" t="str">
        <f>""""&amp;SUBSTITUTE(A622,"zzz",H622)&amp;""""&amp;","</f>
        <v>"https://www.zeldadungeon.net/maps/totk/tiles/sky/6/14_54.jpg",</v>
      </c>
      <c r="H622" t="str">
        <f>QUOTIENT(ROW(A622),48)+2&amp;"_"&amp;MOD(ROW(A622),48)+8</f>
        <v>14_54</v>
      </c>
    </row>
    <row r="623" spans="1:8" x14ac:dyDescent="0.2">
      <c r="A623" s="9" t="s">
        <v>51</v>
      </c>
      <c r="B623" t="s">
        <v>149</v>
      </c>
      <c r="C623" t="str">
        <f>""""&amp;SUBSTITUTE(A623,"zzz",H623)&amp;""""&amp;","</f>
        <v>"https://www.zeldadungeon.net/maps/totk/tiles/sky/6/14_55.jpg",</v>
      </c>
      <c r="H623" t="str">
        <f>QUOTIENT(ROW(A623),48)+2&amp;"_"&amp;MOD(ROW(A623),48)+8</f>
        <v>14_55</v>
      </c>
    </row>
    <row r="624" spans="1:8" x14ac:dyDescent="0.2">
      <c r="A624" s="9" t="s">
        <v>51</v>
      </c>
      <c r="B624" t="s">
        <v>148</v>
      </c>
      <c r="C624" t="str">
        <f>""""&amp;SUBSTITUTE(A624,"zzz",H624)&amp;""""&amp;","</f>
        <v>"https://www.zeldadungeon.net/maps/totk/tiles/sky/6/15_8.jpg",</v>
      </c>
      <c r="H624" t="str">
        <f>QUOTIENT(ROW(A624),48)+2&amp;"_"&amp;MOD(ROW(A624),48)+8</f>
        <v>15_8</v>
      </c>
    </row>
    <row r="625" spans="1:8" x14ac:dyDescent="0.2">
      <c r="A625" s="9" t="s">
        <v>51</v>
      </c>
      <c r="B625" t="s">
        <v>147</v>
      </c>
      <c r="C625" t="str">
        <f>""""&amp;SUBSTITUTE(A625,"zzz",H625)&amp;""""&amp;","</f>
        <v>"https://www.zeldadungeon.net/maps/totk/tiles/sky/6/15_9.jpg",</v>
      </c>
      <c r="H625" t="str">
        <f>QUOTIENT(ROW(A625),48)+2&amp;"_"&amp;MOD(ROW(A625),48)+8</f>
        <v>15_9</v>
      </c>
    </row>
    <row r="626" spans="1:8" x14ac:dyDescent="0.2">
      <c r="A626" s="9" t="s">
        <v>51</v>
      </c>
      <c r="B626" t="s">
        <v>146</v>
      </c>
      <c r="C626" t="str">
        <f>""""&amp;SUBSTITUTE(A626,"zzz",H626)&amp;""""&amp;","</f>
        <v>"https://www.zeldadungeon.net/maps/totk/tiles/sky/6/15_10.jpg",</v>
      </c>
      <c r="H626" t="str">
        <f>QUOTIENT(ROW(A626),48)+2&amp;"_"&amp;MOD(ROW(A626),48)+8</f>
        <v>15_10</v>
      </c>
    </row>
    <row r="627" spans="1:8" x14ac:dyDescent="0.2">
      <c r="A627" s="9" t="s">
        <v>51</v>
      </c>
      <c r="B627" t="s">
        <v>145</v>
      </c>
      <c r="C627" t="str">
        <f>""""&amp;SUBSTITUTE(A627,"zzz",H627)&amp;""""&amp;","</f>
        <v>"https://www.zeldadungeon.net/maps/totk/tiles/sky/6/15_11.jpg",</v>
      </c>
      <c r="H627" t="str">
        <f>QUOTIENT(ROW(A627),48)+2&amp;"_"&amp;MOD(ROW(A627),48)+8</f>
        <v>15_11</v>
      </c>
    </row>
    <row r="628" spans="1:8" x14ac:dyDescent="0.2">
      <c r="A628" s="9" t="s">
        <v>51</v>
      </c>
      <c r="B628" t="s">
        <v>144</v>
      </c>
      <c r="C628" t="str">
        <f>""""&amp;SUBSTITUTE(A628,"zzz",H628)&amp;""""&amp;","</f>
        <v>"https://www.zeldadungeon.net/maps/totk/tiles/sky/6/15_12.jpg",</v>
      </c>
      <c r="H628" t="str">
        <f>QUOTIENT(ROW(A628),48)+2&amp;"_"&amp;MOD(ROW(A628),48)+8</f>
        <v>15_12</v>
      </c>
    </row>
    <row r="629" spans="1:8" x14ac:dyDescent="0.2">
      <c r="A629" s="9" t="s">
        <v>51</v>
      </c>
      <c r="B629" t="s">
        <v>143</v>
      </c>
      <c r="C629" t="str">
        <f>""""&amp;SUBSTITUTE(A629,"zzz",H629)&amp;""""&amp;","</f>
        <v>"https://www.zeldadungeon.net/maps/totk/tiles/sky/6/15_13.jpg",</v>
      </c>
      <c r="H629" t="str">
        <f>QUOTIENT(ROW(A629),48)+2&amp;"_"&amp;MOD(ROW(A629),48)+8</f>
        <v>15_13</v>
      </c>
    </row>
    <row r="630" spans="1:8" x14ac:dyDescent="0.2">
      <c r="A630" s="9" t="s">
        <v>51</v>
      </c>
      <c r="B630" t="s">
        <v>142</v>
      </c>
      <c r="C630" t="str">
        <f>""""&amp;SUBSTITUTE(A630,"zzz",H630)&amp;""""&amp;","</f>
        <v>"https://www.zeldadungeon.net/maps/totk/tiles/sky/6/15_14.jpg",</v>
      </c>
      <c r="H630" t="str">
        <f>QUOTIENT(ROW(A630),48)+2&amp;"_"&amp;MOD(ROW(A630),48)+8</f>
        <v>15_14</v>
      </c>
    </row>
    <row r="631" spans="1:8" x14ac:dyDescent="0.2">
      <c r="A631" s="9" t="s">
        <v>51</v>
      </c>
      <c r="B631" t="s">
        <v>141</v>
      </c>
      <c r="C631" t="str">
        <f>""""&amp;SUBSTITUTE(A631,"zzz",H631)&amp;""""&amp;","</f>
        <v>"https://www.zeldadungeon.net/maps/totk/tiles/sky/6/15_15.jpg",</v>
      </c>
      <c r="H631" t="str">
        <f>QUOTIENT(ROW(A631),48)+2&amp;"_"&amp;MOD(ROW(A631),48)+8</f>
        <v>15_15</v>
      </c>
    </row>
    <row r="632" spans="1:8" x14ac:dyDescent="0.2">
      <c r="A632" s="9" t="s">
        <v>51</v>
      </c>
      <c r="B632" t="s">
        <v>140</v>
      </c>
      <c r="C632" t="str">
        <f>""""&amp;SUBSTITUTE(A632,"zzz",H632)&amp;""""&amp;","</f>
        <v>"https://www.zeldadungeon.net/maps/totk/tiles/sky/6/15_16.jpg",</v>
      </c>
      <c r="H632" t="str">
        <f>QUOTIENT(ROW(A632),48)+2&amp;"_"&amp;MOD(ROW(A632),48)+8</f>
        <v>15_16</v>
      </c>
    </row>
    <row r="633" spans="1:8" x14ac:dyDescent="0.2">
      <c r="A633" s="9" t="s">
        <v>51</v>
      </c>
      <c r="B633" t="s">
        <v>139</v>
      </c>
      <c r="C633" t="str">
        <f>""""&amp;SUBSTITUTE(A633,"zzz",H633)&amp;""""&amp;","</f>
        <v>"https://www.zeldadungeon.net/maps/totk/tiles/sky/6/15_17.jpg",</v>
      </c>
      <c r="H633" t="str">
        <f>QUOTIENT(ROW(A633),48)+2&amp;"_"&amp;MOD(ROW(A633),48)+8</f>
        <v>15_17</v>
      </c>
    </row>
    <row r="634" spans="1:8" x14ac:dyDescent="0.2">
      <c r="A634" s="9" t="s">
        <v>51</v>
      </c>
      <c r="B634" t="s">
        <v>138</v>
      </c>
      <c r="C634" t="str">
        <f>""""&amp;SUBSTITUTE(A634,"zzz",H634)&amp;""""&amp;","</f>
        <v>"https://www.zeldadungeon.net/maps/totk/tiles/sky/6/15_18.jpg",</v>
      </c>
      <c r="H634" t="str">
        <f>QUOTIENT(ROW(A634),48)+2&amp;"_"&amp;MOD(ROW(A634),48)+8</f>
        <v>15_18</v>
      </c>
    </row>
    <row r="635" spans="1:8" x14ac:dyDescent="0.2">
      <c r="A635" s="9" t="s">
        <v>51</v>
      </c>
      <c r="B635" t="s">
        <v>137</v>
      </c>
      <c r="C635" t="str">
        <f>""""&amp;SUBSTITUTE(A635,"zzz",H635)&amp;""""&amp;","</f>
        <v>"https://www.zeldadungeon.net/maps/totk/tiles/sky/6/15_19.jpg",</v>
      </c>
      <c r="H635" t="str">
        <f>QUOTIENT(ROW(A635),48)+2&amp;"_"&amp;MOD(ROW(A635),48)+8</f>
        <v>15_19</v>
      </c>
    </row>
    <row r="636" spans="1:8" x14ac:dyDescent="0.2">
      <c r="A636" s="9" t="s">
        <v>51</v>
      </c>
      <c r="B636" t="s">
        <v>136</v>
      </c>
      <c r="C636" t="str">
        <f>""""&amp;SUBSTITUTE(A636,"zzz",H636)&amp;""""&amp;","</f>
        <v>"https://www.zeldadungeon.net/maps/totk/tiles/sky/6/15_20.jpg",</v>
      </c>
      <c r="H636" t="str">
        <f>QUOTIENT(ROW(A636),48)+2&amp;"_"&amp;MOD(ROW(A636),48)+8</f>
        <v>15_20</v>
      </c>
    </row>
    <row r="637" spans="1:8" x14ac:dyDescent="0.2">
      <c r="A637" s="9" t="s">
        <v>51</v>
      </c>
      <c r="B637" t="s">
        <v>135</v>
      </c>
      <c r="C637" t="str">
        <f>""""&amp;SUBSTITUTE(A637,"zzz",H637)&amp;""""&amp;","</f>
        <v>"https://www.zeldadungeon.net/maps/totk/tiles/sky/6/15_21.jpg",</v>
      </c>
      <c r="H637" t="str">
        <f>QUOTIENT(ROW(A637),48)+2&amp;"_"&amp;MOD(ROW(A637),48)+8</f>
        <v>15_21</v>
      </c>
    </row>
    <row r="638" spans="1:8" x14ac:dyDescent="0.2">
      <c r="A638" s="9" t="s">
        <v>51</v>
      </c>
      <c r="B638" t="s">
        <v>134</v>
      </c>
      <c r="C638" t="str">
        <f>""""&amp;SUBSTITUTE(A638,"zzz",H638)&amp;""""&amp;","</f>
        <v>"https://www.zeldadungeon.net/maps/totk/tiles/sky/6/15_22.jpg",</v>
      </c>
      <c r="H638" t="str">
        <f>QUOTIENT(ROW(A638),48)+2&amp;"_"&amp;MOD(ROW(A638),48)+8</f>
        <v>15_22</v>
      </c>
    </row>
    <row r="639" spans="1:8" x14ac:dyDescent="0.2">
      <c r="A639" s="9" t="s">
        <v>51</v>
      </c>
      <c r="B639" t="s">
        <v>133</v>
      </c>
      <c r="C639" t="str">
        <f>""""&amp;SUBSTITUTE(A639,"zzz",H639)&amp;""""&amp;","</f>
        <v>"https://www.zeldadungeon.net/maps/totk/tiles/sky/6/15_23.jpg",</v>
      </c>
      <c r="H639" t="str">
        <f>QUOTIENT(ROW(A639),48)+2&amp;"_"&amp;MOD(ROW(A639),48)+8</f>
        <v>15_23</v>
      </c>
    </row>
    <row r="640" spans="1:8" x14ac:dyDescent="0.2">
      <c r="A640" s="9" t="s">
        <v>51</v>
      </c>
      <c r="B640" t="s">
        <v>132</v>
      </c>
      <c r="C640" t="str">
        <f>""""&amp;SUBSTITUTE(A640,"zzz",H640)&amp;""""&amp;","</f>
        <v>"https://www.zeldadungeon.net/maps/totk/tiles/sky/6/15_24.jpg",</v>
      </c>
      <c r="H640" t="str">
        <f>QUOTIENT(ROW(A640),48)+2&amp;"_"&amp;MOD(ROW(A640),48)+8</f>
        <v>15_24</v>
      </c>
    </row>
    <row r="641" spans="1:8" x14ac:dyDescent="0.2">
      <c r="A641" s="9" t="s">
        <v>51</v>
      </c>
      <c r="B641" t="s">
        <v>131</v>
      </c>
      <c r="C641" t="str">
        <f>""""&amp;SUBSTITUTE(A641,"zzz",H641)&amp;""""&amp;","</f>
        <v>"https://www.zeldadungeon.net/maps/totk/tiles/sky/6/15_25.jpg",</v>
      </c>
      <c r="H641" t="str">
        <f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>""""&amp;SUBSTITUTE(A642,"zzz",H642)&amp;""""&amp;","</f>
        <v>"https://www.zeldadungeon.net/maps/totk/tiles/sky/6/15_26.jpg",</v>
      </c>
      <c r="H642" t="str">
        <f>QUOTIENT(ROW(A642),48)+2&amp;"_"&amp;MOD(ROW(A642),48)+8</f>
        <v>15_26</v>
      </c>
    </row>
    <row r="643" spans="1:8" x14ac:dyDescent="0.2">
      <c r="A643" s="9" t="s">
        <v>51</v>
      </c>
      <c r="B643" t="s">
        <v>129</v>
      </c>
      <c r="C643" t="str">
        <f>""""&amp;SUBSTITUTE(A643,"zzz",H643)&amp;""""&amp;","</f>
        <v>"https://www.zeldadungeon.net/maps/totk/tiles/sky/6/15_27.jpg",</v>
      </c>
      <c r="H643" t="str">
        <f>QUOTIENT(ROW(A643),48)+2&amp;"_"&amp;MOD(ROW(A643),48)+8</f>
        <v>15_27</v>
      </c>
    </row>
    <row r="644" spans="1:8" x14ac:dyDescent="0.2">
      <c r="A644" s="9" t="s">
        <v>51</v>
      </c>
      <c r="B644" t="s">
        <v>128</v>
      </c>
      <c r="C644" t="str">
        <f>""""&amp;SUBSTITUTE(A644,"zzz",H644)&amp;""""&amp;","</f>
        <v>"https://www.zeldadungeon.net/maps/totk/tiles/sky/6/15_28.jpg",</v>
      </c>
      <c r="H644" t="str">
        <f>QUOTIENT(ROW(A644),48)+2&amp;"_"&amp;MOD(ROW(A644),48)+8</f>
        <v>15_28</v>
      </c>
    </row>
    <row r="645" spans="1:8" x14ac:dyDescent="0.2">
      <c r="A645" s="9" t="s">
        <v>51</v>
      </c>
      <c r="B645" t="s">
        <v>127</v>
      </c>
      <c r="C645" t="str">
        <f>""""&amp;SUBSTITUTE(A645,"zzz",H645)&amp;""""&amp;","</f>
        <v>"https://www.zeldadungeon.net/maps/totk/tiles/sky/6/15_29.jpg",</v>
      </c>
      <c r="H645" t="str">
        <f>QUOTIENT(ROW(A645),48)+2&amp;"_"&amp;MOD(ROW(A645),48)+8</f>
        <v>15_29</v>
      </c>
    </row>
    <row r="646" spans="1:8" x14ac:dyDescent="0.2">
      <c r="A646" s="9" t="s">
        <v>51</v>
      </c>
      <c r="B646" t="s">
        <v>126</v>
      </c>
      <c r="C646" t="str">
        <f>""""&amp;SUBSTITUTE(A646,"zzz",H646)&amp;""""&amp;","</f>
        <v>"https://www.zeldadungeon.net/maps/totk/tiles/sky/6/15_30.jpg",</v>
      </c>
      <c r="H646" t="str">
        <f>QUOTIENT(ROW(A646),48)+2&amp;"_"&amp;MOD(ROW(A646),48)+8</f>
        <v>15_30</v>
      </c>
    </row>
    <row r="647" spans="1:8" x14ac:dyDescent="0.2">
      <c r="A647" s="9" t="s">
        <v>51</v>
      </c>
      <c r="B647" t="s">
        <v>125</v>
      </c>
      <c r="C647" t="str">
        <f>""""&amp;SUBSTITUTE(A647,"zzz",H647)&amp;""""&amp;","</f>
        <v>"https://www.zeldadungeon.net/maps/totk/tiles/sky/6/15_31.jpg",</v>
      </c>
      <c r="H647" t="str">
        <f>QUOTIENT(ROW(A647),48)+2&amp;"_"&amp;MOD(ROW(A647),48)+8</f>
        <v>15_31</v>
      </c>
    </row>
    <row r="648" spans="1:8" x14ac:dyDescent="0.2">
      <c r="A648" s="9" t="s">
        <v>51</v>
      </c>
      <c r="B648" t="s">
        <v>124</v>
      </c>
      <c r="C648" t="str">
        <f>""""&amp;SUBSTITUTE(A648,"zzz",H648)&amp;""""&amp;","</f>
        <v>"https://www.zeldadungeon.net/maps/totk/tiles/sky/6/15_32.jpg",</v>
      </c>
      <c r="H648" t="str">
        <f>QUOTIENT(ROW(A648),48)+2&amp;"_"&amp;MOD(ROW(A648),48)+8</f>
        <v>15_32</v>
      </c>
    </row>
    <row r="649" spans="1:8" x14ac:dyDescent="0.2">
      <c r="A649" s="9" t="s">
        <v>51</v>
      </c>
      <c r="B649" t="s">
        <v>123</v>
      </c>
      <c r="C649" t="str">
        <f>""""&amp;SUBSTITUTE(A649,"zzz",H649)&amp;""""&amp;","</f>
        <v>"https://www.zeldadungeon.net/maps/totk/tiles/sky/6/15_33.jpg",</v>
      </c>
      <c r="H649" t="str">
        <f>QUOTIENT(ROW(A649),48)+2&amp;"_"&amp;MOD(ROW(A649),48)+8</f>
        <v>15_33</v>
      </c>
    </row>
    <row r="650" spans="1:8" x14ac:dyDescent="0.2">
      <c r="A650" s="9" t="s">
        <v>51</v>
      </c>
      <c r="B650" t="s">
        <v>122</v>
      </c>
      <c r="C650" t="str">
        <f>""""&amp;SUBSTITUTE(A650,"zzz",H650)&amp;""""&amp;","</f>
        <v>"https://www.zeldadungeon.net/maps/totk/tiles/sky/6/15_34.jpg",</v>
      </c>
      <c r="H650" t="str">
        <f>QUOTIENT(ROW(A650),48)+2&amp;"_"&amp;MOD(ROW(A650),48)+8</f>
        <v>15_34</v>
      </c>
    </row>
    <row r="651" spans="1:8" x14ac:dyDescent="0.2">
      <c r="A651" s="9" t="s">
        <v>51</v>
      </c>
      <c r="B651" t="s">
        <v>121</v>
      </c>
      <c r="C651" t="str">
        <f>""""&amp;SUBSTITUTE(A651,"zzz",H651)&amp;""""&amp;","</f>
        <v>"https://www.zeldadungeon.net/maps/totk/tiles/sky/6/15_35.jpg",</v>
      </c>
      <c r="H651" t="str">
        <f>QUOTIENT(ROW(A651),48)+2&amp;"_"&amp;MOD(ROW(A651),48)+8</f>
        <v>15_35</v>
      </c>
    </row>
    <row r="652" spans="1:8" x14ac:dyDescent="0.2">
      <c r="A652" s="9" t="s">
        <v>51</v>
      </c>
      <c r="B652" t="s">
        <v>120</v>
      </c>
      <c r="C652" t="str">
        <f>""""&amp;SUBSTITUTE(A652,"zzz",H652)&amp;""""&amp;","</f>
        <v>"https://www.zeldadungeon.net/maps/totk/tiles/sky/6/15_36.jpg",</v>
      </c>
      <c r="H652" t="str">
        <f>QUOTIENT(ROW(A652),48)+2&amp;"_"&amp;MOD(ROW(A652),48)+8</f>
        <v>15_36</v>
      </c>
    </row>
    <row r="653" spans="1:8" x14ac:dyDescent="0.2">
      <c r="A653" s="9" t="s">
        <v>51</v>
      </c>
      <c r="B653" t="s">
        <v>119</v>
      </c>
      <c r="C653" t="str">
        <f>""""&amp;SUBSTITUTE(A653,"zzz",H653)&amp;""""&amp;","</f>
        <v>"https://www.zeldadungeon.net/maps/totk/tiles/sky/6/15_37.jpg",</v>
      </c>
      <c r="H653" t="str">
        <f>QUOTIENT(ROW(A653),48)+2&amp;"_"&amp;MOD(ROW(A653),48)+8</f>
        <v>15_37</v>
      </c>
    </row>
    <row r="654" spans="1:8" x14ac:dyDescent="0.2">
      <c r="A654" s="9" t="s">
        <v>51</v>
      </c>
      <c r="B654" t="s">
        <v>118</v>
      </c>
      <c r="C654" t="str">
        <f>""""&amp;SUBSTITUTE(A654,"zzz",H654)&amp;""""&amp;","</f>
        <v>"https://www.zeldadungeon.net/maps/totk/tiles/sky/6/15_38.jpg",</v>
      </c>
      <c r="H654" t="str">
        <f>QUOTIENT(ROW(A654),48)+2&amp;"_"&amp;MOD(ROW(A654),48)+8</f>
        <v>15_38</v>
      </c>
    </row>
    <row r="655" spans="1:8" x14ac:dyDescent="0.2">
      <c r="A655" s="9" t="s">
        <v>51</v>
      </c>
      <c r="B655" t="s">
        <v>117</v>
      </c>
      <c r="C655" t="str">
        <f>""""&amp;SUBSTITUTE(A655,"zzz",H655)&amp;""""&amp;","</f>
        <v>"https://www.zeldadungeon.net/maps/totk/tiles/sky/6/15_39.jpg",</v>
      </c>
      <c r="H655" t="str">
        <f>QUOTIENT(ROW(A655),48)+2&amp;"_"&amp;MOD(ROW(A655),48)+8</f>
        <v>15_39</v>
      </c>
    </row>
    <row r="656" spans="1:8" x14ac:dyDescent="0.2">
      <c r="A656" s="9" t="s">
        <v>51</v>
      </c>
      <c r="B656" t="s">
        <v>116</v>
      </c>
      <c r="C656" t="str">
        <f>""""&amp;SUBSTITUTE(A656,"zzz",H656)&amp;""""&amp;","</f>
        <v>"https://www.zeldadungeon.net/maps/totk/tiles/sky/6/15_40.jpg",</v>
      </c>
      <c r="H656" t="str">
        <f>QUOTIENT(ROW(A656),48)+2&amp;"_"&amp;MOD(ROW(A656),48)+8</f>
        <v>15_40</v>
      </c>
    </row>
    <row r="657" spans="1:8" x14ac:dyDescent="0.2">
      <c r="A657" s="9" t="s">
        <v>51</v>
      </c>
      <c r="B657" t="s">
        <v>115</v>
      </c>
      <c r="C657" t="str">
        <f>""""&amp;SUBSTITUTE(A657,"zzz",H657)&amp;""""&amp;","</f>
        <v>"https://www.zeldadungeon.net/maps/totk/tiles/sky/6/15_41.jpg",</v>
      </c>
      <c r="H657" t="str">
        <f>QUOTIENT(ROW(A657),48)+2&amp;"_"&amp;MOD(ROW(A657),48)+8</f>
        <v>15_41</v>
      </c>
    </row>
    <row r="658" spans="1:8" x14ac:dyDescent="0.2">
      <c r="A658" s="9" t="s">
        <v>51</v>
      </c>
      <c r="B658" t="s">
        <v>114</v>
      </c>
      <c r="C658" t="str">
        <f>""""&amp;SUBSTITUTE(A658,"zzz",H658)&amp;""""&amp;","</f>
        <v>"https://www.zeldadungeon.net/maps/totk/tiles/sky/6/15_42.jpg",</v>
      </c>
      <c r="H658" t="str">
        <f>QUOTIENT(ROW(A658),48)+2&amp;"_"&amp;MOD(ROW(A658),48)+8</f>
        <v>15_42</v>
      </c>
    </row>
    <row r="659" spans="1:8" x14ac:dyDescent="0.2">
      <c r="A659" s="9" t="s">
        <v>51</v>
      </c>
      <c r="B659" t="s">
        <v>113</v>
      </c>
      <c r="C659" t="str">
        <f>""""&amp;SUBSTITUTE(A659,"zzz",H659)&amp;""""&amp;","</f>
        <v>"https://www.zeldadungeon.net/maps/totk/tiles/sky/6/15_43.jpg",</v>
      </c>
      <c r="H659" t="str">
        <f>QUOTIENT(ROW(A659),48)+2&amp;"_"&amp;MOD(ROW(A659),48)+8</f>
        <v>15_43</v>
      </c>
    </row>
    <row r="660" spans="1:8" x14ac:dyDescent="0.2">
      <c r="A660" s="9" t="s">
        <v>51</v>
      </c>
      <c r="B660" t="s">
        <v>112</v>
      </c>
      <c r="C660" t="str">
        <f>""""&amp;SUBSTITUTE(A660,"zzz",H660)&amp;""""&amp;","</f>
        <v>"https://www.zeldadungeon.net/maps/totk/tiles/sky/6/15_44.jpg",</v>
      </c>
      <c r="H660" t="str">
        <f>QUOTIENT(ROW(A660),48)+2&amp;"_"&amp;MOD(ROW(A660),48)+8</f>
        <v>15_44</v>
      </c>
    </row>
    <row r="661" spans="1:8" x14ac:dyDescent="0.2">
      <c r="A661" s="9" t="s">
        <v>51</v>
      </c>
      <c r="B661" t="s">
        <v>111</v>
      </c>
      <c r="C661" t="str">
        <f>""""&amp;SUBSTITUTE(A661,"zzz",H661)&amp;""""&amp;","</f>
        <v>"https://www.zeldadungeon.net/maps/totk/tiles/sky/6/15_45.jpg",</v>
      </c>
      <c r="H661" t="str">
        <f>QUOTIENT(ROW(A661),48)+2&amp;"_"&amp;MOD(ROW(A661),48)+8</f>
        <v>15_45</v>
      </c>
    </row>
    <row r="662" spans="1:8" x14ac:dyDescent="0.2">
      <c r="A662" s="9" t="s">
        <v>51</v>
      </c>
      <c r="B662" t="s">
        <v>110</v>
      </c>
      <c r="C662" t="str">
        <f>""""&amp;SUBSTITUTE(A662,"zzz",H662)&amp;""""&amp;","</f>
        <v>"https://www.zeldadungeon.net/maps/totk/tiles/sky/6/15_46.jpg",</v>
      </c>
      <c r="H662" t="str">
        <f>QUOTIENT(ROW(A662),48)+2&amp;"_"&amp;MOD(ROW(A662),48)+8</f>
        <v>15_46</v>
      </c>
    </row>
    <row r="663" spans="1:8" x14ac:dyDescent="0.2">
      <c r="A663" s="9" t="s">
        <v>51</v>
      </c>
      <c r="B663" t="s">
        <v>109</v>
      </c>
      <c r="C663" t="str">
        <f>""""&amp;SUBSTITUTE(A663,"zzz",H663)&amp;""""&amp;","</f>
        <v>"https://www.zeldadungeon.net/maps/totk/tiles/sky/6/15_47.jpg",</v>
      </c>
      <c r="H663" t="str">
        <f>QUOTIENT(ROW(A663),48)+2&amp;"_"&amp;MOD(ROW(A663),48)+8</f>
        <v>15_47</v>
      </c>
    </row>
    <row r="664" spans="1:8" x14ac:dyDescent="0.2">
      <c r="A664" s="9" t="s">
        <v>51</v>
      </c>
      <c r="B664" t="s">
        <v>108</v>
      </c>
      <c r="C664" t="str">
        <f>""""&amp;SUBSTITUTE(A664,"zzz",H664)&amp;""""&amp;","</f>
        <v>"https://www.zeldadungeon.net/maps/totk/tiles/sky/6/15_48.jpg",</v>
      </c>
      <c r="H664" t="str">
        <f>QUOTIENT(ROW(A664),48)+2&amp;"_"&amp;MOD(ROW(A664),48)+8</f>
        <v>15_48</v>
      </c>
    </row>
    <row r="665" spans="1:8" x14ac:dyDescent="0.2">
      <c r="A665" s="9" t="s">
        <v>51</v>
      </c>
      <c r="B665" t="s">
        <v>107</v>
      </c>
      <c r="C665" t="str">
        <f>""""&amp;SUBSTITUTE(A665,"zzz",H665)&amp;""""&amp;","</f>
        <v>"https://www.zeldadungeon.net/maps/totk/tiles/sky/6/15_49.jpg",</v>
      </c>
      <c r="H665" t="str">
        <f>QUOTIENT(ROW(A665),48)+2&amp;"_"&amp;MOD(ROW(A665),48)+8</f>
        <v>15_49</v>
      </c>
    </row>
    <row r="666" spans="1:8" x14ac:dyDescent="0.2">
      <c r="A666" s="9" t="s">
        <v>51</v>
      </c>
      <c r="B666" t="s">
        <v>106</v>
      </c>
      <c r="C666" t="str">
        <f>""""&amp;SUBSTITUTE(A666,"zzz",H666)&amp;""""&amp;","</f>
        <v>"https://www.zeldadungeon.net/maps/totk/tiles/sky/6/15_50.jpg",</v>
      </c>
      <c r="H666" t="str">
        <f>QUOTIENT(ROW(A666),48)+2&amp;"_"&amp;MOD(ROW(A666),48)+8</f>
        <v>15_50</v>
      </c>
    </row>
    <row r="667" spans="1:8" x14ac:dyDescent="0.2">
      <c r="A667" s="9" t="s">
        <v>51</v>
      </c>
      <c r="B667" t="s">
        <v>105</v>
      </c>
      <c r="C667" t="str">
        <f>""""&amp;SUBSTITUTE(A667,"zzz",H667)&amp;""""&amp;","</f>
        <v>"https://www.zeldadungeon.net/maps/totk/tiles/sky/6/15_51.jpg",</v>
      </c>
      <c r="H667" t="str">
        <f>QUOTIENT(ROW(A667),48)+2&amp;"_"&amp;MOD(ROW(A667),48)+8</f>
        <v>15_51</v>
      </c>
    </row>
    <row r="668" spans="1:8" x14ac:dyDescent="0.2">
      <c r="A668" s="9" t="s">
        <v>51</v>
      </c>
      <c r="B668" t="s">
        <v>104</v>
      </c>
      <c r="C668" t="str">
        <f>""""&amp;SUBSTITUTE(A668,"zzz",H668)&amp;""""&amp;","</f>
        <v>"https://www.zeldadungeon.net/maps/totk/tiles/sky/6/15_52.jpg",</v>
      </c>
      <c r="H668" t="str">
        <f>QUOTIENT(ROW(A668),48)+2&amp;"_"&amp;MOD(ROW(A668),48)+8</f>
        <v>15_52</v>
      </c>
    </row>
    <row r="669" spans="1:8" x14ac:dyDescent="0.2">
      <c r="A669" s="9" t="s">
        <v>51</v>
      </c>
      <c r="B669" t="s">
        <v>103</v>
      </c>
      <c r="C669" t="str">
        <f>""""&amp;SUBSTITUTE(A669,"zzz",H669)&amp;""""&amp;","</f>
        <v>"https://www.zeldadungeon.net/maps/totk/tiles/sky/6/15_53.jpg",</v>
      </c>
      <c r="H669" t="str">
        <f>QUOTIENT(ROW(A669),48)+2&amp;"_"&amp;MOD(ROW(A669),48)+8</f>
        <v>15_53</v>
      </c>
    </row>
    <row r="670" spans="1:8" x14ac:dyDescent="0.2">
      <c r="A670" s="9" t="s">
        <v>51</v>
      </c>
      <c r="B670" t="s">
        <v>102</v>
      </c>
      <c r="C670" t="str">
        <f>""""&amp;SUBSTITUTE(A670,"zzz",H670)&amp;""""&amp;","</f>
        <v>"https://www.zeldadungeon.net/maps/totk/tiles/sky/6/15_54.jpg",</v>
      </c>
      <c r="H670" t="str">
        <f>QUOTIENT(ROW(A670),48)+2&amp;"_"&amp;MOD(ROW(A670),48)+8</f>
        <v>15_54</v>
      </c>
    </row>
    <row r="671" spans="1:8" x14ac:dyDescent="0.2">
      <c r="A671" s="9" t="s">
        <v>51</v>
      </c>
      <c r="B671" t="s">
        <v>101</v>
      </c>
      <c r="C671" t="str">
        <f>""""&amp;SUBSTITUTE(A671,"zzz",H671)&amp;""""&amp;","</f>
        <v>"https://www.zeldadungeon.net/maps/totk/tiles/sky/6/15_55.jpg",</v>
      </c>
      <c r="H671" t="str">
        <f>QUOTIENT(ROW(A671),48)+2&amp;"_"&amp;MOD(ROW(A671),48)+8</f>
        <v>15_55</v>
      </c>
    </row>
    <row r="672" spans="1:8" x14ac:dyDescent="0.2">
      <c r="A672" s="9" t="s">
        <v>51</v>
      </c>
      <c r="B672" t="s">
        <v>100</v>
      </c>
      <c r="C672" t="str">
        <f>""""&amp;SUBSTITUTE(A672,"zzz",H672)&amp;""""&amp;","</f>
        <v>"https://www.zeldadungeon.net/maps/totk/tiles/sky/6/16_8.jpg",</v>
      </c>
      <c r="H672" t="str">
        <f>QUOTIENT(ROW(A672),48)+2&amp;"_"&amp;MOD(ROW(A672),48)+8</f>
        <v>16_8</v>
      </c>
    </row>
    <row r="673" spans="1:8" x14ac:dyDescent="0.2">
      <c r="A673" s="9" t="s">
        <v>51</v>
      </c>
      <c r="B673" t="s">
        <v>99</v>
      </c>
      <c r="C673" t="str">
        <f>""""&amp;SUBSTITUTE(A673,"zzz",H673)&amp;""""&amp;","</f>
        <v>"https://www.zeldadungeon.net/maps/totk/tiles/sky/6/16_9.jpg",</v>
      </c>
      <c r="H673" t="str">
        <f>QUOTIENT(ROW(A673),48)+2&amp;"_"&amp;MOD(ROW(A673),48)+8</f>
        <v>16_9</v>
      </c>
    </row>
    <row r="674" spans="1:8" x14ac:dyDescent="0.2">
      <c r="A674" s="9" t="s">
        <v>51</v>
      </c>
      <c r="B674" t="s">
        <v>98</v>
      </c>
      <c r="C674" t="str">
        <f>""""&amp;SUBSTITUTE(A674,"zzz",H674)&amp;""""&amp;","</f>
        <v>"https://www.zeldadungeon.net/maps/totk/tiles/sky/6/16_10.jpg",</v>
      </c>
      <c r="H674" t="str">
        <f>QUOTIENT(ROW(A674),48)+2&amp;"_"&amp;MOD(ROW(A674),48)+8</f>
        <v>16_10</v>
      </c>
    </row>
    <row r="675" spans="1:8" x14ac:dyDescent="0.2">
      <c r="A675" s="9" t="s">
        <v>51</v>
      </c>
      <c r="B675" t="s">
        <v>97</v>
      </c>
      <c r="C675" t="str">
        <f>""""&amp;SUBSTITUTE(A675,"zzz",H675)&amp;""""&amp;","</f>
        <v>"https://www.zeldadungeon.net/maps/totk/tiles/sky/6/16_11.jpg",</v>
      </c>
      <c r="H675" t="str">
        <f>QUOTIENT(ROW(A675),48)+2&amp;"_"&amp;MOD(ROW(A675),48)+8</f>
        <v>16_11</v>
      </c>
    </row>
    <row r="676" spans="1:8" x14ac:dyDescent="0.2">
      <c r="A676" s="9" t="s">
        <v>51</v>
      </c>
      <c r="B676" t="s">
        <v>96</v>
      </c>
      <c r="C676" t="str">
        <f>""""&amp;SUBSTITUTE(A676,"zzz",H676)&amp;""""&amp;","</f>
        <v>"https://www.zeldadungeon.net/maps/totk/tiles/sky/6/16_12.jpg",</v>
      </c>
      <c r="H676" t="str">
        <f>QUOTIENT(ROW(A676),48)+2&amp;"_"&amp;MOD(ROW(A676),48)+8</f>
        <v>16_12</v>
      </c>
    </row>
    <row r="677" spans="1:8" x14ac:dyDescent="0.2">
      <c r="A677" s="9" t="s">
        <v>51</v>
      </c>
      <c r="B677" t="s">
        <v>95</v>
      </c>
      <c r="C677" t="str">
        <f>""""&amp;SUBSTITUTE(A677,"zzz",H677)&amp;""""&amp;","</f>
        <v>"https://www.zeldadungeon.net/maps/totk/tiles/sky/6/16_13.jpg",</v>
      </c>
      <c r="H677" t="str">
        <f>QUOTIENT(ROW(A677),48)+2&amp;"_"&amp;MOD(ROW(A677),48)+8</f>
        <v>16_13</v>
      </c>
    </row>
    <row r="678" spans="1:8" x14ac:dyDescent="0.2">
      <c r="A678" s="9" t="s">
        <v>51</v>
      </c>
      <c r="B678" t="s">
        <v>94</v>
      </c>
      <c r="C678" t="str">
        <f>""""&amp;SUBSTITUTE(A678,"zzz",H678)&amp;""""&amp;","</f>
        <v>"https://www.zeldadungeon.net/maps/totk/tiles/sky/6/16_14.jpg",</v>
      </c>
      <c r="H678" t="str">
        <f>QUOTIENT(ROW(A678),48)+2&amp;"_"&amp;MOD(ROW(A678),48)+8</f>
        <v>16_14</v>
      </c>
    </row>
    <row r="679" spans="1:8" x14ac:dyDescent="0.2">
      <c r="A679" s="9" t="s">
        <v>51</v>
      </c>
      <c r="B679" t="s">
        <v>93</v>
      </c>
      <c r="C679" t="str">
        <f>""""&amp;SUBSTITUTE(A679,"zzz",H679)&amp;""""&amp;","</f>
        <v>"https://www.zeldadungeon.net/maps/totk/tiles/sky/6/16_15.jpg",</v>
      </c>
      <c r="H679" t="str">
        <f>QUOTIENT(ROW(A679),48)+2&amp;"_"&amp;MOD(ROW(A679),48)+8</f>
        <v>16_15</v>
      </c>
    </row>
    <row r="680" spans="1:8" x14ac:dyDescent="0.2">
      <c r="A680" s="9" t="s">
        <v>51</v>
      </c>
      <c r="B680" t="s">
        <v>92</v>
      </c>
      <c r="C680" t="str">
        <f>""""&amp;SUBSTITUTE(A680,"zzz",H680)&amp;""""&amp;","</f>
        <v>"https://www.zeldadungeon.net/maps/totk/tiles/sky/6/16_16.jpg",</v>
      </c>
      <c r="H680" t="str">
        <f>QUOTIENT(ROW(A680),48)+2&amp;"_"&amp;MOD(ROW(A680),48)+8</f>
        <v>16_16</v>
      </c>
    </row>
    <row r="681" spans="1:8" x14ac:dyDescent="0.2">
      <c r="A681" s="9" t="s">
        <v>51</v>
      </c>
      <c r="B681" t="s">
        <v>91</v>
      </c>
      <c r="C681" t="str">
        <f>""""&amp;SUBSTITUTE(A681,"zzz",H681)&amp;""""&amp;","</f>
        <v>"https://www.zeldadungeon.net/maps/totk/tiles/sky/6/16_17.jpg",</v>
      </c>
      <c r="H681" t="str">
        <f>QUOTIENT(ROW(A681),48)+2&amp;"_"&amp;MOD(ROW(A681),48)+8</f>
        <v>16_17</v>
      </c>
    </row>
    <row r="682" spans="1:8" x14ac:dyDescent="0.2">
      <c r="A682" s="9" t="s">
        <v>51</v>
      </c>
      <c r="B682" t="s">
        <v>90</v>
      </c>
      <c r="C682" t="str">
        <f>""""&amp;SUBSTITUTE(A682,"zzz",H682)&amp;""""&amp;","</f>
        <v>"https://www.zeldadungeon.net/maps/totk/tiles/sky/6/16_18.jpg",</v>
      </c>
      <c r="H682" t="str">
        <f>QUOTIENT(ROW(A682),48)+2&amp;"_"&amp;MOD(ROW(A682),48)+8</f>
        <v>16_18</v>
      </c>
    </row>
    <row r="683" spans="1:8" x14ac:dyDescent="0.2">
      <c r="A683" s="9" t="s">
        <v>51</v>
      </c>
      <c r="B683" t="s">
        <v>89</v>
      </c>
      <c r="C683" t="str">
        <f>""""&amp;SUBSTITUTE(A683,"zzz",H683)&amp;""""&amp;","</f>
        <v>"https://www.zeldadungeon.net/maps/totk/tiles/sky/6/16_19.jpg",</v>
      </c>
      <c r="H683" t="str">
        <f>QUOTIENT(ROW(A683),48)+2&amp;"_"&amp;MOD(ROW(A683),48)+8</f>
        <v>16_19</v>
      </c>
    </row>
    <row r="684" spans="1:8" x14ac:dyDescent="0.2">
      <c r="A684" s="9" t="s">
        <v>51</v>
      </c>
      <c r="B684" t="s">
        <v>88</v>
      </c>
      <c r="C684" t="str">
        <f>""""&amp;SUBSTITUTE(A684,"zzz",H684)&amp;""""&amp;","</f>
        <v>"https://www.zeldadungeon.net/maps/totk/tiles/sky/6/16_20.jpg",</v>
      </c>
      <c r="H684" t="str">
        <f>QUOTIENT(ROW(A684),48)+2&amp;"_"&amp;MOD(ROW(A684),48)+8</f>
        <v>16_20</v>
      </c>
    </row>
    <row r="685" spans="1:8" x14ac:dyDescent="0.2">
      <c r="A685" s="9" t="s">
        <v>51</v>
      </c>
      <c r="B685" t="s">
        <v>87</v>
      </c>
      <c r="C685" t="str">
        <f>""""&amp;SUBSTITUTE(A685,"zzz",H685)&amp;""""&amp;","</f>
        <v>"https://www.zeldadungeon.net/maps/totk/tiles/sky/6/16_21.jpg",</v>
      </c>
      <c r="H685" t="str">
        <f>QUOTIENT(ROW(A685),48)+2&amp;"_"&amp;MOD(ROW(A685),48)+8</f>
        <v>16_21</v>
      </c>
    </row>
    <row r="686" spans="1:8" x14ac:dyDescent="0.2">
      <c r="A686" s="9" t="s">
        <v>51</v>
      </c>
      <c r="B686" t="s">
        <v>86</v>
      </c>
      <c r="C686" t="str">
        <f>""""&amp;SUBSTITUTE(A686,"zzz",H686)&amp;""""&amp;","</f>
        <v>"https://www.zeldadungeon.net/maps/totk/tiles/sky/6/16_22.jpg",</v>
      </c>
      <c r="H686" t="str">
        <f>QUOTIENT(ROW(A686),48)+2&amp;"_"&amp;MOD(ROW(A686),48)+8</f>
        <v>16_22</v>
      </c>
    </row>
    <row r="687" spans="1:8" x14ac:dyDescent="0.2">
      <c r="A687" s="9" t="s">
        <v>51</v>
      </c>
      <c r="B687" t="s">
        <v>85</v>
      </c>
      <c r="C687" t="str">
        <f>""""&amp;SUBSTITUTE(A687,"zzz",H687)&amp;""""&amp;","</f>
        <v>"https://www.zeldadungeon.net/maps/totk/tiles/sky/6/16_23.jpg",</v>
      </c>
      <c r="H687" t="str">
        <f>QUOTIENT(ROW(A687),48)+2&amp;"_"&amp;MOD(ROW(A687),48)+8</f>
        <v>16_23</v>
      </c>
    </row>
    <row r="688" spans="1:8" x14ac:dyDescent="0.2">
      <c r="A688" s="9" t="s">
        <v>51</v>
      </c>
      <c r="B688" t="s">
        <v>84</v>
      </c>
      <c r="C688" t="str">
        <f>""""&amp;SUBSTITUTE(A688,"zzz",H688)&amp;""""&amp;","</f>
        <v>"https://www.zeldadungeon.net/maps/totk/tiles/sky/6/16_24.jpg",</v>
      </c>
      <c r="H688" t="str">
        <f>QUOTIENT(ROW(A688),48)+2&amp;"_"&amp;MOD(ROW(A688),48)+8</f>
        <v>16_24</v>
      </c>
    </row>
    <row r="689" spans="1:8" x14ac:dyDescent="0.2">
      <c r="A689" s="9" t="s">
        <v>51</v>
      </c>
      <c r="B689" t="s">
        <v>83</v>
      </c>
      <c r="C689" t="str">
        <f>""""&amp;SUBSTITUTE(A689,"zzz",H689)&amp;""""&amp;","</f>
        <v>"https://www.zeldadungeon.net/maps/totk/tiles/sky/6/16_25.jpg",</v>
      </c>
      <c r="H689" t="str">
        <f>QUOTIENT(ROW(A689),48)+2&amp;"_"&amp;MOD(ROW(A689),48)+8</f>
        <v>16_25</v>
      </c>
    </row>
    <row r="690" spans="1:8" x14ac:dyDescent="0.2">
      <c r="A690" s="9" t="s">
        <v>51</v>
      </c>
      <c r="B690" t="s">
        <v>82</v>
      </c>
      <c r="C690" t="str">
        <f>""""&amp;SUBSTITUTE(A690,"zzz",H690)&amp;""""&amp;","</f>
        <v>"https://www.zeldadungeon.net/maps/totk/tiles/sky/6/16_26.jpg",</v>
      </c>
      <c r="H690" t="str">
        <f>QUOTIENT(ROW(A690),48)+2&amp;"_"&amp;MOD(ROW(A690),48)+8</f>
        <v>16_26</v>
      </c>
    </row>
    <row r="691" spans="1:8" x14ac:dyDescent="0.2">
      <c r="A691" s="9" t="s">
        <v>51</v>
      </c>
      <c r="B691" t="s">
        <v>81</v>
      </c>
      <c r="C691" t="str">
        <f>""""&amp;SUBSTITUTE(A691,"zzz",H691)&amp;""""&amp;","</f>
        <v>"https://www.zeldadungeon.net/maps/totk/tiles/sky/6/16_27.jpg",</v>
      </c>
      <c r="H691" t="str">
        <f>QUOTIENT(ROW(A691),48)+2&amp;"_"&amp;MOD(ROW(A691),48)+8</f>
        <v>16_27</v>
      </c>
    </row>
    <row r="692" spans="1:8" x14ac:dyDescent="0.2">
      <c r="A692" s="9" t="s">
        <v>51</v>
      </c>
      <c r="B692" t="s">
        <v>80</v>
      </c>
      <c r="C692" t="str">
        <f>""""&amp;SUBSTITUTE(A692,"zzz",H692)&amp;""""&amp;","</f>
        <v>"https://www.zeldadungeon.net/maps/totk/tiles/sky/6/16_28.jpg",</v>
      </c>
      <c r="H692" t="str">
        <f>QUOTIENT(ROW(A692),48)+2&amp;"_"&amp;MOD(ROW(A692),48)+8</f>
        <v>16_28</v>
      </c>
    </row>
    <row r="693" spans="1:8" x14ac:dyDescent="0.2">
      <c r="A693" s="9" t="s">
        <v>51</v>
      </c>
      <c r="B693" t="s">
        <v>79</v>
      </c>
      <c r="C693" t="str">
        <f>""""&amp;SUBSTITUTE(A693,"zzz",H693)&amp;""""&amp;","</f>
        <v>"https://www.zeldadungeon.net/maps/totk/tiles/sky/6/16_29.jpg",</v>
      </c>
      <c r="H693" t="str">
        <f>QUOTIENT(ROW(A693),48)+2&amp;"_"&amp;MOD(ROW(A693),48)+8</f>
        <v>16_29</v>
      </c>
    </row>
    <row r="694" spans="1:8" x14ac:dyDescent="0.2">
      <c r="A694" s="9" t="s">
        <v>51</v>
      </c>
      <c r="B694" t="s">
        <v>78</v>
      </c>
      <c r="C694" t="str">
        <f>""""&amp;SUBSTITUTE(A694,"zzz",H694)&amp;""""&amp;","</f>
        <v>"https://www.zeldadungeon.net/maps/totk/tiles/sky/6/16_30.jpg",</v>
      </c>
      <c r="H694" t="str">
        <f>QUOTIENT(ROW(A694),48)+2&amp;"_"&amp;MOD(ROW(A694),48)+8</f>
        <v>16_30</v>
      </c>
    </row>
    <row r="695" spans="1:8" x14ac:dyDescent="0.2">
      <c r="A695" s="9" t="s">
        <v>51</v>
      </c>
      <c r="B695" t="s">
        <v>77</v>
      </c>
      <c r="C695" t="str">
        <f>""""&amp;SUBSTITUTE(A695,"zzz",H695)&amp;""""&amp;","</f>
        <v>"https://www.zeldadungeon.net/maps/totk/tiles/sky/6/16_31.jpg",</v>
      </c>
      <c r="H695" t="str">
        <f>QUOTIENT(ROW(A695),48)+2&amp;"_"&amp;MOD(ROW(A695),48)+8</f>
        <v>16_31</v>
      </c>
    </row>
    <row r="696" spans="1:8" x14ac:dyDescent="0.2">
      <c r="A696" s="9" t="s">
        <v>51</v>
      </c>
      <c r="B696" t="s">
        <v>76</v>
      </c>
      <c r="C696" t="str">
        <f>""""&amp;SUBSTITUTE(A696,"zzz",H696)&amp;""""&amp;","</f>
        <v>"https://www.zeldadungeon.net/maps/totk/tiles/sky/6/16_32.jpg",</v>
      </c>
      <c r="H696" t="str">
        <f>QUOTIENT(ROW(A696),48)+2&amp;"_"&amp;MOD(ROW(A696),48)+8</f>
        <v>16_32</v>
      </c>
    </row>
    <row r="697" spans="1:8" x14ac:dyDescent="0.2">
      <c r="A697" s="9" t="s">
        <v>51</v>
      </c>
      <c r="B697" t="s">
        <v>75</v>
      </c>
      <c r="C697" t="str">
        <f>""""&amp;SUBSTITUTE(A697,"zzz",H697)&amp;""""&amp;","</f>
        <v>"https://www.zeldadungeon.net/maps/totk/tiles/sky/6/16_33.jpg",</v>
      </c>
      <c r="H697" t="str">
        <f>QUOTIENT(ROW(A697),48)+2&amp;"_"&amp;MOD(ROW(A697),48)+8</f>
        <v>16_33</v>
      </c>
    </row>
    <row r="698" spans="1:8" x14ac:dyDescent="0.2">
      <c r="A698" s="9" t="s">
        <v>51</v>
      </c>
      <c r="B698" t="s">
        <v>74</v>
      </c>
      <c r="C698" t="str">
        <f>""""&amp;SUBSTITUTE(A698,"zzz",H698)&amp;""""&amp;","</f>
        <v>"https://www.zeldadungeon.net/maps/totk/tiles/sky/6/16_34.jpg",</v>
      </c>
      <c r="H698" t="str">
        <f>QUOTIENT(ROW(A698),48)+2&amp;"_"&amp;MOD(ROW(A698),48)+8</f>
        <v>16_34</v>
      </c>
    </row>
    <row r="699" spans="1:8" x14ac:dyDescent="0.2">
      <c r="A699" s="9" t="s">
        <v>51</v>
      </c>
      <c r="B699" t="s">
        <v>73</v>
      </c>
      <c r="C699" t="str">
        <f>""""&amp;SUBSTITUTE(A699,"zzz",H699)&amp;""""&amp;","</f>
        <v>"https://www.zeldadungeon.net/maps/totk/tiles/sky/6/16_35.jpg",</v>
      </c>
      <c r="H699" t="str">
        <f>QUOTIENT(ROW(A699),48)+2&amp;"_"&amp;MOD(ROW(A699),48)+8</f>
        <v>16_35</v>
      </c>
    </row>
    <row r="700" spans="1:8" x14ac:dyDescent="0.2">
      <c r="A700" s="9" t="s">
        <v>51</v>
      </c>
      <c r="B700" t="s">
        <v>72</v>
      </c>
      <c r="C700" t="str">
        <f>""""&amp;SUBSTITUTE(A700,"zzz",H700)&amp;""""&amp;","</f>
        <v>"https://www.zeldadungeon.net/maps/totk/tiles/sky/6/16_36.jpg",</v>
      </c>
      <c r="H700" t="str">
        <f>QUOTIENT(ROW(A700),48)+2&amp;"_"&amp;MOD(ROW(A700),48)+8</f>
        <v>16_36</v>
      </c>
    </row>
    <row r="701" spans="1:8" x14ac:dyDescent="0.2">
      <c r="A701" s="9" t="s">
        <v>51</v>
      </c>
      <c r="B701" t="s">
        <v>71</v>
      </c>
      <c r="C701" t="str">
        <f>""""&amp;SUBSTITUTE(A701,"zzz",H701)&amp;""""&amp;","</f>
        <v>"https://www.zeldadungeon.net/maps/totk/tiles/sky/6/16_37.jpg",</v>
      </c>
      <c r="H701" t="str">
        <f>QUOTIENT(ROW(A701),48)+2&amp;"_"&amp;MOD(ROW(A701),48)+8</f>
        <v>16_37</v>
      </c>
    </row>
    <row r="702" spans="1:8" x14ac:dyDescent="0.2">
      <c r="A702" s="9" t="s">
        <v>51</v>
      </c>
      <c r="B702" t="s">
        <v>70</v>
      </c>
      <c r="C702" t="str">
        <f>""""&amp;SUBSTITUTE(A702,"zzz",H702)&amp;""""&amp;","</f>
        <v>"https://www.zeldadungeon.net/maps/totk/tiles/sky/6/16_38.jpg",</v>
      </c>
      <c r="H702" t="str">
        <f>QUOTIENT(ROW(A702),48)+2&amp;"_"&amp;MOD(ROW(A702),48)+8</f>
        <v>16_38</v>
      </c>
    </row>
    <row r="703" spans="1:8" x14ac:dyDescent="0.2">
      <c r="A703" s="9" t="s">
        <v>51</v>
      </c>
      <c r="B703" t="s">
        <v>69</v>
      </c>
      <c r="C703" t="str">
        <f>""""&amp;SUBSTITUTE(A703,"zzz",H703)&amp;""""&amp;","</f>
        <v>"https://www.zeldadungeon.net/maps/totk/tiles/sky/6/16_39.jpg",</v>
      </c>
      <c r="H703" t="str">
        <f>QUOTIENT(ROW(A703),48)+2&amp;"_"&amp;MOD(ROW(A703),48)+8</f>
        <v>16_39</v>
      </c>
    </row>
    <row r="704" spans="1:8" x14ac:dyDescent="0.2">
      <c r="A704" s="9" t="s">
        <v>51</v>
      </c>
      <c r="B704" t="s">
        <v>68</v>
      </c>
      <c r="C704" t="str">
        <f>""""&amp;SUBSTITUTE(A704,"zzz",H704)&amp;""""&amp;","</f>
        <v>"https://www.zeldadungeon.net/maps/totk/tiles/sky/6/16_40.jpg",</v>
      </c>
      <c r="H704" t="str">
        <f>QUOTIENT(ROW(A704),48)+2&amp;"_"&amp;MOD(ROW(A704),48)+8</f>
        <v>16_40</v>
      </c>
    </row>
    <row r="705" spans="1:8" x14ac:dyDescent="0.2">
      <c r="A705" s="9" t="s">
        <v>51</v>
      </c>
      <c r="B705" t="s">
        <v>67</v>
      </c>
      <c r="C705" t="str">
        <f>""""&amp;SUBSTITUTE(A705,"zzz",H705)&amp;""""&amp;","</f>
        <v>"https://www.zeldadungeon.net/maps/totk/tiles/sky/6/16_41.jpg",</v>
      </c>
      <c r="H705" t="str">
        <f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>""""&amp;SUBSTITUTE(A706,"zzz",H706)&amp;""""&amp;","</f>
        <v>"https://www.zeldadungeon.net/maps/totk/tiles/sky/6/16_42.jpg",</v>
      </c>
      <c r="H706" t="str">
        <f>QUOTIENT(ROW(A706),48)+2&amp;"_"&amp;MOD(ROW(A706),48)+8</f>
        <v>16_42</v>
      </c>
    </row>
    <row r="707" spans="1:8" x14ac:dyDescent="0.2">
      <c r="A707" s="9" t="s">
        <v>51</v>
      </c>
      <c r="B707" t="s">
        <v>65</v>
      </c>
      <c r="C707" t="str">
        <f>""""&amp;SUBSTITUTE(A707,"zzz",H707)&amp;""""&amp;","</f>
        <v>"https://www.zeldadungeon.net/maps/totk/tiles/sky/6/16_43.jpg",</v>
      </c>
      <c r="H707" t="str">
        <f>QUOTIENT(ROW(A707),48)+2&amp;"_"&amp;MOD(ROW(A707),48)+8</f>
        <v>16_43</v>
      </c>
    </row>
    <row r="708" spans="1:8" x14ac:dyDescent="0.2">
      <c r="A708" s="9" t="s">
        <v>51</v>
      </c>
      <c r="B708" t="s">
        <v>64</v>
      </c>
      <c r="C708" t="str">
        <f>""""&amp;SUBSTITUTE(A708,"zzz",H708)&amp;""""&amp;","</f>
        <v>"https://www.zeldadungeon.net/maps/totk/tiles/sky/6/16_44.jpg",</v>
      </c>
      <c r="H708" t="str">
        <f>QUOTIENT(ROW(A708),48)+2&amp;"_"&amp;MOD(ROW(A708),48)+8</f>
        <v>16_44</v>
      </c>
    </row>
    <row r="709" spans="1:8" x14ac:dyDescent="0.2">
      <c r="A709" s="9" t="s">
        <v>51</v>
      </c>
      <c r="B709" t="s">
        <v>63</v>
      </c>
      <c r="C709" t="str">
        <f>""""&amp;SUBSTITUTE(A709,"zzz",H709)&amp;""""&amp;","</f>
        <v>"https://www.zeldadungeon.net/maps/totk/tiles/sky/6/16_45.jpg",</v>
      </c>
      <c r="H709" t="str">
        <f>QUOTIENT(ROW(A709),48)+2&amp;"_"&amp;MOD(ROW(A709),48)+8</f>
        <v>16_45</v>
      </c>
    </row>
    <row r="710" spans="1:8" x14ac:dyDescent="0.2">
      <c r="A710" s="9" t="s">
        <v>51</v>
      </c>
      <c r="B710" t="s">
        <v>62</v>
      </c>
      <c r="C710" t="str">
        <f>""""&amp;SUBSTITUTE(A710,"zzz",H710)&amp;""""&amp;","</f>
        <v>"https://www.zeldadungeon.net/maps/totk/tiles/sky/6/16_46.jpg",</v>
      </c>
      <c r="H710" t="str">
        <f>QUOTIENT(ROW(A710),48)+2&amp;"_"&amp;MOD(ROW(A710),48)+8</f>
        <v>16_46</v>
      </c>
    </row>
    <row r="711" spans="1:8" x14ac:dyDescent="0.2">
      <c r="A711" s="9" t="s">
        <v>51</v>
      </c>
      <c r="B711" t="s">
        <v>61</v>
      </c>
      <c r="C711" t="str">
        <f>""""&amp;SUBSTITUTE(A711,"zzz",H711)&amp;""""&amp;","</f>
        <v>"https://www.zeldadungeon.net/maps/totk/tiles/sky/6/16_47.jpg",</v>
      </c>
      <c r="H711" t="str">
        <f>QUOTIENT(ROW(A711),48)+2&amp;"_"&amp;MOD(ROW(A711),48)+8</f>
        <v>16_47</v>
      </c>
    </row>
    <row r="712" spans="1:8" x14ac:dyDescent="0.2">
      <c r="A712" s="9" t="s">
        <v>51</v>
      </c>
      <c r="B712" t="s">
        <v>60</v>
      </c>
      <c r="C712" t="str">
        <f>""""&amp;SUBSTITUTE(A712,"zzz",H712)&amp;""""&amp;","</f>
        <v>"https://www.zeldadungeon.net/maps/totk/tiles/sky/6/16_48.jpg",</v>
      </c>
      <c r="H712" t="str">
        <f>QUOTIENT(ROW(A712),48)+2&amp;"_"&amp;MOD(ROW(A712),48)+8</f>
        <v>16_48</v>
      </c>
    </row>
    <row r="713" spans="1:8" x14ac:dyDescent="0.2">
      <c r="A713" s="9" t="s">
        <v>51</v>
      </c>
      <c r="B713" t="s">
        <v>59</v>
      </c>
      <c r="C713" t="str">
        <f>""""&amp;SUBSTITUTE(A713,"zzz",H713)&amp;""""&amp;","</f>
        <v>"https://www.zeldadungeon.net/maps/totk/tiles/sky/6/16_49.jpg",</v>
      </c>
      <c r="H713" t="str">
        <f>QUOTIENT(ROW(A713),48)+2&amp;"_"&amp;MOD(ROW(A713),48)+8</f>
        <v>16_49</v>
      </c>
    </row>
    <row r="714" spans="1:8" x14ac:dyDescent="0.2">
      <c r="A714" s="9" t="s">
        <v>51</v>
      </c>
      <c r="B714" t="s">
        <v>58</v>
      </c>
      <c r="C714" t="str">
        <f>""""&amp;SUBSTITUTE(A714,"zzz",H714)&amp;""""&amp;","</f>
        <v>"https://www.zeldadungeon.net/maps/totk/tiles/sky/6/16_50.jpg",</v>
      </c>
      <c r="H714" t="str">
        <f>QUOTIENT(ROW(A714),48)+2&amp;"_"&amp;MOD(ROW(A714),48)+8</f>
        <v>16_50</v>
      </c>
    </row>
    <row r="715" spans="1:8" x14ac:dyDescent="0.2">
      <c r="A715" s="9" t="s">
        <v>51</v>
      </c>
      <c r="B715" t="s">
        <v>57</v>
      </c>
      <c r="C715" t="str">
        <f>""""&amp;SUBSTITUTE(A715,"zzz",H715)&amp;""""&amp;","</f>
        <v>"https://www.zeldadungeon.net/maps/totk/tiles/sky/6/16_51.jpg",</v>
      </c>
      <c r="H715" t="str">
        <f>QUOTIENT(ROW(A715),48)+2&amp;"_"&amp;MOD(ROW(A715),48)+8</f>
        <v>16_51</v>
      </c>
    </row>
    <row r="716" spans="1:8" x14ac:dyDescent="0.2">
      <c r="A716" s="9" t="s">
        <v>51</v>
      </c>
      <c r="B716" t="s">
        <v>56</v>
      </c>
      <c r="C716" t="str">
        <f>""""&amp;SUBSTITUTE(A716,"zzz",H716)&amp;""""&amp;","</f>
        <v>"https://www.zeldadungeon.net/maps/totk/tiles/sky/6/16_52.jpg",</v>
      </c>
      <c r="H716" t="str">
        <f>QUOTIENT(ROW(A716),48)+2&amp;"_"&amp;MOD(ROW(A716),48)+8</f>
        <v>16_52</v>
      </c>
    </row>
    <row r="717" spans="1:8" x14ac:dyDescent="0.2">
      <c r="A717" s="9" t="s">
        <v>51</v>
      </c>
      <c r="B717" t="s">
        <v>55</v>
      </c>
      <c r="C717" t="str">
        <f>""""&amp;SUBSTITUTE(A717,"zzz",H717)&amp;""""&amp;","</f>
        <v>"https://www.zeldadungeon.net/maps/totk/tiles/sky/6/16_53.jpg",</v>
      </c>
      <c r="H717" t="str">
        <f>QUOTIENT(ROW(A717),48)+2&amp;"_"&amp;MOD(ROW(A717),48)+8</f>
        <v>16_53</v>
      </c>
    </row>
    <row r="718" spans="1:8" x14ac:dyDescent="0.2">
      <c r="A718" s="9" t="s">
        <v>51</v>
      </c>
      <c r="B718" t="s">
        <v>54</v>
      </c>
      <c r="C718" t="str">
        <f>""""&amp;SUBSTITUTE(A718,"zzz",H718)&amp;""""&amp;","</f>
        <v>"https://www.zeldadungeon.net/maps/totk/tiles/sky/6/16_54.jpg",</v>
      </c>
      <c r="H718" t="str">
        <f>QUOTIENT(ROW(A718),48)+2&amp;"_"&amp;MOD(ROW(A718),48)+8</f>
        <v>16_54</v>
      </c>
    </row>
    <row r="719" spans="1:8" x14ac:dyDescent="0.2">
      <c r="A719" s="9" t="s">
        <v>51</v>
      </c>
      <c r="B719" t="s">
        <v>53</v>
      </c>
      <c r="C719" t="str">
        <f>""""&amp;SUBSTITUTE(A719,"zzz",H719)&amp;""""&amp;","</f>
        <v>"https://www.zeldadungeon.net/maps/totk/tiles/sky/6/16_55.jpg",</v>
      </c>
      <c r="H719" t="str">
        <f>QUOTIENT(ROW(A719),48)+2&amp;"_"&amp;MOD(ROW(A719),48)+8</f>
        <v>16_55</v>
      </c>
    </row>
    <row r="720" spans="1:8" x14ac:dyDescent="0.2">
      <c r="A720" s="9" t="s">
        <v>51</v>
      </c>
      <c r="B720" t="s">
        <v>52</v>
      </c>
      <c r="C720" t="str">
        <f>""""&amp;SUBSTITUTE(A720,"zzz",H720)&amp;""""&amp;","</f>
        <v>"https://www.zeldadungeon.net/maps/totk/tiles/sky/6/17_8.jpg",</v>
      </c>
      <c r="H720" t="str">
        <f>QUOTIENT(ROW(A720),48)+2&amp;"_"&amp;MOD(ROW(A720),48)+8</f>
        <v>17_8</v>
      </c>
    </row>
    <row r="721" spans="1:8" x14ac:dyDescent="0.2">
      <c r="A721" s="9" t="s">
        <v>51</v>
      </c>
      <c r="C721" t="str">
        <f>""""&amp;SUBSTITUTE(A721,"zzz",H721)&amp;""""&amp;","</f>
        <v>"https://www.zeldadungeon.net/maps/totk/tiles/sky/6/17_9.jpg",</v>
      </c>
      <c r="H721" t="str">
        <f>QUOTIENT(ROW(A721),48)+2&amp;"_"&amp;MOD(ROW(A721),48)+8</f>
        <v>17_9</v>
      </c>
    </row>
    <row r="722" spans="1:8" x14ac:dyDescent="0.2">
      <c r="A722" s="9" t="s">
        <v>51</v>
      </c>
      <c r="C722" t="str">
        <f>""""&amp;SUBSTITUTE(A722,"zzz",H722)&amp;""""&amp;","</f>
        <v>"https://www.zeldadungeon.net/maps/totk/tiles/sky/6/17_10.jpg",</v>
      </c>
      <c r="H722" t="str">
        <f>QUOTIENT(ROW(A722),48)+2&amp;"_"&amp;MOD(ROW(A722),48)+8</f>
        <v>17_10</v>
      </c>
    </row>
    <row r="723" spans="1:8" x14ac:dyDescent="0.2">
      <c r="A723" s="9" t="s">
        <v>51</v>
      </c>
      <c r="C723" t="str">
        <f>""""&amp;SUBSTITUTE(A723,"zzz",H723)&amp;""""&amp;","</f>
        <v>"https://www.zeldadungeon.net/maps/totk/tiles/sky/6/17_11.jpg",</v>
      </c>
      <c r="H723" t="str">
        <f>QUOTIENT(ROW(A723),48)+2&amp;"_"&amp;MOD(ROW(A723),48)+8</f>
        <v>17_11</v>
      </c>
    </row>
    <row r="724" spans="1:8" x14ac:dyDescent="0.2">
      <c r="A724" s="9" t="s">
        <v>51</v>
      </c>
      <c r="C724" t="str">
        <f>""""&amp;SUBSTITUTE(A724,"zzz",H724)&amp;""""&amp;","</f>
        <v>"https://www.zeldadungeon.net/maps/totk/tiles/sky/6/17_12.jpg",</v>
      </c>
      <c r="H724" t="str">
        <f>QUOTIENT(ROW(A724),48)+2&amp;"_"&amp;MOD(ROW(A724),48)+8</f>
        <v>17_12</v>
      </c>
    </row>
    <row r="725" spans="1:8" x14ac:dyDescent="0.2">
      <c r="A725" s="9" t="s">
        <v>51</v>
      </c>
      <c r="C725" t="str">
        <f>""""&amp;SUBSTITUTE(A725,"zzz",H725)&amp;""""&amp;","</f>
        <v>"https://www.zeldadungeon.net/maps/totk/tiles/sky/6/17_13.jpg",</v>
      </c>
      <c r="H725" t="str">
        <f>QUOTIENT(ROW(A725),48)+2&amp;"_"&amp;MOD(ROW(A725),48)+8</f>
        <v>17_13</v>
      </c>
    </row>
    <row r="726" spans="1:8" x14ac:dyDescent="0.2">
      <c r="A726" s="9" t="s">
        <v>51</v>
      </c>
      <c r="C726" t="str">
        <f>""""&amp;SUBSTITUTE(A726,"zzz",H726)&amp;""""&amp;","</f>
        <v>"https://www.zeldadungeon.net/maps/totk/tiles/sky/6/17_14.jpg",</v>
      </c>
      <c r="H726" t="str">
        <f>QUOTIENT(ROW(A726),48)+2&amp;"_"&amp;MOD(ROW(A726),48)+8</f>
        <v>17_14</v>
      </c>
    </row>
    <row r="727" spans="1:8" x14ac:dyDescent="0.2">
      <c r="A727" s="9" t="s">
        <v>51</v>
      </c>
      <c r="C727" t="str">
        <f>""""&amp;SUBSTITUTE(A727,"zzz",H727)&amp;""""&amp;","</f>
        <v>"https://www.zeldadungeon.net/maps/totk/tiles/sky/6/17_15.jpg",</v>
      </c>
      <c r="H727" t="str">
        <f>QUOTIENT(ROW(A727),48)+2&amp;"_"&amp;MOD(ROW(A727),48)+8</f>
        <v>17_15</v>
      </c>
    </row>
    <row r="728" spans="1:8" x14ac:dyDescent="0.2">
      <c r="A728" s="9" t="s">
        <v>51</v>
      </c>
      <c r="C728" t="str">
        <f>""""&amp;SUBSTITUTE(A728,"zzz",H728)&amp;""""&amp;","</f>
        <v>"https://www.zeldadungeon.net/maps/totk/tiles/sky/6/17_16.jpg",</v>
      </c>
      <c r="H728" t="str">
        <f>QUOTIENT(ROW(A728),48)+2&amp;"_"&amp;MOD(ROW(A728),48)+8</f>
        <v>17_16</v>
      </c>
    </row>
    <row r="729" spans="1:8" x14ac:dyDescent="0.2">
      <c r="A729" s="9" t="s">
        <v>51</v>
      </c>
      <c r="C729" t="str">
        <f>""""&amp;SUBSTITUTE(A729,"zzz",H729)&amp;""""&amp;","</f>
        <v>"https://www.zeldadungeon.net/maps/totk/tiles/sky/6/17_17.jpg",</v>
      </c>
      <c r="H729" t="str">
        <f>QUOTIENT(ROW(A729),48)+2&amp;"_"&amp;MOD(ROW(A729),48)+8</f>
        <v>17_17</v>
      </c>
    </row>
    <row r="730" spans="1:8" x14ac:dyDescent="0.2">
      <c r="A730" s="9" t="s">
        <v>51</v>
      </c>
      <c r="C730" t="str">
        <f>""""&amp;SUBSTITUTE(A730,"zzz",H730)&amp;""""&amp;","</f>
        <v>"https://www.zeldadungeon.net/maps/totk/tiles/sky/6/17_18.jpg",</v>
      </c>
      <c r="H730" t="str">
        <f>QUOTIENT(ROW(A730),48)+2&amp;"_"&amp;MOD(ROW(A730),48)+8</f>
        <v>17_18</v>
      </c>
    </row>
    <row r="731" spans="1:8" x14ac:dyDescent="0.2">
      <c r="A731" s="9" t="s">
        <v>51</v>
      </c>
      <c r="C731" t="str">
        <f>""""&amp;SUBSTITUTE(A731,"zzz",H731)&amp;""""&amp;","</f>
        <v>"https://www.zeldadungeon.net/maps/totk/tiles/sky/6/17_19.jpg",</v>
      </c>
      <c r="H731" t="str">
        <f>QUOTIENT(ROW(A731),48)+2&amp;"_"&amp;MOD(ROW(A731),48)+8</f>
        <v>17_19</v>
      </c>
    </row>
    <row r="732" spans="1:8" x14ac:dyDescent="0.2">
      <c r="A732" s="9" t="s">
        <v>51</v>
      </c>
      <c r="C732" t="str">
        <f>""""&amp;SUBSTITUTE(A732,"zzz",H732)&amp;""""&amp;","</f>
        <v>"https://www.zeldadungeon.net/maps/totk/tiles/sky/6/17_20.jpg",</v>
      </c>
      <c r="H732" t="str">
        <f>QUOTIENT(ROW(A732),48)+2&amp;"_"&amp;MOD(ROW(A732),48)+8</f>
        <v>17_20</v>
      </c>
    </row>
    <row r="733" spans="1:8" x14ac:dyDescent="0.2">
      <c r="A733" s="9" t="s">
        <v>51</v>
      </c>
      <c r="C733" t="str">
        <f>""""&amp;SUBSTITUTE(A733,"zzz",H733)&amp;""""&amp;","</f>
        <v>"https://www.zeldadungeon.net/maps/totk/tiles/sky/6/17_21.jpg",</v>
      </c>
      <c r="H733" t="str">
        <f>QUOTIENT(ROW(A733),48)+2&amp;"_"&amp;MOD(ROW(A733),48)+8</f>
        <v>17_21</v>
      </c>
    </row>
    <row r="734" spans="1:8" x14ac:dyDescent="0.2">
      <c r="A734" s="9" t="s">
        <v>51</v>
      </c>
      <c r="C734" t="str">
        <f>""""&amp;SUBSTITUTE(A734,"zzz",H734)&amp;""""&amp;","</f>
        <v>"https://www.zeldadungeon.net/maps/totk/tiles/sky/6/17_22.jpg",</v>
      </c>
      <c r="H734" t="str">
        <f>QUOTIENT(ROW(A734),48)+2&amp;"_"&amp;MOD(ROW(A734),48)+8</f>
        <v>17_22</v>
      </c>
    </row>
    <row r="735" spans="1:8" x14ac:dyDescent="0.2">
      <c r="A735" s="9" t="s">
        <v>51</v>
      </c>
      <c r="C735" t="str">
        <f>""""&amp;SUBSTITUTE(A735,"zzz",H735)&amp;""""&amp;","</f>
        <v>"https://www.zeldadungeon.net/maps/totk/tiles/sky/6/17_23.jpg",</v>
      </c>
      <c r="H735" t="str">
        <f>QUOTIENT(ROW(A735),48)+2&amp;"_"&amp;MOD(ROW(A735),48)+8</f>
        <v>17_23</v>
      </c>
    </row>
    <row r="736" spans="1:8" x14ac:dyDescent="0.2">
      <c r="A736" s="9" t="s">
        <v>51</v>
      </c>
      <c r="C736" t="str">
        <f>""""&amp;SUBSTITUTE(A736,"zzz",H736)&amp;""""&amp;","</f>
        <v>"https://www.zeldadungeon.net/maps/totk/tiles/sky/6/17_24.jpg",</v>
      </c>
      <c r="H736" t="str">
        <f>QUOTIENT(ROW(A736),48)+2&amp;"_"&amp;MOD(ROW(A736),48)+8</f>
        <v>17_24</v>
      </c>
    </row>
    <row r="737" spans="1:8" x14ac:dyDescent="0.2">
      <c r="A737" s="9" t="s">
        <v>51</v>
      </c>
      <c r="C737" t="str">
        <f>""""&amp;SUBSTITUTE(A737,"zzz",H737)&amp;""""&amp;","</f>
        <v>"https://www.zeldadungeon.net/maps/totk/tiles/sky/6/17_25.jpg",</v>
      </c>
      <c r="H737" t="str">
        <f>QUOTIENT(ROW(A737),48)+2&amp;"_"&amp;MOD(ROW(A737),48)+8</f>
        <v>17_25</v>
      </c>
    </row>
    <row r="738" spans="1:8" x14ac:dyDescent="0.2">
      <c r="A738" s="9" t="s">
        <v>51</v>
      </c>
      <c r="C738" t="str">
        <f>""""&amp;SUBSTITUTE(A738,"zzz",H738)&amp;""""&amp;","</f>
        <v>"https://www.zeldadungeon.net/maps/totk/tiles/sky/6/17_26.jpg",</v>
      </c>
      <c r="H738" t="str">
        <f>QUOTIENT(ROW(A738),48)+2&amp;"_"&amp;MOD(ROW(A738),48)+8</f>
        <v>17_26</v>
      </c>
    </row>
    <row r="739" spans="1:8" x14ac:dyDescent="0.2">
      <c r="A739" s="9" t="s">
        <v>51</v>
      </c>
      <c r="C739" t="str">
        <f>""""&amp;SUBSTITUTE(A739,"zzz",H739)&amp;""""&amp;","</f>
        <v>"https://www.zeldadungeon.net/maps/totk/tiles/sky/6/17_27.jpg",</v>
      </c>
      <c r="H739" t="str">
        <f>QUOTIENT(ROW(A739),48)+2&amp;"_"&amp;MOD(ROW(A739),48)+8</f>
        <v>17_27</v>
      </c>
    </row>
    <row r="740" spans="1:8" x14ac:dyDescent="0.2">
      <c r="A740" s="9" t="s">
        <v>51</v>
      </c>
      <c r="C740" t="str">
        <f>""""&amp;SUBSTITUTE(A740,"zzz",H740)&amp;""""&amp;","</f>
        <v>"https://www.zeldadungeon.net/maps/totk/tiles/sky/6/17_28.jpg",</v>
      </c>
      <c r="H740" t="str">
        <f>QUOTIENT(ROW(A740),48)+2&amp;"_"&amp;MOD(ROW(A740),48)+8</f>
        <v>17_28</v>
      </c>
    </row>
    <row r="741" spans="1:8" x14ac:dyDescent="0.2">
      <c r="A741" s="9" t="s">
        <v>51</v>
      </c>
      <c r="C741" t="str">
        <f>""""&amp;SUBSTITUTE(A741,"zzz",H741)&amp;""""&amp;","</f>
        <v>"https://www.zeldadungeon.net/maps/totk/tiles/sky/6/17_29.jpg",</v>
      </c>
      <c r="H741" t="str">
        <f>QUOTIENT(ROW(A741),48)+2&amp;"_"&amp;MOD(ROW(A741),48)+8</f>
        <v>17_29</v>
      </c>
    </row>
    <row r="742" spans="1:8" x14ac:dyDescent="0.2">
      <c r="A742" s="9" t="s">
        <v>51</v>
      </c>
      <c r="C742" t="str">
        <f>""""&amp;SUBSTITUTE(A742,"zzz",H742)&amp;""""&amp;","</f>
        <v>"https://www.zeldadungeon.net/maps/totk/tiles/sky/6/17_30.jpg",</v>
      </c>
      <c r="H742" t="str">
        <f>QUOTIENT(ROW(A742),48)+2&amp;"_"&amp;MOD(ROW(A742),48)+8</f>
        <v>17_30</v>
      </c>
    </row>
    <row r="743" spans="1:8" x14ac:dyDescent="0.2">
      <c r="A743" s="9" t="s">
        <v>51</v>
      </c>
      <c r="C743" t="str">
        <f>""""&amp;SUBSTITUTE(A743,"zzz",H743)&amp;""""&amp;","</f>
        <v>"https://www.zeldadungeon.net/maps/totk/tiles/sky/6/17_31.jpg",</v>
      </c>
      <c r="H743" t="str">
        <f>QUOTIENT(ROW(A743),48)+2&amp;"_"&amp;MOD(ROW(A743),48)+8</f>
        <v>17_31</v>
      </c>
    </row>
    <row r="744" spans="1:8" x14ac:dyDescent="0.2">
      <c r="A744" s="9" t="s">
        <v>51</v>
      </c>
      <c r="C744" t="str">
        <f>""""&amp;SUBSTITUTE(A744,"zzz",H744)&amp;""""&amp;","</f>
        <v>"https://www.zeldadungeon.net/maps/totk/tiles/sky/6/17_32.jpg",</v>
      </c>
      <c r="H744" t="str">
        <f>QUOTIENT(ROW(A744),48)+2&amp;"_"&amp;MOD(ROW(A744),48)+8</f>
        <v>17_32</v>
      </c>
    </row>
    <row r="745" spans="1:8" x14ac:dyDescent="0.2">
      <c r="A745" s="9" t="s">
        <v>51</v>
      </c>
      <c r="C745" t="str">
        <f>""""&amp;SUBSTITUTE(A745,"zzz",H745)&amp;""""&amp;","</f>
        <v>"https://www.zeldadungeon.net/maps/totk/tiles/sky/6/17_33.jpg",</v>
      </c>
      <c r="H745" t="str">
        <f>QUOTIENT(ROW(A745),48)+2&amp;"_"&amp;MOD(ROW(A745),48)+8</f>
        <v>17_33</v>
      </c>
    </row>
    <row r="746" spans="1:8" x14ac:dyDescent="0.2">
      <c r="A746" s="9" t="s">
        <v>51</v>
      </c>
      <c r="C746" t="str">
        <f>""""&amp;SUBSTITUTE(A746,"zzz",H746)&amp;""""&amp;","</f>
        <v>"https://www.zeldadungeon.net/maps/totk/tiles/sky/6/17_34.jpg",</v>
      </c>
      <c r="H746" t="str">
        <f>QUOTIENT(ROW(A746),48)+2&amp;"_"&amp;MOD(ROW(A746),48)+8</f>
        <v>17_34</v>
      </c>
    </row>
    <row r="747" spans="1:8" x14ac:dyDescent="0.2">
      <c r="A747" s="9" t="s">
        <v>51</v>
      </c>
      <c r="C747" t="str">
        <f>""""&amp;SUBSTITUTE(A747,"zzz",H747)&amp;""""&amp;","</f>
        <v>"https://www.zeldadungeon.net/maps/totk/tiles/sky/6/17_35.jpg",</v>
      </c>
      <c r="H747" t="str">
        <f>QUOTIENT(ROW(A747),48)+2&amp;"_"&amp;MOD(ROW(A747),48)+8</f>
        <v>17_35</v>
      </c>
    </row>
    <row r="748" spans="1:8" x14ac:dyDescent="0.2">
      <c r="A748" s="9" t="s">
        <v>51</v>
      </c>
      <c r="C748" t="str">
        <f>""""&amp;SUBSTITUTE(A748,"zzz",H748)&amp;""""&amp;","</f>
        <v>"https://www.zeldadungeon.net/maps/totk/tiles/sky/6/17_36.jpg",</v>
      </c>
      <c r="H748" t="str">
        <f>QUOTIENT(ROW(A748),48)+2&amp;"_"&amp;MOD(ROW(A748),48)+8</f>
        <v>17_36</v>
      </c>
    </row>
    <row r="749" spans="1:8" x14ac:dyDescent="0.2">
      <c r="A749" s="9" t="s">
        <v>51</v>
      </c>
      <c r="C749" t="str">
        <f>""""&amp;SUBSTITUTE(A749,"zzz",H749)&amp;""""&amp;","</f>
        <v>"https://www.zeldadungeon.net/maps/totk/tiles/sky/6/17_37.jpg",</v>
      </c>
      <c r="H749" t="str">
        <f>QUOTIENT(ROW(A749),48)+2&amp;"_"&amp;MOD(ROW(A749),48)+8</f>
        <v>17_37</v>
      </c>
    </row>
    <row r="750" spans="1:8" x14ac:dyDescent="0.2">
      <c r="A750" s="9" t="s">
        <v>51</v>
      </c>
      <c r="C750" t="str">
        <f>""""&amp;SUBSTITUTE(A750,"zzz",H750)&amp;""""&amp;","</f>
        <v>"https://www.zeldadungeon.net/maps/totk/tiles/sky/6/17_38.jpg",</v>
      </c>
      <c r="H750" t="str">
        <f>QUOTIENT(ROW(A750),48)+2&amp;"_"&amp;MOD(ROW(A750),48)+8</f>
        <v>17_38</v>
      </c>
    </row>
    <row r="751" spans="1:8" x14ac:dyDescent="0.2">
      <c r="A751" s="9" t="s">
        <v>51</v>
      </c>
      <c r="C751" t="str">
        <f>""""&amp;SUBSTITUTE(A751,"zzz",H751)&amp;""""&amp;","</f>
        <v>"https://www.zeldadungeon.net/maps/totk/tiles/sky/6/17_39.jpg",</v>
      </c>
      <c r="H751" t="str">
        <f>QUOTIENT(ROW(A751),48)+2&amp;"_"&amp;MOD(ROW(A751),48)+8</f>
        <v>17_39</v>
      </c>
    </row>
    <row r="752" spans="1:8" x14ac:dyDescent="0.2">
      <c r="A752" s="9" t="s">
        <v>51</v>
      </c>
      <c r="C752" t="str">
        <f>""""&amp;SUBSTITUTE(A752,"zzz",H752)&amp;""""&amp;","</f>
        <v>"https://www.zeldadungeon.net/maps/totk/tiles/sky/6/17_40.jpg",</v>
      </c>
      <c r="H752" t="str">
        <f>QUOTIENT(ROW(A752),48)+2&amp;"_"&amp;MOD(ROW(A752),48)+8</f>
        <v>17_40</v>
      </c>
    </row>
    <row r="753" spans="1:8" x14ac:dyDescent="0.2">
      <c r="A753" s="9" t="s">
        <v>51</v>
      </c>
      <c r="C753" t="str">
        <f>""""&amp;SUBSTITUTE(A753,"zzz",H753)&amp;""""&amp;","</f>
        <v>"https://www.zeldadungeon.net/maps/totk/tiles/sky/6/17_41.jpg",</v>
      </c>
      <c r="H753" t="str">
        <f>QUOTIENT(ROW(A753),48)+2&amp;"_"&amp;MOD(ROW(A753),48)+8</f>
        <v>17_41</v>
      </c>
    </row>
    <row r="754" spans="1:8" x14ac:dyDescent="0.2">
      <c r="A754" s="9" t="s">
        <v>51</v>
      </c>
      <c r="C754" t="str">
        <f>""""&amp;SUBSTITUTE(A754,"zzz",H754)&amp;""""&amp;","</f>
        <v>"https://www.zeldadungeon.net/maps/totk/tiles/sky/6/17_42.jpg",</v>
      </c>
      <c r="H754" t="str">
        <f>QUOTIENT(ROW(A754),48)+2&amp;"_"&amp;MOD(ROW(A754),48)+8</f>
        <v>17_42</v>
      </c>
    </row>
    <row r="755" spans="1:8" x14ac:dyDescent="0.2">
      <c r="A755" s="9" t="s">
        <v>51</v>
      </c>
      <c r="C755" t="str">
        <f>""""&amp;SUBSTITUTE(A755,"zzz",H755)&amp;""""&amp;","</f>
        <v>"https://www.zeldadungeon.net/maps/totk/tiles/sky/6/17_43.jpg",</v>
      </c>
      <c r="H755" t="str">
        <f>QUOTIENT(ROW(A755),48)+2&amp;"_"&amp;MOD(ROW(A755),48)+8</f>
        <v>17_43</v>
      </c>
    </row>
    <row r="756" spans="1:8" x14ac:dyDescent="0.2">
      <c r="A756" s="9" t="s">
        <v>51</v>
      </c>
      <c r="C756" t="str">
        <f>""""&amp;SUBSTITUTE(A756,"zzz",H756)&amp;""""&amp;","</f>
        <v>"https://www.zeldadungeon.net/maps/totk/tiles/sky/6/17_44.jpg",</v>
      </c>
      <c r="H756" t="str">
        <f>QUOTIENT(ROW(A756),48)+2&amp;"_"&amp;MOD(ROW(A756),48)+8</f>
        <v>17_44</v>
      </c>
    </row>
    <row r="757" spans="1:8" x14ac:dyDescent="0.2">
      <c r="A757" s="9" t="s">
        <v>51</v>
      </c>
      <c r="C757" t="str">
        <f>""""&amp;SUBSTITUTE(A757,"zzz",H757)&amp;""""&amp;","</f>
        <v>"https://www.zeldadungeon.net/maps/totk/tiles/sky/6/17_45.jpg",</v>
      </c>
      <c r="H757" t="str">
        <f>QUOTIENT(ROW(A757),48)+2&amp;"_"&amp;MOD(ROW(A757),48)+8</f>
        <v>17_45</v>
      </c>
    </row>
    <row r="758" spans="1:8" x14ac:dyDescent="0.2">
      <c r="A758" s="9" t="s">
        <v>51</v>
      </c>
      <c r="C758" t="str">
        <f>""""&amp;SUBSTITUTE(A758,"zzz",H758)&amp;""""&amp;","</f>
        <v>"https://www.zeldadungeon.net/maps/totk/tiles/sky/6/17_46.jpg",</v>
      </c>
      <c r="H758" t="str">
        <f>QUOTIENT(ROW(A758),48)+2&amp;"_"&amp;MOD(ROW(A758),48)+8</f>
        <v>17_46</v>
      </c>
    </row>
    <row r="759" spans="1:8" x14ac:dyDescent="0.2">
      <c r="A759" s="9" t="s">
        <v>51</v>
      </c>
      <c r="C759" t="str">
        <f>""""&amp;SUBSTITUTE(A759,"zzz",H759)&amp;""""&amp;","</f>
        <v>"https://www.zeldadungeon.net/maps/totk/tiles/sky/6/17_47.jpg",</v>
      </c>
      <c r="H759" t="str">
        <f>QUOTIENT(ROW(A759),48)+2&amp;"_"&amp;MOD(ROW(A759),48)+8</f>
        <v>17_47</v>
      </c>
    </row>
    <row r="760" spans="1:8" x14ac:dyDescent="0.2">
      <c r="A760" s="9" t="s">
        <v>51</v>
      </c>
      <c r="C760" t="str">
        <f>""""&amp;SUBSTITUTE(A760,"zzz",H760)&amp;""""&amp;","</f>
        <v>"https://www.zeldadungeon.net/maps/totk/tiles/sky/6/17_48.jpg",</v>
      </c>
      <c r="H760" t="str">
        <f>QUOTIENT(ROW(A760),48)+2&amp;"_"&amp;MOD(ROW(A760),48)+8</f>
        <v>17_48</v>
      </c>
    </row>
    <row r="761" spans="1:8" x14ac:dyDescent="0.2">
      <c r="A761" s="9" t="s">
        <v>51</v>
      </c>
      <c r="C761" t="str">
        <f>""""&amp;SUBSTITUTE(A761,"zzz",H761)&amp;""""&amp;","</f>
        <v>"https://www.zeldadungeon.net/maps/totk/tiles/sky/6/17_49.jpg",</v>
      </c>
      <c r="H761" t="str">
        <f>QUOTIENT(ROW(A761),48)+2&amp;"_"&amp;MOD(ROW(A761),48)+8</f>
        <v>17_49</v>
      </c>
    </row>
    <row r="762" spans="1:8" x14ac:dyDescent="0.2">
      <c r="A762" s="9" t="s">
        <v>51</v>
      </c>
      <c r="C762" t="str">
        <f>""""&amp;SUBSTITUTE(A762,"zzz",H762)&amp;""""&amp;","</f>
        <v>"https://www.zeldadungeon.net/maps/totk/tiles/sky/6/17_50.jpg",</v>
      </c>
      <c r="H762" t="str">
        <f>QUOTIENT(ROW(A762),48)+2&amp;"_"&amp;MOD(ROW(A762),48)+8</f>
        <v>17_50</v>
      </c>
    </row>
    <row r="763" spans="1:8" x14ac:dyDescent="0.2">
      <c r="A763" s="9" t="s">
        <v>51</v>
      </c>
      <c r="C763" t="str">
        <f>""""&amp;SUBSTITUTE(A763,"zzz",H763)&amp;""""&amp;","</f>
        <v>"https://www.zeldadungeon.net/maps/totk/tiles/sky/6/17_51.jpg",</v>
      </c>
      <c r="H763" t="str">
        <f>QUOTIENT(ROW(A763),48)+2&amp;"_"&amp;MOD(ROW(A763),48)+8</f>
        <v>17_51</v>
      </c>
    </row>
    <row r="764" spans="1:8" x14ac:dyDescent="0.2">
      <c r="A764" s="9" t="s">
        <v>51</v>
      </c>
      <c r="C764" t="str">
        <f>""""&amp;SUBSTITUTE(A764,"zzz",H764)&amp;""""&amp;","</f>
        <v>"https://www.zeldadungeon.net/maps/totk/tiles/sky/6/17_52.jpg",</v>
      </c>
      <c r="H764" t="str">
        <f>QUOTIENT(ROW(A764),48)+2&amp;"_"&amp;MOD(ROW(A764),48)+8</f>
        <v>17_52</v>
      </c>
    </row>
    <row r="765" spans="1:8" x14ac:dyDescent="0.2">
      <c r="A765" s="9" t="s">
        <v>51</v>
      </c>
      <c r="C765" t="str">
        <f>""""&amp;SUBSTITUTE(A765,"zzz",H765)&amp;""""&amp;","</f>
        <v>"https://www.zeldadungeon.net/maps/totk/tiles/sky/6/17_53.jpg",</v>
      </c>
      <c r="H765" t="str">
        <f>QUOTIENT(ROW(A765),48)+2&amp;"_"&amp;MOD(ROW(A765),48)+8</f>
        <v>17_53</v>
      </c>
    </row>
    <row r="766" spans="1:8" x14ac:dyDescent="0.2">
      <c r="A766" s="9" t="s">
        <v>51</v>
      </c>
      <c r="C766" t="str">
        <f>""""&amp;SUBSTITUTE(A766,"zzz",H766)&amp;""""&amp;","</f>
        <v>"https://www.zeldadungeon.net/maps/totk/tiles/sky/6/17_54.jpg",</v>
      </c>
      <c r="H766" t="str">
        <f>QUOTIENT(ROW(A766),48)+2&amp;"_"&amp;MOD(ROW(A766),48)+8</f>
        <v>17_54</v>
      </c>
    </row>
    <row r="767" spans="1:8" x14ac:dyDescent="0.2">
      <c r="A767" s="9" t="s">
        <v>51</v>
      </c>
      <c r="C767" t="str">
        <f>""""&amp;SUBSTITUTE(A767,"zzz",H767)&amp;""""&amp;","</f>
        <v>"https://www.zeldadungeon.net/maps/totk/tiles/sky/6/17_55.jpg",</v>
      </c>
      <c r="H767" t="str">
        <f>QUOTIENT(ROW(A767),48)+2&amp;"_"&amp;MOD(ROW(A767),48)+8</f>
        <v>17_55</v>
      </c>
    </row>
    <row r="768" spans="1:8" x14ac:dyDescent="0.2">
      <c r="A768" s="9" t="s">
        <v>51</v>
      </c>
      <c r="C768" t="str">
        <f>""""&amp;SUBSTITUTE(A768,"zzz",H768)&amp;""""&amp;","</f>
        <v>"https://www.zeldadungeon.net/maps/totk/tiles/sky/6/18_8.jpg",</v>
      </c>
      <c r="H768" t="str">
        <f>QUOTIENT(ROW(A768),48)+2&amp;"_"&amp;MOD(ROW(A768),48)+8</f>
        <v>18_8</v>
      </c>
    </row>
    <row r="769" spans="1:8" x14ac:dyDescent="0.2">
      <c r="A769" s="9" t="s">
        <v>51</v>
      </c>
      <c r="C769" t="str">
        <f>""""&amp;SUBSTITUTE(A769,"zzz",H769)&amp;""""&amp;","</f>
        <v>"https://www.zeldadungeon.net/maps/totk/tiles/sky/6/18_9.jpg",</v>
      </c>
      <c r="H769" t="str">
        <f>QUOTIENT(ROW(A769),48)+2&amp;"_"&amp;MOD(ROW(A769),48)+8</f>
        <v>18_9</v>
      </c>
    </row>
    <row r="770" spans="1:8" x14ac:dyDescent="0.2">
      <c r="A770" s="9" t="s">
        <v>51</v>
      </c>
      <c r="C770" t="str">
        <f>""""&amp;SUBSTITUTE(A770,"zzz",H770)&amp;""""&amp;","</f>
        <v>"https://www.zeldadungeon.net/maps/totk/tiles/sky/6/18_10.jpg",</v>
      </c>
      <c r="H770" t="str">
        <f>QUOTIENT(ROW(A770),48)+2&amp;"_"&amp;MOD(ROW(A770),48)+8</f>
        <v>18_10</v>
      </c>
    </row>
    <row r="771" spans="1:8" x14ac:dyDescent="0.2">
      <c r="A771" s="9" t="s">
        <v>51</v>
      </c>
      <c r="C771" t="str">
        <f>""""&amp;SUBSTITUTE(A771,"zzz",H771)&amp;""""&amp;","</f>
        <v>"https://www.zeldadungeon.net/maps/totk/tiles/sky/6/18_11.jpg",</v>
      </c>
      <c r="H771" t="str">
        <f>QUOTIENT(ROW(A771),48)+2&amp;"_"&amp;MOD(ROW(A771),48)+8</f>
        <v>18_11</v>
      </c>
    </row>
    <row r="772" spans="1:8" x14ac:dyDescent="0.2">
      <c r="A772" s="9" t="s">
        <v>51</v>
      </c>
      <c r="C772" t="str">
        <f>""""&amp;SUBSTITUTE(A772,"zzz",H772)&amp;""""&amp;","</f>
        <v>"https://www.zeldadungeon.net/maps/totk/tiles/sky/6/18_12.jpg",</v>
      </c>
      <c r="H772" t="str">
        <f>QUOTIENT(ROW(A772),48)+2&amp;"_"&amp;MOD(ROW(A772),48)+8</f>
        <v>18_12</v>
      </c>
    </row>
    <row r="773" spans="1:8" x14ac:dyDescent="0.2">
      <c r="A773" s="9" t="s">
        <v>51</v>
      </c>
      <c r="C773" t="str">
        <f>""""&amp;SUBSTITUTE(A773,"zzz",H773)&amp;""""&amp;","</f>
        <v>"https://www.zeldadungeon.net/maps/totk/tiles/sky/6/18_13.jpg",</v>
      </c>
      <c r="H773" t="str">
        <f>QUOTIENT(ROW(A773),48)+2&amp;"_"&amp;MOD(ROW(A773),48)+8</f>
        <v>18_13</v>
      </c>
    </row>
    <row r="774" spans="1:8" x14ac:dyDescent="0.2">
      <c r="A774" s="9" t="s">
        <v>51</v>
      </c>
      <c r="C774" t="str">
        <f>""""&amp;SUBSTITUTE(A774,"zzz",H774)&amp;""""&amp;","</f>
        <v>"https://www.zeldadungeon.net/maps/totk/tiles/sky/6/18_14.jpg",</v>
      </c>
      <c r="H774" t="str">
        <f>QUOTIENT(ROW(A774),48)+2&amp;"_"&amp;MOD(ROW(A774),48)+8</f>
        <v>18_14</v>
      </c>
    </row>
    <row r="775" spans="1:8" x14ac:dyDescent="0.2">
      <c r="A775" s="9" t="s">
        <v>51</v>
      </c>
      <c r="C775" t="str">
        <f>""""&amp;SUBSTITUTE(A775,"zzz",H775)&amp;""""&amp;","</f>
        <v>"https://www.zeldadungeon.net/maps/totk/tiles/sky/6/18_15.jpg",</v>
      </c>
      <c r="H775" t="str">
        <f>QUOTIENT(ROW(A775),48)+2&amp;"_"&amp;MOD(ROW(A775),48)+8</f>
        <v>18_15</v>
      </c>
    </row>
    <row r="776" spans="1:8" x14ac:dyDescent="0.2">
      <c r="A776" s="9" t="s">
        <v>51</v>
      </c>
      <c r="C776" t="str">
        <f>""""&amp;SUBSTITUTE(A776,"zzz",H776)&amp;""""&amp;","</f>
        <v>"https://www.zeldadungeon.net/maps/totk/tiles/sky/6/18_16.jpg",</v>
      </c>
      <c r="H776" t="str">
        <f>QUOTIENT(ROW(A776),48)+2&amp;"_"&amp;MOD(ROW(A776),48)+8</f>
        <v>18_16</v>
      </c>
    </row>
    <row r="777" spans="1:8" x14ac:dyDescent="0.2">
      <c r="A777" s="9" t="s">
        <v>51</v>
      </c>
      <c r="C777" t="str">
        <f>""""&amp;SUBSTITUTE(A777,"zzz",H777)&amp;""""&amp;","</f>
        <v>"https://www.zeldadungeon.net/maps/totk/tiles/sky/6/18_17.jpg",</v>
      </c>
      <c r="H777" t="str">
        <f>QUOTIENT(ROW(A777),48)+2&amp;"_"&amp;MOD(ROW(A777),48)+8</f>
        <v>18_17</v>
      </c>
    </row>
    <row r="778" spans="1:8" x14ac:dyDescent="0.2">
      <c r="A778" s="9" t="s">
        <v>51</v>
      </c>
      <c r="C778" t="str">
        <f>""""&amp;SUBSTITUTE(A778,"zzz",H778)&amp;""""&amp;","</f>
        <v>"https://www.zeldadungeon.net/maps/totk/tiles/sky/6/18_18.jpg",</v>
      </c>
      <c r="H778" t="str">
        <f>QUOTIENT(ROW(A778),48)+2&amp;"_"&amp;MOD(ROW(A778),48)+8</f>
        <v>18_18</v>
      </c>
    </row>
    <row r="779" spans="1:8" x14ac:dyDescent="0.2">
      <c r="A779" s="9" t="s">
        <v>51</v>
      </c>
      <c r="C779" t="str">
        <f>""""&amp;SUBSTITUTE(A779,"zzz",H779)&amp;""""&amp;","</f>
        <v>"https://www.zeldadungeon.net/maps/totk/tiles/sky/6/18_19.jpg",</v>
      </c>
      <c r="H779" t="str">
        <f>QUOTIENT(ROW(A779),48)+2&amp;"_"&amp;MOD(ROW(A779),48)+8</f>
        <v>18_19</v>
      </c>
    </row>
    <row r="780" spans="1:8" x14ac:dyDescent="0.2">
      <c r="A780" s="9" t="s">
        <v>51</v>
      </c>
      <c r="C780" t="str">
        <f>""""&amp;SUBSTITUTE(A780,"zzz",H780)&amp;""""&amp;","</f>
        <v>"https://www.zeldadungeon.net/maps/totk/tiles/sky/6/18_20.jpg",</v>
      </c>
      <c r="H780" t="str">
        <f>QUOTIENT(ROW(A780),48)+2&amp;"_"&amp;MOD(ROW(A780),48)+8</f>
        <v>18_20</v>
      </c>
    </row>
    <row r="781" spans="1:8" x14ac:dyDescent="0.2">
      <c r="A781" s="9" t="s">
        <v>51</v>
      </c>
      <c r="C781" t="str">
        <f>""""&amp;SUBSTITUTE(A781,"zzz",H781)&amp;""""&amp;","</f>
        <v>"https://www.zeldadungeon.net/maps/totk/tiles/sky/6/18_21.jpg",</v>
      </c>
      <c r="H781" t="str">
        <f>QUOTIENT(ROW(A781),48)+2&amp;"_"&amp;MOD(ROW(A781),48)+8</f>
        <v>18_21</v>
      </c>
    </row>
    <row r="782" spans="1:8" x14ac:dyDescent="0.2">
      <c r="A782" s="9" t="s">
        <v>51</v>
      </c>
      <c r="C782" t="str">
        <f>""""&amp;SUBSTITUTE(A782,"zzz",H782)&amp;""""&amp;","</f>
        <v>"https://www.zeldadungeon.net/maps/totk/tiles/sky/6/18_22.jpg",</v>
      </c>
      <c r="H782" t="str">
        <f>QUOTIENT(ROW(A782),48)+2&amp;"_"&amp;MOD(ROW(A782),48)+8</f>
        <v>18_22</v>
      </c>
    </row>
    <row r="783" spans="1:8" x14ac:dyDescent="0.2">
      <c r="A783" s="9" t="s">
        <v>51</v>
      </c>
      <c r="C783" t="str">
        <f>""""&amp;SUBSTITUTE(A783,"zzz",H783)&amp;""""&amp;","</f>
        <v>"https://www.zeldadungeon.net/maps/totk/tiles/sky/6/18_23.jpg",</v>
      </c>
      <c r="H783" t="str">
        <f>QUOTIENT(ROW(A783),48)+2&amp;"_"&amp;MOD(ROW(A783),48)+8</f>
        <v>18_23</v>
      </c>
    </row>
    <row r="784" spans="1:8" x14ac:dyDescent="0.2">
      <c r="A784" s="9" t="s">
        <v>51</v>
      </c>
      <c r="C784" t="str">
        <f>""""&amp;SUBSTITUTE(A784,"zzz",H784)&amp;""""&amp;","</f>
        <v>"https://www.zeldadungeon.net/maps/totk/tiles/sky/6/18_24.jpg",</v>
      </c>
      <c r="H784" t="str">
        <f>QUOTIENT(ROW(A784),48)+2&amp;"_"&amp;MOD(ROW(A784),48)+8</f>
        <v>18_24</v>
      </c>
    </row>
    <row r="785" spans="1:8" x14ac:dyDescent="0.2">
      <c r="A785" s="9" t="s">
        <v>51</v>
      </c>
      <c r="C785" t="str">
        <f>""""&amp;SUBSTITUTE(A785,"zzz",H785)&amp;""""&amp;","</f>
        <v>"https://www.zeldadungeon.net/maps/totk/tiles/sky/6/18_25.jpg",</v>
      </c>
      <c r="H785" t="str">
        <f>QUOTIENT(ROW(A785),48)+2&amp;"_"&amp;MOD(ROW(A785),48)+8</f>
        <v>18_25</v>
      </c>
    </row>
    <row r="786" spans="1:8" x14ac:dyDescent="0.2">
      <c r="A786" s="9" t="s">
        <v>51</v>
      </c>
      <c r="C786" t="str">
        <f>""""&amp;SUBSTITUTE(A786,"zzz",H786)&amp;""""&amp;","</f>
        <v>"https://www.zeldadungeon.net/maps/totk/tiles/sky/6/18_26.jpg",</v>
      </c>
      <c r="H786" t="str">
        <f>QUOTIENT(ROW(A786),48)+2&amp;"_"&amp;MOD(ROW(A786),48)+8</f>
        <v>18_26</v>
      </c>
    </row>
    <row r="787" spans="1:8" x14ac:dyDescent="0.2">
      <c r="A787" s="9" t="s">
        <v>51</v>
      </c>
      <c r="C787" t="str">
        <f>""""&amp;SUBSTITUTE(A787,"zzz",H787)&amp;""""&amp;","</f>
        <v>"https://www.zeldadungeon.net/maps/totk/tiles/sky/6/18_27.jpg",</v>
      </c>
      <c r="H787" t="str">
        <f>QUOTIENT(ROW(A787),48)+2&amp;"_"&amp;MOD(ROW(A787),48)+8</f>
        <v>18_27</v>
      </c>
    </row>
    <row r="788" spans="1:8" x14ac:dyDescent="0.2">
      <c r="A788" s="9" t="s">
        <v>51</v>
      </c>
      <c r="C788" t="str">
        <f>""""&amp;SUBSTITUTE(A788,"zzz",H788)&amp;""""&amp;","</f>
        <v>"https://www.zeldadungeon.net/maps/totk/tiles/sky/6/18_28.jpg",</v>
      </c>
      <c r="H788" t="str">
        <f>QUOTIENT(ROW(A788),48)+2&amp;"_"&amp;MOD(ROW(A788),48)+8</f>
        <v>18_28</v>
      </c>
    </row>
    <row r="789" spans="1:8" x14ac:dyDescent="0.2">
      <c r="A789" s="9" t="s">
        <v>51</v>
      </c>
      <c r="C789" t="str">
        <f>""""&amp;SUBSTITUTE(A789,"zzz",H789)&amp;""""&amp;","</f>
        <v>"https://www.zeldadungeon.net/maps/totk/tiles/sky/6/18_29.jpg",</v>
      </c>
      <c r="H789" t="str">
        <f>QUOTIENT(ROW(A789),48)+2&amp;"_"&amp;MOD(ROW(A789),48)+8</f>
        <v>18_29</v>
      </c>
    </row>
    <row r="790" spans="1:8" x14ac:dyDescent="0.2">
      <c r="A790" s="9" t="s">
        <v>51</v>
      </c>
      <c r="C790" t="str">
        <f>""""&amp;SUBSTITUTE(A790,"zzz",H790)&amp;""""&amp;","</f>
        <v>"https://www.zeldadungeon.net/maps/totk/tiles/sky/6/18_30.jpg",</v>
      </c>
      <c r="H790" t="str">
        <f>QUOTIENT(ROW(A790),48)+2&amp;"_"&amp;MOD(ROW(A790),48)+8</f>
        <v>18_30</v>
      </c>
    </row>
    <row r="791" spans="1:8" x14ac:dyDescent="0.2">
      <c r="A791" s="9" t="s">
        <v>51</v>
      </c>
      <c r="C791" t="str">
        <f>""""&amp;SUBSTITUTE(A791,"zzz",H791)&amp;""""&amp;","</f>
        <v>"https://www.zeldadungeon.net/maps/totk/tiles/sky/6/18_31.jpg",</v>
      </c>
      <c r="H791" t="str">
        <f>QUOTIENT(ROW(A791),48)+2&amp;"_"&amp;MOD(ROW(A791),48)+8</f>
        <v>18_31</v>
      </c>
    </row>
    <row r="792" spans="1:8" x14ac:dyDescent="0.2">
      <c r="A792" s="9" t="s">
        <v>51</v>
      </c>
      <c r="C792" t="str">
        <f>""""&amp;SUBSTITUTE(A792,"zzz",H792)&amp;""""&amp;","</f>
        <v>"https://www.zeldadungeon.net/maps/totk/tiles/sky/6/18_32.jpg",</v>
      </c>
      <c r="H792" t="str">
        <f>QUOTIENT(ROW(A792),48)+2&amp;"_"&amp;MOD(ROW(A792),48)+8</f>
        <v>18_32</v>
      </c>
    </row>
    <row r="793" spans="1:8" x14ac:dyDescent="0.2">
      <c r="A793" s="9" t="s">
        <v>51</v>
      </c>
      <c r="C793" t="str">
        <f>""""&amp;SUBSTITUTE(A793,"zzz",H793)&amp;""""&amp;","</f>
        <v>"https://www.zeldadungeon.net/maps/totk/tiles/sky/6/18_33.jpg",</v>
      </c>
      <c r="H793" t="str">
        <f>QUOTIENT(ROW(A793),48)+2&amp;"_"&amp;MOD(ROW(A793),48)+8</f>
        <v>18_33</v>
      </c>
    </row>
    <row r="794" spans="1:8" x14ac:dyDescent="0.2">
      <c r="A794" s="9" t="s">
        <v>51</v>
      </c>
      <c r="C794" t="str">
        <f>""""&amp;SUBSTITUTE(A794,"zzz",H794)&amp;""""&amp;","</f>
        <v>"https://www.zeldadungeon.net/maps/totk/tiles/sky/6/18_34.jpg",</v>
      </c>
      <c r="H794" t="str">
        <f>QUOTIENT(ROW(A794),48)+2&amp;"_"&amp;MOD(ROW(A794),48)+8</f>
        <v>18_34</v>
      </c>
    </row>
    <row r="795" spans="1:8" x14ac:dyDescent="0.2">
      <c r="A795" s="9" t="s">
        <v>51</v>
      </c>
      <c r="C795" t="str">
        <f>""""&amp;SUBSTITUTE(A795,"zzz",H795)&amp;""""&amp;","</f>
        <v>"https://www.zeldadungeon.net/maps/totk/tiles/sky/6/18_35.jpg",</v>
      </c>
      <c r="H795" t="str">
        <f>QUOTIENT(ROW(A795),48)+2&amp;"_"&amp;MOD(ROW(A795),48)+8</f>
        <v>18_35</v>
      </c>
    </row>
    <row r="796" spans="1:8" x14ac:dyDescent="0.2">
      <c r="A796" s="9" t="s">
        <v>51</v>
      </c>
      <c r="C796" t="str">
        <f>""""&amp;SUBSTITUTE(A796,"zzz",H796)&amp;""""&amp;","</f>
        <v>"https://www.zeldadungeon.net/maps/totk/tiles/sky/6/18_36.jpg",</v>
      </c>
      <c r="H796" t="str">
        <f>QUOTIENT(ROW(A796),48)+2&amp;"_"&amp;MOD(ROW(A796),48)+8</f>
        <v>18_36</v>
      </c>
    </row>
    <row r="797" spans="1:8" x14ac:dyDescent="0.2">
      <c r="A797" s="9" t="s">
        <v>51</v>
      </c>
      <c r="C797" t="str">
        <f>""""&amp;SUBSTITUTE(A797,"zzz",H797)&amp;""""&amp;","</f>
        <v>"https://www.zeldadungeon.net/maps/totk/tiles/sky/6/18_37.jpg",</v>
      </c>
      <c r="H797" t="str">
        <f>QUOTIENT(ROW(A797),48)+2&amp;"_"&amp;MOD(ROW(A797),48)+8</f>
        <v>18_37</v>
      </c>
    </row>
    <row r="798" spans="1:8" x14ac:dyDescent="0.2">
      <c r="A798" s="9" t="s">
        <v>51</v>
      </c>
      <c r="C798" t="str">
        <f>""""&amp;SUBSTITUTE(A798,"zzz",H798)&amp;""""&amp;","</f>
        <v>"https://www.zeldadungeon.net/maps/totk/tiles/sky/6/18_38.jpg",</v>
      </c>
      <c r="H798" t="str">
        <f>QUOTIENT(ROW(A798),48)+2&amp;"_"&amp;MOD(ROW(A798),48)+8</f>
        <v>18_38</v>
      </c>
    </row>
    <row r="799" spans="1:8" x14ac:dyDescent="0.2">
      <c r="A799" s="9" t="s">
        <v>51</v>
      </c>
      <c r="C799" t="str">
        <f>""""&amp;SUBSTITUTE(A799,"zzz",H799)&amp;""""&amp;","</f>
        <v>"https://www.zeldadungeon.net/maps/totk/tiles/sky/6/18_39.jpg",</v>
      </c>
      <c r="H799" t="str">
        <f>QUOTIENT(ROW(A799),48)+2&amp;"_"&amp;MOD(ROW(A799),48)+8</f>
        <v>18_39</v>
      </c>
    </row>
    <row r="800" spans="1:8" x14ac:dyDescent="0.2">
      <c r="A800" s="9" t="s">
        <v>51</v>
      </c>
      <c r="C800" t="str">
        <f>""""&amp;SUBSTITUTE(A800,"zzz",H800)&amp;""""&amp;","</f>
        <v>"https://www.zeldadungeon.net/maps/totk/tiles/sky/6/18_40.jpg",</v>
      </c>
      <c r="H800" t="str">
        <f>QUOTIENT(ROW(A800),48)+2&amp;"_"&amp;MOD(ROW(A800),48)+8</f>
        <v>18_40</v>
      </c>
    </row>
    <row r="801" spans="1:8" x14ac:dyDescent="0.2">
      <c r="A801" s="9" t="s">
        <v>51</v>
      </c>
      <c r="C801" t="str">
        <f>""""&amp;SUBSTITUTE(A801,"zzz",H801)&amp;""""&amp;","</f>
        <v>"https://www.zeldadungeon.net/maps/totk/tiles/sky/6/18_41.jpg",</v>
      </c>
      <c r="H801" t="str">
        <f>QUOTIENT(ROW(A801),48)+2&amp;"_"&amp;MOD(ROW(A801),48)+8</f>
        <v>18_41</v>
      </c>
    </row>
    <row r="802" spans="1:8" x14ac:dyDescent="0.2">
      <c r="A802" s="9" t="s">
        <v>51</v>
      </c>
      <c r="C802" t="str">
        <f>""""&amp;SUBSTITUTE(A802,"zzz",H802)&amp;""""&amp;","</f>
        <v>"https://www.zeldadungeon.net/maps/totk/tiles/sky/6/18_42.jpg",</v>
      </c>
      <c r="H802" t="str">
        <f>QUOTIENT(ROW(A802),48)+2&amp;"_"&amp;MOD(ROW(A802),48)+8</f>
        <v>18_42</v>
      </c>
    </row>
    <row r="803" spans="1:8" x14ac:dyDescent="0.2">
      <c r="A803" s="9" t="s">
        <v>51</v>
      </c>
      <c r="C803" t="str">
        <f>""""&amp;SUBSTITUTE(A803,"zzz",H803)&amp;""""&amp;","</f>
        <v>"https://www.zeldadungeon.net/maps/totk/tiles/sky/6/18_43.jpg",</v>
      </c>
      <c r="H803" t="str">
        <f>QUOTIENT(ROW(A803),48)+2&amp;"_"&amp;MOD(ROW(A803),48)+8</f>
        <v>18_43</v>
      </c>
    </row>
    <row r="804" spans="1:8" x14ac:dyDescent="0.2">
      <c r="A804" s="9" t="s">
        <v>51</v>
      </c>
      <c r="C804" t="str">
        <f>""""&amp;SUBSTITUTE(A804,"zzz",H804)&amp;""""&amp;","</f>
        <v>"https://www.zeldadungeon.net/maps/totk/tiles/sky/6/18_44.jpg",</v>
      </c>
      <c r="H804" t="str">
        <f>QUOTIENT(ROW(A804),48)+2&amp;"_"&amp;MOD(ROW(A804),48)+8</f>
        <v>18_44</v>
      </c>
    </row>
    <row r="805" spans="1:8" x14ac:dyDescent="0.2">
      <c r="A805" s="9" t="s">
        <v>51</v>
      </c>
      <c r="C805" t="str">
        <f>""""&amp;SUBSTITUTE(A805,"zzz",H805)&amp;""""&amp;","</f>
        <v>"https://www.zeldadungeon.net/maps/totk/tiles/sky/6/18_45.jpg",</v>
      </c>
      <c r="H805" t="str">
        <f>QUOTIENT(ROW(A805),48)+2&amp;"_"&amp;MOD(ROW(A805),48)+8</f>
        <v>18_45</v>
      </c>
    </row>
    <row r="806" spans="1:8" x14ac:dyDescent="0.2">
      <c r="A806" s="9" t="s">
        <v>51</v>
      </c>
      <c r="C806" t="str">
        <f>""""&amp;SUBSTITUTE(A806,"zzz",H806)&amp;""""&amp;","</f>
        <v>"https://www.zeldadungeon.net/maps/totk/tiles/sky/6/18_46.jpg",</v>
      </c>
      <c r="H806" t="str">
        <f>QUOTIENT(ROW(A806),48)+2&amp;"_"&amp;MOD(ROW(A806),48)+8</f>
        <v>18_46</v>
      </c>
    </row>
    <row r="807" spans="1:8" x14ac:dyDescent="0.2">
      <c r="A807" s="9" t="s">
        <v>51</v>
      </c>
      <c r="C807" t="str">
        <f>""""&amp;SUBSTITUTE(A807,"zzz",H807)&amp;""""&amp;","</f>
        <v>"https://www.zeldadungeon.net/maps/totk/tiles/sky/6/18_47.jpg",</v>
      </c>
      <c r="H807" t="str">
        <f>QUOTIENT(ROW(A807),48)+2&amp;"_"&amp;MOD(ROW(A807),48)+8</f>
        <v>18_47</v>
      </c>
    </row>
    <row r="808" spans="1:8" x14ac:dyDescent="0.2">
      <c r="A808" s="9" t="s">
        <v>51</v>
      </c>
      <c r="C808" t="str">
        <f>""""&amp;SUBSTITUTE(A808,"zzz",H808)&amp;""""&amp;","</f>
        <v>"https://www.zeldadungeon.net/maps/totk/tiles/sky/6/18_48.jpg",</v>
      </c>
      <c r="H808" t="str">
        <f>QUOTIENT(ROW(A808),48)+2&amp;"_"&amp;MOD(ROW(A808),48)+8</f>
        <v>18_48</v>
      </c>
    </row>
    <row r="809" spans="1:8" x14ac:dyDescent="0.2">
      <c r="A809" s="9" t="s">
        <v>51</v>
      </c>
      <c r="C809" t="str">
        <f>""""&amp;SUBSTITUTE(A809,"zzz",H809)&amp;""""&amp;","</f>
        <v>"https://www.zeldadungeon.net/maps/totk/tiles/sky/6/18_49.jpg",</v>
      </c>
      <c r="H809" t="str">
        <f>QUOTIENT(ROW(A809),48)+2&amp;"_"&amp;MOD(ROW(A809),48)+8</f>
        <v>18_49</v>
      </c>
    </row>
    <row r="810" spans="1:8" x14ac:dyDescent="0.2">
      <c r="A810" s="9" t="s">
        <v>51</v>
      </c>
      <c r="C810" t="str">
        <f>""""&amp;SUBSTITUTE(A810,"zzz",H810)&amp;""""&amp;","</f>
        <v>"https://www.zeldadungeon.net/maps/totk/tiles/sky/6/18_50.jpg",</v>
      </c>
      <c r="H810" t="str">
        <f>QUOTIENT(ROW(A810),48)+2&amp;"_"&amp;MOD(ROW(A810),48)+8</f>
        <v>18_50</v>
      </c>
    </row>
    <row r="811" spans="1:8" x14ac:dyDescent="0.2">
      <c r="A811" s="9" t="s">
        <v>51</v>
      </c>
      <c r="C811" t="str">
        <f>""""&amp;SUBSTITUTE(A811,"zzz",H811)&amp;""""&amp;","</f>
        <v>"https://www.zeldadungeon.net/maps/totk/tiles/sky/6/18_51.jpg",</v>
      </c>
      <c r="H811" t="str">
        <f>QUOTIENT(ROW(A811),48)+2&amp;"_"&amp;MOD(ROW(A811),48)+8</f>
        <v>18_51</v>
      </c>
    </row>
    <row r="812" spans="1:8" x14ac:dyDescent="0.2">
      <c r="A812" s="9" t="s">
        <v>51</v>
      </c>
      <c r="C812" t="str">
        <f>""""&amp;SUBSTITUTE(A812,"zzz",H812)&amp;""""&amp;","</f>
        <v>"https://www.zeldadungeon.net/maps/totk/tiles/sky/6/18_52.jpg",</v>
      </c>
      <c r="H812" t="str">
        <f>QUOTIENT(ROW(A812),48)+2&amp;"_"&amp;MOD(ROW(A812),48)+8</f>
        <v>18_52</v>
      </c>
    </row>
    <row r="813" spans="1:8" x14ac:dyDescent="0.2">
      <c r="A813" s="9" t="s">
        <v>51</v>
      </c>
      <c r="C813" t="str">
        <f>""""&amp;SUBSTITUTE(A813,"zzz",H813)&amp;""""&amp;","</f>
        <v>"https://www.zeldadungeon.net/maps/totk/tiles/sky/6/18_53.jpg",</v>
      </c>
      <c r="H813" t="str">
        <f>QUOTIENT(ROW(A813),48)+2&amp;"_"&amp;MOD(ROW(A813),48)+8</f>
        <v>18_53</v>
      </c>
    </row>
    <row r="814" spans="1:8" x14ac:dyDescent="0.2">
      <c r="A814" s="9" t="s">
        <v>51</v>
      </c>
      <c r="C814" t="str">
        <f>""""&amp;SUBSTITUTE(A814,"zzz",H814)&amp;""""&amp;","</f>
        <v>"https://www.zeldadungeon.net/maps/totk/tiles/sky/6/18_54.jpg",</v>
      </c>
      <c r="H814" t="str">
        <f>QUOTIENT(ROW(A814),48)+2&amp;"_"&amp;MOD(ROW(A814),48)+8</f>
        <v>18_54</v>
      </c>
    </row>
    <row r="815" spans="1:8" x14ac:dyDescent="0.2">
      <c r="A815" s="9" t="s">
        <v>51</v>
      </c>
      <c r="C815" t="str">
        <f>""""&amp;SUBSTITUTE(A815,"zzz",H815)&amp;""""&amp;","</f>
        <v>"https://www.zeldadungeon.net/maps/totk/tiles/sky/6/18_55.jpg",</v>
      </c>
      <c r="H815" t="str">
        <f>QUOTIENT(ROW(A815),48)+2&amp;"_"&amp;MOD(ROW(A815),48)+8</f>
        <v>18_55</v>
      </c>
    </row>
    <row r="816" spans="1:8" x14ac:dyDescent="0.2">
      <c r="A816" s="9" t="s">
        <v>51</v>
      </c>
      <c r="C816" t="str">
        <f>""""&amp;SUBSTITUTE(A816,"zzz",H816)&amp;""""&amp;","</f>
        <v>"https://www.zeldadungeon.net/maps/totk/tiles/sky/6/19_8.jpg",</v>
      </c>
      <c r="H816" t="str">
        <f>QUOTIENT(ROW(A816),48)+2&amp;"_"&amp;MOD(ROW(A816),48)+8</f>
        <v>19_8</v>
      </c>
    </row>
    <row r="817" spans="1:8" x14ac:dyDescent="0.2">
      <c r="A817" s="9" t="s">
        <v>51</v>
      </c>
      <c r="C817" t="str">
        <f>""""&amp;SUBSTITUTE(A817,"zzz",H817)&amp;""""&amp;","</f>
        <v>"https://www.zeldadungeon.net/maps/totk/tiles/sky/6/19_9.jpg",</v>
      </c>
      <c r="H817" t="str">
        <f>QUOTIENT(ROW(A817),48)+2&amp;"_"&amp;MOD(ROW(A817),48)+8</f>
        <v>19_9</v>
      </c>
    </row>
    <row r="818" spans="1:8" x14ac:dyDescent="0.2">
      <c r="A818" s="9" t="s">
        <v>51</v>
      </c>
      <c r="C818" t="str">
        <f>""""&amp;SUBSTITUTE(A818,"zzz",H818)&amp;""""&amp;","</f>
        <v>"https://www.zeldadungeon.net/maps/totk/tiles/sky/6/19_10.jpg",</v>
      </c>
      <c r="H818" t="str">
        <f>QUOTIENT(ROW(A818),48)+2&amp;"_"&amp;MOD(ROW(A818),48)+8</f>
        <v>19_10</v>
      </c>
    </row>
    <row r="819" spans="1:8" x14ac:dyDescent="0.2">
      <c r="A819" s="9" t="s">
        <v>51</v>
      </c>
      <c r="C819" t="str">
        <f>""""&amp;SUBSTITUTE(A819,"zzz",H819)&amp;""""&amp;","</f>
        <v>"https://www.zeldadungeon.net/maps/totk/tiles/sky/6/19_11.jpg",</v>
      </c>
      <c r="H819" t="str">
        <f>QUOTIENT(ROW(A819),48)+2&amp;"_"&amp;MOD(ROW(A819),48)+8</f>
        <v>19_11</v>
      </c>
    </row>
    <row r="820" spans="1:8" x14ac:dyDescent="0.2">
      <c r="A820" s="9" t="s">
        <v>51</v>
      </c>
      <c r="C820" t="str">
        <f>""""&amp;SUBSTITUTE(A820,"zzz",H820)&amp;""""&amp;","</f>
        <v>"https://www.zeldadungeon.net/maps/totk/tiles/sky/6/19_12.jpg",</v>
      </c>
      <c r="H820" t="str">
        <f>QUOTIENT(ROW(A820),48)+2&amp;"_"&amp;MOD(ROW(A820),48)+8</f>
        <v>19_12</v>
      </c>
    </row>
    <row r="821" spans="1:8" x14ac:dyDescent="0.2">
      <c r="A821" s="9" t="s">
        <v>51</v>
      </c>
      <c r="C821" t="str">
        <f>""""&amp;SUBSTITUTE(A821,"zzz",H821)&amp;""""&amp;","</f>
        <v>"https://www.zeldadungeon.net/maps/totk/tiles/sky/6/19_13.jpg",</v>
      </c>
      <c r="H821" t="str">
        <f>QUOTIENT(ROW(A821),48)+2&amp;"_"&amp;MOD(ROW(A821),48)+8</f>
        <v>19_13</v>
      </c>
    </row>
    <row r="822" spans="1:8" x14ac:dyDescent="0.2">
      <c r="A822" s="9" t="s">
        <v>51</v>
      </c>
      <c r="C822" t="str">
        <f>""""&amp;SUBSTITUTE(A822,"zzz",H822)&amp;""""&amp;","</f>
        <v>"https://www.zeldadungeon.net/maps/totk/tiles/sky/6/19_14.jpg",</v>
      </c>
      <c r="H822" t="str">
        <f>QUOTIENT(ROW(A822),48)+2&amp;"_"&amp;MOD(ROW(A822),48)+8</f>
        <v>19_14</v>
      </c>
    </row>
    <row r="823" spans="1:8" x14ac:dyDescent="0.2">
      <c r="A823" s="9" t="s">
        <v>51</v>
      </c>
      <c r="C823" t="str">
        <f>""""&amp;SUBSTITUTE(A823,"zzz",H823)&amp;""""&amp;","</f>
        <v>"https://www.zeldadungeon.net/maps/totk/tiles/sky/6/19_15.jpg",</v>
      </c>
      <c r="H823" t="str">
        <f>QUOTIENT(ROW(A823),48)+2&amp;"_"&amp;MOD(ROW(A823),48)+8</f>
        <v>19_15</v>
      </c>
    </row>
    <row r="824" spans="1:8" x14ac:dyDescent="0.2">
      <c r="A824" s="9" t="s">
        <v>51</v>
      </c>
      <c r="C824" t="str">
        <f>""""&amp;SUBSTITUTE(A824,"zzz",H824)&amp;""""&amp;","</f>
        <v>"https://www.zeldadungeon.net/maps/totk/tiles/sky/6/19_16.jpg",</v>
      </c>
      <c r="H824" t="str">
        <f>QUOTIENT(ROW(A824),48)+2&amp;"_"&amp;MOD(ROW(A824),48)+8</f>
        <v>19_16</v>
      </c>
    </row>
    <row r="825" spans="1:8" x14ac:dyDescent="0.2">
      <c r="A825" s="9" t="s">
        <v>51</v>
      </c>
      <c r="C825" t="str">
        <f>""""&amp;SUBSTITUTE(A825,"zzz",H825)&amp;""""&amp;","</f>
        <v>"https://www.zeldadungeon.net/maps/totk/tiles/sky/6/19_17.jpg",</v>
      </c>
      <c r="H825" t="str">
        <f>QUOTIENT(ROW(A825),48)+2&amp;"_"&amp;MOD(ROW(A825),48)+8</f>
        <v>19_17</v>
      </c>
    </row>
    <row r="826" spans="1:8" x14ac:dyDescent="0.2">
      <c r="A826" s="9" t="s">
        <v>51</v>
      </c>
      <c r="C826" t="str">
        <f>""""&amp;SUBSTITUTE(A826,"zzz",H826)&amp;""""&amp;","</f>
        <v>"https://www.zeldadungeon.net/maps/totk/tiles/sky/6/19_18.jpg",</v>
      </c>
      <c r="H826" t="str">
        <f>QUOTIENT(ROW(A826),48)+2&amp;"_"&amp;MOD(ROW(A826),48)+8</f>
        <v>19_18</v>
      </c>
    </row>
    <row r="827" spans="1:8" x14ac:dyDescent="0.2">
      <c r="A827" s="9" t="s">
        <v>51</v>
      </c>
      <c r="C827" t="str">
        <f>""""&amp;SUBSTITUTE(A827,"zzz",H827)&amp;""""&amp;","</f>
        <v>"https://www.zeldadungeon.net/maps/totk/tiles/sky/6/19_19.jpg",</v>
      </c>
      <c r="H827" t="str">
        <f>QUOTIENT(ROW(A827),48)+2&amp;"_"&amp;MOD(ROW(A827),48)+8</f>
        <v>19_19</v>
      </c>
    </row>
    <row r="828" spans="1:8" x14ac:dyDescent="0.2">
      <c r="A828" s="9" t="s">
        <v>51</v>
      </c>
      <c r="C828" t="str">
        <f>""""&amp;SUBSTITUTE(A828,"zzz",H828)&amp;""""&amp;","</f>
        <v>"https://www.zeldadungeon.net/maps/totk/tiles/sky/6/19_20.jpg",</v>
      </c>
      <c r="H828" t="str">
        <f>QUOTIENT(ROW(A828),48)+2&amp;"_"&amp;MOD(ROW(A828),48)+8</f>
        <v>19_20</v>
      </c>
    </row>
    <row r="829" spans="1:8" x14ac:dyDescent="0.2">
      <c r="A829" s="9" t="s">
        <v>51</v>
      </c>
      <c r="C829" t="str">
        <f>""""&amp;SUBSTITUTE(A829,"zzz",H829)&amp;""""&amp;","</f>
        <v>"https://www.zeldadungeon.net/maps/totk/tiles/sky/6/19_21.jpg",</v>
      </c>
      <c r="H829" t="str">
        <f>QUOTIENT(ROW(A829),48)+2&amp;"_"&amp;MOD(ROW(A829),48)+8</f>
        <v>19_21</v>
      </c>
    </row>
    <row r="830" spans="1:8" x14ac:dyDescent="0.2">
      <c r="A830" s="9" t="s">
        <v>51</v>
      </c>
      <c r="C830" t="str">
        <f>""""&amp;SUBSTITUTE(A830,"zzz",H830)&amp;""""&amp;","</f>
        <v>"https://www.zeldadungeon.net/maps/totk/tiles/sky/6/19_22.jpg",</v>
      </c>
      <c r="H830" t="str">
        <f>QUOTIENT(ROW(A830),48)+2&amp;"_"&amp;MOD(ROW(A830),48)+8</f>
        <v>19_22</v>
      </c>
    </row>
    <row r="831" spans="1:8" x14ac:dyDescent="0.2">
      <c r="A831" s="9" t="s">
        <v>51</v>
      </c>
      <c r="C831" t="str">
        <f>""""&amp;SUBSTITUTE(A831,"zzz",H831)&amp;""""&amp;","</f>
        <v>"https://www.zeldadungeon.net/maps/totk/tiles/sky/6/19_23.jpg",</v>
      </c>
      <c r="H831" t="str">
        <f>QUOTIENT(ROW(A831),48)+2&amp;"_"&amp;MOD(ROW(A831),48)+8</f>
        <v>19_23</v>
      </c>
    </row>
    <row r="832" spans="1:8" x14ac:dyDescent="0.2">
      <c r="A832" s="9" t="s">
        <v>51</v>
      </c>
      <c r="C832" t="str">
        <f>""""&amp;SUBSTITUTE(A832,"zzz",H832)&amp;""""&amp;","</f>
        <v>"https://www.zeldadungeon.net/maps/totk/tiles/sky/6/19_24.jpg",</v>
      </c>
      <c r="H832" t="str">
        <f>QUOTIENT(ROW(A832),48)+2&amp;"_"&amp;MOD(ROW(A832),48)+8</f>
        <v>19_24</v>
      </c>
    </row>
    <row r="833" spans="1:8" x14ac:dyDescent="0.2">
      <c r="A833" s="9" t="s">
        <v>51</v>
      </c>
      <c r="C833" t="str">
        <f>""""&amp;SUBSTITUTE(A833,"zzz",H833)&amp;""""&amp;","</f>
        <v>"https://www.zeldadungeon.net/maps/totk/tiles/sky/6/19_25.jpg",</v>
      </c>
      <c r="H833" t="str">
        <f>QUOTIENT(ROW(A833),48)+2&amp;"_"&amp;MOD(ROW(A833),48)+8</f>
        <v>19_25</v>
      </c>
    </row>
    <row r="834" spans="1:8" x14ac:dyDescent="0.2">
      <c r="A834" s="9" t="s">
        <v>51</v>
      </c>
      <c r="C834" t="str">
        <f>""""&amp;SUBSTITUTE(A834,"zzz",H834)&amp;""""&amp;","</f>
        <v>"https://www.zeldadungeon.net/maps/totk/tiles/sky/6/19_26.jpg",</v>
      </c>
      <c r="H834" t="str">
        <f>QUOTIENT(ROW(A834),48)+2&amp;"_"&amp;MOD(ROW(A834),48)+8</f>
        <v>19_26</v>
      </c>
    </row>
    <row r="835" spans="1:8" x14ac:dyDescent="0.2">
      <c r="A835" s="9" t="s">
        <v>51</v>
      </c>
      <c r="C835" t="str">
        <f>""""&amp;SUBSTITUTE(A835,"zzz",H835)&amp;""""&amp;","</f>
        <v>"https://www.zeldadungeon.net/maps/totk/tiles/sky/6/19_27.jpg",</v>
      </c>
      <c r="H835" t="str">
        <f>QUOTIENT(ROW(A835),48)+2&amp;"_"&amp;MOD(ROW(A835),48)+8</f>
        <v>19_27</v>
      </c>
    </row>
    <row r="836" spans="1:8" x14ac:dyDescent="0.2">
      <c r="A836" s="9" t="s">
        <v>51</v>
      </c>
      <c r="C836" t="str">
        <f>""""&amp;SUBSTITUTE(A836,"zzz",H836)&amp;""""&amp;","</f>
        <v>"https://www.zeldadungeon.net/maps/totk/tiles/sky/6/19_28.jpg",</v>
      </c>
      <c r="H836" t="str">
        <f>QUOTIENT(ROW(A836),48)+2&amp;"_"&amp;MOD(ROW(A836),48)+8</f>
        <v>19_28</v>
      </c>
    </row>
    <row r="837" spans="1:8" x14ac:dyDescent="0.2">
      <c r="A837" s="9" t="s">
        <v>51</v>
      </c>
      <c r="C837" t="str">
        <f>""""&amp;SUBSTITUTE(A837,"zzz",H837)&amp;""""&amp;","</f>
        <v>"https://www.zeldadungeon.net/maps/totk/tiles/sky/6/19_29.jpg",</v>
      </c>
      <c r="H837" t="str">
        <f>QUOTIENT(ROW(A837),48)+2&amp;"_"&amp;MOD(ROW(A837),48)+8</f>
        <v>19_29</v>
      </c>
    </row>
    <row r="838" spans="1:8" x14ac:dyDescent="0.2">
      <c r="A838" s="9" t="s">
        <v>51</v>
      </c>
      <c r="C838" t="str">
        <f>""""&amp;SUBSTITUTE(A838,"zzz",H838)&amp;""""&amp;","</f>
        <v>"https://www.zeldadungeon.net/maps/totk/tiles/sky/6/19_30.jpg",</v>
      </c>
      <c r="H838" t="str">
        <f>QUOTIENT(ROW(A838),48)+2&amp;"_"&amp;MOD(ROW(A838),48)+8</f>
        <v>19_30</v>
      </c>
    </row>
    <row r="839" spans="1:8" x14ac:dyDescent="0.2">
      <c r="A839" s="9" t="s">
        <v>51</v>
      </c>
      <c r="C839" t="str">
        <f>""""&amp;SUBSTITUTE(A839,"zzz",H839)&amp;""""&amp;","</f>
        <v>"https://www.zeldadungeon.net/maps/totk/tiles/sky/6/19_31.jpg",</v>
      </c>
      <c r="H839" t="str">
        <f>QUOTIENT(ROW(A839),48)+2&amp;"_"&amp;MOD(ROW(A839),48)+8</f>
        <v>19_31</v>
      </c>
    </row>
    <row r="840" spans="1:8" x14ac:dyDescent="0.2">
      <c r="A840" s="9" t="s">
        <v>51</v>
      </c>
      <c r="C840" t="str">
        <f>""""&amp;SUBSTITUTE(A840,"zzz",H840)&amp;""""&amp;","</f>
        <v>"https://www.zeldadungeon.net/maps/totk/tiles/sky/6/19_32.jpg",</v>
      </c>
      <c r="H840" t="str">
        <f>QUOTIENT(ROW(A840),48)+2&amp;"_"&amp;MOD(ROW(A840),48)+8</f>
        <v>19_32</v>
      </c>
    </row>
    <row r="841" spans="1:8" x14ac:dyDescent="0.2">
      <c r="A841" s="9" t="s">
        <v>51</v>
      </c>
      <c r="C841" t="str">
        <f>""""&amp;SUBSTITUTE(A841,"zzz",H841)&amp;""""&amp;","</f>
        <v>"https://www.zeldadungeon.net/maps/totk/tiles/sky/6/19_33.jpg",</v>
      </c>
      <c r="H841" t="str">
        <f>QUOTIENT(ROW(A841),48)+2&amp;"_"&amp;MOD(ROW(A841),48)+8</f>
        <v>19_33</v>
      </c>
    </row>
    <row r="842" spans="1:8" x14ac:dyDescent="0.2">
      <c r="A842" s="9" t="s">
        <v>51</v>
      </c>
      <c r="C842" t="str">
        <f>""""&amp;SUBSTITUTE(A842,"zzz",H842)&amp;""""&amp;","</f>
        <v>"https://www.zeldadungeon.net/maps/totk/tiles/sky/6/19_34.jpg",</v>
      </c>
      <c r="H842" t="str">
        <f>QUOTIENT(ROW(A842),48)+2&amp;"_"&amp;MOD(ROW(A842),48)+8</f>
        <v>19_34</v>
      </c>
    </row>
    <row r="843" spans="1:8" x14ac:dyDescent="0.2">
      <c r="A843" s="9" t="s">
        <v>51</v>
      </c>
      <c r="C843" t="str">
        <f>""""&amp;SUBSTITUTE(A843,"zzz",H843)&amp;""""&amp;","</f>
        <v>"https://www.zeldadungeon.net/maps/totk/tiles/sky/6/19_35.jpg",</v>
      </c>
      <c r="H843" t="str">
        <f>QUOTIENT(ROW(A843),48)+2&amp;"_"&amp;MOD(ROW(A843),48)+8</f>
        <v>19_35</v>
      </c>
    </row>
    <row r="844" spans="1:8" x14ac:dyDescent="0.2">
      <c r="A844" s="9" t="s">
        <v>51</v>
      </c>
      <c r="C844" t="str">
        <f>""""&amp;SUBSTITUTE(A844,"zzz",H844)&amp;""""&amp;","</f>
        <v>"https://www.zeldadungeon.net/maps/totk/tiles/sky/6/19_36.jpg",</v>
      </c>
      <c r="H844" t="str">
        <f>QUOTIENT(ROW(A844),48)+2&amp;"_"&amp;MOD(ROW(A844),48)+8</f>
        <v>19_36</v>
      </c>
    </row>
    <row r="845" spans="1:8" x14ac:dyDescent="0.2">
      <c r="A845" s="9" t="s">
        <v>51</v>
      </c>
      <c r="C845" t="str">
        <f>""""&amp;SUBSTITUTE(A845,"zzz",H845)&amp;""""&amp;","</f>
        <v>"https://www.zeldadungeon.net/maps/totk/tiles/sky/6/19_37.jpg",</v>
      </c>
      <c r="H845" t="str">
        <f>QUOTIENT(ROW(A845),48)+2&amp;"_"&amp;MOD(ROW(A845),48)+8</f>
        <v>19_37</v>
      </c>
    </row>
    <row r="846" spans="1:8" x14ac:dyDescent="0.2">
      <c r="A846" s="9" t="s">
        <v>51</v>
      </c>
      <c r="C846" t="str">
        <f>""""&amp;SUBSTITUTE(A846,"zzz",H846)&amp;""""&amp;","</f>
        <v>"https://www.zeldadungeon.net/maps/totk/tiles/sky/6/19_38.jpg",</v>
      </c>
      <c r="H846" t="str">
        <f>QUOTIENT(ROW(A846),48)+2&amp;"_"&amp;MOD(ROW(A846),48)+8</f>
        <v>19_38</v>
      </c>
    </row>
    <row r="847" spans="1:8" x14ac:dyDescent="0.2">
      <c r="A847" s="9" t="s">
        <v>51</v>
      </c>
      <c r="C847" t="str">
        <f>""""&amp;SUBSTITUTE(A847,"zzz",H847)&amp;""""&amp;","</f>
        <v>"https://www.zeldadungeon.net/maps/totk/tiles/sky/6/19_39.jpg",</v>
      </c>
      <c r="H847" t="str">
        <f>QUOTIENT(ROW(A847),48)+2&amp;"_"&amp;MOD(ROW(A847),48)+8</f>
        <v>19_39</v>
      </c>
    </row>
    <row r="848" spans="1:8" x14ac:dyDescent="0.2">
      <c r="A848" s="9" t="s">
        <v>51</v>
      </c>
      <c r="C848" t="str">
        <f>""""&amp;SUBSTITUTE(A848,"zzz",H848)&amp;""""&amp;","</f>
        <v>"https://www.zeldadungeon.net/maps/totk/tiles/sky/6/19_40.jpg",</v>
      </c>
      <c r="H848" t="str">
        <f>QUOTIENT(ROW(A848),48)+2&amp;"_"&amp;MOD(ROW(A848),48)+8</f>
        <v>19_40</v>
      </c>
    </row>
    <row r="849" spans="1:8" x14ac:dyDescent="0.2">
      <c r="A849" s="9" t="s">
        <v>51</v>
      </c>
      <c r="C849" t="str">
        <f>""""&amp;SUBSTITUTE(A849,"zzz",H849)&amp;""""&amp;","</f>
        <v>"https://www.zeldadungeon.net/maps/totk/tiles/sky/6/19_41.jpg",</v>
      </c>
      <c r="H849" t="str">
        <f>QUOTIENT(ROW(A849),48)+2&amp;"_"&amp;MOD(ROW(A849),48)+8</f>
        <v>19_41</v>
      </c>
    </row>
    <row r="850" spans="1:8" x14ac:dyDescent="0.2">
      <c r="A850" s="9" t="s">
        <v>51</v>
      </c>
      <c r="C850" t="str">
        <f>""""&amp;SUBSTITUTE(A850,"zzz",H850)&amp;""""&amp;","</f>
        <v>"https://www.zeldadungeon.net/maps/totk/tiles/sky/6/19_42.jpg",</v>
      </c>
      <c r="H850" t="str">
        <f>QUOTIENT(ROW(A850),48)+2&amp;"_"&amp;MOD(ROW(A850),48)+8</f>
        <v>19_42</v>
      </c>
    </row>
    <row r="851" spans="1:8" x14ac:dyDescent="0.2">
      <c r="A851" s="9" t="s">
        <v>51</v>
      </c>
      <c r="C851" t="str">
        <f>""""&amp;SUBSTITUTE(A851,"zzz",H851)&amp;""""&amp;","</f>
        <v>"https://www.zeldadungeon.net/maps/totk/tiles/sky/6/19_43.jpg",</v>
      </c>
      <c r="H851" t="str">
        <f>QUOTIENT(ROW(A851),48)+2&amp;"_"&amp;MOD(ROW(A851),48)+8</f>
        <v>19_43</v>
      </c>
    </row>
    <row r="852" spans="1:8" x14ac:dyDescent="0.2">
      <c r="A852" s="9" t="s">
        <v>51</v>
      </c>
      <c r="C852" t="str">
        <f>""""&amp;SUBSTITUTE(A852,"zzz",H852)&amp;""""&amp;","</f>
        <v>"https://www.zeldadungeon.net/maps/totk/tiles/sky/6/19_44.jpg",</v>
      </c>
      <c r="H852" t="str">
        <f>QUOTIENT(ROW(A852),48)+2&amp;"_"&amp;MOD(ROW(A852),48)+8</f>
        <v>19_44</v>
      </c>
    </row>
    <row r="853" spans="1:8" x14ac:dyDescent="0.2">
      <c r="A853" s="9" t="s">
        <v>51</v>
      </c>
      <c r="C853" t="str">
        <f>""""&amp;SUBSTITUTE(A853,"zzz",H853)&amp;""""&amp;","</f>
        <v>"https://www.zeldadungeon.net/maps/totk/tiles/sky/6/19_45.jpg",</v>
      </c>
      <c r="H853" t="str">
        <f>QUOTIENT(ROW(A853),48)+2&amp;"_"&amp;MOD(ROW(A853),48)+8</f>
        <v>19_45</v>
      </c>
    </row>
    <row r="854" spans="1:8" x14ac:dyDescent="0.2">
      <c r="A854" s="9" t="s">
        <v>51</v>
      </c>
      <c r="C854" t="str">
        <f>""""&amp;SUBSTITUTE(A854,"zzz",H854)&amp;""""&amp;","</f>
        <v>"https://www.zeldadungeon.net/maps/totk/tiles/sky/6/19_46.jpg",</v>
      </c>
      <c r="H854" t="str">
        <f>QUOTIENT(ROW(A854),48)+2&amp;"_"&amp;MOD(ROW(A854),48)+8</f>
        <v>19_46</v>
      </c>
    </row>
    <row r="855" spans="1:8" x14ac:dyDescent="0.2">
      <c r="A855" s="9" t="s">
        <v>51</v>
      </c>
      <c r="C855" t="str">
        <f>""""&amp;SUBSTITUTE(A855,"zzz",H855)&amp;""""&amp;","</f>
        <v>"https://www.zeldadungeon.net/maps/totk/tiles/sky/6/19_47.jpg",</v>
      </c>
      <c r="H855" t="str">
        <f>QUOTIENT(ROW(A855),48)+2&amp;"_"&amp;MOD(ROW(A855),48)+8</f>
        <v>19_47</v>
      </c>
    </row>
    <row r="856" spans="1:8" x14ac:dyDescent="0.2">
      <c r="A856" s="9" t="s">
        <v>51</v>
      </c>
      <c r="C856" t="str">
        <f>""""&amp;SUBSTITUTE(A856,"zzz",H856)&amp;""""&amp;","</f>
        <v>"https://www.zeldadungeon.net/maps/totk/tiles/sky/6/19_48.jpg",</v>
      </c>
      <c r="H856" t="str">
        <f>QUOTIENT(ROW(A856),48)+2&amp;"_"&amp;MOD(ROW(A856),48)+8</f>
        <v>19_48</v>
      </c>
    </row>
    <row r="857" spans="1:8" x14ac:dyDescent="0.2">
      <c r="A857" s="9" t="s">
        <v>51</v>
      </c>
      <c r="C857" t="str">
        <f>""""&amp;SUBSTITUTE(A857,"zzz",H857)&amp;""""&amp;","</f>
        <v>"https://www.zeldadungeon.net/maps/totk/tiles/sky/6/19_49.jpg",</v>
      </c>
      <c r="H857" t="str">
        <f>QUOTIENT(ROW(A857),48)+2&amp;"_"&amp;MOD(ROW(A857),48)+8</f>
        <v>19_49</v>
      </c>
    </row>
    <row r="858" spans="1:8" x14ac:dyDescent="0.2">
      <c r="A858" s="9" t="s">
        <v>51</v>
      </c>
      <c r="C858" t="str">
        <f>""""&amp;SUBSTITUTE(A858,"zzz",H858)&amp;""""&amp;","</f>
        <v>"https://www.zeldadungeon.net/maps/totk/tiles/sky/6/19_50.jpg",</v>
      </c>
      <c r="H858" t="str">
        <f>QUOTIENT(ROW(A858),48)+2&amp;"_"&amp;MOD(ROW(A858),48)+8</f>
        <v>19_50</v>
      </c>
    </row>
    <row r="859" spans="1:8" x14ac:dyDescent="0.2">
      <c r="A859" s="9" t="s">
        <v>51</v>
      </c>
      <c r="C859" t="str">
        <f>""""&amp;SUBSTITUTE(A859,"zzz",H859)&amp;""""&amp;","</f>
        <v>"https://www.zeldadungeon.net/maps/totk/tiles/sky/6/19_51.jpg",</v>
      </c>
      <c r="H859" t="str">
        <f>QUOTIENT(ROW(A859),48)+2&amp;"_"&amp;MOD(ROW(A859),48)+8</f>
        <v>19_51</v>
      </c>
    </row>
    <row r="860" spans="1:8" x14ac:dyDescent="0.2">
      <c r="A860" s="9" t="s">
        <v>51</v>
      </c>
      <c r="C860" t="str">
        <f>""""&amp;SUBSTITUTE(A860,"zzz",H860)&amp;""""&amp;","</f>
        <v>"https://www.zeldadungeon.net/maps/totk/tiles/sky/6/19_52.jpg",</v>
      </c>
      <c r="H860" t="str">
        <f>QUOTIENT(ROW(A860),48)+2&amp;"_"&amp;MOD(ROW(A860),48)+8</f>
        <v>19_52</v>
      </c>
    </row>
    <row r="861" spans="1:8" x14ac:dyDescent="0.2">
      <c r="A861" s="9" t="s">
        <v>51</v>
      </c>
      <c r="C861" t="str">
        <f>""""&amp;SUBSTITUTE(A861,"zzz",H861)&amp;""""&amp;","</f>
        <v>"https://www.zeldadungeon.net/maps/totk/tiles/sky/6/19_53.jpg",</v>
      </c>
      <c r="H861" t="str">
        <f>QUOTIENT(ROW(A861),48)+2&amp;"_"&amp;MOD(ROW(A861),48)+8</f>
        <v>19_53</v>
      </c>
    </row>
    <row r="862" spans="1:8" x14ac:dyDescent="0.2">
      <c r="A862" s="9" t="s">
        <v>51</v>
      </c>
      <c r="C862" t="str">
        <f>""""&amp;SUBSTITUTE(A862,"zzz",H862)&amp;""""&amp;","</f>
        <v>"https://www.zeldadungeon.net/maps/totk/tiles/sky/6/19_54.jpg",</v>
      </c>
      <c r="H862" t="str">
        <f>QUOTIENT(ROW(A862),48)+2&amp;"_"&amp;MOD(ROW(A862),48)+8</f>
        <v>19_54</v>
      </c>
    </row>
    <row r="863" spans="1:8" x14ac:dyDescent="0.2">
      <c r="A863" s="9" t="s">
        <v>51</v>
      </c>
      <c r="C863" t="str">
        <f>""""&amp;SUBSTITUTE(A863,"zzz",H863)&amp;""""&amp;","</f>
        <v>"https://www.zeldadungeon.net/maps/totk/tiles/sky/6/19_55.jpg",</v>
      </c>
      <c r="H863" t="str">
        <f>QUOTIENT(ROW(A863),48)+2&amp;"_"&amp;MOD(ROW(A863),48)+8</f>
        <v>19_55</v>
      </c>
    </row>
    <row r="864" spans="1:8" x14ac:dyDescent="0.2">
      <c r="A864" s="9" t="s">
        <v>51</v>
      </c>
      <c r="C864" t="str">
        <f>""""&amp;SUBSTITUTE(A864,"zzz",H864)&amp;""""&amp;","</f>
        <v>"https://www.zeldadungeon.net/maps/totk/tiles/sky/6/20_8.jpg",</v>
      </c>
      <c r="H864" t="str">
        <f>QUOTIENT(ROW(A864),48)+2&amp;"_"&amp;MOD(ROW(A864),48)+8</f>
        <v>20_8</v>
      </c>
    </row>
    <row r="865" spans="1:8" x14ac:dyDescent="0.2">
      <c r="A865" s="9" t="s">
        <v>51</v>
      </c>
      <c r="C865" t="str">
        <f>""""&amp;SUBSTITUTE(A865,"zzz",H865)&amp;""""&amp;","</f>
        <v>"https://www.zeldadungeon.net/maps/totk/tiles/sky/6/20_9.jpg",</v>
      </c>
      <c r="H865" t="str">
        <f>QUOTIENT(ROW(A865),48)+2&amp;"_"&amp;MOD(ROW(A865),48)+8</f>
        <v>20_9</v>
      </c>
    </row>
    <row r="866" spans="1:8" x14ac:dyDescent="0.2">
      <c r="A866" s="9" t="s">
        <v>51</v>
      </c>
      <c r="C866" t="str">
        <f>""""&amp;SUBSTITUTE(A866,"zzz",H866)&amp;""""&amp;","</f>
        <v>"https://www.zeldadungeon.net/maps/totk/tiles/sky/6/20_10.jpg",</v>
      </c>
      <c r="H866" t="str">
        <f>QUOTIENT(ROW(A866),48)+2&amp;"_"&amp;MOD(ROW(A866),48)+8</f>
        <v>20_10</v>
      </c>
    </row>
    <row r="867" spans="1:8" x14ac:dyDescent="0.2">
      <c r="A867" s="9" t="s">
        <v>51</v>
      </c>
      <c r="C867" t="str">
        <f>""""&amp;SUBSTITUTE(A867,"zzz",H867)&amp;""""&amp;","</f>
        <v>"https://www.zeldadungeon.net/maps/totk/tiles/sky/6/20_11.jpg",</v>
      </c>
      <c r="H867" t="str">
        <f>QUOTIENT(ROW(A867),48)+2&amp;"_"&amp;MOD(ROW(A867),48)+8</f>
        <v>20_11</v>
      </c>
    </row>
    <row r="868" spans="1:8" x14ac:dyDescent="0.2">
      <c r="A868" s="9" t="s">
        <v>51</v>
      </c>
      <c r="C868" t="str">
        <f>""""&amp;SUBSTITUTE(A868,"zzz",H868)&amp;""""&amp;","</f>
        <v>"https://www.zeldadungeon.net/maps/totk/tiles/sky/6/20_12.jpg",</v>
      </c>
      <c r="H868" t="str">
        <f>QUOTIENT(ROW(A868),48)+2&amp;"_"&amp;MOD(ROW(A868),48)+8</f>
        <v>20_12</v>
      </c>
    </row>
    <row r="869" spans="1:8" x14ac:dyDescent="0.2">
      <c r="A869" s="9" t="s">
        <v>51</v>
      </c>
      <c r="C869" t="str">
        <f>""""&amp;SUBSTITUTE(A869,"zzz",H869)&amp;""""&amp;","</f>
        <v>"https://www.zeldadungeon.net/maps/totk/tiles/sky/6/20_13.jpg",</v>
      </c>
      <c r="H869" t="str">
        <f>QUOTIENT(ROW(A869),48)+2&amp;"_"&amp;MOD(ROW(A869),48)+8</f>
        <v>20_13</v>
      </c>
    </row>
    <row r="870" spans="1:8" x14ac:dyDescent="0.2">
      <c r="A870" s="9" t="s">
        <v>51</v>
      </c>
      <c r="C870" t="str">
        <f>""""&amp;SUBSTITUTE(A870,"zzz",H870)&amp;""""&amp;","</f>
        <v>"https://www.zeldadungeon.net/maps/totk/tiles/sky/6/20_14.jpg",</v>
      </c>
      <c r="H870" t="str">
        <f>QUOTIENT(ROW(A870),48)+2&amp;"_"&amp;MOD(ROW(A870),48)+8</f>
        <v>20_14</v>
      </c>
    </row>
    <row r="871" spans="1:8" x14ac:dyDescent="0.2">
      <c r="A871" s="9" t="s">
        <v>51</v>
      </c>
      <c r="C871" t="str">
        <f>""""&amp;SUBSTITUTE(A871,"zzz",H871)&amp;""""&amp;","</f>
        <v>"https://www.zeldadungeon.net/maps/totk/tiles/sky/6/20_15.jpg",</v>
      </c>
      <c r="H871" t="str">
        <f>QUOTIENT(ROW(A871),48)+2&amp;"_"&amp;MOD(ROW(A871),48)+8</f>
        <v>20_15</v>
      </c>
    </row>
    <row r="872" spans="1:8" x14ac:dyDescent="0.2">
      <c r="A872" s="9" t="s">
        <v>51</v>
      </c>
      <c r="C872" t="str">
        <f>""""&amp;SUBSTITUTE(A872,"zzz",H872)&amp;""""&amp;","</f>
        <v>"https://www.zeldadungeon.net/maps/totk/tiles/sky/6/20_16.jpg",</v>
      </c>
      <c r="H872" t="str">
        <f>QUOTIENT(ROW(A872),48)+2&amp;"_"&amp;MOD(ROW(A872),48)+8</f>
        <v>20_16</v>
      </c>
    </row>
    <row r="873" spans="1:8" x14ac:dyDescent="0.2">
      <c r="A873" s="9" t="s">
        <v>51</v>
      </c>
      <c r="C873" t="str">
        <f>""""&amp;SUBSTITUTE(A873,"zzz",H873)&amp;""""&amp;","</f>
        <v>"https://www.zeldadungeon.net/maps/totk/tiles/sky/6/20_17.jpg",</v>
      </c>
      <c r="H873" t="str">
        <f>QUOTIENT(ROW(A873),48)+2&amp;"_"&amp;MOD(ROW(A873),48)+8</f>
        <v>20_17</v>
      </c>
    </row>
    <row r="874" spans="1:8" x14ac:dyDescent="0.2">
      <c r="A874" s="9" t="s">
        <v>51</v>
      </c>
      <c r="C874" t="str">
        <f>""""&amp;SUBSTITUTE(A874,"zzz",H874)&amp;""""&amp;","</f>
        <v>"https://www.zeldadungeon.net/maps/totk/tiles/sky/6/20_18.jpg",</v>
      </c>
      <c r="H874" t="str">
        <f>QUOTIENT(ROW(A874),48)+2&amp;"_"&amp;MOD(ROW(A874),48)+8</f>
        <v>20_18</v>
      </c>
    </row>
    <row r="875" spans="1:8" x14ac:dyDescent="0.2">
      <c r="A875" s="9" t="s">
        <v>51</v>
      </c>
      <c r="C875" t="str">
        <f>""""&amp;SUBSTITUTE(A875,"zzz",H875)&amp;""""&amp;","</f>
        <v>"https://www.zeldadungeon.net/maps/totk/tiles/sky/6/20_19.jpg",</v>
      </c>
      <c r="H875" t="str">
        <f>QUOTIENT(ROW(A875),48)+2&amp;"_"&amp;MOD(ROW(A875),48)+8</f>
        <v>20_19</v>
      </c>
    </row>
    <row r="876" spans="1:8" x14ac:dyDescent="0.2">
      <c r="A876" s="9" t="s">
        <v>51</v>
      </c>
      <c r="C876" t="str">
        <f>""""&amp;SUBSTITUTE(A876,"zzz",H876)&amp;""""&amp;","</f>
        <v>"https://www.zeldadungeon.net/maps/totk/tiles/sky/6/20_20.jpg",</v>
      </c>
      <c r="H876" t="str">
        <f>QUOTIENT(ROW(A876),48)+2&amp;"_"&amp;MOD(ROW(A876),48)+8</f>
        <v>20_20</v>
      </c>
    </row>
    <row r="877" spans="1:8" x14ac:dyDescent="0.2">
      <c r="A877" s="9" t="s">
        <v>51</v>
      </c>
      <c r="C877" t="str">
        <f>""""&amp;SUBSTITUTE(A877,"zzz",H877)&amp;""""&amp;","</f>
        <v>"https://www.zeldadungeon.net/maps/totk/tiles/sky/6/20_21.jpg",</v>
      </c>
      <c r="H877" t="str">
        <f>QUOTIENT(ROW(A877),48)+2&amp;"_"&amp;MOD(ROW(A877),48)+8</f>
        <v>20_21</v>
      </c>
    </row>
    <row r="878" spans="1:8" x14ac:dyDescent="0.2">
      <c r="A878" s="9" t="s">
        <v>51</v>
      </c>
      <c r="C878" t="str">
        <f>""""&amp;SUBSTITUTE(A878,"zzz",H878)&amp;""""&amp;","</f>
        <v>"https://www.zeldadungeon.net/maps/totk/tiles/sky/6/20_22.jpg",</v>
      </c>
      <c r="H878" t="str">
        <f>QUOTIENT(ROW(A878),48)+2&amp;"_"&amp;MOD(ROW(A878),48)+8</f>
        <v>20_22</v>
      </c>
    </row>
    <row r="879" spans="1:8" x14ac:dyDescent="0.2">
      <c r="A879" s="9" t="s">
        <v>51</v>
      </c>
      <c r="C879" t="str">
        <f>""""&amp;SUBSTITUTE(A879,"zzz",H879)&amp;""""&amp;","</f>
        <v>"https://www.zeldadungeon.net/maps/totk/tiles/sky/6/20_23.jpg",</v>
      </c>
      <c r="H879" t="str">
        <f>QUOTIENT(ROW(A879),48)+2&amp;"_"&amp;MOD(ROW(A879),48)+8</f>
        <v>20_23</v>
      </c>
    </row>
    <row r="880" spans="1:8" x14ac:dyDescent="0.2">
      <c r="A880" s="9" t="s">
        <v>51</v>
      </c>
      <c r="C880" t="str">
        <f>""""&amp;SUBSTITUTE(A880,"zzz",H880)&amp;""""&amp;","</f>
        <v>"https://www.zeldadungeon.net/maps/totk/tiles/sky/6/20_24.jpg",</v>
      </c>
      <c r="H880" t="str">
        <f>QUOTIENT(ROW(A880),48)+2&amp;"_"&amp;MOD(ROW(A880),48)+8</f>
        <v>20_24</v>
      </c>
    </row>
    <row r="881" spans="1:8" x14ac:dyDescent="0.2">
      <c r="A881" s="9" t="s">
        <v>51</v>
      </c>
      <c r="C881" t="str">
        <f>""""&amp;SUBSTITUTE(A881,"zzz",H881)&amp;""""&amp;","</f>
        <v>"https://www.zeldadungeon.net/maps/totk/tiles/sky/6/20_25.jpg",</v>
      </c>
      <c r="H881" t="str">
        <f>QUOTIENT(ROW(A881),48)+2&amp;"_"&amp;MOD(ROW(A881),48)+8</f>
        <v>20_25</v>
      </c>
    </row>
    <row r="882" spans="1:8" x14ac:dyDescent="0.2">
      <c r="A882" s="9" t="s">
        <v>51</v>
      </c>
      <c r="C882" t="str">
        <f>""""&amp;SUBSTITUTE(A882,"zzz",H882)&amp;""""&amp;","</f>
        <v>"https://www.zeldadungeon.net/maps/totk/tiles/sky/6/20_26.jpg",</v>
      </c>
      <c r="H882" t="str">
        <f>QUOTIENT(ROW(A882),48)+2&amp;"_"&amp;MOD(ROW(A882),48)+8</f>
        <v>20_26</v>
      </c>
    </row>
    <row r="883" spans="1:8" x14ac:dyDescent="0.2">
      <c r="A883" s="9" t="s">
        <v>51</v>
      </c>
      <c r="C883" t="str">
        <f>""""&amp;SUBSTITUTE(A883,"zzz",H883)&amp;""""&amp;","</f>
        <v>"https://www.zeldadungeon.net/maps/totk/tiles/sky/6/20_27.jpg",</v>
      </c>
      <c r="H883" t="str">
        <f>QUOTIENT(ROW(A883),48)+2&amp;"_"&amp;MOD(ROW(A883),48)+8</f>
        <v>20_27</v>
      </c>
    </row>
    <row r="884" spans="1:8" x14ac:dyDescent="0.2">
      <c r="A884" s="9" t="s">
        <v>51</v>
      </c>
      <c r="C884" t="str">
        <f>""""&amp;SUBSTITUTE(A884,"zzz",H884)&amp;""""&amp;","</f>
        <v>"https://www.zeldadungeon.net/maps/totk/tiles/sky/6/20_28.jpg",</v>
      </c>
      <c r="H884" t="str">
        <f>QUOTIENT(ROW(A884),48)+2&amp;"_"&amp;MOD(ROW(A884),48)+8</f>
        <v>20_28</v>
      </c>
    </row>
    <row r="885" spans="1:8" x14ac:dyDescent="0.2">
      <c r="A885" s="9" t="s">
        <v>51</v>
      </c>
      <c r="C885" t="str">
        <f>""""&amp;SUBSTITUTE(A885,"zzz",H885)&amp;""""&amp;","</f>
        <v>"https://www.zeldadungeon.net/maps/totk/tiles/sky/6/20_29.jpg",</v>
      </c>
      <c r="H885" t="str">
        <f>QUOTIENT(ROW(A885),48)+2&amp;"_"&amp;MOD(ROW(A885),48)+8</f>
        <v>20_29</v>
      </c>
    </row>
    <row r="886" spans="1:8" x14ac:dyDescent="0.2">
      <c r="A886" s="9" t="s">
        <v>51</v>
      </c>
      <c r="C886" t="str">
        <f>""""&amp;SUBSTITUTE(A886,"zzz",H886)&amp;""""&amp;","</f>
        <v>"https://www.zeldadungeon.net/maps/totk/tiles/sky/6/20_30.jpg",</v>
      </c>
      <c r="H886" t="str">
        <f>QUOTIENT(ROW(A886),48)+2&amp;"_"&amp;MOD(ROW(A886),48)+8</f>
        <v>20_30</v>
      </c>
    </row>
    <row r="887" spans="1:8" x14ac:dyDescent="0.2">
      <c r="A887" s="9" t="s">
        <v>51</v>
      </c>
      <c r="C887" t="str">
        <f>""""&amp;SUBSTITUTE(A887,"zzz",H887)&amp;""""&amp;","</f>
        <v>"https://www.zeldadungeon.net/maps/totk/tiles/sky/6/20_31.jpg",</v>
      </c>
      <c r="H887" t="str">
        <f>QUOTIENT(ROW(A887),48)+2&amp;"_"&amp;MOD(ROW(A887),48)+8</f>
        <v>20_31</v>
      </c>
    </row>
    <row r="888" spans="1:8" x14ac:dyDescent="0.2">
      <c r="A888" s="9" t="s">
        <v>51</v>
      </c>
      <c r="C888" t="str">
        <f>""""&amp;SUBSTITUTE(A888,"zzz",H888)&amp;""""&amp;","</f>
        <v>"https://www.zeldadungeon.net/maps/totk/tiles/sky/6/20_32.jpg",</v>
      </c>
      <c r="H888" t="str">
        <f>QUOTIENT(ROW(A888),48)+2&amp;"_"&amp;MOD(ROW(A888),48)+8</f>
        <v>20_32</v>
      </c>
    </row>
    <row r="889" spans="1:8" x14ac:dyDescent="0.2">
      <c r="A889" s="9" t="s">
        <v>51</v>
      </c>
      <c r="C889" t="str">
        <f>""""&amp;SUBSTITUTE(A889,"zzz",H889)&amp;""""&amp;","</f>
        <v>"https://www.zeldadungeon.net/maps/totk/tiles/sky/6/20_33.jpg",</v>
      </c>
      <c r="H889" t="str">
        <f>QUOTIENT(ROW(A889),48)+2&amp;"_"&amp;MOD(ROW(A889),48)+8</f>
        <v>20_33</v>
      </c>
    </row>
    <row r="890" spans="1:8" x14ac:dyDescent="0.2">
      <c r="A890" s="9" t="s">
        <v>51</v>
      </c>
      <c r="C890" t="str">
        <f>""""&amp;SUBSTITUTE(A890,"zzz",H890)&amp;""""&amp;","</f>
        <v>"https://www.zeldadungeon.net/maps/totk/tiles/sky/6/20_34.jpg",</v>
      </c>
      <c r="H890" t="str">
        <f>QUOTIENT(ROW(A890),48)+2&amp;"_"&amp;MOD(ROW(A890),48)+8</f>
        <v>20_34</v>
      </c>
    </row>
    <row r="891" spans="1:8" x14ac:dyDescent="0.2">
      <c r="A891" s="9" t="s">
        <v>51</v>
      </c>
      <c r="C891" t="str">
        <f>""""&amp;SUBSTITUTE(A891,"zzz",H891)&amp;""""&amp;","</f>
        <v>"https://www.zeldadungeon.net/maps/totk/tiles/sky/6/20_35.jpg",</v>
      </c>
      <c r="H891" t="str">
        <f>QUOTIENT(ROW(A891),48)+2&amp;"_"&amp;MOD(ROW(A891),48)+8</f>
        <v>20_35</v>
      </c>
    </row>
    <row r="892" spans="1:8" x14ac:dyDescent="0.2">
      <c r="A892" s="9" t="s">
        <v>51</v>
      </c>
      <c r="C892" t="str">
        <f>""""&amp;SUBSTITUTE(A892,"zzz",H892)&amp;""""&amp;","</f>
        <v>"https://www.zeldadungeon.net/maps/totk/tiles/sky/6/20_36.jpg",</v>
      </c>
      <c r="H892" t="str">
        <f>QUOTIENT(ROW(A892),48)+2&amp;"_"&amp;MOD(ROW(A892),48)+8</f>
        <v>20_36</v>
      </c>
    </row>
    <row r="893" spans="1:8" x14ac:dyDescent="0.2">
      <c r="A893" s="9" t="s">
        <v>51</v>
      </c>
      <c r="C893" t="str">
        <f>""""&amp;SUBSTITUTE(A893,"zzz",H893)&amp;""""&amp;","</f>
        <v>"https://www.zeldadungeon.net/maps/totk/tiles/sky/6/20_37.jpg",</v>
      </c>
      <c r="H893" t="str">
        <f>QUOTIENT(ROW(A893),48)+2&amp;"_"&amp;MOD(ROW(A893),48)+8</f>
        <v>20_37</v>
      </c>
    </row>
    <row r="894" spans="1:8" x14ac:dyDescent="0.2">
      <c r="A894" s="9" t="s">
        <v>51</v>
      </c>
      <c r="C894" t="str">
        <f>""""&amp;SUBSTITUTE(A894,"zzz",H894)&amp;""""&amp;","</f>
        <v>"https://www.zeldadungeon.net/maps/totk/tiles/sky/6/20_38.jpg",</v>
      </c>
      <c r="H894" t="str">
        <f>QUOTIENT(ROW(A894),48)+2&amp;"_"&amp;MOD(ROW(A894),48)+8</f>
        <v>20_38</v>
      </c>
    </row>
    <row r="895" spans="1:8" x14ac:dyDescent="0.2">
      <c r="A895" s="9" t="s">
        <v>51</v>
      </c>
      <c r="C895" t="str">
        <f>""""&amp;SUBSTITUTE(A895,"zzz",H895)&amp;""""&amp;","</f>
        <v>"https://www.zeldadungeon.net/maps/totk/tiles/sky/6/20_39.jpg",</v>
      </c>
      <c r="H895" t="str">
        <f>QUOTIENT(ROW(A895),48)+2&amp;"_"&amp;MOD(ROW(A895),48)+8</f>
        <v>20_39</v>
      </c>
    </row>
    <row r="896" spans="1:8" x14ac:dyDescent="0.2">
      <c r="A896" s="9" t="s">
        <v>51</v>
      </c>
      <c r="C896" t="str">
        <f>""""&amp;SUBSTITUTE(A896,"zzz",H896)&amp;""""&amp;","</f>
        <v>"https://www.zeldadungeon.net/maps/totk/tiles/sky/6/20_40.jpg",</v>
      </c>
      <c r="H896" t="str">
        <f>QUOTIENT(ROW(A896),48)+2&amp;"_"&amp;MOD(ROW(A896),48)+8</f>
        <v>20_40</v>
      </c>
    </row>
    <row r="897" spans="1:8" x14ac:dyDescent="0.2">
      <c r="A897" s="9" t="s">
        <v>51</v>
      </c>
      <c r="C897" t="str">
        <f>""""&amp;SUBSTITUTE(A897,"zzz",H897)&amp;""""&amp;","</f>
        <v>"https://www.zeldadungeon.net/maps/totk/tiles/sky/6/20_41.jpg",</v>
      </c>
      <c r="H897" t="str">
        <f>QUOTIENT(ROW(A897),48)+2&amp;"_"&amp;MOD(ROW(A897),48)+8</f>
        <v>20_41</v>
      </c>
    </row>
    <row r="898" spans="1:8" x14ac:dyDescent="0.2">
      <c r="A898" s="9" t="s">
        <v>51</v>
      </c>
      <c r="C898" t="str">
        <f>""""&amp;SUBSTITUTE(A898,"zzz",H898)&amp;""""&amp;","</f>
        <v>"https://www.zeldadungeon.net/maps/totk/tiles/sky/6/20_42.jpg",</v>
      </c>
      <c r="H898" t="str">
        <f>QUOTIENT(ROW(A898),48)+2&amp;"_"&amp;MOD(ROW(A898),48)+8</f>
        <v>20_42</v>
      </c>
    </row>
    <row r="899" spans="1:8" x14ac:dyDescent="0.2">
      <c r="A899" s="9" t="s">
        <v>51</v>
      </c>
      <c r="C899" t="str">
        <f>""""&amp;SUBSTITUTE(A899,"zzz",H899)&amp;""""&amp;","</f>
        <v>"https://www.zeldadungeon.net/maps/totk/tiles/sky/6/20_43.jpg",</v>
      </c>
      <c r="H899" t="str">
        <f>QUOTIENT(ROW(A899),48)+2&amp;"_"&amp;MOD(ROW(A899),48)+8</f>
        <v>20_43</v>
      </c>
    </row>
    <row r="900" spans="1:8" x14ac:dyDescent="0.2">
      <c r="A900" s="9" t="s">
        <v>51</v>
      </c>
      <c r="C900" t="str">
        <f>""""&amp;SUBSTITUTE(A900,"zzz",H900)&amp;""""&amp;","</f>
        <v>"https://www.zeldadungeon.net/maps/totk/tiles/sky/6/20_44.jpg",</v>
      </c>
      <c r="H900" t="str">
        <f>QUOTIENT(ROW(A900),48)+2&amp;"_"&amp;MOD(ROW(A900),48)+8</f>
        <v>20_44</v>
      </c>
    </row>
    <row r="901" spans="1:8" x14ac:dyDescent="0.2">
      <c r="A901" s="9" t="s">
        <v>51</v>
      </c>
      <c r="C901" t="str">
        <f>""""&amp;SUBSTITUTE(A901,"zzz",H901)&amp;""""&amp;","</f>
        <v>"https://www.zeldadungeon.net/maps/totk/tiles/sky/6/20_45.jpg",</v>
      </c>
      <c r="H901" t="str">
        <f>QUOTIENT(ROW(A901),48)+2&amp;"_"&amp;MOD(ROW(A901),48)+8</f>
        <v>20_45</v>
      </c>
    </row>
    <row r="902" spans="1:8" x14ac:dyDescent="0.2">
      <c r="A902" s="9" t="s">
        <v>51</v>
      </c>
      <c r="C902" t="str">
        <f>""""&amp;SUBSTITUTE(A902,"zzz",H902)&amp;""""&amp;","</f>
        <v>"https://www.zeldadungeon.net/maps/totk/tiles/sky/6/20_46.jpg",</v>
      </c>
      <c r="H902" t="str">
        <f>QUOTIENT(ROW(A902),48)+2&amp;"_"&amp;MOD(ROW(A902),48)+8</f>
        <v>20_46</v>
      </c>
    </row>
    <row r="903" spans="1:8" x14ac:dyDescent="0.2">
      <c r="A903" s="9" t="s">
        <v>51</v>
      </c>
      <c r="C903" t="str">
        <f>""""&amp;SUBSTITUTE(A903,"zzz",H903)&amp;""""&amp;","</f>
        <v>"https://www.zeldadungeon.net/maps/totk/tiles/sky/6/20_47.jpg",</v>
      </c>
      <c r="H903" t="str">
        <f>QUOTIENT(ROW(A903),48)+2&amp;"_"&amp;MOD(ROW(A903),48)+8</f>
        <v>20_47</v>
      </c>
    </row>
    <row r="904" spans="1:8" x14ac:dyDescent="0.2">
      <c r="A904" s="9" t="s">
        <v>51</v>
      </c>
      <c r="C904" t="str">
        <f>""""&amp;SUBSTITUTE(A904,"zzz",H904)&amp;""""&amp;","</f>
        <v>"https://www.zeldadungeon.net/maps/totk/tiles/sky/6/20_48.jpg",</v>
      </c>
      <c r="H904" t="str">
        <f>QUOTIENT(ROW(A904),48)+2&amp;"_"&amp;MOD(ROW(A904),48)+8</f>
        <v>20_48</v>
      </c>
    </row>
    <row r="905" spans="1:8" x14ac:dyDescent="0.2">
      <c r="A905" s="9" t="s">
        <v>51</v>
      </c>
      <c r="C905" t="str">
        <f>""""&amp;SUBSTITUTE(A905,"zzz",H905)&amp;""""&amp;","</f>
        <v>"https://www.zeldadungeon.net/maps/totk/tiles/sky/6/20_49.jpg",</v>
      </c>
      <c r="H905" t="str">
        <f>QUOTIENT(ROW(A905),48)+2&amp;"_"&amp;MOD(ROW(A905),48)+8</f>
        <v>20_49</v>
      </c>
    </row>
    <row r="906" spans="1:8" x14ac:dyDescent="0.2">
      <c r="A906" s="9" t="s">
        <v>51</v>
      </c>
      <c r="C906" t="str">
        <f>""""&amp;SUBSTITUTE(A906,"zzz",H906)&amp;""""&amp;","</f>
        <v>"https://www.zeldadungeon.net/maps/totk/tiles/sky/6/20_50.jpg",</v>
      </c>
      <c r="H906" t="str">
        <f>QUOTIENT(ROW(A906),48)+2&amp;"_"&amp;MOD(ROW(A906),48)+8</f>
        <v>20_50</v>
      </c>
    </row>
    <row r="907" spans="1:8" x14ac:dyDescent="0.2">
      <c r="A907" s="9" t="s">
        <v>51</v>
      </c>
      <c r="C907" t="str">
        <f>""""&amp;SUBSTITUTE(A907,"zzz",H907)&amp;""""&amp;","</f>
        <v>"https://www.zeldadungeon.net/maps/totk/tiles/sky/6/20_51.jpg",</v>
      </c>
      <c r="H907" t="str">
        <f>QUOTIENT(ROW(A907),48)+2&amp;"_"&amp;MOD(ROW(A907),48)+8</f>
        <v>20_51</v>
      </c>
    </row>
    <row r="908" spans="1:8" x14ac:dyDescent="0.2">
      <c r="A908" s="9" t="s">
        <v>51</v>
      </c>
      <c r="C908" t="str">
        <f>""""&amp;SUBSTITUTE(A908,"zzz",H908)&amp;""""&amp;","</f>
        <v>"https://www.zeldadungeon.net/maps/totk/tiles/sky/6/20_52.jpg",</v>
      </c>
      <c r="H908" t="str">
        <f>QUOTIENT(ROW(A908),48)+2&amp;"_"&amp;MOD(ROW(A908),48)+8</f>
        <v>20_52</v>
      </c>
    </row>
    <row r="909" spans="1:8" x14ac:dyDescent="0.2">
      <c r="A909" s="9" t="s">
        <v>51</v>
      </c>
      <c r="C909" t="str">
        <f>""""&amp;SUBSTITUTE(A909,"zzz",H909)&amp;""""&amp;","</f>
        <v>"https://www.zeldadungeon.net/maps/totk/tiles/sky/6/20_53.jpg",</v>
      </c>
      <c r="H909" t="str">
        <f>QUOTIENT(ROW(A909),48)+2&amp;"_"&amp;MOD(ROW(A909),48)+8</f>
        <v>20_53</v>
      </c>
    </row>
    <row r="910" spans="1:8" x14ac:dyDescent="0.2">
      <c r="A910" s="9" t="s">
        <v>51</v>
      </c>
      <c r="C910" t="str">
        <f>""""&amp;SUBSTITUTE(A910,"zzz",H910)&amp;""""&amp;","</f>
        <v>"https://www.zeldadungeon.net/maps/totk/tiles/sky/6/20_54.jpg",</v>
      </c>
      <c r="H910" t="str">
        <f>QUOTIENT(ROW(A910),48)+2&amp;"_"&amp;MOD(ROW(A910),48)+8</f>
        <v>20_54</v>
      </c>
    </row>
    <row r="911" spans="1:8" x14ac:dyDescent="0.2">
      <c r="A911" s="9" t="s">
        <v>51</v>
      </c>
      <c r="C911" t="str">
        <f>""""&amp;SUBSTITUTE(A911,"zzz",H911)&amp;""""&amp;","</f>
        <v>"https://www.zeldadungeon.net/maps/totk/tiles/sky/6/20_55.jpg",</v>
      </c>
      <c r="H911" t="str">
        <f>QUOTIENT(ROW(A911),48)+2&amp;"_"&amp;MOD(ROW(A911),48)+8</f>
        <v>20_55</v>
      </c>
    </row>
    <row r="912" spans="1:8" x14ac:dyDescent="0.2">
      <c r="A912" s="9" t="s">
        <v>51</v>
      </c>
      <c r="C912" t="str">
        <f>""""&amp;SUBSTITUTE(A912,"zzz",H912)&amp;""""&amp;","</f>
        <v>"https://www.zeldadungeon.net/maps/totk/tiles/sky/6/21_8.jpg",</v>
      </c>
      <c r="H912" t="str">
        <f>QUOTIENT(ROW(A912),48)+2&amp;"_"&amp;MOD(ROW(A912),48)+8</f>
        <v>21_8</v>
      </c>
    </row>
    <row r="913" spans="1:8" x14ac:dyDescent="0.2">
      <c r="A913" s="9" t="s">
        <v>51</v>
      </c>
      <c r="C913" t="str">
        <f>""""&amp;SUBSTITUTE(A913,"zzz",H913)&amp;""""&amp;","</f>
        <v>"https://www.zeldadungeon.net/maps/totk/tiles/sky/6/21_9.jpg",</v>
      </c>
      <c r="H913" t="str">
        <f>QUOTIENT(ROW(A913),48)+2&amp;"_"&amp;MOD(ROW(A913),48)+8</f>
        <v>21_9</v>
      </c>
    </row>
    <row r="914" spans="1:8" x14ac:dyDescent="0.2">
      <c r="A914" s="9" t="s">
        <v>51</v>
      </c>
      <c r="C914" t="str">
        <f>""""&amp;SUBSTITUTE(A914,"zzz",H914)&amp;""""&amp;","</f>
        <v>"https://www.zeldadungeon.net/maps/totk/tiles/sky/6/21_10.jpg",</v>
      </c>
      <c r="H914" t="str">
        <f>QUOTIENT(ROW(A914),48)+2&amp;"_"&amp;MOD(ROW(A914),48)+8</f>
        <v>21_10</v>
      </c>
    </row>
    <row r="915" spans="1:8" x14ac:dyDescent="0.2">
      <c r="A915" s="9" t="s">
        <v>51</v>
      </c>
      <c r="C915" t="str">
        <f>""""&amp;SUBSTITUTE(A915,"zzz",H915)&amp;""""&amp;","</f>
        <v>"https://www.zeldadungeon.net/maps/totk/tiles/sky/6/21_11.jpg",</v>
      </c>
      <c r="H915" t="str">
        <f>QUOTIENT(ROW(A915),48)+2&amp;"_"&amp;MOD(ROW(A915),48)+8</f>
        <v>21_11</v>
      </c>
    </row>
    <row r="916" spans="1:8" x14ac:dyDescent="0.2">
      <c r="A916" s="9" t="s">
        <v>51</v>
      </c>
      <c r="C916" t="str">
        <f>""""&amp;SUBSTITUTE(A916,"zzz",H916)&amp;""""&amp;","</f>
        <v>"https://www.zeldadungeon.net/maps/totk/tiles/sky/6/21_12.jpg",</v>
      </c>
      <c r="H916" t="str">
        <f>QUOTIENT(ROW(A916),48)+2&amp;"_"&amp;MOD(ROW(A916),48)+8</f>
        <v>21_12</v>
      </c>
    </row>
    <row r="917" spans="1:8" x14ac:dyDescent="0.2">
      <c r="A917" s="9" t="s">
        <v>51</v>
      </c>
      <c r="C917" t="str">
        <f>""""&amp;SUBSTITUTE(A917,"zzz",H917)&amp;""""&amp;","</f>
        <v>"https://www.zeldadungeon.net/maps/totk/tiles/sky/6/21_13.jpg",</v>
      </c>
      <c r="H917" t="str">
        <f>QUOTIENT(ROW(A917),48)+2&amp;"_"&amp;MOD(ROW(A917),48)+8</f>
        <v>21_13</v>
      </c>
    </row>
    <row r="918" spans="1:8" x14ac:dyDescent="0.2">
      <c r="A918" s="9" t="s">
        <v>51</v>
      </c>
      <c r="C918" t="str">
        <f>""""&amp;SUBSTITUTE(A918,"zzz",H918)&amp;""""&amp;","</f>
        <v>"https://www.zeldadungeon.net/maps/totk/tiles/sky/6/21_14.jpg",</v>
      </c>
      <c r="H918" t="str">
        <f>QUOTIENT(ROW(A918),48)+2&amp;"_"&amp;MOD(ROW(A918),48)+8</f>
        <v>21_14</v>
      </c>
    </row>
    <row r="919" spans="1:8" x14ac:dyDescent="0.2">
      <c r="A919" s="9" t="s">
        <v>51</v>
      </c>
      <c r="C919" t="str">
        <f>""""&amp;SUBSTITUTE(A919,"zzz",H919)&amp;""""&amp;","</f>
        <v>"https://www.zeldadungeon.net/maps/totk/tiles/sky/6/21_15.jpg",</v>
      </c>
      <c r="H919" t="str">
        <f>QUOTIENT(ROW(A919),48)+2&amp;"_"&amp;MOD(ROW(A919),48)+8</f>
        <v>21_15</v>
      </c>
    </row>
    <row r="920" spans="1:8" x14ac:dyDescent="0.2">
      <c r="A920" s="9" t="s">
        <v>51</v>
      </c>
      <c r="C920" t="str">
        <f>""""&amp;SUBSTITUTE(A920,"zzz",H920)&amp;""""&amp;","</f>
        <v>"https://www.zeldadungeon.net/maps/totk/tiles/sky/6/21_16.jpg",</v>
      </c>
      <c r="H920" t="str">
        <f>QUOTIENT(ROW(A920),48)+2&amp;"_"&amp;MOD(ROW(A920),48)+8</f>
        <v>21_16</v>
      </c>
    </row>
    <row r="921" spans="1:8" x14ac:dyDescent="0.2">
      <c r="A921" s="9" t="s">
        <v>51</v>
      </c>
      <c r="C921" t="str">
        <f>""""&amp;SUBSTITUTE(A921,"zzz",H921)&amp;""""&amp;","</f>
        <v>"https://www.zeldadungeon.net/maps/totk/tiles/sky/6/21_17.jpg",</v>
      </c>
      <c r="H921" t="str">
        <f>QUOTIENT(ROW(A921),48)+2&amp;"_"&amp;MOD(ROW(A921),48)+8</f>
        <v>21_17</v>
      </c>
    </row>
    <row r="922" spans="1:8" x14ac:dyDescent="0.2">
      <c r="A922" s="9" t="s">
        <v>51</v>
      </c>
      <c r="C922" t="str">
        <f>""""&amp;SUBSTITUTE(A922,"zzz",H922)&amp;""""&amp;","</f>
        <v>"https://www.zeldadungeon.net/maps/totk/tiles/sky/6/21_18.jpg",</v>
      </c>
      <c r="H922" t="str">
        <f>QUOTIENT(ROW(A922),48)+2&amp;"_"&amp;MOD(ROW(A922),48)+8</f>
        <v>21_18</v>
      </c>
    </row>
    <row r="923" spans="1:8" x14ac:dyDescent="0.2">
      <c r="A923" s="9" t="s">
        <v>51</v>
      </c>
      <c r="C923" t="str">
        <f>""""&amp;SUBSTITUTE(A923,"zzz",H923)&amp;""""&amp;","</f>
        <v>"https://www.zeldadungeon.net/maps/totk/tiles/sky/6/21_19.jpg",</v>
      </c>
      <c r="H923" t="str">
        <f>QUOTIENT(ROW(A923),48)+2&amp;"_"&amp;MOD(ROW(A923),48)+8</f>
        <v>21_19</v>
      </c>
    </row>
    <row r="924" spans="1:8" x14ac:dyDescent="0.2">
      <c r="A924" s="9" t="s">
        <v>51</v>
      </c>
      <c r="C924" t="str">
        <f>""""&amp;SUBSTITUTE(A924,"zzz",H924)&amp;""""&amp;","</f>
        <v>"https://www.zeldadungeon.net/maps/totk/tiles/sky/6/21_20.jpg",</v>
      </c>
      <c r="H924" t="str">
        <f>QUOTIENT(ROW(A924),48)+2&amp;"_"&amp;MOD(ROW(A924),48)+8</f>
        <v>21_20</v>
      </c>
    </row>
    <row r="925" spans="1:8" x14ac:dyDescent="0.2">
      <c r="A925" s="9" t="s">
        <v>51</v>
      </c>
      <c r="C925" t="str">
        <f>""""&amp;SUBSTITUTE(A925,"zzz",H925)&amp;""""&amp;","</f>
        <v>"https://www.zeldadungeon.net/maps/totk/tiles/sky/6/21_21.jpg",</v>
      </c>
      <c r="H925" t="str">
        <f>QUOTIENT(ROW(A925),48)+2&amp;"_"&amp;MOD(ROW(A925),48)+8</f>
        <v>21_21</v>
      </c>
    </row>
    <row r="926" spans="1:8" x14ac:dyDescent="0.2">
      <c r="A926" s="9" t="s">
        <v>51</v>
      </c>
      <c r="C926" t="str">
        <f>""""&amp;SUBSTITUTE(A926,"zzz",H926)&amp;""""&amp;","</f>
        <v>"https://www.zeldadungeon.net/maps/totk/tiles/sky/6/21_22.jpg",</v>
      </c>
      <c r="H926" t="str">
        <f>QUOTIENT(ROW(A926),48)+2&amp;"_"&amp;MOD(ROW(A926),48)+8</f>
        <v>21_22</v>
      </c>
    </row>
    <row r="927" spans="1:8" x14ac:dyDescent="0.2">
      <c r="A927" s="9" t="s">
        <v>51</v>
      </c>
      <c r="C927" t="str">
        <f>""""&amp;SUBSTITUTE(A927,"zzz",H927)&amp;""""&amp;","</f>
        <v>"https://www.zeldadungeon.net/maps/totk/tiles/sky/6/21_23.jpg",</v>
      </c>
      <c r="H927" t="str">
        <f>QUOTIENT(ROW(A927),48)+2&amp;"_"&amp;MOD(ROW(A927),48)+8</f>
        <v>21_23</v>
      </c>
    </row>
    <row r="928" spans="1:8" x14ac:dyDescent="0.2">
      <c r="A928" s="9" t="s">
        <v>51</v>
      </c>
      <c r="C928" t="str">
        <f>""""&amp;SUBSTITUTE(A928,"zzz",H928)&amp;""""&amp;","</f>
        <v>"https://www.zeldadungeon.net/maps/totk/tiles/sky/6/21_24.jpg",</v>
      </c>
      <c r="H928" t="str">
        <f>QUOTIENT(ROW(A928),48)+2&amp;"_"&amp;MOD(ROW(A928),48)+8</f>
        <v>21_24</v>
      </c>
    </row>
    <row r="929" spans="1:8" x14ac:dyDescent="0.2">
      <c r="A929" s="9" t="s">
        <v>51</v>
      </c>
      <c r="C929" t="str">
        <f>""""&amp;SUBSTITUTE(A929,"zzz",H929)&amp;""""&amp;","</f>
        <v>"https://www.zeldadungeon.net/maps/totk/tiles/sky/6/21_25.jpg",</v>
      </c>
      <c r="H929" t="str">
        <f>QUOTIENT(ROW(A929),48)+2&amp;"_"&amp;MOD(ROW(A929),48)+8</f>
        <v>21_25</v>
      </c>
    </row>
    <row r="930" spans="1:8" x14ac:dyDescent="0.2">
      <c r="A930" s="9" t="s">
        <v>51</v>
      </c>
      <c r="C930" t="str">
        <f>""""&amp;SUBSTITUTE(A930,"zzz",H930)&amp;""""&amp;","</f>
        <v>"https://www.zeldadungeon.net/maps/totk/tiles/sky/6/21_26.jpg",</v>
      </c>
      <c r="H930" t="str">
        <f>QUOTIENT(ROW(A930),48)+2&amp;"_"&amp;MOD(ROW(A930),48)+8</f>
        <v>21_26</v>
      </c>
    </row>
    <row r="931" spans="1:8" x14ac:dyDescent="0.2">
      <c r="A931" s="9" t="s">
        <v>51</v>
      </c>
      <c r="C931" t="str">
        <f>""""&amp;SUBSTITUTE(A931,"zzz",H931)&amp;""""&amp;","</f>
        <v>"https://www.zeldadungeon.net/maps/totk/tiles/sky/6/21_27.jpg",</v>
      </c>
      <c r="H931" t="str">
        <f>QUOTIENT(ROW(A931),48)+2&amp;"_"&amp;MOD(ROW(A931),48)+8</f>
        <v>21_27</v>
      </c>
    </row>
    <row r="932" spans="1:8" x14ac:dyDescent="0.2">
      <c r="A932" s="9" t="s">
        <v>51</v>
      </c>
      <c r="C932" t="str">
        <f>""""&amp;SUBSTITUTE(A932,"zzz",H932)&amp;""""&amp;","</f>
        <v>"https://www.zeldadungeon.net/maps/totk/tiles/sky/6/21_28.jpg",</v>
      </c>
      <c r="H932" t="str">
        <f>QUOTIENT(ROW(A932),48)+2&amp;"_"&amp;MOD(ROW(A932),48)+8</f>
        <v>21_28</v>
      </c>
    </row>
    <row r="933" spans="1:8" x14ac:dyDescent="0.2">
      <c r="A933" s="9" t="s">
        <v>51</v>
      </c>
      <c r="C933" t="str">
        <f>""""&amp;SUBSTITUTE(A933,"zzz",H933)&amp;""""&amp;","</f>
        <v>"https://www.zeldadungeon.net/maps/totk/tiles/sky/6/21_29.jpg",</v>
      </c>
      <c r="H933" t="str">
        <f>QUOTIENT(ROW(A933),48)+2&amp;"_"&amp;MOD(ROW(A933),48)+8</f>
        <v>21_29</v>
      </c>
    </row>
    <row r="934" spans="1:8" x14ac:dyDescent="0.2">
      <c r="A934" s="9" t="s">
        <v>51</v>
      </c>
      <c r="C934" t="str">
        <f>""""&amp;SUBSTITUTE(A934,"zzz",H934)&amp;""""&amp;","</f>
        <v>"https://www.zeldadungeon.net/maps/totk/tiles/sky/6/21_30.jpg",</v>
      </c>
      <c r="H934" t="str">
        <f>QUOTIENT(ROW(A934),48)+2&amp;"_"&amp;MOD(ROW(A934),48)+8</f>
        <v>21_30</v>
      </c>
    </row>
    <row r="935" spans="1:8" x14ac:dyDescent="0.2">
      <c r="A935" s="9" t="s">
        <v>51</v>
      </c>
      <c r="C935" t="str">
        <f>""""&amp;SUBSTITUTE(A935,"zzz",H935)&amp;""""&amp;","</f>
        <v>"https://www.zeldadungeon.net/maps/totk/tiles/sky/6/21_31.jpg",</v>
      </c>
      <c r="H935" t="str">
        <f>QUOTIENT(ROW(A935),48)+2&amp;"_"&amp;MOD(ROW(A935),48)+8</f>
        <v>21_31</v>
      </c>
    </row>
    <row r="936" spans="1:8" x14ac:dyDescent="0.2">
      <c r="A936" s="9" t="s">
        <v>51</v>
      </c>
      <c r="C936" t="str">
        <f>""""&amp;SUBSTITUTE(A936,"zzz",H936)&amp;""""&amp;","</f>
        <v>"https://www.zeldadungeon.net/maps/totk/tiles/sky/6/21_32.jpg",</v>
      </c>
      <c r="H936" t="str">
        <f>QUOTIENT(ROW(A936),48)+2&amp;"_"&amp;MOD(ROW(A936),48)+8</f>
        <v>21_32</v>
      </c>
    </row>
    <row r="937" spans="1:8" x14ac:dyDescent="0.2">
      <c r="A937" s="9" t="s">
        <v>51</v>
      </c>
      <c r="C937" t="str">
        <f>""""&amp;SUBSTITUTE(A937,"zzz",H937)&amp;""""&amp;","</f>
        <v>"https://www.zeldadungeon.net/maps/totk/tiles/sky/6/21_33.jpg",</v>
      </c>
      <c r="H937" t="str">
        <f>QUOTIENT(ROW(A937),48)+2&amp;"_"&amp;MOD(ROW(A937),48)+8</f>
        <v>21_33</v>
      </c>
    </row>
    <row r="938" spans="1:8" x14ac:dyDescent="0.2">
      <c r="A938" s="9" t="s">
        <v>51</v>
      </c>
      <c r="C938" t="str">
        <f>""""&amp;SUBSTITUTE(A938,"zzz",H938)&amp;""""&amp;","</f>
        <v>"https://www.zeldadungeon.net/maps/totk/tiles/sky/6/21_34.jpg",</v>
      </c>
      <c r="H938" t="str">
        <f>QUOTIENT(ROW(A938),48)+2&amp;"_"&amp;MOD(ROW(A938),48)+8</f>
        <v>21_34</v>
      </c>
    </row>
    <row r="939" spans="1:8" x14ac:dyDescent="0.2">
      <c r="A939" s="9" t="s">
        <v>51</v>
      </c>
      <c r="C939" t="str">
        <f>""""&amp;SUBSTITUTE(A939,"zzz",H939)&amp;""""&amp;","</f>
        <v>"https://www.zeldadungeon.net/maps/totk/tiles/sky/6/21_35.jpg",</v>
      </c>
      <c r="H939" t="str">
        <f>QUOTIENT(ROW(A939),48)+2&amp;"_"&amp;MOD(ROW(A939),48)+8</f>
        <v>21_35</v>
      </c>
    </row>
    <row r="940" spans="1:8" x14ac:dyDescent="0.2">
      <c r="A940" s="9" t="s">
        <v>51</v>
      </c>
      <c r="C940" t="str">
        <f>""""&amp;SUBSTITUTE(A940,"zzz",H940)&amp;""""&amp;","</f>
        <v>"https://www.zeldadungeon.net/maps/totk/tiles/sky/6/21_36.jpg",</v>
      </c>
      <c r="H940" t="str">
        <f>QUOTIENT(ROW(A940),48)+2&amp;"_"&amp;MOD(ROW(A940),48)+8</f>
        <v>21_36</v>
      </c>
    </row>
    <row r="941" spans="1:8" x14ac:dyDescent="0.2">
      <c r="A941" s="9" t="s">
        <v>51</v>
      </c>
      <c r="C941" t="str">
        <f>""""&amp;SUBSTITUTE(A941,"zzz",H941)&amp;""""&amp;","</f>
        <v>"https://www.zeldadungeon.net/maps/totk/tiles/sky/6/21_37.jpg",</v>
      </c>
      <c r="H941" t="str">
        <f>QUOTIENT(ROW(A941),48)+2&amp;"_"&amp;MOD(ROW(A941),48)+8</f>
        <v>21_37</v>
      </c>
    </row>
    <row r="942" spans="1:8" x14ac:dyDescent="0.2">
      <c r="A942" s="9" t="s">
        <v>51</v>
      </c>
      <c r="C942" t="str">
        <f>""""&amp;SUBSTITUTE(A942,"zzz",H942)&amp;""""&amp;","</f>
        <v>"https://www.zeldadungeon.net/maps/totk/tiles/sky/6/21_38.jpg",</v>
      </c>
      <c r="H942" t="str">
        <f>QUOTIENT(ROW(A942),48)+2&amp;"_"&amp;MOD(ROW(A942),48)+8</f>
        <v>21_38</v>
      </c>
    </row>
    <row r="943" spans="1:8" x14ac:dyDescent="0.2">
      <c r="A943" s="9" t="s">
        <v>51</v>
      </c>
      <c r="C943" t="str">
        <f>""""&amp;SUBSTITUTE(A943,"zzz",H943)&amp;""""&amp;","</f>
        <v>"https://www.zeldadungeon.net/maps/totk/tiles/sky/6/21_39.jpg",</v>
      </c>
      <c r="H943" t="str">
        <f>QUOTIENT(ROW(A943),48)+2&amp;"_"&amp;MOD(ROW(A943),48)+8</f>
        <v>21_39</v>
      </c>
    </row>
    <row r="944" spans="1:8" x14ac:dyDescent="0.2">
      <c r="A944" s="9" t="s">
        <v>51</v>
      </c>
      <c r="C944" t="str">
        <f>""""&amp;SUBSTITUTE(A944,"zzz",H944)&amp;""""&amp;","</f>
        <v>"https://www.zeldadungeon.net/maps/totk/tiles/sky/6/21_40.jpg",</v>
      </c>
      <c r="H944" t="str">
        <f>QUOTIENT(ROW(A944),48)+2&amp;"_"&amp;MOD(ROW(A944),48)+8</f>
        <v>21_40</v>
      </c>
    </row>
    <row r="945" spans="1:8" x14ac:dyDescent="0.2">
      <c r="A945" s="9" t="s">
        <v>51</v>
      </c>
      <c r="C945" t="str">
        <f>""""&amp;SUBSTITUTE(A945,"zzz",H945)&amp;""""&amp;","</f>
        <v>"https://www.zeldadungeon.net/maps/totk/tiles/sky/6/21_41.jpg",</v>
      </c>
      <c r="H945" t="str">
        <f>QUOTIENT(ROW(A945),48)+2&amp;"_"&amp;MOD(ROW(A945),48)+8</f>
        <v>21_41</v>
      </c>
    </row>
    <row r="946" spans="1:8" x14ac:dyDescent="0.2">
      <c r="A946" s="9" t="s">
        <v>51</v>
      </c>
      <c r="C946" t="str">
        <f>""""&amp;SUBSTITUTE(A946,"zzz",H946)&amp;""""&amp;","</f>
        <v>"https://www.zeldadungeon.net/maps/totk/tiles/sky/6/21_42.jpg",</v>
      </c>
      <c r="H946" t="str">
        <f>QUOTIENT(ROW(A946),48)+2&amp;"_"&amp;MOD(ROW(A946),48)+8</f>
        <v>21_42</v>
      </c>
    </row>
    <row r="947" spans="1:8" x14ac:dyDescent="0.2">
      <c r="A947" s="9" t="s">
        <v>51</v>
      </c>
      <c r="C947" t="str">
        <f>""""&amp;SUBSTITUTE(A947,"zzz",H947)&amp;""""&amp;","</f>
        <v>"https://www.zeldadungeon.net/maps/totk/tiles/sky/6/21_43.jpg",</v>
      </c>
      <c r="H947" t="str">
        <f>QUOTIENT(ROW(A947),48)+2&amp;"_"&amp;MOD(ROW(A947),48)+8</f>
        <v>21_43</v>
      </c>
    </row>
    <row r="948" spans="1:8" x14ac:dyDescent="0.2">
      <c r="A948" s="9" t="s">
        <v>51</v>
      </c>
      <c r="C948" t="str">
        <f>""""&amp;SUBSTITUTE(A948,"zzz",H948)&amp;""""&amp;","</f>
        <v>"https://www.zeldadungeon.net/maps/totk/tiles/sky/6/21_44.jpg",</v>
      </c>
      <c r="H948" t="str">
        <f>QUOTIENT(ROW(A948),48)+2&amp;"_"&amp;MOD(ROW(A948),48)+8</f>
        <v>21_44</v>
      </c>
    </row>
    <row r="949" spans="1:8" x14ac:dyDescent="0.2">
      <c r="A949" s="9" t="s">
        <v>51</v>
      </c>
      <c r="C949" t="str">
        <f>""""&amp;SUBSTITUTE(A949,"zzz",H949)&amp;""""&amp;","</f>
        <v>"https://www.zeldadungeon.net/maps/totk/tiles/sky/6/21_45.jpg",</v>
      </c>
      <c r="H949" t="str">
        <f>QUOTIENT(ROW(A949),48)+2&amp;"_"&amp;MOD(ROW(A949),48)+8</f>
        <v>21_45</v>
      </c>
    </row>
    <row r="950" spans="1:8" x14ac:dyDescent="0.2">
      <c r="A950" s="9" t="s">
        <v>51</v>
      </c>
      <c r="C950" t="str">
        <f>""""&amp;SUBSTITUTE(A950,"zzz",H950)&amp;""""&amp;","</f>
        <v>"https://www.zeldadungeon.net/maps/totk/tiles/sky/6/21_46.jpg",</v>
      </c>
      <c r="H950" t="str">
        <f>QUOTIENT(ROW(A950),48)+2&amp;"_"&amp;MOD(ROW(A950),48)+8</f>
        <v>21_46</v>
      </c>
    </row>
    <row r="951" spans="1:8" x14ac:dyDescent="0.2">
      <c r="A951" s="9" t="s">
        <v>51</v>
      </c>
      <c r="C951" t="str">
        <f>""""&amp;SUBSTITUTE(A951,"zzz",H951)&amp;""""&amp;","</f>
        <v>"https://www.zeldadungeon.net/maps/totk/tiles/sky/6/21_47.jpg",</v>
      </c>
      <c r="H951" t="str">
        <f>QUOTIENT(ROW(A951),48)+2&amp;"_"&amp;MOD(ROW(A951),48)+8</f>
        <v>21_47</v>
      </c>
    </row>
    <row r="952" spans="1:8" x14ac:dyDescent="0.2">
      <c r="A952" s="9" t="s">
        <v>51</v>
      </c>
      <c r="C952" t="str">
        <f>""""&amp;SUBSTITUTE(A952,"zzz",H952)&amp;""""&amp;","</f>
        <v>"https://www.zeldadungeon.net/maps/totk/tiles/sky/6/21_48.jpg",</v>
      </c>
      <c r="H952" t="str">
        <f>QUOTIENT(ROW(A952),48)+2&amp;"_"&amp;MOD(ROW(A952),48)+8</f>
        <v>21_48</v>
      </c>
    </row>
    <row r="953" spans="1:8" x14ac:dyDescent="0.2">
      <c r="A953" s="9" t="s">
        <v>51</v>
      </c>
      <c r="C953" t="str">
        <f>""""&amp;SUBSTITUTE(A953,"zzz",H953)&amp;""""&amp;","</f>
        <v>"https://www.zeldadungeon.net/maps/totk/tiles/sky/6/21_49.jpg",</v>
      </c>
      <c r="H953" t="str">
        <f>QUOTIENT(ROW(A953),48)+2&amp;"_"&amp;MOD(ROW(A953),48)+8</f>
        <v>21_49</v>
      </c>
    </row>
    <row r="954" spans="1:8" x14ac:dyDescent="0.2">
      <c r="A954" s="9" t="s">
        <v>51</v>
      </c>
      <c r="C954" t="str">
        <f>""""&amp;SUBSTITUTE(A954,"zzz",H954)&amp;""""&amp;","</f>
        <v>"https://www.zeldadungeon.net/maps/totk/tiles/sky/6/21_50.jpg",</v>
      </c>
      <c r="H954" t="str">
        <f>QUOTIENT(ROW(A954),48)+2&amp;"_"&amp;MOD(ROW(A954),48)+8</f>
        <v>21_50</v>
      </c>
    </row>
    <row r="955" spans="1:8" x14ac:dyDescent="0.2">
      <c r="A955" s="9" t="s">
        <v>51</v>
      </c>
      <c r="C955" t="str">
        <f>""""&amp;SUBSTITUTE(A955,"zzz",H955)&amp;""""&amp;","</f>
        <v>"https://www.zeldadungeon.net/maps/totk/tiles/sky/6/21_51.jpg",</v>
      </c>
      <c r="H955" t="str">
        <f>QUOTIENT(ROW(A955),48)+2&amp;"_"&amp;MOD(ROW(A955),48)+8</f>
        <v>21_51</v>
      </c>
    </row>
    <row r="956" spans="1:8" x14ac:dyDescent="0.2">
      <c r="A956" s="9" t="s">
        <v>51</v>
      </c>
      <c r="C956" t="str">
        <f>""""&amp;SUBSTITUTE(A956,"zzz",H956)&amp;""""&amp;","</f>
        <v>"https://www.zeldadungeon.net/maps/totk/tiles/sky/6/21_52.jpg",</v>
      </c>
      <c r="H956" t="str">
        <f>QUOTIENT(ROW(A956),48)+2&amp;"_"&amp;MOD(ROW(A956),48)+8</f>
        <v>21_52</v>
      </c>
    </row>
    <row r="957" spans="1:8" x14ac:dyDescent="0.2">
      <c r="A957" s="9" t="s">
        <v>51</v>
      </c>
      <c r="C957" t="str">
        <f>""""&amp;SUBSTITUTE(A957,"zzz",H957)&amp;""""&amp;","</f>
        <v>"https://www.zeldadungeon.net/maps/totk/tiles/sky/6/21_53.jpg",</v>
      </c>
      <c r="H957" t="str">
        <f>QUOTIENT(ROW(A957),48)+2&amp;"_"&amp;MOD(ROW(A957),48)+8</f>
        <v>21_53</v>
      </c>
    </row>
    <row r="958" spans="1:8" x14ac:dyDescent="0.2">
      <c r="A958" s="9" t="s">
        <v>51</v>
      </c>
      <c r="C958" t="str">
        <f>""""&amp;SUBSTITUTE(A958,"zzz",H958)&amp;""""&amp;","</f>
        <v>"https://www.zeldadungeon.net/maps/totk/tiles/sky/6/21_54.jpg",</v>
      </c>
      <c r="H958" t="str">
        <f>QUOTIENT(ROW(A958),48)+2&amp;"_"&amp;MOD(ROW(A958),48)+8</f>
        <v>21_54</v>
      </c>
    </row>
    <row r="959" spans="1:8" x14ac:dyDescent="0.2">
      <c r="A959" s="9" t="s">
        <v>51</v>
      </c>
      <c r="C959" t="str">
        <f>""""&amp;SUBSTITUTE(A959,"zzz",H959)&amp;""""&amp;","</f>
        <v>"https://www.zeldadungeon.net/maps/totk/tiles/sky/6/21_55.jpg",</v>
      </c>
      <c r="H959" t="str">
        <f>QUOTIENT(ROW(A959),48)+2&amp;"_"&amp;MOD(ROW(A959),48)+8</f>
        <v>21_55</v>
      </c>
    </row>
    <row r="960" spans="1:8" x14ac:dyDescent="0.2">
      <c r="A960" s="9" t="s">
        <v>51</v>
      </c>
      <c r="C960" t="str">
        <f>""""&amp;SUBSTITUTE(A960,"zzz",H960)&amp;""""&amp;","</f>
        <v>"https://www.zeldadungeon.net/maps/totk/tiles/sky/6/22_8.jpg",</v>
      </c>
      <c r="H960" t="str">
        <f>QUOTIENT(ROW(A960),48)+2&amp;"_"&amp;MOD(ROW(A960),48)+8</f>
        <v>22_8</v>
      </c>
    </row>
    <row r="961" spans="1:8" x14ac:dyDescent="0.2">
      <c r="A961" s="9" t="s">
        <v>51</v>
      </c>
      <c r="C961" t="str">
        <f>""""&amp;SUBSTITUTE(A961,"zzz",H961)&amp;""""&amp;","</f>
        <v>"https://www.zeldadungeon.net/maps/totk/tiles/sky/6/22_9.jpg",</v>
      </c>
      <c r="H961" t="str">
        <f>QUOTIENT(ROW(A961),48)+2&amp;"_"&amp;MOD(ROW(A961),48)+8</f>
        <v>22_9</v>
      </c>
    </row>
    <row r="962" spans="1:8" x14ac:dyDescent="0.2">
      <c r="A962" s="9" t="s">
        <v>51</v>
      </c>
      <c r="C962" t="str">
        <f>""""&amp;SUBSTITUTE(A962,"zzz",H962)&amp;""""&amp;","</f>
        <v>"https://www.zeldadungeon.net/maps/totk/tiles/sky/6/22_10.jpg",</v>
      </c>
      <c r="H962" t="str">
        <f>QUOTIENT(ROW(A962),48)+2&amp;"_"&amp;MOD(ROW(A962),48)+8</f>
        <v>22_10</v>
      </c>
    </row>
    <row r="963" spans="1:8" x14ac:dyDescent="0.2">
      <c r="A963" s="9" t="s">
        <v>51</v>
      </c>
      <c r="C963" t="str">
        <f>""""&amp;SUBSTITUTE(A963,"zzz",H963)&amp;""""&amp;","</f>
        <v>"https://www.zeldadungeon.net/maps/totk/tiles/sky/6/22_11.jpg",</v>
      </c>
      <c r="H963" t="str">
        <f>QUOTIENT(ROW(A963),48)+2&amp;"_"&amp;MOD(ROW(A963),48)+8</f>
        <v>22_11</v>
      </c>
    </row>
    <row r="964" spans="1:8" x14ac:dyDescent="0.2">
      <c r="A964" s="9" t="s">
        <v>51</v>
      </c>
      <c r="C964" t="str">
        <f>""""&amp;SUBSTITUTE(A964,"zzz",H964)&amp;""""&amp;","</f>
        <v>"https://www.zeldadungeon.net/maps/totk/tiles/sky/6/22_12.jpg",</v>
      </c>
      <c r="H964" t="str">
        <f>QUOTIENT(ROW(A964),48)+2&amp;"_"&amp;MOD(ROW(A964),48)+8</f>
        <v>22_12</v>
      </c>
    </row>
    <row r="965" spans="1:8" x14ac:dyDescent="0.2">
      <c r="A965" s="9" t="s">
        <v>51</v>
      </c>
      <c r="C965" t="str">
        <f>""""&amp;SUBSTITUTE(A965,"zzz",H965)&amp;""""&amp;","</f>
        <v>"https://www.zeldadungeon.net/maps/totk/tiles/sky/6/22_13.jpg",</v>
      </c>
      <c r="H965" t="str">
        <f>QUOTIENT(ROW(A965),48)+2&amp;"_"&amp;MOD(ROW(A965),48)+8</f>
        <v>22_13</v>
      </c>
    </row>
    <row r="966" spans="1:8" x14ac:dyDescent="0.2">
      <c r="A966" s="9" t="s">
        <v>51</v>
      </c>
      <c r="C966" t="str">
        <f>""""&amp;SUBSTITUTE(A966,"zzz",H966)&amp;""""&amp;","</f>
        <v>"https://www.zeldadungeon.net/maps/totk/tiles/sky/6/22_14.jpg",</v>
      </c>
      <c r="H966" t="str">
        <f>QUOTIENT(ROW(A966),48)+2&amp;"_"&amp;MOD(ROW(A966),48)+8</f>
        <v>22_14</v>
      </c>
    </row>
    <row r="967" spans="1:8" x14ac:dyDescent="0.2">
      <c r="A967" s="9" t="s">
        <v>51</v>
      </c>
      <c r="C967" t="str">
        <f>""""&amp;SUBSTITUTE(A967,"zzz",H967)&amp;""""&amp;","</f>
        <v>"https://www.zeldadungeon.net/maps/totk/tiles/sky/6/22_15.jpg",</v>
      </c>
      <c r="H967" t="str">
        <f>QUOTIENT(ROW(A967),48)+2&amp;"_"&amp;MOD(ROW(A967),48)+8</f>
        <v>22_15</v>
      </c>
    </row>
    <row r="968" spans="1:8" x14ac:dyDescent="0.2">
      <c r="A968" s="9" t="s">
        <v>51</v>
      </c>
      <c r="C968" t="str">
        <f>""""&amp;SUBSTITUTE(A968,"zzz",H968)&amp;""""&amp;","</f>
        <v>"https://www.zeldadungeon.net/maps/totk/tiles/sky/6/22_16.jpg",</v>
      </c>
      <c r="H968" t="str">
        <f>QUOTIENT(ROW(A968),48)+2&amp;"_"&amp;MOD(ROW(A968),48)+8</f>
        <v>22_16</v>
      </c>
    </row>
    <row r="969" spans="1:8" x14ac:dyDescent="0.2">
      <c r="A969" s="9" t="s">
        <v>51</v>
      </c>
      <c r="C969" t="str">
        <f>""""&amp;SUBSTITUTE(A969,"zzz",H969)&amp;""""&amp;","</f>
        <v>"https://www.zeldadungeon.net/maps/totk/tiles/sky/6/22_17.jpg",</v>
      </c>
      <c r="H969" t="str">
        <f>QUOTIENT(ROW(A969),48)+2&amp;"_"&amp;MOD(ROW(A969),48)+8</f>
        <v>22_17</v>
      </c>
    </row>
    <row r="970" spans="1:8" x14ac:dyDescent="0.2">
      <c r="A970" s="9" t="s">
        <v>51</v>
      </c>
      <c r="C970" t="str">
        <f>""""&amp;SUBSTITUTE(A970,"zzz",H970)&amp;""""&amp;","</f>
        <v>"https://www.zeldadungeon.net/maps/totk/tiles/sky/6/22_18.jpg",</v>
      </c>
      <c r="H970" t="str">
        <f>QUOTIENT(ROW(A970),48)+2&amp;"_"&amp;MOD(ROW(A970),48)+8</f>
        <v>22_18</v>
      </c>
    </row>
    <row r="971" spans="1:8" x14ac:dyDescent="0.2">
      <c r="A971" s="9" t="s">
        <v>51</v>
      </c>
      <c r="C971" t="str">
        <f>""""&amp;SUBSTITUTE(A971,"zzz",H971)&amp;""""&amp;","</f>
        <v>"https://www.zeldadungeon.net/maps/totk/tiles/sky/6/22_19.jpg",</v>
      </c>
      <c r="H971" t="str">
        <f>QUOTIENT(ROW(A971),48)+2&amp;"_"&amp;MOD(ROW(A971),48)+8</f>
        <v>22_19</v>
      </c>
    </row>
    <row r="972" spans="1:8" x14ac:dyDescent="0.2">
      <c r="A972" s="9" t="s">
        <v>51</v>
      </c>
      <c r="C972" t="str">
        <f>""""&amp;SUBSTITUTE(A972,"zzz",H972)&amp;""""&amp;","</f>
        <v>"https://www.zeldadungeon.net/maps/totk/tiles/sky/6/22_20.jpg",</v>
      </c>
      <c r="H972" t="str">
        <f>QUOTIENT(ROW(A972),48)+2&amp;"_"&amp;MOD(ROW(A972),48)+8</f>
        <v>22_20</v>
      </c>
    </row>
    <row r="973" spans="1:8" x14ac:dyDescent="0.2">
      <c r="A973" s="9" t="s">
        <v>51</v>
      </c>
      <c r="C973" t="str">
        <f>""""&amp;SUBSTITUTE(A973,"zzz",H973)&amp;""""&amp;","</f>
        <v>"https://www.zeldadungeon.net/maps/totk/tiles/sky/6/22_21.jpg",</v>
      </c>
      <c r="H973" t="str">
        <f>QUOTIENT(ROW(A973),48)+2&amp;"_"&amp;MOD(ROW(A973),48)+8</f>
        <v>22_21</v>
      </c>
    </row>
    <row r="974" spans="1:8" x14ac:dyDescent="0.2">
      <c r="A974" s="9" t="s">
        <v>51</v>
      </c>
      <c r="C974" t="str">
        <f>""""&amp;SUBSTITUTE(A974,"zzz",H974)&amp;""""&amp;","</f>
        <v>"https://www.zeldadungeon.net/maps/totk/tiles/sky/6/22_22.jpg",</v>
      </c>
      <c r="H974" t="str">
        <f>QUOTIENT(ROW(A974),48)+2&amp;"_"&amp;MOD(ROW(A974),48)+8</f>
        <v>22_22</v>
      </c>
    </row>
    <row r="975" spans="1:8" x14ac:dyDescent="0.2">
      <c r="A975" s="9" t="s">
        <v>51</v>
      </c>
      <c r="C975" t="str">
        <f>""""&amp;SUBSTITUTE(A975,"zzz",H975)&amp;""""&amp;","</f>
        <v>"https://www.zeldadungeon.net/maps/totk/tiles/sky/6/22_23.jpg",</v>
      </c>
      <c r="H975" t="str">
        <f>QUOTIENT(ROW(A975),48)+2&amp;"_"&amp;MOD(ROW(A975),48)+8</f>
        <v>22_23</v>
      </c>
    </row>
    <row r="976" spans="1:8" x14ac:dyDescent="0.2">
      <c r="A976" s="9" t="s">
        <v>51</v>
      </c>
      <c r="C976" t="str">
        <f>""""&amp;SUBSTITUTE(A976,"zzz",H976)&amp;""""&amp;","</f>
        <v>"https://www.zeldadungeon.net/maps/totk/tiles/sky/6/22_24.jpg",</v>
      </c>
      <c r="H976" t="str">
        <f>QUOTIENT(ROW(A976),48)+2&amp;"_"&amp;MOD(ROW(A976),48)+8</f>
        <v>22_24</v>
      </c>
    </row>
    <row r="977" spans="1:8" x14ac:dyDescent="0.2">
      <c r="A977" s="9" t="s">
        <v>51</v>
      </c>
      <c r="C977" t="str">
        <f>""""&amp;SUBSTITUTE(A977,"zzz",H977)&amp;""""&amp;","</f>
        <v>"https://www.zeldadungeon.net/maps/totk/tiles/sky/6/22_25.jpg",</v>
      </c>
      <c r="H977" t="str">
        <f>QUOTIENT(ROW(A977),48)+2&amp;"_"&amp;MOD(ROW(A977),48)+8</f>
        <v>22_25</v>
      </c>
    </row>
    <row r="978" spans="1:8" x14ac:dyDescent="0.2">
      <c r="A978" s="9" t="s">
        <v>51</v>
      </c>
      <c r="C978" t="str">
        <f>""""&amp;SUBSTITUTE(A978,"zzz",H978)&amp;""""&amp;","</f>
        <v>"https://www.zeldadungeon.net/maps/totk/tiles/sky/6/22_26.jpg",</v>
      </c>
      <c r="H978" t="str">
        <f>QUOTIENT(ROW(A978),48)+2&amp;"_"&amp;MOD(ROW(A978),48)+8</f>
        <v>22_26</v>
      </c>
    </row>
    <row r="979" spans="1:8" x14ac:dyDescent="0.2">
      <c r="A979" s="9" t="s">
        <v>51</v>
      </c>
      <c r="C979" t="str">
        <f>""""&amp;SUBSTITUTE(A979,"zzz",H979)&amp;""""&amp;","</f>
        <v>"https://www.zeldadungeon.net/maps/totk/tiles/sky/6/22_27.jpg",</v>
      </c>
      <c r="H979" t="str">
        <f>QUOTIENT(ROW(A979),48)+2&amp;"_"&amp;MOD(ROW(A979),48)+8</f>
        <v>22_27</v>
      </c>
    </row>
    <row r="980" spans="1:8" x14ac:dyDescent="0.2">
      <c r="A980" s="9" t="s">
        <v>51</v>
      </c>
      <c r="C980" t="str">
        <f>""""&amp;SUBSTITUTE(A980,"zzz",H980)&amp;""""&amp;","</f>
        <v>"https://www.zeldadungeon.net/maps/totk/tiles/sky/6/22_28.jpg",</v>
      </c>
      <c r="H980" t="str">
        <f>QUOTIENT(ROW(A980),48)+2&amp;"_"&amp;MOD(ROW(A980),48)+8</f>
        <v>22_28</v>
      </c>
    </row>
    <row r="981" spans="1:8" x14ac:dyDescent="0.2">
      <c r="A981" s="9" t="s">
        <v>51</v>
      </c>
      <c r="C981" t="str">
        <f>""""&amp;SUBSTITUTE(A981,"zzz",H981)&amp;""""&amp;","</f>
        <v>"https://www.zeldadungeon.net/maps/totk/tiles/sky/6/22_29.jpg",</v>
      </c>
      <c r="H981" t="str">
        <f>QUOTIENT(ROW(A981),48)+2&amp;"_"&amp;MOD(ROW(A981),48)+8</f>
        <v>22_29</v>
      </c>
    </row>
    <row r="982" spans="1:8" x14ac:dyDescent="0.2">
      <c r="A982" s="9" t="s">
        <v>51</v>
      </c>
      <c r="C982" t="str">
        <f>""""&amp;SUBSTITUTE(A982,"zzz",H982)&amp;""""&amp;","</f>
        <v>"https://www.zeldadungeon.net/maps/totk/tiles/sky/6/22_30.jpg",</v>
      </c>
      <c r="H982" t="str">
        <f>QUOTIENT(ROW(A982),48)+2&amp;"_"&amp;MOD(ROW(A982),48)+8</f>
        <v>22_30</v>
      </c>
    </row>
    <row r="983" spans="1:8" x14ac:dyDescent="0.2">
      <c r="A983" s="9" t="s">
        <v>51</v>
      </c>
      <c r="C983" t="str">
        <f>""""&amp;SUBSTITUTE(A983,"zzz",H983)&amp;""""&amp;","</f>
        <v>"https://www.zeldadungeon.net/maps/totk/tiles/sky/6/22_31.jpg",</v>
      </c>
      <c r="H983" t="str">
        <f>QUOTIENT(ROW(A983),48)+2&amp;"_"&amp;MOD(ROW(A983),48)+8</f>
        <v>22_31</v>
      </c>
    </row>
    <row r="984" spans="1:8" x14ac:dyDescent="0.2">
      <c r="A984" s="9" t="s">
        <v>51</v>
      </c>
      <c r="C984" t="str">
        <f>""""&amp;SUBSTITUTE(A984,"zzz",H984)&amp;""""&amp;","</f>
        <v>"https://www.zeldadungeon.net/maps/totk/tiles/sky/6/22_32.jpg",</v>
      </c>
      <c r="H984" t="str">
        <f>QUOTIENT(ROW(A984),48)+2&amp;"_"&amp;MOD(ROW(A984),48)+8</f>
        <v>22_32</v>
      </c>
    </row>
    <row r="985" spans="1:8" x14ac:dyDescent="0.2">
      <c r="A985" s="9" t="s">
        <v>51</v>
      </c>
      <c r="C985" t="str">
        <f>""""&amp;SUBSTITUTE(A985,"zzz",H985)&amp;""""&amp;","</f>
        <v>"https://www.zeldadungeon.net/maps/totk/tiles/sky/6/22_33.jpg",</v>
      </c>
      <c r="H985" t="str">
        <f>QUOTIENT(ROW(A985),48)+2&amp;"_"&amp;MOD(ROW(A985),48)+8</f>
        <v>22_33</v>
      </c>
    </row>
    <row r="986" spans="1:8" x14ac:dyDescent="0.2">
      <c r="A986" s="9" t="s">
        <v>51</v>
      </c>
      <c r="C986" t="str">
        <f>""""&amp;SUBSTITUTE(A986,"zzz",H986)&amp;""""&amp;","</f>
        <v>"https://www.zeldadungeon.net/maps/totk/tiles/sky/6/22_34.jpg",</v>
      </c>
      <c r="H986" t="str">
        <f>QUOTIENT(ROW(A986),48)+2&amp;"_"&amp;MOD(ROW(A986),48)+8</f>
        <v>22_34</v>
      </c>
    </row>
    <row r="987" spans="1:8" x14ac:dyDescent="0.2">
      <c r="A987" s="9" t="s">
        <v>51</v>
      </c>
      <c r="C987" t="str">
        <f>""""&amp;SUBSTITUTE(A987,"zzz",H987)&amp;""""&amp;","</f>
        <v>"https://www.zeldadungeon.net/maps/totk/tiles/sky/6/22_35.jpg",</v>
      </c>
      <c r="H987" t="str">
        <f>QUOTIENT(ROW(A987),48)+2&amp;"_"&amp;MOD(ROW(A987),48)+8</f>
        <v>22_35</v>
      </c>
    </row>
    <row r="988" spans="1:8" x14ac:dyDescent="0.2">
      <c r="A988" s="9" t="s">
        <v>51</v>
      </c>
      <c r="C988" t="str">
        <f>""""&amp;SUBSTITUTE(A988,"zzz",H988)&amp;""""&amp;","</f>
        <v>"https://www.zeldadungeon.net/maps/totk/tiles/sky/6/22_36.jpg",</v>
      </c>
      <c r="H988" t="str">
        <f>QUOTIENT(ROW(A988),48)+2&amp;"_"&amp;MOD(ROW(A988),48)+8</f>
        <v>22_36</v>
      </c>
    </row>
    <row r="989" spans="1:8" x14ac:dyDescent="0.2">
      <c r="A989" s="9" t="s">
        <v>51</v>
      </c>
      <c r="C989" t="str">
        <f>""""&amp;SUBSTITUTE(A989,"zzz",H989)&amp;""""&amp;","</f>
        <v>"https://www.zeldadungeon.net/maps/totk/tiles/sky/6/22_37.jpg",</v>
      </c>
      <c r="H989" t="str">
        <f>QUOTIENT(ROW(A989),48)+2&amp;"_"&amp;MOD(ROW(A989),48)+8</f>
        <v>22_37</v>
      </c>
    </row>
    <row r="990" spans="1:8" x14ac:dyDescent="0.2">
      <c r="A990" s="9" t="s">
        <v>51</v>
      </c>
      <c r="C990" t="str">
        <f>""""&amp;SUBSTITUTE(A990,"zzz",H990)&amp;""""&amp;","</f>
        <v>"https://www.zeldadungeon.net/maps/totk/tiles/sky/6/22_38.jpg",</v>
      </c>
      <c r="H990" t="str">
        <f>QUOTIENT(ROW(A990),48)+2&amp;"_"&amp;MOD(ROW(A990),48)+8</f>
        <v>22_38</v>
      </c>
    </row>
    <row r="991" spans="1:8" x14ac:dyDescent="0.2">
      <c r="A991" s="9" t="s">
        <v>51</v>
      </c>
      <c r="C991" t="str">
        <f>""""&amp;SUBSTITUTE(A991,"zzz",H991)&amp;""""&amp;","</f>
        <v>"https://www.zeldadungeon.net/maps/totk/tiles/sky/6/22_39.jpg",</v>
      </c>
      <c r="H991" t="str">
        <f>QUOTIENT(ROW(A991),48)+2&amp;"_"&amp;MOD(ROW(A991),48)+8</f>
        <v>22_39</v>
      </c>
    </row>
    <row r="992" spans="1:8" x14ac:dyDescent="0.2">
      <c r="A992" s="9" t="s">
        <v>51</v>
      </c>
      <c r="C992" t="str">
        <f>""""&amp;SUBSTITUTE(A992,"zzz",H992)&amp;""""&amp;","</f>
        <v>"https://www.zeldadungeon.net/maps/totk/tiles/sky/6/22_40.jpg",</v>
      </c>
      <c r="H992" t="str">
        <f>QUOTIENT(ROW(A992),48)+2&amp;"_"&amp;MOD(ROW(A992),48)+8</f>
        <v>22_40</v>
      </c>
    </row>
    <row r="993" spans="1:8" x14ac:dyDescent="0.2">
      <c r="A993" s="9" t="s">
        <v>51</v>
      </c>
      <c r="C993" t="str">
        <f>""""&amp;SUBSTITUTE(A993,"zzz",H993)&amp;""""&amp;","</f>
        <v>"https://www.zeldadungeon.net/maps/totk/tiles/sky/6/22_41.jpg",</v>
      </c>
      <c r="H993" t="str">
        <f>QUOTIENT(ROW(A993),48)+2&amp;"_"&amp;MOD(ROW(A993),48)+8</f>
        <v>22_41</v>
      </c>
    </row>
    <row r="994" spans="1:8" x14ac:dyDescent="0.2">
      <c r="A994" s="9" t="s">
        <v>51</v>
      </c>
      <c r="C994" t="str">
        <f>""""&amp;SUBSTITUTE(A994,"zzz",H994)&amp;""""&amp;","</f>
        <v>"https://www.zeldadungeon.net/maps/totk/tiles/sky/6/22_42.jpg",</v>
      </c>
      <c r="H994" t="str">
        <f>QUOTIENT(ROW(A994),48)+2&amp;"_"&amp;MOD(ROW(A994),48)+8</f>
        <v>22_42</v>
      </c>
    </row>
    <row r="995" spans="1:8" x14ac:dyDescent="0.2">
      <c r="A995" s="9" t="s">
        <v>51</v>
      </c>
      <c r="C995" t="str">
        <f>""""&amp;SUBSTITUTE(A995,"zzz",H995)&amp;""""&amp;","</f>
        <v>"https://www.zeldadungeon.net/maps/totk/tiles/sky/6/22_43.jpg",</v>
      </c>
      <c r="H995" t="str">
        <f>QUOTIENT(ROW(A995),48)+2&amp;"_"&amp;MOD(ROW(A995),48)+8</f>
        <v>22_43</v>
      </c>
    </row>
    <row r="996" spans="1:8" x14ac:dyDescent="0.2">
      <c r="A996" s="9" t="s">
        <v>51</v>
      </c>
      <c r="C996" t="str">
        <f>""""&amp;SUBSTITUTE(A996,"zzz",H996)&amp;""""&amp;","</f>
        <v>"https://www.zeldadungeon.net/maps/totk/tiles/sky/6/22_44.jpg",</v>
      </c>
      <c r="H996" t="str">
        <f>QUOTIENT(ROW(A996),48)+2&amp;"_"&amp;MOD(ROW(A996),48)+8</f>
        <v>22_44</v>
      </c>
    </row>
    <row r="997" spans="1:8" x14ac:dyDescent="0.2">
      <c r="A997" s="9" t="s">
        <v>51</v>
      </c>
      <c r="C997" t="str">
        <f>""""&amp;SUBSTITUTE(A997,"zzz",H997)&amp;""""&amp;","</f>
        <v>"https://www.zeldadungeon.net/maps/totk/tiles/sky/6/22_45.jpg",</v>
      </c>
      <c r="H997" t="str">
        <f>QUOTIENT(ROW(A997),48)+2&amp;"_"&amp;MOD(ROW(A997),48)+8</f>
        <v>22_45</v>
      </c>
    </row>
    <row r="998" spans="1:8" x14ac:dyDescent="0.2">
      <c r="A998" s="9" t="s">
        <v>51</v>
      </c>
      <c r="C998" t="str">
        <f>""""&amp;SUBSTITUTE(A998,"zzz",H998)&amp;""""&amp;","</f>
        <v>"https://www.zeldadungeon.net/maps/totk/tiles/sky/6/22_46.jpg",</v>
      </c>
      <c r="H998" t="str">
        <f>QUOTIENT(ROW(A998),48)+2&amp;"_"&amp;MOD(ROW(A998),48)+8</f>
        <v>22_46</v>
      </c>
    </row>
    <row r="999" spans="1:8" x14ac:dyDescent="0.2">
      <c r="A999" s="9" t="s">
        <v>51</v>
      </c>
      <c r="C999" t="str">
        <f>""""&amp;SUBSTITUTE(A999,"zzz",H999)&amp;""""&amp;","</f>
        <v>"https://www.zeldadungeon.net/maps/totk/tiles/sky/6/22_47.jpg",</v>
      </c>
      <c r="H999" t="str">
        <f>QUOTIENT(ROW(A999),48)+2&amp;"_"&amp;MOD(ROW(A999),48)+8</f>
        <v>22_47</v>
      </c>
    </row>
    <row r="1000" spans="1:8" x14ac:dyDescent="0.2">
      <c r="A1000" s="9" t="s">
        <v>51</v>
      </c>
      <c r="C1000" t="str">
        <f>""""&amp;SUBSTITUTE(A1000,"zzz",H1000)&amp;""""&amp;","</f>
        <v>"https://www.zeldadungeon.net/maps/totk/tiles/sky/6/22_48.jpg",</v>
      </c>
      <c r="H1000" t="str">
        <f>QUOTIENT(ROW(A1000),48)+2&amp;"_"&amp;MOD(ROW(A1000),48)+8</f>
        <v>22_48</v>
      </c>
    </row>
    <row r="1001" spans="1:8" x14ac:dyDescent="0.2">
      <c r="A1001" s="9" t="s">
        <v>51</v>
      </c>
      <c r="C1001" t="str">
        <f>""""&amp;SUBSTITUTE(A1001,"zzz",H1001)&amp;""""&amp;","</f>
        <v>"https://www.zeldadungeon.net/maps/totk/tiles/sky/6/22_49.jpg",</v>
      </c>
      <c r="H1001" t="str">
        <f>QUOTIENT(ROW(A1001),48)+2&amp;"_"&amp;MOD(ROW(A1001),48)+8</f>
        <v>22_49</v>
      </c>
    </row>
    <row r="1002" spans="1:8" x14ac:dyDescent="0.2">
      <c r="A1002" s="9" t="s">
        <v>51</v>
      </c>
      <c r="C1002" t="str">
        <f>""""&amp;SUBSTITUTE(A1002,"zzz",H1002)&amp;""""&amp;","</f>
        <v>"https://www.zeldadungeon.net/maps/totk/tiles/sky/6/22_50.jpg",</v>
      </c>
      <c r="H1002" t="str">
        <f>QUOTIENT(ROW(A1002),48)+2&amp;"_"&amp;MOD(ROW(A1002),48)+8</f>
        <v>22_50</v>
      </c>
    </row>
    <row r="1003" spans="1:8" x14ac:dyDescent="0.2">
      <c r="A1003" s="9" t="s">
        <v>51</v>
      </c>
      <c r="C1003" t="str">
        <f>""""&amp;SUBSTITUTE(A1003,"zzz",H1003)&amp;""""&amp;","</f>
        <v>"https://www.zeldadungeon.net/maps/totk/tiles/sky/6/22_51.jpg",</v>
      </c>
      <c r="H1003" t="str">
        <f>QUOTIENT(ROW(A1003),48)+2&amp;"_"&amp;MOD(ROW(A1003),48)+8</f>
        <v>22_51</v>
      </c>
    </row>
    <row r="1004" spans="1:8" x14ac:dyDescent="0.2">
      <c r="A1004" s="9" t="s">
        <v>51</v>
      </c>
      <c r="C1004" t="str">
        <f>""""&amp;SUBSTITUTE(A1004,"zzz",H1004)&amp;""""&amp;","</f>
        <v>"https://www.zeldadungeon.net/maps/totk/tiles/sky/6/22_52.jpg",</v>
      </c>
      <c r="H1004" t="str">
        <f>QUOTIENT(ROW(A1004),48)+2&amp;"_"&amp;MOD(ROW(A1004),48)+8</f>
        <v>22_52</v>
      </c>
    </row>
    <row r="1005" spans="1:8" x14ac:dyDescent="0.2">
      <c r="A1005" s="9" t="s">
        <v>51</v>
      </c>
      <c r="C1005" t="str">
        <f>""""&amp;SUBSTITUTE(A1005,"zzz",H1005)&amp;""""&amp;","</f>
        <v>"https://www.zeldadungeon.net/maps/totk/tiles/sky/6/22_53.jpg",</v>
      </c>
      <c r="H1005" t="str">
        <f>QUOTIENT(ROW(A1005),48)+2&amp;"_"&amp;MOD(ROW(A1005),48)+8</f>
        <v>22_53</v>
      </c>
    </row>
    <row r="1006" spans="1:8" x14ac:dyDescent="0.2">
      <c r="A1006" s="9" t="s">
        <v>51</v>
      </c>
      <c r="C1006" t="str">
        <f>""""&amp;SUBSTITUTE(A1006,"zzz",H1006)&amp;""""&amp;","</f>
        <v>"https://www.zeldadungeon.net/maps/totk/tiles/sky/6/22_54.jpg",</v>
      </c>
      <c r="H1006" t="str">
        <f>QUOTIENT(ROW(A1006),48)+2&amp;"_"&amp;MOD(ROW(A1006),48)+8</f>
        <v>22_54</v>
      </c>
    </row>
    <row r="1007" spans="1:8" x14ac:dyDescent="0.2">
      <c r="A1007" s="9" t="s">
        <v>51</v>
      </c>
      <c r="C1007" t="str">
        <f>""""&amp;SUBSTITUTE(A1007,"zzz",H1007)&amp;""""&amp;","</f>
        <v>"https://www.zeldadungeon.net/maps/totk/tiles/sky/6/22_55.jpg",</v>
      </c>
      <c r="H1007" t="str">
        <f>QUOTIENT(ROW(A1007),48)+2&amp;"_"&amp;MOD(ROW(A1007),48)+8</f>
        <v>22_55</v>
      </c>
    </row>
    <row r="1008" spans="1:8" x14ac:dyDescent="0.2">
      <c r="A1008" s="9" t="s">
        <v>51</v>
      </c>
      <c r="C1008" t="str">
        <f>""""&amp;SUBSTITUTE(A1008,"zzz",H1008)&amp;""""&amp;","</f>
        <v>"https://www.zeldadungeon.net/maps/totk/tiles/sky/6/23_8.jpg",</v>
      </c>
      <c r="H1008" t="str">
        <f>QUOTIENT(ROW(A1008),48)+2&amp;"_"&amp;MOD(ROW(A1008),48)+8</f>
        <v>23_8</v>
      </c>
    </row>
    <row r="1009" spans="1:8" x14ac:dyDescent="0.2">
      <c r="A1009" s="9" t="s">
        <v>51</v>
      </c>
      <c r="C1009" t="str">
        <f>""""&amp;SUBSTITUTE(A1009,"zzz",H1009)&amp;""""&amp;","</f>
        <v>"https://www.zeldadungeon.net/maps/totk/tiles/sky/6/23_9.jpg",</v>
      </c>
      <c r="H1009" t="str">
        <f>QUOTIENT(ROW(A1009),48)+2&amp;"_"&amp;MOD(ROW(A1009),48)+8</f>
        <v>23_9</v>
      </c>
    </row>
    <row r="1010" spans="1:8" x14ac:dyDescent="0.2">
      <c r="A1010" s="9" t="s">
        <v>51</v>
      </c>
      <c r="C1010" t="str">
        <f>""""&amp;SUBSTITUTE(A1010,"zzz",H1010)&amp;""""&amp;","</f>
        <v>"https://www.zeldadungeon.net/maps/totk/tiles/sky/6/23_10.jpg",</v>
      </c>
      <c r="H1010" t="str">
        <f>QUOTIENT(ROW(A1010),48)+2&amp;"_"&amp;MOD(ROW(A1010),48)+8</f>
        <v>23_10</v>
      </c>
    </row>
    <row r="1011" spans="1:8" x14ac:dyDescent="0.2">
      <c r="A1011" s="9" t="s">
        <v>51</v>
      </c>
      <c r="C1011" t="str">
        <f>""""&amp;SUBSTITUTE(A1011,"zzz",H1011)&amp;""""&amp;","</f>
        <v>"https://www.zeldadungeon.net/maps/totk/tiles/sky/6/23_11.jpg",</v>
      </c>
      <c r="H1011" t="str">
        <f>QUOTIENT(ROW(A1011),48)+2&amp;"_"&amp;MOD(ROW(A1011),48)+8</f>
        <v>23_11</v>
      </c>
    </row>
    <row r="1012" spans="1:8" x14ac:dyDescent="0.2">
      <c r="A1012" s="9" t="s">
        <v>51</v>
      </c>
      <c r="C1012" t="str">
        <f>""""&amp;SUBSTITUTE(A1012,"zzz",H1012)&amp;""""&amp;","</f>
        <v>"https://www.zeldadungeon.net/maps/totk/tiles/sky/6/23_12.jpg",</v>
      </c>
      <c r="H1012" t="str">
        <f>QUOTIENT(ROW(A1012),48)+2&amp;"_"&amp;MOD(ROW(A1012),48)+8</f>
        <v>23_12</v>
      </c>
    </row>
    <row r="1013" spans="1:8" x14ac:dyDescent="0.2">
      <c r="A1013" s="9" t="s">
        <v>51</v>
      </c>
      <c r="C1013" t="str">
        <f>""""&amp;SUBSTITUTE(A1013,"zzz",H1013)&amp;""""&amp;","</f>
        <v>"https://www.zeldadungeon.net/maps/totk/tiles/sky/6/23_13.jpg",</v>
      </c>
      <c r="H1013" t="str">
        <f>QUOTIENT(ROW(A1013),48)+2&amp;"_"&amp;MOD(ROW(A1013),48)+8</f>
        <v>23_13</v>
      </c>
    </row>
    <row r="1014" spans="1:8" x14ac:dyDescent="0.2">
      <c r="A1014" s="9" t="s">
        <v>51</v>
      </c>
      <c r="C1014" t="str">
        <f>""""&amp;SUBSTITUTE(A1014,"zzz",H1014)&amp;""""&amp;","</f>
        <v>"https://www.zeldadungeon.net/maps/totk/tiles/sky/6/23_14.jpg",</v>
      </c>
      <c r="H1014" t="str">
        <f>QUOTIENT(ROW(A1014),48)+2&amp;"_"&amp;MOD(ROW(A1014),48)+8</f>
        <v>23_14</v>
      </c>
    </row>
    <row r="1015" spans="1:8" x14ac:dyDescent="0.2">
      <c r="A1015" s="9" t="s">
        <v>51</v>
      </c>
      <c r="C1015" t="str">
        <f>""""&amp;SUBSTITUTE(A1015,"zzz",H1015)&amp;""""&amp;","</f>
        <v>"https://www.zeldadungeon.net/maps/totk/tiles/sky/6/23_15.jpg",</v>
      </c>
      <c r="H1015" t="str">
        <f>QUOTIENT(ROW(A1015),48)+2&amp;"_"&amp;MOD(ROW(A1015),48)+8</f>
        <v>23_15</v>
      </c>
    </row>
    <row r="1016" spans="1:8" x14ac:dyDescent="0.2">
      <c r="A1016" s="9" t="s">
        <v>51</v>
      </c>
      <c r="C1016" t="str">
        <f>""""&amp;SUBSTITUTE(A1016,"zzz",H1016)&amp;""""&amp;","</f>
        <v>"https://www.zeldadungeon.net/maps/totk/tiles/sky/6/23_16.jpg",</v>
      </c>
      <c r="H1016" t="str">
        <f>QUOTIENT(ROW(A1016),48)+2&amp;"_"&amp;MOD(ROW(A1016),48)+8</f>
        <v>23_16</v>
      </c>
    </row>
    <row r="1017" spans="1:8" x14ac:dyDescent="0.2">
      <c r="A1017" s="9" t="s">
        <v>51</v>
      </c>
      <c r="C1017" t="str">
        <f>""""&amp;SUBSTITUTE(A1017,"zzz",H1017)&amp;""""&amp;","</f>
        <v>"https://www.zeldadungeon.net/maps/totk/tiles/sky/6/23_17.jpg",</v>
      </c>
      <c r="H1017" t="str">
        <f>QUOTIENT(ROW(A1017),48)+2&amp;"_"&amp;MOD(ROW(A1017),48)+8</f>
        <v>23_17</v>
      </c>
    </row>
    <row r="1018" spans="1:8" x14ac:dyDescent="0.2">
      <c r="A1018" s="9" t="s">
        <v>51</v>
      </c>
      <c r="C1018" t="str">
        <f>""""&amp;SUBSTITUTE(A1018,"zzz",H1018)&amp;""""&amp;","</f>
        <v>"https://www.zeldadungeon.net/maps/totk/tiles/sky/6/23_18.jpg",</v>
      </c>
      <c r="H1018" t="str">
        <f>QUOTIENT(ROW(A1018),48)+2&amp;"_"&amp;MOD(ROW(A1018),48)+8</f>
        <v>23_18</v>
      </c>
    </row>
    <row r="1019" spans="1:8" x14ac:dyDescent="0.2">
      <c r="A1019" s="9" t="s">
        <v>51</v>
      </c>
      <c r="C1019" t="str">
        <f>""""&amp;SUBSTITUTE(A1019,"zzz",H1019)&amp;""""&amp;","</f>
        <v>"https://www.zeldadungeon.net/maps/totk/tiles/sky/6/23_19.jpg",</v>
      </c>
      <c r="H1019" t="str">
        <f>QUOTIENT(ROW(A1019),48)+2&amp;"_"&amp;MOD(ROW(A1019),48)+8</f>
        <v>23_19</v>
      </c>
    </row>
    <row r="1020" spans="1:8" x14ac:dyDescent="0.2">
      <c r="A1020" s="9" t="s">
        <v>51</v>
      </c>
      <c r="C1020" t="str">
        <f>""""&amp;SUBSTITUTE(A1020,"zzz",H1020)&amp;""""&amp;","</f>
        <v>"https://www.zeldadungeon.net/maps/totk/tiles/sky/6/23_20.jpg",</v>
      </c>
      <c r="H1020" t="str">
        <f>QUOTIENT(ROW(A1020),48)+2&amp;"_"&amp;MOD(ROW(A1020),48)+8</f>
        <v>23_20</v>
      </c>
    </row>
    <row r="1021" spans="1:8" x14ac:dyDescent="0.2">
      <c r="A1021" s="9" t="s">
        <v>51</v>
      </c>
      <c r="C1021" t="str">
        <f>""""&amp;SUBSTITUTE(A1021,"zzz",H1021)&amp;""""&amp;","</f>
        <v>"https://www.zeldadungeon.net/maps/totk/tiles/sky/6/23_21.jpg",</v>
      </c>
      <c r="H1021" t="str">
        <f>QUOTIENT(ROW(A1021),48)+2&amp;"_"&amp;MOD(ROW(A1021),48)+8</f>
        <v>23_21</v>
      </c>
    </row>
    <row r="1022" spans="1:8" x14ac:dyDescent="0.2">
      <c r="A1022" s="9" t="s">
        <v>51</v>
      </c>
      <c r="C1022" t="str">
        <f>""""&amp;SUBSTITUTE(A1022,"zzz",H1022)&amp;""""&amp;","</f>
        <v>"https://www.zeldadungeon.net/maps/totk/tiles/sky/6/23_22.jpg",</v>
      </c>
      <c r="H1022" t="str">
        <f>QUOTIENT(ROW(A1022),48)+2&amp;"_"&amp;MOD(ROW(A1022),48)+8</f>
        <v>23_22</v>
      </c>
    </row>
    <row r="1023" spans="1:8" x14ac:dyDescent="0.2">
      <c r="A1023" s="9" t="s">
        <v>51</v>
      </c>
      <c r="C1023" t="str">
        <f>""""&amp;SUBSTITUTE(A1023,"zzz",H1023)&amp;""""&amp;","</f>
        <v>"https://www.zeldadungeon.net/maps/totk/tiles/sky/6/23_23.jpg",</v>
      </c>
      <c r="H1023" t="str">
        <f>QUOTIENT(ROW(A1023),48)+2&amp;"_"&amp;MOD(ROW(A1023),48)+8</f>
        <v>23_23</v>
      </c>
    </row>
    <row r="1024" spans="1:8" x14ac:dyDescent="0.2">
      <c r="A1024" s="9" t="s">
        <v>51</v>
      </c>
      <c r="C1024" t="str">
        <f>""""&amp;SUBSTITUTE(A1024,"zzz",H1024)&amp;""""&amp;","</f>
        <v>"https://www.zeldadungeon.net/maps/totk/tiles/sky/6/23_24.jpg",</v>
      </c>
      <c r="H1024" t="str">
        <f>QUOTIENT(ROW(A1024),48)+2&amp;"_"&amp;MOD(ROW(A1024),48)+8</f>
        <v>23_24</v>
      </c>
    </row>
    <row r="1025" spans="1:8" x14ac:dyDescent="0.2">
      <c r="A1025" s="9" t="s">
        <v>51</v>
      </c>
      <c r="C1025" t="str">
        <f>""""&amp;SUBSTITUTE(A1025,"zzz",H1025)&amp;""""&amp;","</f>
        <v>"https://www.zeldadungeon.net/maps/totk/tiles/sky/6/23_25.jpg",</v>
      </c>
      <c r="H1025" t="str">
        <f>QUOTIENT(ROW(A1025),48)+2&amp;"_"&amp;MOD(ROW(A1025),48)+8</f>
        <v>23_25</v>
      </c>
    </row>
    <row r="1026" spans="1:8" x14ac:dyDescent="0.2">
      <c r="A1026" s="9" t="s">
        <v>51</v>
      </c>
      <c r="C1026" t="str">
        <f>""""&amp;SUBSTITUTE(A1026,"zzz",H1026)&amp;""""&amp;","</f>
        <v>"https://www.zeldadungeon.net/maps/totk/tiles/sky/6/23_26.jpg",</v>
      </c>
      <c r="H1026" t="str">
        <f>QUOTIENT(ROW(A1026),48)+2&amp;"_"&amp;MOD(ROW(A1026),48)+8</f>
        <v>23_26</v>
      </c>
    </row>
    <row r="1027" spans="1:8" x14ac:dyDescent="0.2">
      <c r="A1027" s="9" t="s">
        <v>51</v>
      </c>
      <c r="C1027" t="str">
        <f>""""&amp;SUBSTITUTE(A1027,"zzz",H1027)&amp;""""&amp;","</f>
        <v>"https://www.zeldadungeon.net/maps/totk/tiles/sky/6/23_27.jpg",</v>
      </c>
      <c r="H1027" t="str">
        <f>QUOTIENT(ROW(A1027),48)+2&amp;"_"&amp;MOD(ROW(A1027),48)+8</f>
        <v>23_27</v>
      </c>
    </row>
    <row r="1028" spans="1:8" x14ac:dyDescent="0.2">
      <c r="A1028" s="9" t="s">
        <v>51</v>
      </c>
      <c r="C1028" t="str">
        <f>""""&amp;SUBSTITUTE(A1028,"zzz",H1028)&amp;""""&amp;","</f>
        <v>"https://www.zeldadungeon.net/maps/totk/tiles/sky/6/23_28.jpg",</v>
      </c>
      <c r="H1028" t="str">
        <f>QUOTIENT(ROW(A1028),48)+2&amp;"_"&amp;MOD(ROW(A1028),48)+8</f>
        <v>23_28</v>
      </c>
    </row>
    <row r="1029" spans="1:8" x14ac:dyDescent="0.2">
      <c r="A1029" s="9" t="s">
        <v>51</v>
      </c>
      <c r="C1029" t="str">
        <f>""""&amp;SUBSTITUTE(A1029,"zzz",H1029)&amp;""""&amp;","</f>
        <v>"https://www.zeldadungeon.net/maps/totk/tiles/sky/6/23_29.jpg",</v>
      </c>
      <c r="H1029" t="str">
        <f>QUOTIENT(ROW(A1029),48)+2&amp;"_"&amp;MOD(ROW(A1029),48)+8</f>
        <v>23_29</v>
      </c>
    </row>
    <row r="1030" spans="1:8" x14ac:dyDescent="0.2">
      <c r="A1030" s="9" t="s">
        <v>51</v>
      </c>
      <c r="C1030" t="str">
        <f>""""&amp;SUBSTITUTE(A1030,"zzz",H1030)&amp;""""&amp;","</f>
        <v>"https://www.zeldadungeon.net/maps/totk/tiles/sky/6/23_30.jpg",</v>
      </c>
      <c r="H1030" t="str">
        <f>QUOTIENT(ROW(A1030),48)+2&amp;"_"&amp;MOD(ROW(A1030),48)+8</f>
        <v>23_30</v>
      </c>
    </row>
    <row r="1031" spans="1:8" x14ac:dyDescent="0.2">
      <c r="A1031" s="9" t="s">
        <v>51</v>
      </c>
      <c r="C1031" t="str">
        <f>""""&amp;SUBSTITUTE(A1031,"zzz",H1031)&amp;""""&amp;","</f>
        <v>"https://www.zeldadungeon.net/maps/totk/tiles/sky/6/23_31.jpg",</v>
      </c>
      <c r="H1031" t="str">
        <f>QUOTIENT(ROW(A1031),48)+2&amp;"_"&amp;MOD(ROW(A1031),48)+8</f>
        <v>23_31</v>
      </c>
    </row>
    <row r="1032" spans="1:8" x14ac:dyDescent="0.2">
      <c r="A1032" s="9" t="s">
        <v>51</v>
      </c>
      <c r="C1032" t="str">
        <f>""""&amp;SUBSTITUTE(A1032,"zzz",H1032)&amp;""""&amp;","</f>
        <v>"https://www.zeldadungeon.net/maps/totk/tiles/sky/6/23_32.jpg",</v>
      </c>
      <c r="H1032" t="str">
        <f>QUOTIENT(ROW(A1032),48)+2&amp;"_"&amp;MOD(ROW(A1032),48)+8</f>
        <v>23_32</v>
      </c>
    </row>
    <row r="1033" spans="1:8" x14ac:dyDescent="0.2">
      <c r="A1033" s="9" t="s">
        <v>51</v>
      </c>
      <c r="C1033" t="str">
        <f>""""&amp;SUBSTITUTE(A1033,"zzz",H1033)&amp;""""&amp;","</f>
        <v>"https://www.zeldadungeon.net/maps/totk/tiles/sky/6/23_33.jpg",</v>
      </c>
      <c r="H1033" t="str">
        <f>QUOTIENT(ROW(A1033),48)+2&amp;"_"&amp;MOD(ROW(A1033),48)+8</f>
        <v>23_33</v>
      </c>
    </row>
    <row r="1034" spans="1:8" x14ac:dyDescent="0.2">
      <c r="A1034" s="9" t="s">
        <v>51</v>
      </c>
      <c r="C1034" t="str">
        <f>""""&amp;SUBSTITUTE(A1034,"zzz",H1034)&amp;""""&amp;","</f>
        <v>"https://www.zeldadungeon.net/maps/totk/tiles/sky/6/23_34.jpg",</v>
      </c>
      <c r="H1034" t="str">
        <f>QUOTIENT(ROW(A1034),48)+2&amp;"_"&amp;MOD(ROW(A1034),48)+8</f>
        <v>23_34</v>
      </c>
    </row>
    <row r="1035" spans="1:8" x14ac:dyDescent="0.2">
      <c r="A1035" s="9" t="s">
        <v>51</v>
      </c>
      <c r="C1035" t="str">
        <f>""""&amp;SUBSTITUTE(A1035,"zzz",H1035)&amp;""""&amp;","</f>
        <v>"https://www.zeldadungeon.net/maps/totk/tiles/sky/6/23_35.jpg",</v>
      </c>
      <c r="H1035" t="str">
        <f>QUOTIENT(ROW(A1035),48)+2&amp;"_"&amp;MOD(ROW(A1035),48)+8</f>
        <v>23_35</v>
      </c>
    </row>
    <row r="1036" spans="1:8" x14ac:dyDescent="0.2">
      <c r="A1036" s="9" t="s">
        <v>51</v>
      </c>
      <c r="C1036" t="str">
        <f>""""&amp;SUBSTITUTE(A1036,"zzz",H1036)&amp;""""&amp;","</f>
        <v>"https://www.zeldadungeon.net/maps/totk/tiles/sky/6/23_36.jpg",</v>
      </c>
      <c r="H1036" t="str">
        <f>QUOTIENT(ROW(A1036),48)+2&amp;"_"&amp;MOD(ROW(A1036),48)+8</f>
        <v>23_36</v>
      </c>
    </row>
    <row r="1037" spans="1:8" x14ac:dyDescent="0.2">
      <c r="A1037" s="9" t="s">
        <v>51</v>
      </c>
      <c r="C1037" t="str">
        <f>""""&amp;SUBSTITUTE(A1037,"zzz",H1037)&amp;""""&amp;","</f>
        <v>"https://www.zeldadungeon.net/maps/totk/tiles/sky/6/23_37.jpg",</v>
      </c>
      <c r="H1037" t="str">
        <f>QUOTIENT(ROW(A1037),48)+2&amp;"_"&amp;MOD(ROW(A1037),48)+8</f>
        <v>23_37</v>
      </c>
    </row>
    <row r="1038" spans="1:8" x14ac:dyDescent="0.2">
      <c r="A1038" s="9" t="s">
        <v>51</v>
      </c>
      <c r="C1038" t="str">
        <f>""""&amp;SUBSTITUTE(A1038,"zzz",H1038)&amp;""""&amp;","</f>
        <v>"https://www.zeldadungeon.net/maps/totk/tiles/sky/6/23_38.jpg",</v>
      </c>
      <c r="H1038" t="str">
        <f>QUOTIENT(ROW(A1038),48)+2&amp;"_"&amp;MOD(ROW(A1038),48)+8</f>
        <v>23_38</v>
      </c>
    </row>
    <row r="1039" spans="1:8" x14ac:dyDescent="0.2">
      <c r="A1039" s="9" t="s">
        <v>51</v>
      </c>
      <c r="C1039" t="str">
        <f>""""&amp;SUBSTITUTE(A1039,"zzz",H1039)&amp;""""&amp;","</f>
        <v>"https://www.zeldadungeon.net/maps/totk/tiles/sky/6/23_39.jpg",</v>
      </c>
      <c r="H1039" t="str">
        <f>QUOTIENT(ROW(A1039),48)+2&amp;"_"&amp;MOD(ROW(A1039),48)+8</f>
        <v>23_39</v>
      </c>
    </row>
    <row r="1040" spans="1:8" x14ac:dyDescent="0.2">
      <c r="A1040" s="9" t="s">
        <v>51</v>
      </c>
      <c r="C1040" t="str">
        <f>""""&amp;SUBSTITUTE(A1040,"zzz",H1040)&amp;""""&amp;","</f>
        <v>"https://www.zeldadungeon.net/maps/totk/tiles/sky/6/23_40.jpg",</v>
      </c>
      <c r="H1040" t="str">
        <f>QUOTIENT(ROW(A1040),48)+2&amp;"_"&amp;MOD(ROW(A1040),48)+8</f>
        <v>23_40</v>
      </c>
    </row>
    <row r="1041" spans="1:8" x14ac:dyDescent="0.2">
      <c r="A1041" s="9" t="s">
        <v>51</v>
      </c>
      <c r="C1041" t="str">
        <f>""""&amp;SUBSTITUTE(A1041,"zzz",H1041)&amp;""""&amp;","</f>
        <v>"https://www.zeldadungeon.net/maps/totk/tiles/sky/6/23_41.jpg",</v>
      </c>
      <c r="H1041" t="str">
        <f>QUOTIENT(ROW(A1041),48)+2&amp;"_"&amp;MOD(ROW(A1041),48)+8</f>
        <v>23_41</v>
      </c>
    </row>
    <row r="1042" spans="1:8" x14ac:dyDescent="0.2">
      <c r="A1042" s="9" t="s">
        <v>51</v>
      </c>
      <c r="C1042" t="str">
        <f>""""&amp;SUBSTITUTE(A1042,"zzz",H1042)&amp;""""&amp;","</f>
        <v>"https://www.zeldadungeon.net/maps/totk/tiles/sky/6/23_42.jpg",</v>
      </c>
      <c r="H1042" t="str">
        <f>QUOTIENT(ROW(A1042),48)+2&amp;"_"&amp;MOD(ROW(A1042),48)+8</f>
        <v>23_42</v>
      </c>
    </row>
    <row r="1043" spans="1:8" x14ac:dyDescent="0.2">
      <c r="A1043" s="9" t="s">
        <v>51</v>
      </c>
      <c r="C1043" t="str">
        <f>""""&amp;SUBSTITUTE(A1043,"zzz",H1043)&amp;""""&amp;","</f>
        <v>"https://www.zeldadungeon.net/maps/totk/tiles/sky/6/23_43.jpg",</v>
      </c>
      <c r="H1043" t="str">
        <f>QUOTIENT(ROW(A1043),48)+2&amp;"_"&amp;MOD(ROW(A1043),48)+8</f>
        <v>23_43</v>
      </c>
    </row>
    <row r="1044" spans="1:8" x14ac:dyDescent="0.2">
      <c r="A1044" s="9" t="s">
        <v>51</v>
      </c>
      <c r="C1044" t="str">
        <f>""""&amp;SUBSTITUTE(A1044,"zzz",H1044)&amp;""""&amp;","</f>
        <v>"https://www.zeldadungeon.net/maps/totk/tiles/sky/6/23_44.jpg",</v>
      </c>
      <c r="H1044" t="str">
        <f>QUOTIENT(ROW(A1044),48)+2&amp;"_"&amp;MOD(ROW(A1044),48)+8</f>
        <v>23_44</v>
      </c>
    </row>
    <row r="1045" spans="1:8" x14ac:dyDescent="0.2">
      <c r="A1045" s="9" t="s">
        <v>51</v>
      </c>
      <c r="C1045" t="str">
        <f>""""&amp;SUBSTITUTE(A1045,"zzz",H1045)&amp;""""&amp;","</f>
        <v>"https://www.zeldadungeon.net/maps/totk/tiles/sky/6/23_45.jpg",</v>
      </c>
      <c r="H1045" t="str">
        <f>QUOTIENT(ROW(A1045),48)+2&amp;"_"&amp;MOD(ROW(A1045),48)+8</f>
        <v>23_45</v>
      </c>
    </row>
    <row r="1046" spans="1:8" x14ac:dyDescent="0.2">
      <c r="A1046" s="9" t="s">
        <v>51</v>
      </c>
      <c r="C1046" t="str">
        <f>""""&amp;SUBSTITUTE(A1046,"zzz",H1046)&amp;""""&amp;","</f>
        <v>"https://www.zeldadungeon.net/maps/totk/tiles/sky/6/23_46.jpg",</v>
      </c>
      <c r="H1046" t="str">
        <f>QUOTIENT(ROW(A1046),48)+2&amp;"_"&amp;MOD(ROW(A1046),48)+8</f>
        <v>23_46</v>
      </c>
    </row>
    <row r="1047" spans="1:8" x14ac:dyDescent="0.2">
      <c r="A1047" s="9" t="s">
        <v>51</v>
      </c>
      <c r="C1047" t="str">
        <f>""""&amp;SUBSTITUTE(A1047,"zzz",H1047)&amp;""""&amp;","</f>
        <v>"https://www.zeldadungeon.net/maps/totk/tiles/sky/6/23_47.jpg",</v>
      </c>
      <c r="H1047" t="str">
        <f>QUOTIENT(ROW(A1047),48)+2&amp;"_"&amp;MOD(ROW(A1047),48)+8</f>
        <v>23_47</v>
      </c>
    </row>
    <row r="1048" spans="1:8" x14ac:dyDescent="0.2">
      <c r="A1048" s="9" t="s">
        <v>51</v>
      </c>
      <c r="C1048" t="str">
        <f>""""&amp;SUBSTITUTE(A1048,"zzz",H1048)&amp;""""&amp;","</f>
        <v>"https://www.zeldadungeon.net/maps/totk/tiles/sky/6/23_48.jpg",</v>
      </c>
      <c r="H1048" t="str">
        <f>QUOTIENT(ROW(A1048),48)+2&amp;"_"&amp;MOD(ROW(A1048),48)+8</f>
        <v>23_48</v>
      </c>
    </row>
    <row r="1049" spans="1:8" x14ac:dyDescent="0.2">
      <c r="A1049" s="9" t="s">
        <v>51</v>
      </c>
      <c r="C1049" t="str">
        <f>""""&amp;SUBSTITUTE(A1049,"zzz",H1049)&amp;""""&amp;","</f>
        <v>"https://www.zeldadungeon.net/maps/totk/tiles/sky/6/23_49.jpg",</v>
      </c>
      <c r="H1049" t="str">
        <f>QUOTIENT(ROW(A1049),48)+2&amp;"_"&amp;MOD(ROW(A1049),48)+8</f>
        <v>23_49</v>
      </c>
    </row>
    <row r="1050" spans="1:8" x14ac:dyDescent="0.2">
      <c r="A1050" s="9" t="s">
        <v>51</v>
      </c>
      <c r="C1050" t="str">
        <f>""""&amp;SUBSTITUTE(A1050,"zzz",H1050)&amp;""""&amp;","</f>
        <v>"https://www.zeldadungeon.net/maps/totk/tiles/sky/6/23_50.jpg",</v>
      </c>
      <c r="H1050" t="str">
        <f>QUOTIENT(ROW(A1050),48)+2&amp;"_"&amp;MOD(ROW(A1050),48)+8</f>
        <v>23_50</v>
      </c>
    </row>
    <row r="1051" spans="1:8" x14ac:dyDescent="0.2">
      <c r="A1051" s="9" t="s">
        <v>51</v>
      </c>
      <c r="C1051" t="str">
        <f>""""&amp;SUBSTITUTE(A1051,"zzz",H1051)&amp;""""&amp;","</f>
        <v>"https://www.zeldadungeon.net/maps/totk/tiles/sky/6/23_51.jpg",</v>
      </c>
      <c r="H1051" t="str">
        <f>QUOTIENT(ROW(A1051),48)+2&amp;"_"&amp;MOD(ROW(A1051),48)+8</f>
        <v>23_51</v>
      </c>
    </row>
    <row r="1052" spans="1:8" x14ac:dyDescent="0.2">
      <c r="A1052" s="9" t="s">
        <v>51</v>
      </c>
      <c r="C1052" t="str">
        <f>""""&amp;SUBSTITUTE(A1052,"zzz",H1052)&amp;""""&amp;","</f>
        <v>"https://www.zeldadungeon.net/maps/totk/tiles/sky/6/23_52.jpg",</v>
      </c>
      <c r="H1052" t="str">
        <f>QUOTIENT(ROW(A1052),48)+2&amp;"_"&amp;MOD(ROW(A1052),48)+8</f>
        <v>23_52</v>
      </c>
    </row>
    <row r="1053" spans="1:8" x14ac:dyDescent="0.2">
      <c r="A1053" s="9" t="s">
        <v>51</v>
      </c>
      <c r="C1053" t="str">
        <f>""""&amp;SUBSTITUTE(A1053,"zzz",H1053)&amp;""""&amp;","</f>
        <v>"https://www.zeldadungeon.net/maps/totk/tiles/sky/6/23_53.jpg",</v>
      </c>
      <c r="H1053" t="str">
        <f>QUOTIENT(ROW(A1053),48)+2&amp;"_"&amp;MOD(ROW(A1053),48)+8</f>
        <v>23_53</v>
      </c>
    </row>
    <row r="1054" spans="1:8" x14ac:dyDescent="0.2">
      <c r="A1054" s="9" t="s">
        <v>51</v>
      </c>
      <c r="C1054" t="str">
        <f>""""&amp;SUBSTITUTE(A1054,"zzz",H1054)&amp;""""&amp;","</f>
        <v>"https://www.zeldadungeon.net/maps/totk/tiles/sky/6/23_54.jpg",</v>
      </c>
      <c r="H1054" t="str">
        <f>QUOTIENT(ROW(A1054),48)+2&amp;"_"&amp;MOD(ROW(A1054),48)+8</f>
        <v>23_54</v>
      </c>
    </row>
    <row r="1055" spans="1:8" x14ac:dyDescent="0.2">
      <c r="A1055" s="9" t="s">
        <v>51</v>
      </c>
      <c r="C1055" t="str">
        <f>""""&amp;SUBSTITUTE(A1055,"zzz",H1055)&amp;""""&amp;","</f>
        <v>"https://www.zeldadungeon.net/maps/totk/tiles/sky/6/23_55.jpg",</v>
      </c>
      <c r="H1055" t="str">
        <f>QUOTIENT(ROW(A1055),48)+2&amp;"_"&amp;MOD(ROW(A1055),48)+8</f>
        <v>23_55</v>
      </c>
    </row>
    <row r="1056" spans="1:8" x14ac:dyDescent="0.2">
      <c r="A1056" s="9" t="s">
        <v>51</v>
      </c>
      <c r="C1056" t="str">
        <f>""""&amp;SUBSTITUTE(A1056,"zzz",H1056)&amp;""""&amp;","</f>
        <v>"https://www.zeldadungeon.net/maps/totk/tiles/sky/6/24_8.jpg",</v>
      </c>
      <c r="H1056" t="str">
        <f>QUOTIENT(ROW(A1056),48)+2&amp;"_"&amp;MOD(ROW(A1056),48)+8</f>
        <v>24_8</v>
      </c>
    </row>
    <row r="1057" spans="1:8" x14ac:dyDescent="0.2">
      <c r="A1057" s="9" t="s">
        <v>51</v>
      </c>
      <c r="C1057" t="str">
        <f>""""&amp;SUBSTITUTE(A1057,"zzz",H1057)&amp;""""&amp;","</f>
        <v>"https://www.zeldadungeon.net/maps/totk/tiles/sky/6/24_9.jpg",</v>
      </c>
      <c r="H1057" t="str">
        <f>QUOTIENT(ROW(A1057),48)+2&amp;"_"&amp;MOD(ROW(A1057),48)+8</f>
        <v>24_9</v>
      </c>
    </row>
    <row r="1058" spans="1:8" x14ac:dyDescent="0.2">
      <c r="A1058" s="9" t="s">
        <v>51</v>
      </c>
      <c r="C1058" t="str">
        <f>""""&amp;SUBSTITUTE(A1058,"zzz",H1058)&amp;""""&amp;","</f>
        <v>"https://www.zeldadungeon.net/maps/totk/tiles/sky/6/24_10.jpg",</v>
      </c>
      <c r="H1058" t="str">
        <f>QUOTIENT(ROW(A1058),48)+2&amp;"_"&amp;MOD(ROW(A1058),48)+8</f>
        <v>24_10</v>
      </c>
    </row>
    <row r="1059" spans="1:8" x14ac:dyDescent="0.2">
      <c r="A1059" s="9" t="s">
        <v>51</v>
      </c>
      <c r="C1059" t="str">
        <f>""""&amp;SUBSTITUTE(A1059,"zzz",H1059)&amp;""""&amp;","</f>
        <v>"https://www.zeldadungeon.net/maps/totk/tiles/sky/6/24_11.jpg",</v>
      </c>
      <c r="H1059" t="str">
        <f>QUOTIENT(ROW(A1059),48)+2&amp;"_"&amp;MOD(ROW(A1059),48)+8</f>
        <v>24_11</v>
      </c>
    </row>
    <row r="1060" spans="1:8" x14ac:dyDescent="0.2">
      <c r="A1060" s="9" t="s">
        <v>51</v>
      </c>
      <c r="C1060" t="str">
        <f>""""&amp;SUBSTITUTE(A1060,"zzz",H1060)&amp;""""&amp;","</f>
        <v>"https://www.zeldadungeon.net/maps/totk/tiles/sky/6/24_12.jpg",</v>
      </c>
      <c r="H1060" t="str">
        <f>QUOTIENT(ROW(A1060),48)+2&amp;"_"&amp;MOD(ROW(A1060),48)+8</f>
        <v>24_12</v>
      </c>
    </row>
    <row r="1061" spans="1:8" x14ac:dyDescent="0.2">
      <c r="A1061" s="9" t="s">
        <v>51</v>
      </c>
      <c r="C1061" t="str">
        <f>""""&amp;SUBSTITUTE(A1061,"zzz",H1061)&amp;""""&amp;","</f>
        <v>"https://www.zeldadungeon.net/maps/totk/tiles/sky/6/24_13.jpg",</v>
      </c>
      <c r="H1061" t="str">
        <f>QUOTIENT(ROW(A1061),48)+2&amp;"_"&amp;MOD(ROW(A1061),48)+8</f>
        <v>24_13</v>
      </c>
    </row>
    <row r="1062" spans="1:8" x14ac:dyDescent="0.2">
      <c r="A1062" s="9" t="s">
        <v>51</v>
      </c>
      <c r="C1062" t="str">
        <f>""""&amp;SUBSTITUTE(A1062,"zzz",H1062)&amp;""""&amp;","</f>
        <v>"https://www.zeldadungeon.net/maps/totk/tiles/sky/6/24_14.jpg",</v>
      </c>
      <c r="H1062" t="str">
        <f>QUOTIENT(ROW(A1062),48)+2&amp;"_"&amp;MOD(ROW(A1062),48)+8</f>
        <v>24_14</v>
      </c>
    </row>
    <row r="1063" spans="1:8" x14ac:dyDescent="0.2">
      <c r="A1063" s="9" t="s">
        <v>51</v>
      </c>
      <c r="C1063" t="str">
        <f>""""&amp;SUBSTITUTE(A1063,"zzz",H1063)&amp;""""&amp;","</f>
        <v>"https://www.zeldadungeon.net/maps/totk/tiles/sky/6/24_15.jpg",</v>
      </c>
      <c r="H1063" t="str">
        <f>QUOTIENT(ROW(A1063),48)+2&amp;"_"&amp;MOD(ROW(A1063),48)+8</f>
        <v>24_15</v>
      </c>
    </row>
    <row r="1064" spans="1:8" x14ac:dyDescent="0.2">
      <c r="A1064" s="9" t="s">
        <v>51</v>
      </c>
      <c r="C1064" t="str">
        <f>""""&amp;SUBSTITUTE(A1064,"zzz",H1064)&amp;""""&amp;","</f>
        <v>"https://www.zeldadungeon.net/maps/totk/tiles/sky/6/24_16.jpg",</v>
      </c>
      <c r="H1064" t="str">
        <f>QUOTIENT(ROW(A1064),48)+2&amp;"_"&amp;MOD(ROW(A1064),48)+8</f>
        <v>24_16</v>
      </c>
    </row>
    <row r="1065" spans="1:8" x14ac:dyDescent="0.2">
      <c r="A1065" s="9" t="s">
        <v>51</v>
      </c>
      <c r="C1065" t="str">
        <f>""""&amp;SUBSTITUTE(A1065,"zzz",H1065)&amp;""""&amp;","</f>
        <v>"https://www.zeldadungeon.net/maps/totk/tiles/sky/6/24_17.jpg",</v>
      </c>
      <c r="H1065" t="str">
        <f>QUOTIENT(ROW(A1065),48)+2&amp;"_"&amp;MOD(ROW(A1065),48)+8</f>
        <v>24_17</v>
      </c>
    </row>
    <row r="1066" spans="1:8" x14ac:dyDescent="0.2">
      <c r="A1066" s="9" t="s">
        <v>51</v>
      </c>
      <c r="C1066" t="str">
        <f>""""&amp;SUBSTITUTE(A1066,"zzz",H1066)&amp;""""&amp;","</f>
        <v>"https://www.zeldadungeon.net/maps/totk/tiles/sky/6/24_18.jpg",</v>
      </c>
      <c r="H1066" t="str">
        <f>QUOTIENT(ROW(A1066),48)+2&amp;"_"&amp;MOD(ROW(A1066),48)+8</f>
        <v>24_18</v>
      </c>
    </row>
    <row r="1067" spans="1:8" x14ac:dyDescent="0.2">
      <c r="A1067" s="9" t="s">
        <v>51</v>
      </c>
      <c r="C1067" t="str">
        <f>""""&amp;SUBSTITUTE(A1067,"zzz",H1067)&amp;""""&amp;","</f>
        <v>"https://www.zeldadungeon.net/maps/totk/tiles/sky/6/24_19.jpg",</v>
      </c>
      <c r="H1067" t="str">
        <f>QUOTIENT(ROW(A1067),48)+2&amp;"_"&amp;MOD(ROW(A1067),48)+8</f>
        <v>24_19</v>
      </c>
    </row>
    <row r="1068" spans="1:8" x14ac:dyDescent="0.2">
      <c r="A1068" s="9" t="s">
        <v>51</v>
      </c>
      <c r="C1068" t="str">
        <f>""""&amp;SUBSTITUTE(A1068,"zzz",H1068)&amp;""""&amp;","</f>
        <v>"https://www.zeldadungeon.net/maps/totk/tiles/sky/6/24_20.jpg",</v>
      </c>
      <c r="H1068" t="str">
        <f>QUOTIENT(ROW(A1068),48)+2&amp;"_"&amp;MOD(ROW(A1068),48)+8</f>
        <v>24_20</v>
      </c>
    </row>
    <row r="1069" spans="1:8" x14ac:dyDescent="0.2">
      <c r="A1069" s="9" t="s">
        <v>51</v>
      </c>
      <c r="C1069" t="str">
        <f>""""&amp;SUBSTITUTE(A1069,"zzz",H1069)&amp;""""&amp;","</f>
        <v>"https://www.zeldadungeon.net/maps/totk/tiles/sky/6/24_21.jpg",</v>
      </c>
      <c r="H1069" t="str">
        <f>QUOTIENT(ROW(A1069),48)+2&amp;"_"&amp;MOD(ROW(A1069),48)+8</f>
        <v>24_21</v>
      </c>
    </row>
    <row r="1070" spans="1:8" x14ac:dyDescent="0.2">
      <c r="A1070" s="9" t="s">
        <v>51</v>
      </c>
      <c r="C1070" t="str">
        <f>""""&amp;SUBSTITUTE(A1070,"zzz",H1070)&amp;""""&amp;","</f>
        <v>"https://www.zeldadungeon.net/maps/totk/tiles/sky/6/24_22.jpg",</v>
      </c>
      <c r="H1070" t="str">
        <f>QUOTIENT(ROW(A1070),48)+2&amp;"_"&amp;MOD(ROW(A1070),48)+8</f>
        <v>24_22</v>
      </c>
    </row>
    <row r="1071" spans="1:8" x14ac:dyDescent="0.2">
      <c r="A1071" s="9" t="s">
        <v>51</v>
      </c>
      <c r="C1071" t="str">
        <f>""""&amp;SUBSTITUTE(A1071,"zzz",H1071)&amp;""""&amp;","</f>
        <v>"https://www.zeldadungeon.net/maps/totk/tiles/sky/6/24_23.jpg",</v>
      </c>
      <c r="H1071" t="str">
        <f>QUOTIENT(ROW(A1071),48)+2&amp;"_"&amp;MOD(ROW(A1071),48)+8</f>
        <v>24_23</v>
      </c>
    </row>
    <row r="1072" spans="1:8" x14ac:dyDescent="0.2">
      <c r="A1072" s="9" t="s">
        <v>51</v>
      </c>
      <c r="C1072" t="str">
        <f>""""&amp;SUBSTITUTE(A1072,"zzz",H1072)&amp;""""&amp;","</f>
        <v>"https://www.zeldadungeon.net/maps/totk/tiles/sky/6/24_24.jpg",</v>
      </c>
      <c r="H1072" t="str">
        <f>QUOTIENT(ROW(A1072),48)+2&amp;"_"&amp;MOD(ROW(A1072),48)+8</f>
        <v>24_24</v>
      </c>
    </row>
    <row r="1073" spans="1:8" x14ac:dyDescent="0.2">
      <c r="A1073" s="9" t="s">
        <v>51</v>
      </c>
      <c r="C1073" t="str">
        <f>""""&amp;SUBSTITUTE(A1073,"zzz",H1073)&amp;""""&amp;","</f>
        <v>"https://www.zeldadungeon.net/maps/totk/tiles/sky/6/24_25.jpg",</v>
      </c>
      <c r="H1073" t="str">
        <f>QUOTIENT(ROW(A1073),48)+2&amp;"_"&amp;MOD(ROW(A1073),48)+8</f>
        <v>24_25</v>
      </c>
    </row>
    <row r="1074" spans="1:8" x14ac:dyDescent="0.2">
      <c r="A1074" s="9" t="s">
        <v>51</v>
      </c>
      <c r="C1074" t="str">
        <f>""""&amp;SUBSTITUTE(A1074,"zzz",H1074)&amp;""""&amp;","</f>
        <v>"https://www.zeldadungeon.net/maps/totk/tiles/sky/6/24_26.jpg",</v>
      </c>
      <c r="H1074" t="str">
        <f>QUOTIENT(ROW(A1074),48)+2&amp;"_"&amp;MOD(ROW(A1074),48)+8</f>
        <v>24_26</v>
      </c>
    </row>
    <row r="1075" spans="1:8" x14ac:dyDescent="0.2">
      <c r="A1075" s="9" t="s">
        <v>51</v>
      </c>
      <c r="C1075" t="str">
        <f>""""&amp;SUBSTITUTE(A1075,"zzz",H1075)&amp;""""&amp;","</f>
        <v>"https://www.zeldadungeon.net/maps/totk/tiles/sky/6/24_27.jpg",</v>
      </c>
      <c r="H1075" t="str">
        <f>QUOTIENT(ROW(A1075),48)+2&amp;"_"&amp;MOD(ROW(A1075),48)+8</f>
        <v>24_27</v>
      </c>
    </row>
    <row r="1076" spans="1:8" x14ac:dyDescent="0.2">
      <c r="A1076" s="9" t="s">
        <v>51</v>
      </c>
      <c r="C1076" t="str">
        <f>""""&amp;SUBSTITUTE(A1076,"zzz",H1076)&amp;""""&amp;","</f>
        <v>"https://www.zeldadungeon.net/maps/totk/tiles/sky/6/24_28.jpg",</v>
      </c>
      <c r="H1076" t="str">
        <f>QUOTIENT(ROW(A1076),48)+2&amp;"_"&amp;MOD(ROW(A1076),48)+8</f>
        <v>24_28</v>
      </c>
    </row>
    <row r="1077" spans="1:8" x14ac:dyDescent="0.2">
      <c r="A1077" s="9" t="s">
        <v>51</v>
      </c>
      <c r="C1077" t="str">
        <f>""""&amp;SUBSTITUTE(A1077,"zzz",H1077)&amp;""""&amp;","</f>
        <v>"https://www.zeldadungeon.net/maps/totk/tiles/sky/6/24_29.jpg",</v>
      </c>
      <c r="H1077" t="str">
        <f>QUOTIENT(ROW(A1077),48)+2&amp;"_"&amp;MOD(ROW(A1077),48)+8</f>
        <v>24_29</v>
      </c>
    </row>
    <row r="1078" spans="1:8" x14ac:dyDescent="0.2">
      <c r="A1078" s="9" t="s">
        <v>51</v>
      </c>
      <c r="C1078" t="str">
        <f>""""&amp;SUBSTITUTE(A1078,"zzz",H1078)&amp;""""&amp;","</f>
        <v>"https://www.zeldadungeon.net/maps/totk/tiles/sky/6/24_30.jpg",</v>
      </c>
      <c r="H1078" t="str">
        <f>QUOTIENT(ROW(A1078),48)+2&amp;"_"&amp;MOD(ROW(A1078),48)+8</f>
        <v>24_30</v>
      </c>
    </row>
    <row r="1079" spans="1:8" x14ac:dyDescent="0.2">
      <c r="A1079" s="9" t="s">
        <v>51</v>
      </c>
      <c r="C1079" t="str">
        <f>""""&amp;SUBSTITUTE(A1079,"zzz",H1079)&amp;""""&amp;","</f>
        <v>"https://www.zeldadungeon.net/maps/totk/tiles/sky/6/24_31.jpg",</v>
      </c>
      <c r="H1079" t="str">
        <f>QUOTIENT(ROW(A1079),48)+2&amp;"_"&amp;MOD(ROW(A1079),48)+8</f>
        <v>24_31</v>
      </c>
    </row>
    <row r="1080" spans="1:8" x14ac:dyDescent="0.2">
      <c r="A1080" s="9" t="s">
        <v>51</v>
      </c>
      <c r="C1080" t="str">
        <f>""""&amp;SUBSTITUTE(A1080,"zzz",H1080)&amp;""""&amp;","</f>
        <v>"https://www.zeldadungeon.net/maps/totk/tiles/sky/6/24_32.jpg",</v>
      </c>
      <c r="H1080" t="str">
        <f>QUOTIENT(ROW(A1080),48)+2&amp;"_"&amp;MOD(ROW(A1080),48)+8</f>
        <v>24_32</v>
      </c>
    </row>
    <row r="1081" spans="1:8" x14ac:dyDescent="0.2">
      <c r="A1081" s="9" t="s">
        <v>51</v>
      </c>
      <c r="C1081" t="str">
        <f>""""&amp;SUBSTITUTE(A1081,"zzz",H1081)&amp;""""&amp;","</f>
        <v>"https://www.zeldadungeon.net/maps/totk/tiles/sky/6/24_33.jpg",</v>
      </c>
      <c r="H1081" t="str">
        <f>QUOTIENT(ROW(A1081),48)+2&amp;"_"&amp;MOD(ROW(A1081),48)+8</f>
        <v>24_33</v>
      </c>
    </row>
    <row r="1082" spans="1:8" x14ac:dyDescent="0.2">
      <c r="A1082" s="9" t="s">
        <v>51</v>
      </c>
      <c r="C1082" t="str">
        <f>""""&amp;SUBSTITUTE(A1082,"zzz",H1082)&amp;""""&amp;","</f>
        <v>"https://www.zeldadungeon.net/maps/totk/tiles/sky/6/24_34.jpg",</v>
      </c>
      <c r="H1082" t="str">
        <f>QUOTIENT(ROW(A1082),48)+2&amp;"_"&amp;MOD(ROW(A1082),48)+8</f>
        <v>24_34</v>
      </c>
    </row>
    <row r="1083" spans="1:8" x14ac:dyDescent="0.2">
      <c r="A1083" s="9" t="s">
        <v>51</v>
      </c>
      <c r="C1083" t="str">
        <f>""""&amp;SUBSTITUTE(A1083,"zzz",H1083)&amp;""""&amp;","</f>
        <v>"https://www.zeldadungeon.net/maps/totk/tiles/sky/6/24_35.jpg",</v>
      </c>
      <c r="H1083" t="str">
        <f>QUOTIENT(ROW(A1083),48)+2&amp;"_"&amp;MOD(ROW(A1083),48)+8</f>
        <v>24_35</v>
      </c>
    </row>
    <row r="1084" spans="1:8" x14ac:dyDescent="0.2">
      <c r="A1084" s="9" t="s">
        <v>51</v>
      </c>
      <c r="C1084" t="str">
        <f>""""&amp;SUBSTITUTE(A1084,"zzz",H1084)&amp;""""&amp;","</f>
        <v>"https://www.zeldadungeon.net/maps/totk/tiles/sky/6/24_36.jpg",</v>
      </c>
      <c r="H1084" t="str">
        <f>QUOTIENT(ROW(A1084),48)+2&amp;"_"&amp;MOD(ROW(A1084),48)+8</f>
        <v>24_36</v>
      </c>
    </row>
    <row r="1085" spans="1:8" x14ac:dyDescent="0.2">
      <c r="A1085" s="9" t="s">
        <v>51</v>
      </c>
      <c r="C1085" t="str">
        <f>""""&amp;SUBSTITUTE(A1085,"zzz",H1085)&amp;""""&amp;","</f>
        <v>"https://www.zeldadungeon.net/maps/totk/tiles/sky/6/24_37.jpg",</v>
      </c>
      <c r="H1085" t="str">
        <f>QUOTIENT(ROW(A1085),48)+2&amp;"_"&amp;MOD(ROW(A1085),48)+8</f>
        <v>24_37</v>
      </c>
    </row>
    <row r="1086" spans="1:8" x14ac:dyDescent="0.2">
      <c r="A1086" s="9" t="s">
        <v>51</v>
      </c>
      <c r="C1086" t="str">
        <f>""""&amp;SUBSTITUTE(A1086,"zzz",H1086)&amp;""""&amp;","</f>
        <v>"https://www.zeldadungeon.net/maps/totk/tiles/sky/6/24_38.jpg",</v>
      </c>
      <c r="H1086" t="str">
        <f>QUOTIENT(ROW(A1086),48)+2&amp;"_"&amp;MOD(ROW(A1086),48)+8</f>
        <v>24_38</v>
      </c>
    </row>
    <row r="1087" spans="1:8" x14ac:dyDescent="0.2">
      <c r="A1087" s="9" t="s">
        <v>51</v>
      </c>
      <c r="C1087" t="str">
        <f>""""&amp;SUBSTITUTE(A1087,"zzz",H1087)&amp;""""&amp;","</f>
        <v>"https://www.zeldadungeon.net/maps/totk/tiles/sky/6/24_39.jpg",</v>
      </c>
      <c r="H1087" t="str">
        <f>QUOTIENT(ROW(A1087),48)+2&amp;"_"&amp;MOD(ROW(A1087),48)+8</f>
        <v>24_39</v>
      </c>
    </row>
    <row r="1088" spans="1:8" x14ac:dyDescent="0.2">
      <c r="A1088" s="9" t="s">
        <v>51</v>
      </c>
      <c r="C1088" t="str">
        <f>""""&amp;SUBSTITUTE(A1088,"zzz",H1088)&amp;""""&amp;","</f>
        <v>"https://www.zeldadungeon.net/maps/totk/tiles/sky/6/24_40.jpg",</v>
      </c>
      <c r="H1088" t="str">
        <f>QUOTIENT(ROW(A1088),48)+2&amp;"_"&amp;MOD(ROW(A1088),48)+8</f>
        <v>24_40</v>
      </c>
    </row>
    <row r="1089" spans="1:8" x14ac:dyDescent="0.2">
      <c r="A1089" s="9" t="s">
        <v>51</v>
      </c>
      <c r="C1089" t="str">
        <f>""""&amp;SUBSTITUTE(A1089,"zzz",H1089)&amp;""""&amp;","</f>
        <v>"https://www.zeldadungeon.net/maps/totk/tiles/sky/6/24_41.jpg",</v>
      </c>
      <c r="H1089" t="str">
        <f>QUOTIENT(ROW(A1089),48)+2&amp;"_"&amp;MOD(ROW(A1089),48)+8</f>
        <v>24_41</v>
      </c>
    </row>
    <row r="1090" spans="1:8" x14ac:dyDescent="0.2">
      <c r="A1090" s="9" t="s">
        <v>51</v>
      </c>
      <c r="C1090" t="str">
        <f>""""&amp;SUBSTITUTE(A1090,"zzz",H1090)&amp;""""&amp;","</f>
        <v>"https://www.zeldadungeon.net/maps/totk/tiles/sky/6/24_42.jpg",</v>
      </c>
      <c r="H1090" t="str">
        <f>QUOTIENT(ROW(A1090),48)+2&amp;"_"&amp;MOD(ROW(A1090),48)+8</f>
        <v>24_42</v>
      </c>
    </row>
    <row r="1091" spans="1:8" x14ac:dyDescent="0.2">
      <c r="A1091" s="9" t="s">
        <v>51</v>
      </c>
      <c r="C1091" t="str">
        <f>""""&amp;SUBSTITUTE(A1091,"zzz",H1091)&amp;""""&amp;","</f>
        <v>"https://www.zeldadungeon.net/maps/totk/tiles/sky/6/24_43.jpg",</v>
      </c>
      <c r="H1091" t="str">
        <f>QUOTIENT(ROW(A1091),48)+2&amp;"_"&amp;MOD(ROW(A1091),48)+8</f>
        <v>24_43</v>
      </c>
    </row>
    <row r="1092" spans="1:8" x14ac:dyDescent="0.2">
      <c r="A1092" s="9" t="s">
        <v>51</v>
      </c>
      <c r="C1092" t="str">
        <f>""""&amp;SUBSTITUTE(A1092,"zzz",H1092)&amp;""""&amp;","</f>
        <v>"https://www.zeldadungeon.net/maps/totk/tiles/sky/6/24_44.jpg",</v>
      </c>
      <c r="H1092" t="str">
        <f>QUOTIENT(ROW(A1092),48)+2&amp;"_"&amp;MOD(ROW(A1092),48)+8</f>
        <v>24_44</v>
      </c>
    </row>
    <row r="1093" spans="1:8" x14ac:dyDescent="0.2">
      <c r="A1093" s="9" t="s">
        <v>51</v>
      </c>
      <c r="C1093" t="str">
        <f>""""&amp;SUBSTITUTE(A1093,"zzz",H1093)&amp;""""&amp;","</f>
        <v>"https://www.zeldadungeon.net/maps/totk/tiles/sky/6/24_45.jpg",</v>
      </c>
      <c r="H1093" t="str">
        <f>QUOTIENT(ROW(A1093),48)+2&amp;"_"&amp;MOD(ROW(A1093),48)+8</f>
        <v>24_45</v>
      </c>
    </row>
    <row r="1094" spans="1:8" x14ac:dyDescent="0.2">
      <c r="A1094" s="9" t="s">
        <v>51</v>
      </c>
      <c r="C1094" t="str">
        <f>""""&amp;SUBSTITUTE(A1094,"zzz",H1094)&amp;""""&amp;","</f>
        <v>"https://www.zeldadungeon.net/maps/totk/tiles/sky/6/24_46.jpg",</v>
      </c>
      <c r="H1094" t="str">
        <f>QUOTIENT(ROW(A1094),48)+2&amp;"_"&amp;MOD(ROW(A1094),48)+8</f>
        <v>24_46</v>
      </c>
    </row>
    <row r="1095" spans="1:8" x14ac:dyDescent="0.2">
      <c r="A1095" s="9" t="s">
        <v>51</v>
      </c>
      <c r="C1095" t="str">
        <f>""""&amp;SUBSTITUTE(A1095,"zzz",H1095)&amp;""""&amp;","</f>
        <v>"https://www.zeldadungeon.net/maps/totk/tiles/sky/6/24_47.jpg",</v>
      </c>
      <c r="H1095" t="str">
        <f>QUOTIENT(ROW(A1095),48)+2&amp;"_"&amp;MOD(ROW(A1095),48)+8</f>
        <v>24_47</v>
      </c>
    </row>
    <row r="1096" spans="1:8" x14ac:dyDescent="0.2">
      <c r="A1096" s="9" t="s">
        <v>51</v>
      </c>
      <c r="C1096" t="str">
        <f>""""&amp;SUBSTITUTE(A1096,"zzz",H1096)&amp;""""&amp;","</f>
        <v>"https://www.zeldadungeon.net/maps/totk/tiles/sky/6/24_48.jpg",</v>
      </c>
      <c r="H1096" t="str">
        <f>QUOTIENT(ROW(A1096),48)+2&amp;"_"&amp;MOD(ROW(A1096),48)+8</f>
        <v>24_48</v>
      </c>
    </row>
    <row r="1097" spans="1:8" x14ac:dyDescent="0.2">
      <c r="A1097" s="9" t="s">
        <v>51</v>
      </c>
      <c r="C1097" t="str">
        <f>""""&amp;SUBSTITUTE(A1097,"zzz",H1097)&amp;""""&amp;","</f>
        <v>"https://www.zeldadungeon.net/maps/totk/tiles/sky/6/24_49.jpg",</v>
      </c>
      <c r="H1097" t="str">
        <f>QUOTIENT(ROW(A1097),48)+2&amp;"_"&amp;MOD(ROW(A1097),48)+8</f>
        <v>24_49</v>
      </c>
    </row>
    <row r="1098" spans="1:8" x14ac:dyDescent="0.2">
      <c r="A1098" s="9" t="s">
        <v>51</v>
      </c>
      <c r="C1098" t="str">
        <f>""""&amp;SUBSTITUTE(A1098,"zzz",H1098)&amp;""""&amp;","</f>
        <v>"https://www.zeldadungeon.net/maps/totk/tiles/sky/6/24_50.jpg",</v>
      </c>
      <c r="H1098" t="str">
        <f>QUOTIENT(ROW(A1098),48)+2&amp;"_"&amp;MOD(ROW(A1098),48)+8</f>
        <v>24_50</v>
      </c>
    </row>
    <row r="1099" spans="1:8" x14ac:dyDescent="0.2">
      <c r="A1099" s="9" t="s">
        <v>51</v>
      </c>
      <c r="C1099" t="str">
        <f>""""&amp;SUBSTITUTE(A1099,"zzz",H1099)&amp;""""&amp;","</f>
        <v>"https://www.zeldadungeon.net/maps/totk/tiles/sky/6/24_51.jpg",</v>
      </c>
      <c r="H1099" t="str">
        <f>QUOTIENT(ROW(A1099),48)+2&amp;"_"&amp;MOD(ROW(A1099),48)+8</f>
        <v>24_51</v>
      </c>
    </row>
    <row r="1100" spans="1:8" x14ac:dyDescent="0.2">
      <c r="A1100" s="9" t="s">
        <v>51</v>
      </c>
      <c r="C1100" t="str">
        <f>""""&amp;SUBSTITUTE(A1100,"zzz",H1100)&amp;""""&amp;","</f>
        <v>"https://www.zeldadungeon.net/maps/totk/tiles/sky/6/24_52.jpg",</v>
      </c>
      <c r="H1100" t="str">
        <f>QUOTIENT(ROW(A1100),48)+2&amp;"_"&amp;MOD(ROW(A1100),48)+8</f>
        <v>24_52</v>
      </c>
    </row>
    <row r="1101" spans="1:8" x14ac:dyDescent="0.2">
      <c r="A1101" s="9" t="s">
        <v>51</v>
      </c>
      <c r="C1101" t="str">
        <f>""""&amp;SUBSTITUTE(A1101,"zzz",H1101)&amp;""""&amp;","</f>
        <v>"https://www.zeldadungeon.net/maps/totk/tiles/sky/6/24_53.jpg",</v>
      </c>
      <c r="H1101" t="str">
        <f>QUOTIENT(ROW(A1101),48)+2&amp;"_"&amp;MOD(ROW(A1101),48)+8</f>
        <v>24_53</v>
      </c>
    </row>
    <row r="1102" spans="1:8" x14ac:dyDescent="0.2">
      <c r="A1102" s="9" t="s">
        <v>51</v>
      </c>
      <c r="C1102" t="str">
        <f>""""&amp;SUBSTITUTE(A1102,"zzz",H1102)&amp;""""&amp;","</f>
        <v>"https://www.zeldadungeon.net/maps/totk/tiles/sky/6/24_54.jpg",</v>
      </c>
      <c r="H1102" t="str">
        <f>QUOTIENT(ROW(A1102),48)+2&amp;"_"&amp;MOD(ROW(A1102),48)+8</f>
        <v>24_54</v>
      </c>
    </row>
    <row r="1103" spans="1:8" x14ac:dyDescent="0.2">
      <c r="A1103" s="9" t="s">
        <v>51</v>
      </c>
      <c r="C1103" t="str">
        <f>""""&amp;SUBSTITUTE(A1103,"zzz",H1103)&amp;""""&amp;","</f>
        <v>"https://www.zeldadungeon.net/maps/totk/tiles/sky/6/24_55.jpg",</v>
      </c>
      <c r="H1103" t="str">
        <f>QUOTIENT(ROW(A1103),48)+2&amp;"_"&amp;MOD(ROW(A1103),48)+8</f>
        <v>24_55</v>
      </c>
    </row>
    <row r="1104" spans="1:8" x14ac:dyDescent="0.2">
      <c r="A1104" s="9" t="s">
        <v>51</v>
      </c>
      <c r="C1104" t="str">
        <f>""""&amp;SUBSTITUTE(A1104,"zzz",H1104)&amp;""""&amp;","</f>
        <v>"https://www.zeldadungeon.net/maps/totk/tiles/sky/6/25_8.jpg",</v>
      </c>
      <c r="H1104" t="str">
        <f>QUOTIENT(ROW(A1104),48)+2&amp;"_"&amp;MOD(ROW(A1104),48)+8</f>
        <v>25_8</v>
      </c>
    </row>
    <row r="1105" spans="1:8" x14ac:dyDescent="0.2">
      <c r="A1105" s="9" t="s">
        <v>51</v>
      </c>
      <c r="C1105" t="str">
        <f>""""&amp;SUBSTITUTE(A1105,"zzz",H1105)&amp;""""&amp;","</f>
        <v>"https://www.zeldadungeon.net/maps/totk/tiles/sky/6/25_9.jpg",</v>
      </c>
      <c r="H1105" t="str">
        <f>QUOTIENT(ROW(A1105),48)+2&amp;"_"&amp;MOD(ROW(A1105),48)+8</f>
        <v>25_9</v>
      </c>
    </row>
    <row r="1106" spans="1:8" x14ac:dyDescent="0.2">
      <c r="A1106" s="9" t="s">
        <v>51</v>
      </c>
      <c r="C1106" t="str">
        <f>""""&amp;SUBSTITUTE(A1106,"zzz",H1106)&amp;""""&amp;","</f>
        <v>"https://www.zeldadungeon.net/maps/totk/tiles/sky/6/25_10.jpg",</v>
      </c>
      <c r="H1106" t="str">
        <f>QUOTIENT(ROW(A1106),48)+2&amp;"_"&amp;MOD(ROW(A1106),48)+8</f>
        <v>25_10</v>
      </c>
    </row>
    <row r="1107" spans="1:8" x14ac:dyDescent="0.2">
      <c r="A1107" s="9" t="s">
        <v>51</v>
      </c>
      <c r="C1107" t="str">
        <f>""""&amp;SUBSTITUTE(A1107,"zzz",H1107)&amp;""""&amp;","</f>
        <v>"https://www.zeldadungeon.net/maps/totk/tiles/sky/6/25_11.jpg",</v>
      </c>
      <c r="H1107" t="str">
        <f>QUOTIENT(ROW(A1107),48)+2&amp;"_"&amp;MOD(ROW(A1107),48)+8</f>
        <v>25_11</v>
      </c>
    </row>
    <row r="1108" spans="1:8" x14ac:dyDescent="0.2">
      <c r="A1108" s="9" t="s">
        <v>51</v>
      </c>
      <c r="C1108" t="str">
        <f>""""&amp;SUBSTITUTE(A1108,"zzz",H1108)&amp;""""&amp;","</f>
        <v>"https://www.zeldadungeon.net/maps/totk/tiles/sky/6/25_12.jpg",</v>
      </c>
      <c r="H1108" t="str">
        <f>QUOTIENT(ROW(A1108),48)+2&amp;"_"&amp;MOD(ROW(A1108),48)+8</f>
        <v>25_12</v>
      </c>
    </row>
    <row r="1109" spans="1:8" x14ac:dyDescent="0.2">
      <c r="A1109" s="9" t="s">
        <v>51</v>
      </c>
      <c r="C1109" t="str">
        <f>""""&amp;SUBSTITUTE(A1109,"zzz",H1109)&amp;""""&amp;","</f>
        <v>"https://www.zeldadungeon.net/maps/totk/tiles/sky/6/25_13.jpg",</v>
      </c>
      <c r="H1109" t="str">
        <f>QUOTIENT(ROW(A1109),48)+2&amp;"_"&amp;MOD(ROW(A1109),48)+8</f>
        <v>25_13</v>
      </c>
    </row>
    <row r="1110" spans="1:8" x14ac:dyDescent="0.2">
      <c r="A1110" s="9" t="s">
        <v>51</v>
      </c>
      <c r="C1110" t="str">
        <f>""""&amp;SUBSTITUTE(A1110,"zzz",H1110)&amp;""""&amp;","</f>
        <v>"https://www.zeldadungeon.net/maps/totk/tiles/sky/6/25_14.jpg",</v>
      </c>
      <c r="H1110" t="str">
        <f>QUOTIENT(ROW(A1110),48)+2&amp;"_"&amp;MOD(ROW(A1110),48)+8</f>
        <v>25_14</v>
      </c>
    </row>
    <row r="1111" spans="1:8" x14ac:dyDescent="0.2">
      <c r="A1111" s="9" t="s">
        <v>51</v>
      </c>
      <c r="C1111" t="str">
        <f>""""&amp;SUBSTITUTE(A1111,"zzz",H1111)&amp;""""&amp;","</f>
        <v>"https://www.zeldadungeon.net/maps/totk/tiles/sky/6/25_15.jpg",</v>
      </c>
      <c r="H1111" t="str">
        <f>QUOTIENT(ROW(A1111),48)+2&amp;"_"&amp;MOD(ROW(A1111),48)+8</f>
        <v>25_15</v>
      </c>
    </row>
    <row r="1112" spans="1:8" x14ac:dyDescent="0.2">
      <c r="A1112" s="9" t="s">
        <v>51</v>
      </c>
      <c r="C1112" t="str">
        <f>""""&amp;SUBSTITUTE(A1112,"zzz",H1112)&amp;""""&amp;","</f>
        <v>"https://www.zeldadungeon.net/maps/totk/tiles/sky/6/25_16.jpg",</v>
      </c>
      <c r="H1112" t="str">
        <f>QUOTIENT(ROW(A1112),48)+2&amp;"_"&amp;MOD(ROW(A1112),48)+8</f>
        <v>25_16</v>
      </c>
    </row>
    <row r="1113" spans="1:8" x14ac:dyDescent="0.2">
      <c r="A1113" s="9" t="s">
        <v>51</v>
      </c>
      <c r="C1113" t="str">
        <f>""""&amp;SUBSTITUTE(A1113,"zzz",H1113)&amp;""""&amp;","</f>
        <v>"https://www.zeldadungeon.net/maps/totk/tiles/sky/6/25_17.jpg",</v>
      </c>
      <c r="H1113" t="str">
        <f>QUOTIENT(ROW(A1113),48)+2&amp;"_"&amp;MOD(ROW(A1113),48)+8</f>
        <v>25_17</v>
      </c>
    </row>
    <row r="1114" spans="1:8" x14ac:dyDescent="0.2">
      <c r="A1114" s="9" t="s">
        <v>51</v>
      </c>
      <c r="C1114" t="str">
        <f>""""&amp;SUBSTITUTE(A1114,"zzz",H1114)&amp;""""&amp;","</f>
        <v>"https://www.zeldadungeon.net/maps/totk/tiles/sky/6/25_18.jpg",</v>
      </c>
      <c r="H1114" t="str">
        <f>QUOTIENT(ROW(A1114),48)+2&amp;"_"&amp;MOD(ROW(A1114),48)+8</f>
        <v>25_18</v>
      </c>
    </row>
    <row r="1115" spans="1:8" x14ac:dyDescent="0.2">
      <c r="A1115" s="9" t="s">
        <v>51</v>
      </c>
      <c r="C1115" t="str">
        <f>""""&amp;SUBSTITUTE(A1115,"zzz",H1115)&amp;""""&amp;","</f>
        <v>"https://www.zeldadungeon.net/maps/totk/tiles/sky/6/25_19.jpg",</v>
      </c>
      <c r="H1115" t="str">
        <f>QUOTIENT(ROW(A1115),48)+2&amp;"_"&amp;MOD(ROW(A1115),48)+8</f>
        <v>25_19</v>
      </c>
    </row>
    <row r="1116" spans="1:8" x14ac:dyDescent="0.2">
      <c r="A1116" s="9" t="s">
        <v>51</v>
      </c>
      <c r="C1116" t="str">
        <f>""""&amp;SUBSTITUTE(A1116,"zzz",H1116)&amp;""""&amp;","</f>
        <v>"https://www.zeldadungeon.net/maps/totk/tiles/sky/6/25_20.jpg",</v>
      </c>
      <c r="H1116" t="str">
        <f>QUOTIENT(ROW(A1116),48)+2&amp;"_"&amp;MOD(ROW(A1116),48)+8</f>
        <v>25_20</v>
      </c>
    </row>
    <row r="1117" spans="1:8" x14ac:dyDescent="0.2">
      <c r="A1117" s="9" t="s">
        <v>51</v>
      </c>
      <c r="C1117" t="str">
        <f>""""&amp;SUBSTITUTE(A1117,"zzz",H1117)&amp;""""&amp;","</f>
        <v>"https://www.zeldadungeon.net/maps/totk/tiles/sky/6/25_21.jpg",</v>
      </c>
      <c r="H1117" t="str">
        <f>QUOTIENT(ROW(A1117),48)+2&amp;"_"&amp;MOD(ROW(A1117),48)+8</f>
        <v>25_21</v>
      </c>
    </row>
    <row r="1118" spans="1:8" x14ac:dyDescent="0.2">
      <c r="A1118" s="9" t="s">
        <v>51</v>
      </c>
      <c r="C1118" t="str">
        <f>""""&amp;SUBSTITUTE(A1118,"zzz",H1118)&amp;""""&amp;","</f>
        <v>"https://www.zeldadungeon.net/maps/totk/tiles/sky/6/25_22.jpg",</v>
      </c>
      <c r="H1118" t="str">
        <f>QUOTIENT(ROW(A1118),48)+2&amp;"_"&amp;MOD(ROW(A1118),48)+8</f>
        <v>25_22</v>
      </c>
    </row>
    <row r="1119" spans="1:8" x14ac:dyDescent="0.2">
      <c r="A1119" s="9" t="s">
        <v>51</v>
      </c>
      <c r="C1119" t="str">
        <f>""""&amp;SUBSTITUTE(A1119,"zzz",H1119)&amp;""""&amp;","</f>
        <v>"https://www.zeldadungeon.net/maps/totk/tiles/sky/6/25_23.jpg",</v>
      </c>
      <c r="H1119" t="str">
        <f>QUOTIENT(ROW(A1119),48)+2&amp;"_"&amp;MOD(ROW(A1119),48)+8</f>
        <v>25_23</v>
      </c>
    </row>
    <row r="1120" spans="1:8" x14ac:dyDescent="0.2">
      <c r="A1120" s="9" t="s">
        <v>51</v>
      </c>
      <c r="C1120" t="str">
        <f>""""&amp;SUBSTITUTE(A1120,"zzz",H1120)&amp;""""&amp;","</f>
        <v>"https://www.zeldadungeon.net/maps/totk/tiles/sky/6/25_24.jpg",</v>
      </c>
      <c r="H1120" t="str">
        <f>QUOTIENT(ROW(A1120),48)+2&amp;"_"&amp;MOD(ROW(A1120),48)+8</f>
        <v>25_24</v>
      </c>
    </row>
    <row r="1121" spans="1:8" x14ac:dyDescent="0.2">
      <c r="A1121" s="9" t="s">
        <v>51</v>
      </c>
      <c r="C1121" t="str">
        <f>""""&amp;SUBSTITUTE(A1121,"zzz",H1121)&amp;""""&amp;","</f>
        <v>"https://www.zeldadungeon.net/maps/totk/tiles/sky/6/25_25.jpg",</v>
      </c>
      <c r="H1121" t="str">
        <f>QUOTIENT(ROW(A1121),48)+2&amp;"_"&amp;MOD(ROW(A1121),48)+8</f>
        <v>25_25</v>
      </c>
    </row>
    <row r="1122" spans="1:8" x14ac:dyDescent="0.2">
      <c r="A1122" s="9" t="s">
        <v>51</v>
      </c>
      <c r="C1122" t="str">
        <f>""""&amp;SUBSTITUTE(A1122,"zzz",H1122)&amp;""""&amp;","</f>
        <v>"https://www.zeldadungeon.net/maps/totk/tiles/sky/6/25_26.jpg",</v>
      </c>
      <c r="H1122" t="str">
        <f>QUOTIENT(ROW(A1122),48)+2&amp;"_"&amp;MOD(ROW(A1122),48)+8</f>
        <v>25_26</v>
      </c>
    </row>
    <row r="1123" spans="1:8" x14ac:dyDescent="0.2">
      <c r="A1123" s="9" t="s">
        <v>51</v>
      </c>
      <c r="C1123" t="str">
        <f>""""&amp;SUBSTITUTE(A1123,"zzz",H1123)&amp;""""&amp;","</f>
        <v>"https://www.zeldadungeon.net/maps/totk/tiles/sky/6/25_27.jpg",</v>
      </c>
      <c r="H1123" t="str">
        <f>QUOTIENT(ROW(A1123),48)+2&amp;"_"&amp;MOD(ROW(A1123),48)+8</f>
        <v>25_27</v>
      </c>
    </row>
    <row r="1124" spans="1:8" x14ac:dyDescent="0.2">
      <c r="A1124" s="9" t="s">
        <v>51</v>
      </c>
      <c r="C1124" t="str">
        <f>""""&amp;SUBSTITUTE(A1124,"zzz",H1124)&amp;""""&amp;","</f>
        <v>"https://www.zeldadungeon.net/maps/totk/tiles/sky/6/25_28.jpg",</v>
      </c>
      <c r="H1124" t="str">
        <f>QUOTIENT(ROW(A1124),48)+2&amp;"_"&amp;MOD(ROW(A1124),48)+8</f>
        <v>25_28</v>
      </c>
    </row>
    <row r="1125" spans="1:8" x14ac:dyDescent="0.2">
      <c r="A1125" s="9" t="s">
        <v>51</v>
      </c>
      <c r="C1125" t="str">
        <f>""""&amp;SUBSTITUTE(A1125,"zzz",H1125)&amp;""""&amp;","</f>
        <v>"https://www.zeldadungeon.net/maps/totk/tiles/sky/6/25_29.jpg",</v>
      </c>
      <c r="H1125" t="str">
        <f>QUOTIENT(ROW(A1125),48)+2&amp;"_"&amp;MOD(ROW(A1125),48)+8</f>
        <v>25_29</v>
      </c>
    </row>
    <row r="1126" spans="1:8" x14ac:dyDescent="0.2">
      <c r="A1126" s="9" t="s">
        <v>51</v>
      </c>
      <c r="C1126" t="str">
        <f>""""&amp;SUBSTITUTE(A1126,"zzz",H1126)&amp;""""&amp;","</f>
        <v>"https://www.zeldadungeon.net/maps/totk/tiles/sky/6/25_30.jpg",</v>
      </c>
      <c r="H1126" t="str">
        <f>QUOTIENT(ROW(A1126),48)+2&amp;"_"&amp;MOD(ROW(A1126),48)+8</f>
        <v>25_30</v>
      </c>
    </row>
    <row r="1127" spans="1:8" x14ac:dyDescent="0.2">
      <c r="A1127" s="9" t="s">
        <v>51</v>
      </c>
      <c r="C1127" t="str">
        <f>""""&amp;SUBSTITUTE(A1127,"zzz",H1127)&amp;""""&amp;","</f>
        <v>"https://www.zeldadungeon.net/maps/totk/tiles/sky/6/25_31.jpg",</v>
      </c>
      <c r="H1127" t="str">
        <f>QUOTIENT(ROW(A1127),48)+2&amp;"_"&amp;MOD(ROW(A1127),48)+8</f>
        <v>25_31</v>
      </c>
    </row>
    <row r="1128" spans="1:8" x14ac:dyDescent="0.2">
      <c r="A1128" s="9" t="s">
        <v>51</v>
      </c>
      <c r="C1128" t="str">
        <f>""""&amp;SUBSTITUTE(A1128,"zzz",H1128)&amp;""""&amp;","</f>
        <v>"https://www.zeldadungeon.net/maps/totk/tiles/sky/6/25_32.jpg",</v>
      </c>
      <c r="H1128" t="str">
        <f>QUOTIENT(ROW(A1128),48)+2&amp;"_"&amp;MOD(ROW(A1128),48)+8</f>
        <v>25_32</v>
      </c>
    </row>
    <row r="1129" spans="1:8" x14ac:dyDescent="0.2">
      <c r="A1129" s="9" t="s">
        <v>51</v>
      </c>
      <c r="C1129" t="str">
        <f>""""&amp;SUBSTITUTE(A1129,"zzz",H1129)&amp;""""&amp;","</f>
        <v>"https://www.zeldadungeon.net/maps/totk/tiles/sky/6/25_33.jpg",</v>
      </c>
      <c r="H1129" t="str">
        <f>QUOTIENT(ROW(A1129),48)+2&amp;"_"&amp;MOD(ROW(A1129),48)+8</f>
        <v>25_33</v>
      </c>
    </row>
    <row r="1130" spans="1:8" x14ac:dyDescent="0.2">
      <c r="A1130" s="9" t="s">
        <v>51</v>
      </c>
      <c r="C1130" t="str">
        <f>""""&amp;SUBSTITUTE(A1130,"zzz",H1130)&amp;""""&amp;","</f>
        <v>"https://www.zeldadungeon.net/maps/totk/tiles/sky/6/25_34.jpg",</v>
      </c>
      <c r="H1130" t="str">
        <f>QUOTIENT(ROW(A1130),48)+2&amp;"_"&amp;MOD(ROW(A1130),48)+8</f>
        <v>25_34</v>
      </c>
    </row>
    <row r="1131" spans="1:8" x14ac:dyDescent="0.2">
      <c r="A1131" s="9" t="s">
        <v>51</v>
      </c>
      <c r="C1131" t="str">
        <f>""""&amp;SUBSTITUTE(A1131,"zzz",H1131)&amp;""""&amp;","</f>
        <v>"https://www.zeldadungeon.net/maps/totk/tiles/sky/6/25_35.jpg",</v>
      </c>
      <c r="H1131" t="str">
        <f>QUOTIENT(ROW(A1131),48)+2&amp;"_"&amp;MOD(ROW(A1131),48)+8</f>
        <v>25_35</v>
      </c>
    </row>
    <row r="1132" spans="1:8" x14ac:dyDescent="0.2">
      <c r="A1132" s="9" t="s">
        <v>51</v>
      </c>
      <c r="C1132" t="str">
        <f>""""&amp;SUBSTITUTE(A1132,"zzz",H1132)&amp;""""&amp;","</f>
        <v>"https://www.zeldadungeon.net/maps/totk/tiles/sky/6/25_36.jpg",</v>
      </c>
      <c r="H1132" t="str">
        <f>QUOTIENT(ROW(A1132),48)+2&amp;"_"&amp;MOD(ROW(A1132),48)+8</f>
        <v>25_36</v>
      </c>
    </row>
    <row r="1133" spans="1:8" x14ac:dyDescent="0.2">
      <c r="A1133" s="9" t="s">
        <v>51</v>
      </c>
      <c r="C1133" t="str">
        <f>""""&amp;SUBSTITUTE(A1133,"zzz",H1133)&amp;""""&amp;","</f>
        <v>"https://www.zeldadungeon.net/maps/totk/tiles/sky/6/25_37.jpg",</v>
      </c>
      <c r="H1133" t="str">
        <f>QUOTIENT(ROW(A1133),48)+2&amp;"_"&amp;MOD(ROW(A1133),48)+8</f>
        <v>25_37</v>
      </c>
    </row>
    <row r="1134" spans="1:8" x14ac:dyDescent="0.2">
      <c r="A1134" s="9" t="s">
        <v>51</v>
      </c>
      <c r="C1134" t="str">
        <f>""""&amp;SUBSTITUTE(A1134,"zzz",H1134)&amp;""""&amp;","</f>
        <v>"https://www.zeldadungeon.net/maps/totk/tiles/sky/6/25_38.jpg",</v>
      </c>
      <c r="H1134" t="str">
        <f>QUOTIENT(ROW(A1134),48)+2&amp;"_"&amp;MOD(ROW(A1134),48)+8</f>
        <v>25_38</v>
      </c>
    </row>
    <row r="1135" spans="1:8" x14ac:dyDescent="0.2">
      <c r="A1135" s="9" t="s">
        <v>51</v>
      </c>
      <c r="C1135" t="str">
        <f>""""&amp;SUBSTITUTE(A1135,"zzz",H1135)&amp;""""&amp;","</f>
        <v>"https://www.zeldadungeon.net/maps/totk/tiles/sky/6/25_39.jpg",</v>
      </c>
      <c r="H1135" t="str">
        <f>QUOTIENT(ROW(A1135),48)+2&amp;"_"&amp;MOD(ROW(A1135),48)+8</f>
        <v>25_39</v>
      </c>
    </row>
    <row r="1136" spans="1:8" x14ac:dyDescent="0.2">
      <c r="A1136" s="9" t="s">
        <v>51</v>
      </c>
      <c r="C1136" t="str">
        <f>""""&amp;SUBSTITUTE(A1136,"zzz",H1136)&amp;""""&amp;","</f>
        <v>"https://www.zeldadungeon.net/maps/totk/tiles/sky/6/25_40.jpg",</v>
      </c>
      <c r="H1136" t="str">
        <f>QUOTIENT(ROW(A1136),48)+2&amp;"_"&amp;MOD(ROW(A1136),48)+8</f>
        <v>25_40</v>
      </c>
    </row>
    <row r="1137" spans="1:8" x14ac:dyDescent="0.2">
      <c r="A1137" s="9" t="s">
        <v>51</v>
      </c>
      <c r="C1137" t="str">
        <f>""""&amp;SUBSTITUTE(A1137,"zzz",H1137)&amp;""""&amp;","</f>
        <v>"https://www.zeldadungeon.net/maps/totk/tiles/sky/6/25_41.jpg",</v>
      </c>
      <c r="H1137" t="str">
        <f>QUOTIENT(ROW(A1137),48)+2&amp;"_"&amp;MOD(ROW(A1137),48)+8</f>
        <v>25_41</v>
      </c>
    </row>
    <row r="1138" spans="1:8" x14ac:dyDescent="0.2">
      <c r="A1138" s="9" t="s">
        <v>51</v>
      </c>
      <c r="C1138" t="str">
        <f>""""&amp;SUBSTITUTE(A1138,"zzz",H1138)&amp;""""&amp;","</f>
        <v>"https://www.zeldadungeon.net/maps/totk/tiles/sky/6/25_42.jpg",</v>
      </c>
      <c r="H1138" t="str">
        <f>QUOTIENT(ROW(A1138),48)+2&amp;"_"&amp;MOD(ROW(A1138),48)+8</f>
        <v>25_42</v>
      </c>
    </row>
    <row r="1139" spans="1:8" x14ac:dyDescent="0.2">
      <c r="A1139" s="9" t="s">
        <v>51</v>
      </c>
      <c r="C1139" t="str">
        <f>""""&amp;SUBSTITUTE(A1139,"zzz",H1139)&amp;""""&amp;","</f>
        <v>"https://www.zeldadungeon.net/maps/totk/tiles/sky/6/25_43.jpg",</v>
      </c>
      <c r="H1139" t="str">
        <f>QUOTIENT(ROW(A1139),48)+2&amp;"_"&amp;MOD(ROW(A1139),48)+8</f>
        <v>25_43</v>
      </c>
    </row>
    <row r="1140" spans="1:8" x14ac:dyDescent="0.2">
      <c r="A1140" s="9" t="s">
        <v>51</v>
      </c>
      <c r="C1140" t="str">
        <f>""""&amp;SUBSTITUTE(A1140,"zzz",H1140)&amp;""""&amp;","</f>
        <v>"https://www.zeldadungeon.net/maps/totk/tiles/sky/6/25_44.jpg",</v>
      </c>
      <c r="H1140" t="str">
        <f>QUOTIENT(ROW(A1140),48)+2&amp;"_"&amp;MOD(ROW(A1140),48)+8</f>
        <v>25_44</v>
      </c>
    </row>
    <row r="1141" spans="1:8" x14ac:dyDescent="0.2">
      <c r="A1141" s="9" t="s">
        <v>51</v>
      </c>
      <c r="C1141" t="str">
        <f>""""&amp;SUBSTITUTE(A1141,"zzz",H1141)&amp;""""&amp;","</f>
        <v>"https://www.zeldadungeon.net/maps/totk/tiles/sky/6/25_45.jpg",</v>
      </c>
      <c r="H1141" t="str">
        <f>QUOTIENT(ROW(A1141),48)+2&amp;"_"&amp;MOD(ROW(A1141),48)+8</f>
        <v>25_45</v>
      </c>
    </row>
    <row r="1142" spans="1:8" x14ac:dyDescent="0.2">
      <c r="A1142" s="9" t="s">
        <v>51</v>
      </c>
      <c r="C1142" t="str">
        <f>""""&amp;SUBSTITUTE(A1142,"zzz",H1142)&amp;""""&amp;","</f>
        <v>"https://www.zeldadungeon.net/maps/totk/tiles/sky/6/25_46.jpg",</v>
      </c>
      <c r="H1142" t="str">
        <f>QUOTIENT(ROW(A1142),48)+2&amp;"_"&amp;MOD(ROW(A1142),48)+8</f>
        <v>25_46</v>
      </c>
    </row>
    <row r="1143" spans="1:8" x14ac:dyDescent="0.2">
      <c r="A1143" s="9" t="s">
        <v>51</v>
      </c>
      <c r="C1143" t="str">
        <f>""""&amp;SUBSTITUTE(A1143,"zzz",H1143)&amp;""""&amp;","</f>
        <v>"https://www.zeldadungeon.net/maps/totk/tiles/sky/6/25_47.jpg",</v>
      </c>
      <c r="H1143" t="str">
        <f>QUOTIENT(ROW(A1143),48)+2&amp;"_"&amp;MOD(ROW(A1143),48)+8</f>
        <v>25_47</v>
      </c>
    </row>
    <row r="1144" spans="1:8" x14ac:dyDescent="0.2">
      <c r="A1144" s="9" t="s">
        <v>51</v>
      </c>
      <c r="C1144" t="str">
        <f>""""&amp;SUBSTITUTE(A1144,"zzz",H1144)&amp;""""&amp;","</f>
        <v>"https://www.zeldadungeon.net/maps/totk/tiles/sky/6/25_48.jpg",</v>
      </c>
      <c r="H1144" t="str">
        <f>QUOTIENT(ROW(A1144),48)+2&amp;"_"&amp;MOD(ROW(A1144),48)+8</f>
        <v>25_48</v>
      </c>
    </row>
    <row r="1145" spans="1:8" x14ac:dyDescent="0.2">
      <c r="A1145" s="9" t="s">
        <v>51</v>
      </c>
      <c r="C1145" t="str">
        <f>""""&amp;SUBSTITUTE(A1145,"zzz",H1145)&amp;""""&amp;","</f>
        <v>"https://www.zeldadungeon.net/maps/totk/tiles/sky/6/25_49.jpg",</v>
      </c>
      <c r="H1145" t="str">
        <f>QUOTIENT(ROW(A1145),48)+2&amp;"_"&amp;MOD(ROW(A1145),48)+8</f>
        <v>25_49</v>
      </c>
    </row>
    <row r="1146" spans="1:8" x14ac:dyDescent="0.2">
      <c r="A1146" s="9" t="s">
        <v>51</v>
      </c>
      <c r="C1146" t="str">
        <f>""""&amp;SUBSTITUTE(A1146,"zzz",H1146)&amp;""""&amp;","</f>
        <v>"https://www.zeldadungeon.net/maps/totk/tiles/sky/6/25_50.jpg",</v>
      </c>
      <c r="H1146" t="str">
        <f>QUOTIENT(ROW(A1146),48)+2&amp;"_"&amp;MOD(ROW(A1146),48)+8</f>
        <v>25_50</v>
      </c>
    </row>
    <row r="1147" spans="1:8" x14ac:dyDescent="0.2">
      <c r="A1147" s="9" t="s">
        <v>51</v>
      </c>
      <c r="C1147" t="str">
        <f>""""&amp;SUBSTITUTE(A1147,"zzz",H1147)&amp;""""&amp;","</f>
        <v>"https://www.zeldadungeon.net/maps/totk/tiles/sky/6/25_51.jpg",</v>
      </c>
      <c r="H1147" t="str">
        <f>QUOTIENT(ROW(A1147),48)+2&amp;"_"&amp;MOD(ROW(A1147),48)+8</f>
        <v>25_51</v>
      </c>
    </row>
    <row r="1148" spans="1:8" x14ac:dyDescent="0.2">
      <c r="A1148" s="9" t="s">
        <v>51</v>
      </c>
      <c r="C1148" t="str">
        <f>""""&amp;SUBSTITUTE(A1148,"zzz",H1148)&amp;""""&amp;","</f>
        <v>"https://www.zeldadungeon.net/maps/totk/tiles/sky/6/25_52.jpg",</v>
      </c>
      <c r="H1148" t="str">
        <f>QUOTIENT(ROW(A1148),48)+2&amp;"_"&amp;MOD(ROW(A1148),48)+8</f>
        <v>25_52</v>
      </c>
    </row>
    <row r="1149" spans="1:8" x14ac:dyDescent="0.2">
      <c r="A1149" s="9" t="s">
        <v>51</v>
      </c>
      <c r="C1149" t="str">
        <f>""""&amp;SUBSTITUTE(A1149,"zzz",H1149)&amp;""""&amp;","</f>
        <v>"https://www.zeldadungeon.net/maps/totk/tiles/sky/6/25_53.jpg",</v>
      </c>
      <c r="H1149" t="str">
        <f>QUOTIENT(ROW(A1149),48)+2&amp;"_"&amp;MOD(ROW(A1149),48)+8</f>
        <v>25_53</v>
      </c>
    </row>
    <row r="1150" spans="1:8" x14ac:dyDescent="0.2">
      <c r="A1150" s="9" t="s">
        <v>51</v>
      </c>
      <c r="C1150" t="str">
        <f>""""&amp;SUBSTITUTE(A1150,"zzz",H1150)&amp;""""&amp;","</f>
        <v>"https://www.zeldadungeon.net/maps/totk/tiles/sky/6/25_54.jpg",</v>
      </c>
      <c r="H1150" t="str">
        <f>QUOTIENT(ROW(A1150),48)+2&amp;"_"&amp;MOD(ROW(A1150),48)+8</f>
        <v>25_54</v>
      </c>
    </row>
    <row r="1151" spans="1:8" x14ac:dyDescent="0.2">
      <c r="A1151" s="9" t="s">
        <v>51</v>
      </c>
      <c r="C1151" t="str">
        <f>""""&amp;SUBSTITUTE(A1151,"zzz",H1151)&amp;""""&amp;","</f>
        <v>"https://www.zeldadungeon.net/maps/totk/tiles/sky/6/25_55.jpg",</v>
      </c>
      <c r="H1151" t="str">
        <f>QUOTIENT(ROW(A1151),48)+2&amp;"_"&amp;MOD(ROW(A1151),48)+8</f>
        <v>25_55</v>
      </c>
    </row>
    <row r="1152" spans="1:8" x14ac:dyDescent="0.2">
      <c r="A1152" s="9" t="s">
        <v>51</v>
      </c>
      <c r="C1152" t="str">
        <f>""""&amp;SUBSTITUTE(A1152,"zzz",H1152)&amp;""""&amp;","</f>
        <v>"https://www.zeldadungeon.net/maps/totk/tiles/sky/6/26_8.jpg",</v>
      </c>
      <c r="H1152" t="str">
        <f>QUOTIENT(ROW(A1152),48)+2&amp;"_"&amp;MOD(ROW(A1152),48)+8</f>
        <v>26_8</v>
      </c>
    </row>
    <row r="1153" spans="1:8" x14ac:dyDescent="0.2">
      <c r="A1153" s="9" t="s">
        <v>51</v>
      </c>
      <c r="C1153" t="str">
        <f>""""&amp;SUBSTITUTE(A1153,"zzz",H1153)&amp;""""&amp;","</f>
        <v>"https://www.zeldadungeon.net/maps/totk/tiles/sky/6/26_9.jpg",</v>
      </c>
      <c r="H1153" t="str">
        <f>QUOTIENT(ROW(A1153),48)+2&amp;"_"&amp;MOD(ROW(A1153),48)+8</f>
        <v>26_9</v>
      </c>
    </row>
    <row r="1154" spans="1:8" x14ac:dyDescent="0.2">
      <c r="A1154" s="9" t="s">
        <v>51</v>
      </c>
      <c r="C1154" t="str">
        <f>""""&amp;SUBSTITUTE(A1154,"zzz",H1154)&amp;""""&amp;","</f>
        <v>"https://www.zeldadungeon.net/maps/totk/tiles/sky/6/26_10.jpg",</v>
      </c>
      <c r="H1154" t="str">
        <f>QUOTIENT(ROW(A1154),48)+2&amp;"_"&amp;MOD(ROW(A1154),48)+8</f>
        <v>26_10</v>
      </c>
    </row>
    <row r="1155" spans="1:8" x14ac:dyDescent="0.2">
      <c r="A1155" s="9" t="s">
        <v>51</v>
      </c>
      <c r="C1155" t="str">
        <f>""""&amp;SUBSTITUTE(A1155,"zzz",H1155)&amp;""""&amp;","</f>
        <v>"https://www.zeldadungeon.net/maps/totk/tiles/sky/6/26_11.jpg",</v>
      </c>
      <c r="H1155" t="str">
        <f>QUOTIENT(ROW(A1155),48)+2&amp;"_"&amp;MOD(ROW(A1155),48)+8</f>
        <v>26_11</v>
      </c>
    </row>
    <row r="1156" spans="1:8" x14ac:dyDescent="0.2">
      <c r="A1156" s="9" t="s">
        <v>51</v>
      </c>
      <c r="C1156" t="str">
        <f>""""&amp;SUBSTITUTE(A1156,"zzz",H1156)&amp;""""&amp;","</f>
        <v>"https://www.zeldadungeon.net/maps/totk/tiles/sky/6/26_12.jpg",</v>
      </c>
      <c r="H1156" t="str">
        <f>QUOTIENT(ROW(A1156),48)+2&amp;"_"&amp;MOD(ROW(A1156),48)+8</f>
        <v>26_12</v>
      </c>
    </row>
    <row r="1157" spans="1:8" x14ac:dyDescent="0.2">
      <c r="A1157" s="9" t="s">
        <v>51</v>
      </c>
      <c r="C1157" t="str">
        <f>""""&amp;SUBSTITUTE(A1157,"zzz",H1157)&amp;""""&amp;","</f>
        <v>"https://www.zeldadungeon.net/maps/totk/tiles/sky/6/26_13.jpg",</v>
      </c>
      <c r="H1157" t="str">
        <f>QUOTIENT(ROW(A1157),48)+2&amp;"_"&amp;MOD(ROW(A1157),48)+8</f>
        <v>26_13</v>
      </c>
    </row>
    <row r="1158" spans="1:8" x14ac:dyDescent="0.2">
      <c r="A1158" s="9" t="s">
        <v>51</v>
      </c>
      <c r="C1158" t="str">
        <f>""""&amp;SUBSTITUTE(A1158,"zzz",H1158)&amp;""""&amp;","</f>
        <v>"https://www.zeldadungeon.net/maps/totk/tiles/sky/6/26_14.jpg",</v>
      </c>
      <c r="H1158" t="str">
        <f>QUOTIENT(ROW(A1158),48)+2&amp;"_"&amp;MOD(ROW(A1158),48)+8</f>
        <v>26_14</v>
      </c>
    </row>
    <row r="1159" spans="1:8" x14ac:dyDescent="0.2">
      <c r="A1159" s="9" t="s">
        <v>51</v>
      </c>
      <c r="C1159" t="str">
        <f>""""&amp;SUBSTITUTE(A1159,"zzz",H1159)&amp;""""&amp;","</f>
        <v>"https://www.zeldadungeon.net/maps/totk/tiles/sky/6/26_15.jpg",</v>
      </c>
      <c r="H1159" t="str">
        <f>QUOTIENT(ROW(A1159),48)+2&amp;"_"&amp;MOD(ROW(A1159),48)+8</f>
        <v>26_15</v>
      </c>
    </row>
    <row r="1160" spans="1:8" x14ac:dyDescent="0.2">
      <c r="A1160" s="9" t="s">
        <v>51</v>
      </c>
      <c r="C1160" t="str">
        <f>""""&amp;SUBSTITUTE(A1160,"zzz",H1160)&amp;""""&amp;","</f>
        <v>"https://www.zeldadungeon.net/maps/totk/tiles/sky/6/26_16.jpg",</v>
      </c>
      <c r="H1160" t="str">
        <f>QUOTIENT(ROW(A1160),48)+2&amp;"_"&amp;MOD(ROW(A1160),48)+8</f>
        <v>26_16</v>
      </c>
    </row>
    <row r="1161" spans="1:8" x14ac:dyDescent="0.2">
      <c r="A1161" s="9" t="s">
        <v>51</v>
      </c>
      <c r="C1161" t="str">
        <f>""""&amp;SUBSTITUTE(A1161,"zzz",H1161)&amp;""""&amp;","</f>
        <v>"https://www.zeldadungeon.net/maps/totk/tiles/sky/6/26_17.jpg",</v>
      </c>
      <c r="H1161" t="str">
        <f>QUOTIENT(ROW(A1161),48)+2&amp;"_"&amp;MOD(ROW(A1161),48)+8</f>
        <v>26_17</v>
      </c>
    </row>
    <row r="1162" spans="1:8" x14ac:dyDescent="0.2">
      <c r="A1162" s="9" t="s">
        <v>51</v>
      </c>
      <c r="C1162" t="str">
        <f>""""&amp;SUBSTITUTE(A1162,"zzz",H1162)&amp;""""&amp;","</f>
        <v>"https://www.zeldadungeon.net/maps/totk/tiles/sky/6/26_18.jpg",</v>
      </c>
      <c r="H1162" t="str">
        <f>QUOTIENT(ROW(A1162),48)+2&amp;"_"&amp;MOD(ROW(A1162),48)+8</f>
        <v>26_18</v>
      </c>
    </row>
    <row r="1163" spans="1:8" x14ac:dyDescent="0.2">
      <c r="A1163" s="9" t="s">
        <v>51</v>
      </c>
      <c r="C1163" t="str">
        <f>""""&amp;SUBSTITUTE(A1163,"zzz",H1163)&amp;""""&amp;","</f>
        <v>"https://www.zeldadungeon.net/maps/totk/tiles/sky/6/26_19.jpg",</v>
      </c>
      <c r="H1163" t="str">
        <f>QUOTIENT(ROW(A1163),48)+2&amp;"_"&amp;MOD(ROW(A1163),48)+8</f>
        <v>26_19</v>
      </c>
    </row>
    <row r="1164" spans="1:8" x14ac:dyDescent="0.2">
      <c r="A1164" s="9" t="s">
        <v>51</v>
      </c>
      <c r="C1164" t="str">
        <f>""""&amp;SUBSTITUTE(A1164,"zzz",H1164)&amp;""""&amp;","</f>
        <v>"https://www.zeldadungeon.net/maps/totk/tiles/sky/6/26_20.jpg",</v>
      </c>
      <c r="H1164" t="str">
        <f>QUOTIENT(ROW(A1164),48)+2&amp;"_"&amp;MOD(ROW(A1164),48)+8</f>
        <v>26_20</v>
      </c>
    </row>
    <row r="1165" spans="1:8" x14ac:dyDescent="0.2">
      <c r="A1165" s="9" t="s">
        <v>51</v>
      </c>
      <c r="C1165" t="str">
        <f>""""&amp;SUBSTITUTE(A1165,"zzz",H1165)&amp;""""&amp;","</f>
        <v>"https://www.zeldadungeon.net/maps/totk/tiles/sky/6/26_21.jpg",</v>
      </c>
      <c r="H1165" t="str">
        <f>QUOTIENT(ROW(A1165),48)+2&amp;"_"&amp;MOD(ROW(A1165),48)+8</f>
        <v>26_21</v>
      </c>
    </row>
    <row r="1166" spans="1:8" x14ac:dyDescent="0.2">
      <c r="A1166" s="9" t="s">
        <v>51</v>
      </c>
      <c r="C1166" t="str">
        <f>""""&amp;SUBSTITUTE(A1166,"zzz",H1166)&amp;""""&amp;","</f>
        <v>"https://www.zeldadungeon.net/maps/totk/tiles/sky/6/26_22.jpg",</v>
      </c>
      <c r="H1166" t="str">
        <f>QUOTIENT(ROW(A1166),48)+2&amp;"_"&amp;MOD(ROW(A1166),48)+8</f>
        <v>26_22</v>
      </c>
    </row>
    <row r="1167" spans="1:8" x14ac:dyDescent="0.2">
      <c r="A1167" s="9" t="s">
        <v>51</v>
      </c>
      <c r="C1167" t="str">
        <f>""""&amp;SUBSTITUTE(A1167,"zzz",H1167)&amp;""""&amp;","</f>
        <v>"https://www.zeldadungeon.net/maps/totk/tiles/sky/6/26_23.jpg",</v>
      </c>
      <c r="H1167" t="str">
        <f>QUOTIENT(ROW(A1167),48)+2&amp;"_"&amp;MOD(ROW(A1167),48)+8</f>
        <v>26_23</v>
      </c>
    </row>
    <row r="1168" spans="1:8" x14ac:dyDescent="0.2">
      <c r="A1168" s="9" t="s">
        <v>51</v>
      </c>
      <c r="C1168" t="str">
        <f>""""&amp;SUBSTITUTE(A1168,"zzz",H1168)&amp;""""&amp;","</f>
        <v>"https://www.zeldadungeon.net/maps/totk/tiles/sky/6/26_24.jpg",</v>
      </c>
      <c r="H1168" t="str">
        <f>QUOTIENT(ROW(A1168),48)+2&amp;"_"&amp;MOD(ROW(A1168),48)+8</f>
        <v>26_24</v>
      </c>
    </row>
    <row r="1169" spans="1:8" x14ac:dyDescent="0.2">
      <c r="A1169" s="9" t="s">
        <v>51</v>
      </c>
      <c r="C1169" t="str">
        <f>""""&amp;SUBSTITUTE(A1169,"zzz",H1169)&amp;""""&amp;","</f>
        <v>"https://www.zeldadungeon.net/maps/totk/tiles/sky/6/26_25.jpg",</v>
      </c>
      <c r="H1169" t="str">
        <f>QUOTIENT(ROW(A1169),48)+2&amp;"_"&amp;MOD(ROW(A1169),48)+8</f>
        <v>26_25</v>
      </c>
    </row>
    <row r="1170" spans="1:8" x14ac:dyDescent="0.2">
      <c r="A1170" s="9" t="s">
        <v>51</v>
      </c>
      <c r="C1170" t="str">
        <f>""""&amp;SUBSTITUTE(A1170,"zzz",H1170)&amp;""""&amp;","</f>
        <v>"https://www.zeldadungeon.net/maps/totk/tiles/sky/6/26_26.jpg",</v>
      </c>
      <c r="H1170" t="str">
        <f>QUOTIENT(ROW(A1170),48)+2&amp;"_"&amp;MOD(ROW(A1170),48)+8</f>
        <v>26_26</v>
      </c>
    </row>
    <row r="1171" spans="1:8" x14ac:dyDescent="0.2">
      <c r="A1171" s="9" t="s">
        <v>51</v>
      </c>
      <c r="C1171" t="str">
        <f>""""&amp;SUBSTITUTE(A1171,"zzz",H1171)&amp;""""&amp;","</f>
        <v>"https://www.zeldadungeon.net/maps/totk/tiles/sky/6/26_27.jpg",</v>
      </c>
      <c r="H1171" t="str">
        <f>QUOTIENT(ROW(A1171),48)+2&amp;"_"&amp;MOD(ROW(A1171),48)+8</f>
        <v>26_27</v>
      </c>
    </row>
    <row r="1172" spans="1:8" x14ac:dyDescent="0.2">
      <c r="A1172" s="9" t="s">
        <v>51</v>
      </c>
      <c r="C1172" t="str">
        <f>""""&amp;SUBSTITUTE(A1172,"zzz",H1172)&amp;""""&amp;","</f>
        <v>"https://www.zeldadungeon.net/maps/totk/tiles/sky/6/26_28.jpg",</v>
      </c>
      <c r="H1172" t="str">
        <f>QUOTIENT(ROW(A1172),48)+2&amp;"_"&amp;MOD(ROW(A1172),48)+8</f>
        <v>26_28</v>
      </c>
    </row>
    <row r="1173" spans="1:8" x14ac:dyDescent="0.2">
      <c r="A1173" s="9" t="s">
        <v>51</v>
      </c>
      <c r="C1173" t="str">
        <f>""""&amp;SUBSTITUTE(A1173,"zzz",H1173)&amp;""""&amp;","</f>
        <v>"https://www.zeldadungeon.net/maps/totk/tiles/sky/6/26_29.jpg",</v>
      </c>
      <c r="H1173" t="str">
        <f>QUOTIENT(ROW(A1173),48)+2&amp;"_"&amp;MOD(ROW(A1173),48)+8</f>
        <v>26_29</v>
      </c>
    </row>
    <row r="1174" spans="1:8" x14ac:dyDescent="0.2">
      <c r="A1174" s="9" t="s">
        <v>51</v>
      </c>
      <c r="C1174" t="str">
        <f>""""&amp;SUBSTITUTE(A1174,"zzz",H1174)&amp;""""&amp;","</f>
        <v>"https://www.zeldadungeon.net/maps/totk/tiles/sky/6/26_30.jpg",</v>
      </c>
      <c r="H1174" t="str">
        <f>QUOTIENT(ROW(A1174),48)+2&amp;"_"&amp;MOD(ROW(A1174),48)+8</f>
        <v>26_30</v>
      </c>
    </row>
    <row r="1175" spans="1:8" x14ac:dyDescent="0.2">
      <c r="A1175" s="9" t="s">
        <v>51</v>
      </c>
      <c r="C1175" t="str">
        <f>""""&amp;SUBSTITUTE(A1175,"zzz",H1175)&amp;""""&amp;","</f>
        <v>"https://www.zeldadungeon.net/maps/totk/tiles/sky/6/26_31.jpg",</v>
      </c>
      <c r="H1175" t="str">
        <f>QUOTIENT(ROW(A1175),48)+2&amp;"_"&amp;MOD(ROW(A1175),48)+8</f>
        <v>26_31</v>
      </c>
    </row>
    <row r="1176" spans="1:8" x14ac:dyDescent="0.2">
      <c r="A1176" s="9" t="s">
        <v>51</v>
      </c>
      <c r="C1176" t="str">
        <f>""""&amp;SUBSTITUTE(A1176,"zzz",H1176)&amp;""""&amp;","</f>
        <v>"https://www.zeldadungeon.net/maps/totk/tiles/sky/6/26_32.jpg",</v>
      </c>
      <c r="H1176" t="str">
        <f>QUOTIENT(ROW(A1176),48)+2&amp;"_"&amp;MOD(ROW(A1176),48)+8</f>
        <v>26_32</v>
      </c>
    </row>
    <row r="1177" spans="1:8" x14ac:dyDescent="0.2">
      <c r="A1177" s="9" t="s">
        <v>51</v>
      </c>
      <c r="C1177" t="str">
        <f>""""&amp;SUBSTITUTE(A1177,"zzz",H1177)&amp;""""&amp;","</f>
        <v>"https://www.zeldadungeon.net/maps/totk/tiles/sky/6/26_33.jpg",</v>
      </c>
      <c r="H1177" t="str">
        <f>QUOTIENT(ROW(A1177),48)+2&amp;"_"&amp;MOD(ROW(A1177),48)+8</f>
        <v>26_33</v>
      </c>
    </row>
    <row r="1178" spans="1:8" x14ac:dyDescent="0.2">
      <c r="A1178" s="9" t="s">
        <v>51</v>
      </c>
      <c r="C1178" t="str">
        <f>""""&amp;SUBSTITUTE(A1178,"zzz",H1178)&amp;""""&amp;","</f>
        <v>"https://www.zeldadungeon.net/maps/totk/tiles/sky/6/26_34.jpg",</v>
      </c>
      <c r="H1178" t="str">
        <f>QUOTIENT(ROW(A1178),48)+2&amp;"_"&amp;MOD(ROW(A1178),48)+8</f>
        <v>26_34</v>
      </c>
    </row>
    <row r="1179" spans="1:8" x14ac:dyDescent="0.2">
      <c r="A1179" s="9" t="s">
        <v>51</v>
      </c>
      <c r="C1179" t="str">
        <f>""""&amp;SUBSTITUTE(A1179,"zzz",H1179)&amp;""""&amp;","</f>
        <v>"https://www.zeldadungeon.net/maps/totk/tiles/sky/6/26_35.jpg",</v>
      </c>
      <c r="H1179" t="str">
        <f>QUOTIENT(ROW(A1179),48)+2&amp;"_"&amp;MOD(ROW(A1179),48)+8</f>
        <v>26_35</v>
      </c>
    </row>
    <row r="1180" spans="1:8" x14ac:dyDescent="0.2">
      <c r="A1180" s="9" t="s">
        <v>51</v>
      </c>
      <c r="C1180" t="str">
        <f>""""&amp;SUBSTITUTE(A1180,"zzz",H1180)&amp;""""&amp;","</f>
        <v>"https://www.zeldadungeon.net/maps/totk/tiles/sky/6/26_36.jpg",</v>
      </c>
      <c r="H1180" t="str">
        <f>QUOTIENT(ROW(A1180),48)+2&amp;"_"&amp;MOD(ROW(A1180),48)+8</f>
        <v>26_36</v>
      </c>
    </row>
    <row r="1181" spans="1:8" x14ac:dyDescent="0.2">
      <c r="A1181" s="9" t="s">
        <v>51</v>
      </c>
      <c r="C1181" t="str">
        <f>""""&amp;SUBSTITUTE(A1181,"zzz",H1181)&amp;""""&amp;","</f>
        <v>"https://www.zeldadungeon.net/maps/totk/tiles/sky/6/26_37.jpg",</v>
      </c>
      <c r="H1181" t="str">
        <f>QUOTIENT(ROW(A1181),48)+2&amp;"_"&amp;MOD(ROW(A1181),48)+8</f>
        <v>26_37</v>
      </c>
    </row>
    <row r="1182" spans="1:8" x14ac:dyDescent="0.2">
      <c r="A1182" s="9" t="s">
        <v>51</v>
      </c>
      <c r="C1182" t="str">
        <f>""""&amp;SUBSTITUTE(A1182,"zzz",H1182)&amp;""""&amp;","</f>
        <v>"https://www.zeldadungeon.net/maps/totk/tiles/sky/6/26_38.jpg",</v>
      </c>
      <c r="H1182" t="str">
        <f>QUOTIENT(ROW(A1182),48)+2&amp;"_"&amp;MOD(ROW(A1182),48)+8</f>
        <v>26_38</v>
      </c>
    </row>
    <row r="1183" spans="1:8" x14ac:dyDescent="0.2">
      <c r="A1183" s="9" t="s">
        <v>51</v>
      </c>
      <c r="C1183" t="str">
        <f>""""&amp;SUBSTITUTE(A1183,"zzz",H1183)&amp;""""&amp;","</f>
        <v>"https://www.zeldadungeon.net/maps/totk/tiles/sky/6/26_39.jpg",</v>
      </c>
      <c r="H1183" t="str">
        <f>QUOTIENT(ROW(A1183),48)+2&amp;"_"&amp;MOD(ROW(A1183),48)+8</f>
        <v>26_39</v>
      </c>
    </row>
    <row r="1184" spans="1:8" x14ac:dyDescent="0.2">
      <c r="A1184" s="9" t="s">
        <v>51</v>
      </c>
      <c r="C1184" t="str">
        <f>""""&amp;SUBSTITUTE(A1184,"zzz",H1184)&amp;""""&amp;","</f>
        <v>"https://www.zeldadungeon.net/maps/totk/tiles/sky/6/26_40.jpg",</v>
      </c>
      <c r="H1184" t="str">
        <f>QUOTIENT(ROW(A1184),48)+2&amp;"_"&amp;MOD(ROW(A1184),48)+8</f>
        <v>26_40</v>
      </c>
    </row>
    <row r="1185" spans="1:8" x14ac:dyDescent="0.2">
      <c r="A1185" s="9" t="s">
        <v>51</v>
      </c>
      <c r="C1185" t="str">
        <f>""""&amp;SUBSTITUTE(A1185,"zzz",H1185)&amp;""""&amp;","</f>
        <v>"https://www.zeldadungeon.net/maps/totk/tiles/sky/6/26_41.jpg",</v>
      </c>
      <c r="H1185" t="str">
        <f>QUOTIENT(ROW(A1185),48)+2&amp;"_"&amp;MOD(ROW(A1185),48)+8</f>
        <v>26_41</v>
      </c>
    </row>
    <row r="1186" spans="1:8" x14ac:dyDescent="0.2">
      <c r="A1186" s="9" t="s">
        <v>51</v>
      </c>
      <c r="C1186" t="str">
        <f>""""&amp;SUBSTITUTE(A1186,"zzz",H1186)&amp;""""&amp;","</f>
        <v>"https://www.zeldadungeon.net/maps/totk/tiles/sky/6/26_42.jpg",</v>
      </c>
      <c r="H1186" t="str">
        <f>QUOTIENT(ROW(A1186),48)+2&amp;"_"&amp;MOD(ROW(A1186),48)+8</f>
        <v>26_42</v>
      </c>
    </row>
    <row r="1187" spans="1:8" x14ac:dyDescent="0.2">
      <c r="A1187" s="9" t="s">
        <v>51</v>
      </c>
      <c r="C1187" t="str">
        <f>""""&amp;SUBSTITUTE(A1187,"zzz",H1187)&amp;""""&amp;","</f>
        <v>"https://www.zeldadungeon.net/maps/totk/tiles/sky/6/26_43.jpg",</v>
      </c>
      <c r="H1187" t="str">
        <f>QUOTIENT(ROW(A1187),48)+2&amp;"_"&amp;MOD(ROW(A1187),48)+8</f>
        <v>26_43</v>
      </c>
    </row>
    <row r="1188" spans="1:8" x14ac:dyDescent="0.2">
      <c r="A1188" s="9" t="s">
        <v>51</v>
      </c>
      <c r="C1188" t="str">
        <f>""""&amp;SUBSTITUTE(A1188,"zzz",H1188)&amp;""""&amp;","</f>
        <v>"https://www.zeldadungeon.net/maps/totk/tiles/sky/6/26_44.jpg",</v>
      </c>
      <c r="H1188" t="str">
        <f>QUOTIENT(ROW(A1188),48)+2&amp;"_"&amp;MOD(ROW(A1188),48)+8</f>
        <v>26_44</v>
      </c>
    </row>
    <row r="1189" spans="1:8" x14ac:dyDescent="0.2">
      <c r="A1189" s="9" t="s">
        <v>51</v>
      </c>
      <c r="C1189" t="str">
        <f>""""&amp;SUBSTITUTE(A1189,"zzz",H1189)&amp;""""&amp;","</f>
        <v>"https://www.zeldadungeon.net/maps/totk/tiles/sky/6/26_45.jpg",</v>
      </c>
      <c r="H1189" t="str">
        <f>QUOTIENT(ROW(A1189),48)+2&amp;"_"&amp;MOD(ROW(A1189),48)+8</f>
        <v>26_45</v>
      </c>
    </row>
    <row r="1190" spans="1:8" x14ac:dyDescent="0.2">
      <c r="A1190" s="9" t="s">
        <v>51</v>
      </c>
      <c r="C1190" t="str">
        <f>""""&amp;SUBSTITUTE(A1190,"zzz",H1190)&amp;""""&amp;","</f>
        <v>"https://www.zeldadungeon.net/maps/totk/tiles/sky/6/26_46.jpg",</v>
      </c>
      <c r="H1190" t="str">
        <f>QUOTIENT(ROW(A1190),48)+2&amp;"_"&amp;MOD(ROW(A1190),48)+8</f>
        <v>26_46</v>
      </c>
    </row>
    <row r="1191" spans="1:8" x14ac:dyDescent="0.2">
      <c r="A1191" s="9" t="s">
        <v>51</v>
      </c>
      <c r="C1191" t="str">
        <f>""""&amp;SUBSTITUTE(A1191,"zzz",H1191)&amp;""""&amp;","</f>
        <v>"https://www.zeldadungeon.net/maps/totk/tiles/sky/6/26_47.jpg",</v>
      </c>
      <c r="H1191" t="str">
        <f>QUOTIENT(ROW(A1191),48)+2&amp;"_"&amp;MOD(ROW(A1191),48)+8</f>
        <v>26_47</v>
      </c>
    </row>
    <row r="1192" spans="1:8" x14ac:dyDescent="0.2">
      <c r="A1192" s="9" t="s">
        <v>51</v>
      </c>
      <c r="C1192" t="str">
        <f>""""&amp;SUBSTITUTE(A1192,"zzz",H1192)&amp;""""&amp;","</f>
        <v>"https://www.zeldadungeon.net/maps/totk/tiles/sky/6/26_48.jpg",</v>
      </c>
      <c r="H1192" t="str">
        <f>QUOTIENT(ROW(A1192),48)+2&amp;"_"&amp;MOD(ROW(A1192),48)+8</f>
        <v>26_48</v>
      </c>
    </row>
    <row r="1193" spans="1:8" x14ac:dyDescent="0.2">
      <c r="A1193" s="9" t="s">
        <v>51</v>
      </c>
      <c r="C1193" t="str">
        <f>""""&amp;SUBSTITUTE(A1193,"zzz",H1193)&amp;""""&amp;","</f>
        <v>"https://www.zeldadungeon.net/maps/totk/tiles/sky/6/26_49.jpg",</v>
      </c>
      <c r="H1193" t="str">
        <f>QUOTIENT(ROW(A1193),48)+2&amp;"_"&amp;MOD(ROW(A1193),48)+8</f>
        <v>26_49</v>
      </c>
    </row>
    <row r="1194" spans="1:8" x14ac:dyDescent="0.2">
      <c r="A1194" s="9" t="s">
        <v>51</v>
      </c>
      <c r="C1194" t="str">
        <f>""""&amp;SUBSTITUTE(A1194,"zzz",H1194)&amp;""""&amp;","</f>
        <v>"https://www.zeldadungeon.net/maps/totk/tiles/sky/6/26_50.jpg",</v>
      </c>
      <c r="H1194" t="str">
        <f>QUOTIENT(ROW(A1194),48)+2&amp;"_"&amp;MOD(ROW(A1194),48)+8</f>
        <v>26_50</v>
      </c>
    </row>
    <row r="1195" spans="1:8" x14ac:dyDescent="0.2">
      <c r="A1195" s="9" t="s">
        <v>51</v>
      </c>
      <c r="C1195" t="str">
        <f>""""&amp;SUBSTITUTE(A1195,"zzz",H1195)&amp;""""&amp;","</f>
        <v>"https://www.zeldadungeon.net/maps/totk/tiles/sky/6/26_51.jpg",</v>
      </c>
      <c r="H1195" t="str">
        <f>QUOTIENT(ROW(A1195),48)+2&amp;"_"&amp;MOD(ROW(A1195),48)+8</f>
        <v>26_51</v>
      </c>
    </row>
    <row r="1196" spans="1:8" x14ac:dyDescent="0.2">
      <c r="A1196" s="9" t="s">
        <v>51</v>
      </c>
      <c r="C1196" t="str">
        <f>""""&amp;SUBSTITUTE(A1196,"zzz",H1196)&amp;""""&amp;","</f>
        <v>"https://www.zeldadungeon.net/maps/totk/tiles/sky/6/26_52.jpg",</v>
      </c>
      <c r="H1196" t="str">
        <f>QUOTIENT(ROW(A1196),48)+2&amp;"_"&amp;MOD(ROW(A1196),48)+8</f>
        <v>26_52</v>
      </c>
    </row>
    <row r="1197" spans="1:8" x14ac:dyDescent="0.2">
      <c r="A1197" s="9" t="s">
        <v>51</v>
      </c>
      <c r="C1197" t="str">
        <f>""""&amp;SUBSTITUTE(A1197,"zzz",H1197)&amp;""""&amp;","</f>
        <v>"https://www.zeldadungeon.net/maps/totk/tiles/sky/6/26_53.jpg",</v>
      </c>
      <c r="H1197" t="str">
        <f>QUOTIENT(ROW(A1197),48)+2&amp;"_"&amp;MOD(ROW(A1197),48)+8</f>
        <v>26_53</v>
      </c>
    </row>
    <row r="1198" spans="1:8" x14ac:dyDescent="0.2">
      <c r="A1198" s="9" t="s">
        <v>51</v>
      </c>
      <c r="C1198" t="str">
        <f>""""&amp;SUBSTITUTE(A1198,"zzz",H1198)&amp;""""&amp;","</f>
        <v>"https://www.zeldadungeon.net/maps/totk/tiles/sky/6/26_54.jpg",</v>
      </c>
      <c r="H1198" t="str">
        <f>QUOTIENT(ROW(A1198),48)+2&amp;"_"&amp;MOD(ROW(A1198),48)+8</f>
        <v>26_54</v>
      </c>
    </row>
    <row r="1199" spans="1:8" x14ac:dyDescent="0.2">
      <c r="A1199" s="9" t="s">
        <v>51</v>
      </c>
      <c r="C1199" t="str">
        <f>""""&amp;SUBSTITUTE(A1199,"zzz",H1199)&amp;""""&amp;","</f>
        <v>"https://www.zeldadungeon.net/maps/totk/tiles/sky/6/26_55.jpg",</v>
      </c>
      <c r="H1199" t="str">
        <f>QUOTIENT(ROW(A1199),48)+2&amp;"_"&amp;MOD(ROW(A1199),48)+8</f>
        <v>26_55</v>
      </c>
    </row>
    <row r="1200" spans="1:8" x14ac:dyDescent="0.2">
      <c r="A1200" s="9" t="s">
        <v>51</v>
      </c>
      <c r="C1200" t="str">
        <f>""""&amp;SUBSTITUTE(A1200,"zzz",H1200)&amp;""""&amp;","</f>
        <v>"https://www.zeldadungeon.net/maps/totk/tiles/sky/6/27_8.jpg",</v>
      </c>
      <c r="H1200" t="str">
        <f>QUOTIENT(ROW(A1200),48)+2&amp;"_"&amp;MOD(ROW(A1200),48)+8</f>
        <v>27_8</v>
      </c>
    </row>
    <row r="1201" spans="1:8" x14ac:dyDescent="0.2">
      <c r="A1201" s="9" t="s">
        <v>51</v>
      </c>
      <c r="C1201" t="str">
        <f>""""&amp;SUBSTITUTE(A1201,"zzz",H1201)&amp;""""&amp;","</f>
        <v>"https://www.zeldadungeon.net/maps/totk/tiles/sky/6/27_9.jpg",</v>
      </c>
      <c r="H1201" t="str">
        <f>QUOTIENT(ROW(A1201),48)+2&amp;"_"&amp;MOD(ROW(A1201),48)+8</f>
        <v>27_9</v>
      </c>
    </row>
    <row r="1202" spans="1:8" x14ac:dyDescent="0.2">
      <c r="A1202" s="9" t="s">
        <v>51</v>
      </c>
      <c r="C1202" t="str">
        <f>""""&amp;SUBSTITUTE(A1202,"zzz",H1202)&amp;""""&amp;","</f>
        <v>"https://www.zeldadungeon.net/maps/totk/tiles/sky/6/27_10.jpg",</v>
      </c>
      <c r="H1202" t="str">
        <f>QUOTIENT(ROW(A1202),48)+2&amp;"_"&amp;MOD(ROW(A1202),48)+8</f>
        <v>27_10</v>
      </c>
    </row>
    <row r="1203" spans="1:8" x14ac:dyDescent="0.2">
      <c r="A1203" s="9" t="s">
        <v>51</v>
      </c>
      <c r="C1203" t="str">
        <f>""""&amp;SUBSTITUTE(A1203,"zzz",H1203)&amp;""""&amp;","</f>
        <v>"https://www.zeldadungeon.net/maps/totk/tiles/sky/6/27_11.jpg",</v>
      </c>
      <c r="H1203" t="str">
        <f>QUOTIENT(ROW(A1203),48)+2&amp;"_"&amp;MOD(ROW(A1203),48)+8</f>
        <v>27_11</v>
      </c>
    </row>
    <row r="1204" spans="1:8" x14ac:dyDescent="0.2">
      <c r="A1204" s="9" t="s">
        <v>51</v>
      </c>
      <c r="C1204" t="str">
        <f>""""&amp;SUBSTITUTE(A1204,"zzz",H1204)&amp;""""&amp;","</f>
        <v>"https://www.zeldadungeon.net/maps/totk/tiles/sky/6/27_12.jpg",</v>
      </c>
      <c r="H1204" t="str">
        <f>QUOTIENT(ROW(A1204),48)+2&amp;"_"&amp;MOD(ROW(A1204),48)+8</f>
        <v>27_12</v>
      </c>
    </row>
    <row r="1205" spans="1:8" x14ac:dyDescent="0.2">
      <c r="A1205" s="9" t="s">
        <v>51</v>
      </c>
      <c r="C1205" t="str">
        <f>""""&amp;SUBSTITUTE(A1205,"zzz",H1205)&amp;""""&amp;","</f>
        <v>"https://www.zeldadungeon.net/maps/totk/tiles/sky/6/27_13.jpg",</v>
      </c>
      <c r="H1205" t="str">
        <f>QUOTIENT(ROW(A1205),48)+2&amp;"_"&amp;MOD(ROW(A1205),48)+8</f>
        <v>27_13</v>
      </c>
    </row>
    <row r="1206" spans="1:8" x14ac:dyDescent="0.2">
      <c r="A1206" s="9" t="s">
        <v>51</v>
      </c>
      <c r="C1206" t="str">
        <f>""""&amp;SUBSTITUTE(A1206,"zzz",H1206)&amp;""""&amp;","</f>
        <v>"https://www.zeldadungeon.net/maps/totk/tiles/sky/6/27_14.jpg",</v>
      </c>
      <c r="H1206" t="str">
        <f>QUOTIENT(ROW(A1206),48)+2&amp;"_"&amp;MOD(ROW(A1206),48)+8</f>
        <v>27_14</v>
      </c>
    </row>
    <row r="1207" spans="1:8" x14ac:dyDescent="0.2">
      <c r="A1207" s="9" t="s">
        <v>51</v>
      </c>
      <c r="C1207" t="str">
        <f>""""&amp;SUBSTITUTE(A1207,"zzz",H1207)&amp;""""&amp;","</f>
        <v>"https://www.zeldadungeon.net/maps/totk/tiles/sky/6/27_15.jpg",</v>
      </c>
      <c r="H1207" t="str">
        <f>QUOTIENT(ROW(A1207),48)+2&amp;"_"&amp;MOD(ROW(A1207),48)+8</f>
        <v>27_15</v>
      </c>
    </row>
    <row r="1208" spans="1:8" x14ac:dyDescent="0.2">
      <c r="A1208" s="9" t="s">
        <v>51</v>
      </c>
      <c r="C1208" t="str">
        <f>""""&amp;SUBSTITUTE(A1208,"zzz",H1208)&amp;""""&amp;","</f>
        <v>"https://www.zeldadungeon.net/maps/totk/tiles/sky/6/27_16.jpg",</v>
      </c>
      <c r="H1208" t="str">
        <f>QUOTIENT(ROW(A1208),48)+2&amp;"_"&amp;MOD(ROW(A1208),48)+8</f>
        <v>27_16</v>
      </c>
    </row>
    <row r="1209" spans="1:8" x14ac:dyDescent="0.2">
      <c r="A1209" s="9" t="s">
        <v>51</v>
      </c>
      <c r="C1209" t="str">
        <f>""""&amp;SUBSTITUTE(A1209,"zzz",H1209)&amp;""""&amp;","</f>
        <v>"https://www.zeldadungeon.net/maps/totk/tiles/sky/6/27_17.jpg",</v>
      </c>
      <c r="H1209" t="str">
        <f>QUOTIENT(ROW(A1209),48)+2&amp;"_"&amp;MOD(ROW(A1209),48)+8</f>
        <v>27_17</v>
      </c>
    </row>
    <row r="1210" spans="1:8" x14ac:dyDescent="0.2">
      <c r="A1210" s="9" t="s">
        <v>51</v>
      </c>
      <c r="C1210" t="str">
        <f>""""&amp;SUBSTITUTE(A1210,"zzz",H1210)&amp;""""&amp;","</f>
        <v>"https://www.zeldadungeon.net/maps/totk/tiles/sky/6/27_18.jpg",</v>
      </c>
      <c r="H1210" t="str">
        <f>QUOTIENT(ROW(A1210),48)+2&amp;"_"&amp;MOD(ROW(A1210),48)+8</f>
        <v>27_18</v>
      </c>
    </row>
    <row r="1211" spans="1:8" x14ac:dyDescent="0.2">
      <c r="A1211" s="9" t="s">
        <v>51</v>
      </c>
      <c r="C1211" t="str">
        <f>""""&amp;SUBSTITUTE(A1211,"zzz",H1211)&amp;""""&amp;","</f>
        <v>"https://www.zeldadungeon.net/maps/totk/tiles/sky/6/27_19.jpg",</v>
      </c>
      <c r="H1211" t="str">
        <f>QUOTIENT(ROW(A1211),48)+2&amp;"_"&amp;MOD(ROW(A1211),48)+8</f>
        <v>27_19</v>
      </c>
    </row>
    <row r="1212" spans="1:8" x14ac:dyDescent="0.2">
      <c r="A1212" s="9" t="s">
        <v>51</v>
      </c>
      <c r="C1212" t="str">
        <f>""""&amp;SUBSTITUTE(A1212,"zzz",H1212)&amp;""""&amp;","</f>
        <v>"https://www.zeldadungeon.net/maps/totk/tiles/sky/6/27_20.jpg",</v>
      </c>
      <c r="H1212" t="str">
        <f>QUOTIENT(ROW(A1212),48)+2&amp;"_"&amp;MOD(ROW(A1212),48)+8</f>
        <v>27_20</v>
      </c>
    </row>
    <row r="1213" spans="1:8" x14ac:dyDescent="0.2">
      <c r="A1213" s="9" t="s">
        <v>51</v>
      </c>
      <c r="C1213" t="str">
        <f>""""&amp;SUBSTITUTE(A1213,"zzz",H1213)&amp;""""&amp;","</f>
        <v>"https://www.zeldadungeon.net/maps/totk/tiles/sky/6/27_21.jpg",</v>
      </c>
      <c r="H1213" t="str">
        <f>QUOTIENT(ROW(A1213),48)+2&amp;"_"&amp;MOD(ROW(A1213),48)+8</f>
        <v>27_21</v>
      </c>
    </row>
    <row r="1214" spans="1:8" x14ac:dyDescent="0.2">
      <c r="A1214" s="9" t="s">
        <v>51</v>
      </c>
      <c r="C1214" t="str">
        <f>""""&amp;SUBSTITUTE(A1214,"zzz",H1214)&amp;""""&amp;","</f>
        <v>"https://www.zeldadungeon.net/maps/totk/tiles/sky/6/27_22.jpg",</v>
      </c>
      <c r="H1214" t="str">
        <f>QUOTIENT(ROW(A1214),48)+2&amp;"_"&amp;MOD(ROW(A1214),48)+8</f>
        <v>27_22</v>
      </c>
    </row>
    <row r="1215" spans="1:8" x14ac:dyDescent="0.2">
      <c r="A1215" s="9" t="s">
        <v>51</v>
      </c>
      <c r="C1215" t="str">
        <f>""""&amp;SUBSTITUTE(A1215,"zzz",H1215)&amp;""""&amp;","</f>
        <v>"https://www.zeldadungeon.net/maps/totk/tiles/sky/6/27_23.jpg",</v>
      </c>
      <c r="H1215" t="str">
        <f>QUOTIENT(ROW(A1215),48)+2&amp;"_"&amp;MOD(ROW(A1215),48)+8</f>
        <v>27_23</v>
      </c>
    </row>
    <row r="1216" spans="1:8" x14ac:dyDescent="0.2">
      <c r="A1216" s="9" t="s">
        <v>51</v>
      </c>
      <c r="C1216" t="str">
        <f>""""&amp;SUBSTITUTE(A1216,"zzz",H1216)&amp;""""&amp;","</f>
        <v>"https://www.zeldadungeon.net/maps/totk/tiles/sky/6/27_24.jpg",</v>
      </c>
      <c r="H1216" t="str">
        <f>QUOTIENT(ROW(A1216),48)+2&amp;"_"&amp;MOD(ROW(A1216),48)+8</f>
        <v>27_24</v>
      </c>
    </row>
    <row r="1217" spans="1:8" x14ac:dyDescent="0.2">
      <c r="A1217" s="9" t="s">
        <v>51</v>
      </c>
      <c r="C1217" t="str">
        <f>""""&amp;SUBSTITUTE(A1217,"zzz",H1217)&amp;""""&amp;","</f>
        <v>"https://www.zeldadungeon.net/maps/totk/tiles/sky/6/27_25.jpg",</v>
      </c>
      <c r="H1217" t="str">
        <f>QUOTIENT(ROW(A1217),48)+2&amp;"_"&amp;MOD(ROW(A1217),48)+8</f>
        <v>27_25</v>
      </c>
    </row>
    <row r="1218" spans="1:8" x14ac:dyDescent="0.2">
      <c r="A1218" s="9" t="s">
        <v>51</v>
      </c>
      <c r="C1218" t="str">
        <f>""""&amp;SUBSTITUTE(A1218,"zzz",H1218)&amp;""""&amp;","</f>
        <v>"https://www.zeldadungeon.net/maps/totk/tiles/sky/6/27_26.jpg",</v>
      </c>
      <c r="H1218" t="str">
        <f>QUOTIENT(ROW(A1218),48)+2&amp;"_"&amp;MOD(ROW(A1218),48)+8</f>
        <v>27_26</v>
      </c>
    </row>
    <row r="1219" spans="1:8" x14ac:dyDescent="0.2">
      <c r="A1219" s="9" t="s">
        <v>51</v>
      </c>
      <c r="C1219" t="str">
        <f>""""&amp;SUBSTITUTE(A1219,"zzz",H1219)&amp;""""&amp;","</f>
        <v>"https://www.zeldadungeon.net/maps/totk/tiles/sky/6/27_27.jpg",</v>
      </c>
      <c r="H1219" t="str">
        <f>QUOTIENT(ROW(A1219),48)+2&amp;"_"&amp;MOD(ROW(A1219),48)+8</f>
        <v>27_27</v>
      </c>
    </row>
    <row r="1220" spans="1:8" x14ac:dyDescent="0.2">
      <c r="A1220" s="9" t="s">
        <v>51</v>
      </c>
      <c r="C1220" t="str">
        <f>""""&amp;SUBSTITUTE(A1220,"zzz",H1220)&amp;""""&amp;","</f>
        <v>"https://www.zeldadungeon.net/maps/totk/tiles/sky/6/27_28.jpg",</v>
      </c>
      <c r="H1220" t="str">
        <f>QUOTIENT(ROW(A1220),48)+2&amp;"_"&amp;MOD(ROW(A1220),48)+8</f>
        <v>27_28</v>
      </c>
    </row>
    <row r="1221" spans="1:8" x14ac:dyDescent="0.2">
      <c r="A1221" s="9" t="s">
        <v>51</v>
      </c>
      <c r="C1221" t="str">
        <f>""""&amp;SUBSTITUTE(A1221,"zzz",H1221)&amp;""""&amp;","</f>
        <v>"https://www.zeldadungeon.net/maps/totk/tiles/sky/6/27_29.jpg",</v>
      </c>
      <c r="H1221" t="str">
        <f>QUOTIENT(ROW(A1221),48)+2&amp;"_"&amp;MOD(ROW(A1221),48)+8</f>
        <v>27_29</v>
      </c>
    </row>
    <row r="1222" spans="1:8" x14ac:dyDescent="0.2">
      <c r="A1222" s="9" t="s">
        <v>51</v>
      </c>
      <c r="C1222" t="str">
        <f>""""&amp;SUBSTITUTE(A1222,"zzz",H1222)&amp;""""&amp;","</f>
        <v>"https://www.zeldadungeon.net/maps/totk/tiles/sky/6/27_30.jpg",</v>
      </c>
      <c r="H1222" t="str">
        <f>QUOTIENT(ROW(A1222),48)+2&amp;"_"&amp;MOD(ROW(A1222),48)+8</f>
        <v>27_30</v>
      </c>
    </row>
    <row r="1223" spans="1:8" x14ac:dyDescent="0.2">
      <c r="A1223" s="9" t="s">
        <v>51</v>
      </c>
      <c r="C1223" t="str">
        <f>""""&amp;SUBSTITUTE(A1223,"zzz",H1223)&amp;""""&amp;","</f>
        <v>"https://www.zeldadungeon.net/maps/totk/tiles/sky/6/27_31.jpg",</v>
      </c>
      <c r="H1223" t="str">
        <f>QUOTIENT(ROW(A1223),48)+2&amp;"_"&amp;MOD(ROW(A1223),48)+8</f>
        <v>27_31</v>
      </c>
    </row>
    <row r="1224" spans="1:8" x14ac:dyDescent="0.2">
      <c r="A1224" s="9" t="s">
        <v>51</v>
      </c>
      <c r="C1224" t="str">
        <f>""""&amp;SUBSTITUTE(A1224,"zzz",H1224)&amp;""""&amp;","</f>
        <v>"https://www.zeldadungeon.net/maps/totk/tiles/sky/6/27_32.jpg",</v>
      </c>
      <c r="H1224" t="str">
        <f>QUOTIENT(ROW(A1224),48)+2&amp;"_"&amp;MOD(ROW(A1224),48)+8</f>
        <v>27_32</v>
      </c>
    </row>
    <row r="1225" spans="1:8" x14ac:dyDescent="0.2">
      <c r="A1225" s="9" t="s">
        <v>51</v>
      </c>
      <c r="C1225" t="str">
        <f>""""&amp;SUBSTITUTE(A1225,"zzz",H1225)&amp;""""&amp;","</f>
        <v>"https://www.zeldadungeon.net/maps/totk/tiles/sky/6/27_33.jpg",</v>
      </c>
      <c r="H1225" t="str">
        <f>QUOTIENT(ROW(A1225),48)+2&amp;"_"&amp;MOD(ROW(A1225),48)+8</f>
        <v>27_33</v>
      </c>
    </row>
    <row r="1226" spans="1:8" x14ac:dyDescent="0.2">
      <c r="A1226" s="9" t="s">
        <v>51</v>
      </c>
      <c r="C1226" t="str">
        <f>""""&amp;SUBSTITUTE(A1226,"zzz",H1226)&amp;""""&amp;","</f>
        <v>"https://www.zeldadungeon.net/maps/totk/tiles/sky/6/27_34.jpg",</v>
      </c>
      <c r="H1226" t="str">
        <f>QUOTIENT(ROW(A1226),48)+2&amp;"_"&amp;MOD(ROW(A1226),48)+8</f>
        <v>27_34</v>
      </c>
    </row>
    <row r="1227" spans="1:8" x14ac:dyDescent="0.2">
      <c r="A1227" s="9" t="s">
        <v>51</v>
      </c>
      <c r="C1227" t="str">
        <f>""""&amp;SUBSTITUTE(A1227,"zzz",H1227)&amp;""""&amp;","</f>
        <v>"https://www.zeldadungeon.net/maps/totk/tiles/sky/6/27_35.jpg",</v>
      </c>
      <c r="H1227" t="str">
        <f>QUOTIENT(ROW(A1227),48)+2&amp;"_"&amp;MOD(ROW(A1227),48)+8</f>
        <v>27_35</v>
      </c>
    </row>
    <row r="1228" spans="1:8" x14ac:dyDescent="0.2">
      <c r="A1228" s="9" t="s">
        <v>51</v>
      </c>
      <c r="C1228" t="str">
        <f>""""&amp;SUBSTITUTE(A1228,"zzz",H1228)&amp;""""&amp;","</f>
        <v>"https://www.zeldadungeon.net/maps/totk/tiles/sky/6/27_36.jpg",</v>
      </c>
      <c r="H1228" t="str">
        <f>QUOTIENT(ROW(A1228),48)+2&amp;"_"&amp;MOD(ROW(A1228),48)+8</f>
        <v>27_36</v>
      </c>
    </row>
    <row r="1229" spans="1:8" x14ac:dyDescent="0.2">
      <c r="A1229" s="9" t="s">
        <v>51</v>
      </c>
      <c r="C1229" t="str">
        <f>""""&amp;SUBSTITUTE(A1229,"zzz",H1229)&amp;""""&amp;","</f>
        <v>"https://www.zeldadungeon.net/maps/totk/tiles/sky/6/27_37.jpg",</v>
      </c>
      <c r="H1229" t="str">
        <f>QUOTIENT(ROW(A1229),48)+2&amp;"_"&amp;MOD(ROW(A1229),48)+8</f>
        <v>27_37</v>
      </c>
    </row>
    <row r="1230" spans="1:8" x14ac:dyDescent="0.2">
      <c r="A1230" s="9" t="s">
        <v>51</v>
      </c>
      <c r="C1230" t="str">
        <f>""""&amp;SUBSTITUTE(A1230,"zzz",H1230)&amp;""""&amp;","</f>
        <v>"https://www.zeldadungeon.net/maps/totk/tiles/sky/6/27_38.jpg",</v>
      </c>
      <c r="H1230" t="str">
        <f>QUOTIENT(ROW(A1230),48)+2&amp;"_"&amp;MOD(ROW(A1230),48)+8</f>
        <v>27_38</v>
      </c>
    </row>
    <row r="1231" spans="1:8" x14ac:dyDescent="0.2">
      <c r="A1231" s="9" t="s">
        <v>51</v>
      </c>
      <c r="C1231" t="str">
        <f>""""&amp;SUBSTITUTE(A1231,"zzz",H1231)&amp;""""&amp;","</f>
        <v>"https://www.zeldadungeon.net/maps/totk/tiles/sky/6/27_39.jpg",</v>
      </c>
      <c r="H1231" t="str">
        <f>QUOTIENT(ROW(A1231),48)+2&amp;"_"&amp;MOD(ROW(A1231),48)+8</f>
        <v>27_39</v>
      </c>
    </row>
    <row r="1232" spans="1:8" x14ac:dyDescent="0.2">
      <c r="A1232" s="9" t="s">
        <v>51</v>
      </c>
      <c r="C1232" t="str">
        <f>""""&amp;SUBSTITUTE(A1232,"zzz",H1232)&amp;""""&amp;","</f>
        <v>"https://www.zeldadungeon.net/maps/totk/tiles/sky/6/27_40.jpg",</v>
      </c>
      <c r="H1232" t="str">
        <f>QUOTIENT(ROW(A1232),48)+2&amp;"_"&amp;MOD(ROW(A1232),48)+8</f>
        <v>27_40</v>
      </c>
    </row>
    <row r="1233" spans="1:8" x14ac:dyDescent="0.2">
      <c r="A1233" s="9" t="s">
        <v>51</v>
      </c>
      <c r="C1233" t="str">
        <f>""""&amp;SUBSTITUTE(A1233,"zzz",H1233)&amp;""""&amp;","</f>
        <v>"https://www.zeldadungeon.net/maps/totk/tiles/sky/6/27_41.jpg",</v>
      </c>
      <c r="H1233" t="str">
        <f>QUOTIENT(ROW(A1233),48)+2&amp;"_"&amp;MOD(ROW(A1233),48)+8</f>
        <v>27_41</v>
      </c>
    </row>
    <row r="1234" spans="1:8" x14ac:dyDescent="0.2">
      <c r="A1234" s="9" t="s">
        <v>51</v>
      </c>
      <c r="C1234" t="str">
        <f>""""&amp;SUBSTITUTE(A1234,"zzz",H1234)&amp;""""&amp;","</f>
        <v>"https://www.zeldadungeon.net/maps/totk/tiles/sky/6/27_42.jpg",</v>
      </c>
      <c r="H1234" t="str">
        <f>QUOTIENT(ROW(A1234),48)+2&amp;"_"&amp;MOD(ROW(A1234),48)+8</f>
        <v>27_42</v>
      </c>
    </row>
    <row r="1235" spans="1:8" x14ac:dyDescent="0.2">
      <c r="A1235" s="9" t="s">
        <v>51</v>
      </c>
      <c r="C1235" t="str">
        <f>""""&amp;SUBSTITUTE(A1235,"zzz",H1235)&amp;""""&amp;","</f>
        <v>"https://www.zeldadungeon.net/maps/totk/tiles/sky/6/27_43.jpg",</v>
      </c>
      <c r="H1235" t="str">
        <f>QUOTIENT(ROW(A1235),48)+2&amp;"_"&amp;MOD(ROW(A1235),48)+8</f>
        <v>27_43</v>
      </c>
    </row>
    <row r="1236" spans="1:8" x14ac:dyDescent="0.2">
      <c r="A1236" s="9" t="s">
        <v>51</v>
      </c>
      <c r="C1236" t="str">
        <f>""""&amp;SUBSTITUTE(A1236,"zzz",H1236)&amp;""""&amp;","</f>
        <v>"https://www.zeldadungeon.net/maps/totk/tiles/sky/6/27_44.jpg",</v>
      </c>
      <c r="H1236" t="str">
        <f>QUOTIENT(ROW(A1236),48)+2&amp;"_"&amp;MOD(ROW(A1236),48)+8</f>
        <v>27_44</v>
      </c>
    </row>
    <row r="1237" spans="1:8" x14ac:dyDescent="0.2">
      <c r="A1237" s="9" t="s">
        <v>51</v>
      </c>
      <c r="C1237" t="str">
        <f>""""&amp;SUBSTITUTE(A1237,"zzz",H1237)&amp;""""&amp;","</f>
        <v>"https://www.zeldadungeon.net/maps/totk/tiles/sky/6/27_45.jpg",</v>
      </c>
      <c r="H1237" t="str">
        <f>QUOTIENT(ROW(A1237),48)+2&amp;"_"&amp;MOD(ROW(A1237),48)+8</f>
        <v>27_45</v>
      </c>
    </row>
    <row r="1238" spans="1:8" x14ac:dyDescent="0.2">
      <c r="A1238" s="9" t="s">
        <v>51</v>
      </c>
      <c r="C1238" t="str">
        <f>""""&amp;SUBSTITUTE(A1238,"zzz",H1238)&amp;""""&amp;","</f>
        <v>"https://www.zeldadungeon.net/maps/totk/tiles/sky/6/27_46.jpg",</v>
      </c>
      <c r="H1238" t="str">
        <f>QUOTIENT(ROW(A1238),48)+2&amp;"_"&amp;MOD(ROW(A1238),48)+8</f>
        <v>27_46</v>
      </c>
    </row>
    <row r="1239" spans="1:8" x14ac:dyDescent="0.2">
      <c r="A1239" s="9" t="s">
        <v>51</v>
      </c>
      <c r="C1239" t="str">
        <f>""""&amp;SUBSTITUTE(A1239,"zzz",H1239)&amp;""""&amp;","</f>
        <v>"https://www.zeldadungeon.net/maps/totk/tiles/sky/6/27_47.jpg",</v>
      </c>
      <c r="H1239" t="str">
        <f>QUOTIENT(ROW(A1239),48)+2&amp;"_"&amp;MOD(ROW(A1239),48)+8</f>
        <v>27_47</v>
      </c>
    </row>
    <row r="1240" spans="1:8" x14ac:dyDescent="0.2">
      <c r="A1240" s="9" t="s">
        <v>51</v>
      </c>
      <c r="C1240" t="str">
        <f>""""&amp;SUBSTITUTE(A1240,"zzz",H1240)&amp;""""&amp;","</f>
        <v>"https://www.zeldadungeon.net/maps/totk/tiles/sky/6/27_48.jpg",</v>
      </c>
      <c r="H1240" t="str">
        <f>QUOTIENT(ROW(A1240),48)+2&amp;"_"&amp;MOD(ROW(A1240),48)+8</f>
        <v>27_48</v>
      </c>
    </row>
    <row r="1241" spans="1:8" x14ac:dyDescent="0.2">
      <c r="A1241" s="9" t="s">
        <v>51</v>
      </c>
      <c r="C1241" t="str">
        <f>""""&amp;SUBSTITUTE(A1241,"zzz",H1241)&amp;""""&amp;","</f>
        <v>"https://www.zeldadungeon.net/maps/totk/tiles/sky/6/27_49.jpg",</v>
      </c>
      <c r="H1241" t="str">
        <f>QUOTIENT(ROW(A1241),48)+2&amp;"_"&amp;MOD(ROW(A1241),48)+8</f>
        <v>27_49</v>
      </c>
    </row>
    <row r="1242" spans="1:8" x14ac:dyDescent="0.2">
      <c r="A1242" s="9" t="s">
        <v>51</v>
      </c>
      <c r="C1242" t="str">
        <f>""""&amp;SUBSTITUTE(A1242,"zzz",H1242)&amp;""""&amp;","</f>
        <v>"https://www.zeldadungeon.net/maps/totk/tiles/sky/6/27_50.jpg",</v>
      </c>
      <c r="H1242" t="str">
        <f>QUOTIENT(ROW(A1242),48)+2&amp;"_"&amp;MOD(ROW(A1242),48)+8</f>
        <v>27_50</v>
      </c>
    </row>
    <row r="1243" spans="1:8" x14ac:dyDescent="0.2">
      <c r="A1243" s="9" t="s">
        <v>51</v>
      </c>
      <c r="C1243" t="str">
        <f>""""&amp;SUBSTITUTE(A1243,"zzz",H1243)&amp;""""&amp;","</f>
        <v>"https://www.zeldadungeon.net/maps/totk/tiles/sky/6/27_51.jpg",</v>
      </c>
      <c r="H1243" t="str">
        <f>QUOTIENT(ROW(A1243),48)+2&amp;"_"&amp;MOD(ROW(A1243),48)+8</f>
        <v>27_51</v>
      </c>
    </row>
    <row r="1244" spans="1:8" x14ac:dyDescent="0.2">
      <c r="A1244" s="9" t="s">
        <v>51</v>
      </c>
      <c r="C1244" t="str">
        <f>""""&amp;SUBSTITUTE(A1244,"zzz",H1244)&amp;""""&amp;","</f>
        <v>"https://www.zeldadungeon.net/maps/totk/tiles/sky/6/27_52.jpg",</v>
      </c>
      <c r="H1244" t="str">
        <f>QUOTIENT(ROW(A1244),48)+2&amp;"_"&amp;MOD(ROW(A1244),48)+8</f>
        <v>27_52</v>
      </c>
    </row>
    <row r="1245" spans="1:8" x14ac:dyDescent="0.2">
      <c r="A1245" s="9" t="s">
        <v>51</v>
      </c>
      <c r="C1245" t="str">
        <f>""""&amp;SUBSTITUTE(A1245,"zzz",H1245)&amp;""""&amp;","</f>
        <v>"https://www.zeldadungeon.net/maps/totk/tiles/sky/6/27_53.jpg",</v>
      </c>
      <c r="H1245" t="str">
        <f>QUOTIENT(ROW(A1245),48)+2&amp;"_"&amp;MOD(ROW(A1245),48)+8</f>
        <v>27_53</v>
      </c>
    </row>
    <row r="1246" spans="1:8" x14ac:dyDescent="0.2">
      <c r="A1246" s="9" t="s">
        <v>51</v>
      </c>
      <c r="C1246" t="str">
        <f>""""&amp;SUBSTITUTE(A1246,"zzz",H1246)&amp;""""&amp;","</f>
        <v>"https://www.zeldadungeon.net/maps/totk/tiles/sky/6/27_54.jpg",</v>
      </c>
      <c r="H1246" t="str">
        <f>QUOTIENT(ROW(A1246),48)+2&amp;"_"&amp;MOD(ROW(A1246),48)+8</f>
        <v>27_54</v>
      </c>
    </row>
    <row r="1247" spans="1:8" x14ac:dyDescent="0.2">
      <c r="A1247" s="9" t="s">
        <v>51</v>
      </c>
      <c r="C1247" t="str">
        <f>""""&amp;SUBSTITUTE(A1247,"zzz",H1247)&amp;""""&amp;","</f>
        <v>"https://www.zeldadungeon.net/maps/totk/tiles/sky/6/27_55.jpg",</v>
      </c>
      <c r="H1247" t="str">
        <f>QUOTIENT(ROW(A1247),48)+2&amp;"_"&amp;MOD(ROW(A1247),48)+8</f>
        <v>27_55</v>
      </c>
    </row>
    <row r="1248" spans="1:8" x14ac:dyDescent="0.2">
      <c r="A1248" s="9" t="s">
        <v>51</v>
      </c>
      <c r="C1248" t="str">
        <f>""""&amp;SUBSTITUTE(A1248,"zzz",H1248)&amp;""""&amp;","</f>
        <v>"https://www.zeldadungeon.net/maps/totk/tiles/sky/6/28_8.jpg",</v>
      </c>
      <c r="H1248" t="str">
        <f>QUOTIENT(ROW(A1248),48)+2&amp;"_"&amp;MOD(ROW(A1248),48)+8</f>
        <v>28_8</v>
      </c>
    </row>
    <row r="1249" spans="1:8" x14ac:dyDescent="0.2">
      <c r="A1249" s="9" t="s">
        <v>51</v>
      </c>
      <c r="C1249" t="str">
        <f>""""&amp;SUBSTITUTE(A1249,"zzz",H1249)&amp;""""&amp;","</f>
        <v>"https://www.zeldadungeon.net/maps/totk/tiles/sky/6/28_9.jpg",</v>
      </c>
      <c r="H1249" t="str">
        <f>QUOTIENT(ROW(A1249),48)+2&amp;"_"&amp;MOD(ROW(A1249),48)+8</f>
        <v>28_9</v>
      </c>
    </row>
    <row r="1250" spans="1:8" x14ac:dyDescent="0.2">
      <c r="A1250" s="9" t="s">
        <v>51</v>
      </c>
      <c r="C1250" t="str">
        <f>""""&amp;SUBSTITUTE(A1250,"zzz",H1250)&amp;""""&amp;","</f>
        <v>"https://www.zeldadungeon.net/maps/totk/tiles/sky/6/28_10.jpg",</v>
      </c>
      <c r="H1250" t="str">
        <f>QUOTIENT(ROW(A1250),48)+2&amp;"_"&amp;MOD(ROW(A1250),48)+8</f>
        <v>28_10</v>
      </c>
    </row>
    <row r="1251" spans="1:8" x14ac:dyDescent="0.2">
      <c r="A1251" s="9" t="s">
        <v>51</v>
      </c>
      <c r="C1251" t="str">
        <f>""""&amp;SUBSTITUTE(A1251,"zzz",H1251)&amp;""""&amp;","</f>
        <v>"https://www.zeldadungeon.net/maps/totk/tiles/sky/6/28_11.jpg",</v>
      </c>
      <c r="H1251" t="str">
        <f>QUOTIENT(ROW(A1251),48)+2&amp;"_"&amp;MOD(ROW(A1251),48)+8</f>
        <v>28_11</v>
      </c>
    </row>
    <row r="1252" spans="1:8" x14ac:dyDescent="0.2">
      <c r="A1252" s="9" t="s">
        <v>51</v>
      </c>
      <c r="C1252" t="str">
        <f>""""&amp;SUBSTITUTE(A1252,"zzz",H1252)&amp;""""&amp;","</f>
        <v>"https://www.zeldadungeon.net/maps/totk/tiles/sky/6/28_12.jpg",</v>
      </c>
      <c r="H1252" t="str">
        <f>QUOTIENT(ROW(A1252),48)+2&amp;"_"&amp;MOD(ROW(A1252),48)+8</f>
        <v>28_12</v>
      </c>
    </row>
    <row r="1253" spans="1:8" x14ac:dyDescent="0.2">
      <c r="A1253" s="9" t="s">
        <v>51</v>
      </c>
      <c r="C1253" t="str">
        <f>""""&amp;SUBSTITUTE(A1253,"zzz",H1253)&amp;""""&amp;","</f>
        <v>"https://www.zeldadungeon.net/maps/totk/tiles/sky/6/28_13.jpg",</v>
      </c>
      <c r="H1253" t="str">
        <f>QUOTIENT(ROW(A1253),48)+2&amp;"_"&amp;MOD(ROW(A1253),48)+8</f>
        <v>28_13</v>
      </c>
    </row>
    <row r="1254" spans="1:8" x14ac:dyDescent="0.2">
      <c r="A1254" s="9" t="s">
        <v>51</v>
      </c>
      <c r="C1254" t="str">
        <f>""""&amp;SUBSTITUTE(A1254,"zzz",H1254)&amp;""""&amp;","</f>
        <v>"https://www.zeldadungeon.net/maps/totk/tiles/sky/6/28_14.jpg",</v>
      </c>
      <c r="H1254" t="str">
        <f>QUOTIENT(ROW(A1254),48)+2&amp;"_"&amp;MOD(ROW(A1254),48)+8</f>
        <v>28_14</v>
      </c>
    </row>
    <row r="1255" spans="1:8" x14ac:dyDescent="0.2">
      <c r="A1255" s="9" t="s">
        <v>51</v>
      </c>
      <c r="C1255" t="str">
        <f>""""&amp;SUBSTITUTE(A1255,"zzz",H1255)&amp;""""&amp;","</f>
        <v>"https://www.zeldadungeon.net/maps/totk/tiles/sky/6/28_15.jpg",</v>
      </c>
      <c r="H1255" t="str">
        <f>QUOTIENT(ROW(A1255),48)+2&amp;"_"&amp;MOD(ROW(A1255),48)+8</f>
        <v>28_15</v>
      </c>
    </row>
    <row r="1256" spans="1:8" x14ac:dyDescent="0.2">
      <c r="A1256" s="9" t="s">
        <v>51</v>
      </c>
      <c r="C1256" t="str">
        <f>""""&amp;SUBSTITUTE(A1256,"zzz",H1256)&amp;""""&amp;","</f>
        <v>"https://www.zeldadungeon.net/maps/totk/tiles/sky/6/28_16.jpg",</v>
      </c>
      <c r="H1256" t="str">
        <f>QUOTIENT(ROW(A1256),48)+2&amp;"_"&amp;MOD(ROW(A1256),48)+8</f>
        <v>28_16</v>
      </c>
    </row>
    <row r="1257" spans="1:8" x14ac:dyDescent="0.2">
      <c r="A1257" s="9" t="s">
        <v>51</v>
      </c>
      <c r="C1257" t="str">
        <f>""""&amp;SUBSTITUTE(A1257,"zzz",H1257)&amp;""""&amp;","</f>
        <v>"https://www.zeldadungeon.net/maps/totk/tiles/sky/6/28_17.jpg",</v>
      </c>
      <c r="H1257" t="str">
        <f>QUOTIENT(ROW(A1257),48)+2&amp;"_"&amp;MOD(ROW(A1257),48)+8</f>
        <v>28_17</v>
      </c>
    </row>
    <row r="1258" spans="1:8" x14ac:dyDescent="0.2">
      <c r="A1258" s="9" t="s">
        <v>51</v>
      </c>
      <c r="C1258" t="str">
        <f>""""&amp;SUBSTITUTE(A1258,"zzz",H1258)&amp;""""&amp;","</f>
        <v>"https://www.zeldadungeon.net/maps/totk/tiles/sky/6/28_18.jpg",</v>
      </c>
      <c r="H1258" t="str">
        <f>QUOTIENT(ROW(A1258),48)+2&amp;"_"&amp;MOD(ROW(A1258),48)+8</f>
        <v>28_18</v>
      </c>
    </row>
    <row r="1259" spans="1:8" x14ac:dyDescent="0.2">
      <c r="A1259" s="9" t="s">
        <v>51</v>
      </c>
      <c r="C1259" t="str">
        <f>""""&amp;SUBSTITUTE(A1259,"zzz",H1259)&amp;""""&amp;","</f>
        <v>"https://www.zeldadungeon.net/maps/totk/tiles/sky/6/28_19.jpg",</v>
      </c>
      <c r="H1259" t="str">
        <f>QUOTIENT(ROW(A1259),48)+2&amp;"_"&amp;MOD(ROW(A1259),48)+8</f>
        <v>28_19</v>
      </c>
    </row>
    <row r="1260" spans="1:8" x14ac:dyDescent="0.2">
      <c r="A1260" s="9" t="s">
        <v>51</v>
      </c>
      <c r="C1260" t="str">
        <f>""""&amp;SUBSTITUTE(A1260,"zzz",H1260)&amp;""""&amp;","</f>
        <v>"https://www.zeldadungeon.net/maps/totk/tiles/sky/6/28_20.jpg",</v>
      </c>
      <c r="H1260" t="str">
        <f>QUOTIENT(ROW(A1260),48)+2&amp;"_"&amp;MOD(ROW(A1260),48)+8</f>
        <v>28_20</v>
      </c>
    </row>
    <row r="1261" spans="1:8" x14ac:dyDescent="0.2">
      <c r="A1261" s="9" t="s">
        <v>51</v>
      </c>
      <c r="C1261" t="str">
        <f>""""&amp;SUBSTITUTE(A1261,"zzz",H1261)&amp;""""&amp;","</f>
        <v>"https://www.zeldadungeon.net/maps/totk/tiles/sky/6/28_21.jpg",</v>
      </c>
      <c r="H1261" t="str">
        <f>QUOTIENT(ROW(A1261),48)+2&amp;"_"&amp;MOD(ROW(A1261),48)+8</f>
        <v>28_21</v>
      </c>
    </row>
    <row r="1262" spans="1:8" x14ac:dyDescent="0.2">
      <c r="A1262" s="9" t="s">
        <v>51</v>
      </c>
      <c r="C1262" t="str">
        <f>""""&amp;SUBSTITUTE(A1262,"zzz",H1262)&amp;""""&amp;","</f>
        <v>"https://www.zeldadungeon.net/maps/totk/tiles/sky/6/28_22.jpg",</v>
      </c>
      <c r="H1262" t="str">
        <f>QUOTIENT(ROW(A1262),48)+2&amp;"_"&amp;MOD(ROW(A1262),48)+8</f>
        <v>28_22</v>
      </c>
    </row>
    <row r="1263" spans="1:8" x14ac:dyDescent="0.2">
      <c r="A1263" s="9" t="s">
        <v>51</v>
      </c>
      <c r="C1263" t="str">
        <f>""""&amp;SUBSTITUTE(A1263,"zzz",H1263)&amp;""""&amp;","</f>
        <v>"https://www.zeldadungeon.net/maps/totk/tiles/sky/6/28_23.jpg",</v>
      </c>
      <c r="H1263" t="str">
        <f>QUOTIENT(ROW(A1263),48)+2&amp;"_"&amp;MOD(ROW(A1263),48)+8</f>
        <v>28_23</v>
      </c>
    </row>
    <row r="1264" spans="1:8" x14ac:dyDescent="0.2">
      <c r="A1264" s="9" t="s">
        <v>51</v>
      </c>
      <c r="C1264" t="str">
        <f>""""&amp;SUBSTITUTE(A1264,"zzz",H1264)&amp;""""&amp;","</f>
        <v>"https://www.zeldadungeon.net/maps/totk/tiles/sky/6/28_24.jpg",</v>
      </c>
      <c r="H1264" t="str">
        <f>QUOTIENT(ROW(A1264),48)+2&amp;"_"&amp;MOD(ROW(A1264),48)+8</f>
        <v>28_24</v>
      </c>
    </row>
    <row r="1265" spans="1:8" x14ac:dyDescent="0.2">
      <c r="A1265" s="9" t="s">
        <v>51</v>
      </c>
      <c r="C1265" t="str">
        <f>""""&amp;SUBSTITUTE(A1265,"zzz",H1265)&amp;""""&amp;","</f>
        <v>"https://www.zeldadungeon.net/maps/totk/tiles/sky/6/28_25.jpg",</v>
      </c>
      <c r="H1265" t="str">
        <f>QUOTIENT(ROW(A1265),48)+2&amp;"_"&amp;MOD(ROW(A1265),48)+8</f>
        <v>28_25</v>
      </c>
    </row>
    <row r="1266" spans="1:8" x14ac:dyDescent="0.2">
      <c r="A1266" s="9" t="s">
        <v>51</v>
      </c>
      <c r="C1266" t="str">
        <f>""""&amp;SUBSTITUTE(A1266,"zzz",H1266)&amp;""""&amp;","</f>
        <v>"https://www.zeldadungeon.net/maps/totk/tiles/sky/6/28_26.jpg",</v>
      </c>
      <c r="H1266" t="str">
        <f>QUOTIENT(ROW(A1266),48)+2&amp;"_"&amp;MOD(ROW(A1266),48)+8</f>
        <v>28_26</v>
      </c>
    </row>
    <row r="1267" spans="1:8" x14ac:dyDescent="0.2">
      <c r="A1267" s="9" t="s">
        <v>51</v>
      </c>
      <c r="C1267" t="str">
        <f>""""&amp;SUBSTITUTE(A1267,"zzz",H1267)&amp;""""&amp;","</f>
        <v>"https://www.zeldadungeon.net/maps/totk/tiles/sky/6/28_27.jpg",</v>
      </c>
      <c r="H1267" t="str">
        <f>QUOTIENT(ROW(A1267),48)+2&amp;"_"&amp;MOD(ROW(A1267),48)+8</f>
        <v>28_27</v>
      </c>
    </row>
    <row r="1268" spans="1:8" x14ac:dyDescent="0.2">
      <c r="A1268" s="9" t="s">
        <v>51</v>
      </c>
      <c r="C1268" t="str">
        <f>""""&amp;SUBSTITUTE(A1268,"zzz",H1268)&amp;""""&amp;","</f>
        <v>"https://www.zeldadungeon.net/maps/totk/tiles/sky/6/28_28.jpg",</v>
      </c>
      <c r="H1268" t="str">
        <f>QUOTIENT(ROW(A1268),48)+2&amp;"_"&amp;MOD(ROW(A1268),48)+8</f>
        <v>28_28</v>
      </c>
    </row>
    <row r="1269" spans="1:8" x14ac:dyDescent="0.2">
      <c r="A1269" s="9" t="s">
        <v>51</v>
      </c>
      <c r="C1269" t="str">
        <f>""""&amp;SUBSTITUTE(A1269,"zzz",H1269)&amp;""""&amp;","</f>
        <v>"https://www.zeldadungeon.net/maps/totk/tiles/sky/6/28_29.jpg",</v>
      </c>
      <c r="H1269" t="str">
        <f>QUOTIENT(ROW(A1269),48)+2&amp;"_"&amp;MOD(ROW(A1269),48)+8</f>
        <v>28_29</v>
      </c>
    </row>
    <row r="1270" spans="1:8" x14ac:dyDescent="0.2">
      <c r="A1270" s="9" t="s">
        <v>51</v>
      </c>
      <c r="C1270" t="str">
        <f>""""&amp;SUBSTITUTE(A1270,"zzz",H1270)&amp;""""&amp;","</f>
        <v>"https://www.zeldadungeon.net/maps/totk/tiles/sky/6/28_30.jpg",</v>
      </c>
      <c r="H1270" t="str">
        <f>QUOTIENT(ROW(A1270),48)+2&amp;"_"&amp;MOD(ROW(A1270),48)+8</f>
        <v>28_30</v>
      </c>
    </row>
    <row r="1271" spans="1:8" x14ac:dyDescent="0.2">
      <c r="A1271" s="9" t="s">
        <v>51</v>
      </c>
      <c r="C1271" t="str">
        <f>""""&amp;SUBSTITUTE(A1271,"zzz",H1271)&amp;""""&amp;","</f>
        <v>"https://www.zeldadungeon.net/maps/totk/tiles/sky/6/28_31.jpg",</v>
      </c>
      <c r="H1271" t="str">
        <f>QUOTIENT(ROW(A1271),48)+2&amp;"_"&amp;MOD(ROW(A1271),48)+8</f>
        <v>28_31</v>
      </c>
    </row>
    <row r="1272" spans="1:8" x14ac:dyDescent="0.2">
      <c r="A1272" s="9" t="s">
        <v>51</v>
      </c>
      <c r="C1272" t="str">
        <f>""""&amp;SUBSTITUTE(A1272,"zzz",H1272)&amp;""""&amp;","</f>
        <v>"https://www.zeldadungeon.net/maps/totk/tiles/sky/6/28_32.jpg",</v>
      </c>
      <c r="H1272" t="str">
        <f>QUOTIENT(ROW(A1272),48)+2&amp;"_"&amp;MOD(ROW(A1272),48)+8</f>
        <v>28_32</v>
      </c>
    </row>
    <row r="1273" spans="1:8" x14ac:dyDescent="0.2">
      <c r="A1273" s="9" t="s">
        <v>51</v>
      </c>
      <c r="C1273" t="str">
        <f>""""&amp;SUBSTITUTE(A1273,"zzz",H1273)&amp;""""&amp;","</f>
        <v>"https://www.zeldadungeon.net/maps/totk/tiles/sky/6/28_33.jpg",</v>
      </c>
      <c r="H1273" t="str">
        <f>QUOTIENT(ROW(A1273),48)+2&amp;"_"&amp;MOD(ROW(A1273),48)+8</f>
        <v>28_33</v>
      </c>
    </row>
    <row r="1274" spans="1:8" x14ac:dyDescent="0.2">
      <c r="A1274" s="9" t="s">
        <v>51</v>
      </c>
      <c r="C1274" t="str">
        <f>""""&amp;SUBSTITUTE(A1274,"zzz",H1274)&amp;""""&amp;","</f>
        <v>"https://www.zeldadungeon.net/maps/totk/tiles/sky/6/28_34.jpg",</v>
      </c>
      <c r="H1274" t="str">
        <f>QUOTIENT(ROW(A1274),48)+2&amp;"_"&amp;MOD(ROW(A1274),48)+8</f>
        <v>28_34</v>
      </c>
    </row>
    <row r="1275" spans="1:8" x14ac:dyDescent="0.2">
      <c r="A1275" s="9" t="s">
        <v>51</v>
      </c>
      <c r="C1275" t="str">
        <f>""""&amp;SUBSTITUTE(A1275,"zzz",H1275)&amp;""""&amp;","</f>
        <v>"https://www.zeldadungeon.net/maps/totk/tiles/sky/6/28_35.jpg",</v>
      </c>
      <c r="H1275" t="str">
        <f>QUOTIENT(ROW(A1275),48)+2&amp;"_"&amp;MOD(ROW(A1275),48)+8</f>
        <v>28_35</v>
      </c>
    </row>
    <row r="1276" spans="1:8" x14ac:dyDescent="0.2">
      <c r="A1276" s="9" t="s">
        <v>51</v>
      </c>
      <c r="C1276" t="str">
        <f>""""&amp;SUBSTITUTE(A1276,"zzz",H1276)&amp;""""&amp;","</f>
        <v>"https://www.zeldadungeon.net/maps/totk/tiles/sky/6/28_36.jpg",</v>
      </c>
      <c r="H1276" t="str">
        <f>QUOTIENT(ROW(A1276),48)+2&amp;"_"&amp;MOD(ROW(A1276),48)+8</f>
        <v>28_36</v>
      </c>
    </row>
    <row r="1277" spans="1:8" x14ac:dyDescent="0.2">
      <c r="A1277" s="9" t="s">
        <v>51</v>
      </c>
      <c r="C1277" t="str">
        <f>""""&amp;SUBSTITUTE(A1277,"zzz",H1277)&amp;""""&amp;","</f>
        <v>"https://www.zeldadungeon.net/maps/totk/tiles/sky/6/28_37.jpg",</v>
      </c>
      <c r="H1277" t="str">
        <f>QUOTIENT(ROW(A1277),48)+2&amp;"_"&amp;MOD(ROW(A1277),48)+8</f>
        <v>28_37</v>
      </c>
    </row>
    <row r="1278" spans="1:8" x14ac:dyDescent="0.2">
      <c r="A1278" s="9" t="s">
        <v>51</v>
      </c>
      <c r="C1278" t="str">
        <f>""""&amp;SUBSTITUTE(A1278,"zzz",H1278)&amp;""""&amp;","</f>
        <v>"https://www.zeldadungeon.net/maps/totk/tiles/sky/6/28_38.jpg",</v>
      </c>
      <c r="H1278" t="str">
        <f>QUOTIENT(ROW(A1278),48)+2&amp;"_"&amp;MOD(ROW(A1278),48)+8</f>
        <v>28_38</v>
      </c>
    </row>
    <row r="1279" spans="1:8" x14ac:dyDescent="0.2">
      <c r="A1279" s="9" t="s">
        <v>51</v>
      </c>
      <c r="C1279" t="str">
        <f>""""&amp;SUBSTITUTE(A1279,"zzz",H1279)&amp;""""&amp;","</f>
        <v>"https://www.zeldadungeon.net/maps/totk/tiles/sky/6/28_39.jpg",</v>
      </c>
      <c r="H1279" t="str">
        <f>QUOTIENT(ROW(A1279),48)+2&amp;"_"&amp;MOD(ROW(A1279),48)+8</f>
        <v>28_39</v>
      </c>
    </row>
    <row r="1280" spans="1:8" x14ac:dyDescent="0.2">
      <c r="A1280" s="9" t="s">
        <v>51</v>
      </c>
      <c r="C1280" t="str">
        <f>""""&amp;SUBSTITUTE(A1280,"zzz",H1280)&amp;""""&amp;","</f>
        <v>"https://www.zeldadungeon.net/maps/totk/tiles/sky/6/28_40.jpg",</v>
      </c>
      <c r="H1280" t="str">
        <f>QUOTIENT(ROW(A1280),48)+2&amp;"_"&amp;MOD(ROW(A1280),48)+8</f>
        <v>28_40</v>
      </c>
    </row>
    <row r="1281" spans="1:8" x14ac:dyDescent="0.2">
      <c r="A1281" s="9" t="s">
        <v>51</v>
      </c>
      <c r="C1281" t="str">
        <f>""""&amp;SUBSTITUTE(A1281,"zzz",H1281)&amp;""""&amp;","</f>
        <v>"https://www.zeldadungeon.net/maps/totk/tiles/sky/6/28_41.jpg",</v>
      </c>
      <c r="H1281" t="str">
        <f>QUOTIENT(ROW(A1281),48)+2&amp;"_"&amp;MOD(ROW(A1281),48)+8</f>
        <v>28_41</v>
      </c>
    </row>
    <row r="1282" spans="1:8" x14ac:dyDescent="0.2">
      <c r="A1282" s="9" t="s">
        <v>51</v>
      </c>
      <c r="C1282" t="str">
        <f>""""&amp;SUBSTITUTE(A1282,"zzz",H1282)&amp;""""&amp;","</f>
        <v>"https://www.zeldadungeon.net/maps/totk/tiles/sky/6/28_42.jpg",</v>
      </c>
      <c r="H1282" t="str">
        <f>QUOTIENT(ROW(A1282),48)+2&amp;"_"&amp;MOD(ROW(A1282),48)+8</f>
        <v>28_42</v>
      </c>
    </row>
    <row r="1283" spans="1:8" x14ac:dyDescent="0.2">
      <c r="A1283" s="9" t="s">
        <v>51</v>
      </c>
      <c r="C1283" t="str">
        <f>""""&amp;SUBSTITUTE(A1283,"zzz",H1283)&amp;""""&amp;","</f>
        <v>"https://www.zeldadungeon.net/maps/totk/tiles/sky/6/28_43.jpg",</v>
      </c>
      <c r="H1283" t="str">
        <f>QUOTIENT(ROW(A1283),48)+2&amp;"_"&amp;MOD(ROW(A1283),48)+8</f>
        <v>28_43</v>
      </c>
    </row>
    <row r="1284" spans="1:8" x14ac:dyDescent="0.2">
      <c r="A1284" s="9" t="s">
        <v>51</v>
      </c>
      <c r="C1284" t="str">
        <f>""""&amp;SUBSTITUTE(A1284,"zzz",H1284)&amp;""""&amp;","</f>
        <v>"https://www.zeldadungeon.net/maps/totk/tiles/sky/6/28_44.jpg",</v>
      </c>
      <c r="H1284" t="str">
        <f>QUOTIENT(ROW(A1284),48)+2&amp;"_"&amp;MOD(ROW(A1284),48)+8</f>
        <v>28_44</v>
      </c>
    </row>
    <row r="1285" spans="1:8" x14ac:dyDescent="0.2">
      <c r="A1285" s="9" t="s">
        <v>51</v>
      </c>
      <c r="C1285" t="str">
        <f>""""&amp;SUBSTITUTE(A1285,"zzz",H1285)&amp;""""&amp;","</f>
        <v>"https://www.zeldadungeon.net/maps/totk/tiles/sky/6/28_45.jpg",</v>
      </c>
      <c r="H1285" t="str">
        <f>QUOTIENT(ROW(A1285),48)+2&amp;"_"&amp;MOD(ROW(A1285),48)+8</f>
        <v>28_45</v>
      </c>
    </row>
    <row r="1286" spans="1:8" x14ac:dyDescent="0.2">
      <c r="A1286" s="9" t="s">
        <v>51</v>
      </c>
      <c r="C1286" t="str">
        <f>""""&amp;SUBSTITUTE(A1286,"zzz",H1286)&amp;""""&amp;","</f>
        <v>"https://www.zeldadungeon.net/maps/totk/tiles/sky/6/28_46.jpg",</v>
      </c>
      <c r="H1286" t="str">
        <f>QUOTIENT(ROW(A1286),48)+2&amp;"_"&amp;MOD(ROW(A1286),48)+8</f>
        <v>28_46</v>
      </c>
    </row>
    <row r="1287" spans="1:8" x14ac:dyDescent="0.2">
      <c r="A1287" s="9" t="s">
        <v>51</v>
      </c>
      <c r="C1287" t="str">
        <f>""""&amp;SUBSTITUTE(A1287,"zzz",H1287)&amp;""""&amp;","</f>
        <v>"https://www.zeldadungeon.net/maps/totk/tiles/sky/6/28_47.jpg",</v>
      </c>
      <c r="H1287" t="str">
        <f>QUOTIENT(ROW(A1287),48)+2&amp;"_"&amp;MOD(ROW(A1287),48)+8</f>
        <v>28_47</v>
      </c>
    </row>
    <row r="1288" spans="1:8" x14ac:dyDescent="0.2">
      <c r="A1288" s="9" t="s">
        <v>51</v>
      </c>
      <c r="C1288" t="str">
        <f>""""&amp;SUBSTITUTE(A1288,"zzz",H1288)&amp;""""&amp;","</f>
        <v>"https://www.zeldadungeon.net/maps/totk/tiles/sky/6/28_48.jpg",</v>
      </c>
      <c r="H1288" t="str">
        <f>QUOTIENT(ROW(A1288),48)+2&amp;"_"&amp;MOD(ROW(A1288),48)+8</f>
        <v>28_48</v>
      </c>
    </row>
    <row r="1289" spans="1:8" x14ac:dyDescent="0.2">
      <c r="A1289" s="9" t="s">
        <v>51</v>
      </c>
      <c r="C1289" t="str">
        <f>""""&amp;SUBSTITUTE(A1289,"zzz",H1289)&amp;""""&amp;","</f>
        <v>"https://www.zeldadungeon.net/maps/totk/tiles/sky/6/28_49.jpg",</v>
      </c>
      <c r="H1289" t="str">
        <f>QUOTIENT(ROW(A1289),48)+2&amp;"_"&amp;MOD(ROW(A1289),48)+8</f>
        <v>28_49</v>
      </c>
    </row>
    <row r="1290" spans="1:8" x14ac:dyDescent="0.2">
      <c r="A1290" s="9" t="s">
        <v>51</v>
      </c>
      <c r="C1290" t="str">
        <f>""""&amp;SUBSTITUTE(A1290,"zzz",H1290)&amp;""""&amp;","</f>
        <v>"https://www.zeldadungeon.net/maps/totk/tiles/sky/6/28_50.jpg",</v>
      </c>
      <c r="H1290" t="str">
        <f>QUOTIENT(ROW(A1290),48)+2&amp;"_"&amp;MOD(ROW(A1290),48)+8</f>
        <v>28_50</v>
      </c>
    </row>
    <row r="1291" spans="1:8" x14ac:dyDescent="0.2">
      <c r="A1291" s="9" t="s">
        <v>51</v>
      </c>
      <c r="C1291" t="str">
        <f>""""&amp;SUBSTITUTE(A1291,"zzz",H1291)&amp;""""&amp;","</f>
        <v>"https://www.zeldadungeon.net/maps/totk/tiles/sky/6/28_51.jpg",</v>
      </c>
      <c r="H1291" t="str">
        <f>QUOTIENT(ROW(A1291),48)+2&amp;"_"&amp;MOD(ROW(A1291),48)+8</f>
        <v>28_51</v>
      </c>
    </row>
    <row r="1292" spans="1:8" x14ac:dyDescent="0.2">
      <c r="A1292" s="9" t="s">
        <v>51</v>
      </c>
      <c r="C1292" t="str">
        <f>""""&amp;SUBSTITUTE(A1292,"zzz",H1292)&amp;""""&amp;","</f>
        <v>"https://www.zeldadungeon.net/maps/totk/tiles/sky/6/28_52.jpg",</v>
      </c>
      <c r="H1292" t="str">
        <f>QUOTIENT(ROW(A1292),48)+2&amp;"_"&amp;MOD(ROW(A1292),48)+8</f>
        <v>28_52</v>
      </c>
    </row>
    <row r="1293" spans="1:8" x14ac:dyDescent="0.2">
      <c r="A1293" s="9" t="s">
        <v>51</v>
      </c>
      <c r="C1293" t="str">
        <f>""""&amp;SUBSTITUTE(A1293,"zzz",H1293)&amp;""""&amp;","</f>
        <v>"https://www.zeldadungeon.net/maps/totk/tiles/sky/6/28_53.jpg",</v>
      </c>
      <c r="H1293" t="str">
        <f>QUOTIENT(ROW(A1293),48)+2&amp;"_"&amp;MOD(ROW(A1293),48)+8</f>
        <v>28_53</v>
      </c>
    </row>
    <row r="1294" spans="1:8" x14ac:dyDescent="0.2">
      <c r="A1294" s="9" t="s">
        <v>51</v>
      </c>
      <c r="C1294" t="str">
        <f>""""&amp;SUBSTITUTE(A1294,"zzz",H1294)&amp;""""&amp;","</f>
        <v>"https://www.zeldadungeon.net/maps/totk/tiles/sky/6/28_54.jpg",</v>
      </c>
      <c r="H1294" t="str">
        <f>QUOTIENT(ROW(A1294),48)+2&amp;"_"&amp;MOD(ROW(A1294),48)+8</f>
        <v>28_54</v>
      </c>
    </row>
    <row r="1295" spans="1:8" x14ac:dyDescent="0.2">
      <c r="A1295" s="9" t="s">
        <v>51</v>
      </c>
      <c r="C1295" t="str">
        <f>""""&amp;SUBSTITUTE(A1295,"zzz",H1295)&amp;""""&amp;","</f>
        <v>"https://www.zeldadungeon.net/maps/totk/tiles/sky/6/28_55.jpg",</v>
      </c>
      <c r="H1295" t="str">
        <f>QUOTIENT(ROW(A1295),48)+2&amp;"_"&amp;MOD(ROW(A1295),48)+8</f>
        <v>28_55</v>
      </c>
    </row>
    <row r="1296" spans="1:8" x14ac:dyDescent="0.2">
      <c r="A1296" s="9" t="s">
        <v>51</v>
      </c>
      <c r="C1296" t="str">
        <f>""""&amp;SUBSTITUTE(A1296,"zzz",H1296)&amp;""""&amp;","</f>
        <v>"https://www.zeldadungeon.net/maps/totk/tiles/sky/6/29_8.jpg",</v>
      </c>
      <c r="H1296" t="str">
        <f>QUOTIENT(ROW(A1296),48)+2&amp;"_"&amp;MOD(ROW(A1296),48)+8</f>
        <v>29_8</v>
      </c>
    </row>
    <row r="1297" spans="1:8" x14ac:dyDescent="0.2">
      <c r="A1297" s="9" t="s">
        <v>51</v>
      </c>
      <c r="C1297" t="str">
        <f>""""&amp;SUBSTITUTE(A1297,"zzz",H1297)&amp;""""&amp;","</f>
        <v>"https://www.zeldadungeon.net/maps/totk/tiles/sky/6/29_9.jpg",</v>
      </c>
      <c r="H1297" t="str">
        <f>QUOTIENT(ROW(A1297),48)+2&amp;"_"&amp;MOD(ROW(A1297),48)+8</f>
        <v>29_9</v>
      </c>
    </row>
    <row r="1298" spans="1:8" x14ac:dyDescent="0.2">
      <c r="A1298" s="9" t="s">
        <v>51</v>
      </c>
      <c r="C1298" t="str">
        <f>""""&amp;SUBSTITUTE(A1298,"zzz",H1298)&amp;""""&amp;","</f>
        <v>"https://www.zeldadungeon.net/maps/totk/tiles/sky/6/29_10.jpg",</v>
      </c>
      <c r="H1298" t="str">
        <f>QUOTIENT(ROW(A1298),48)+2&amp;"_"&amp;MOD(ROW(A1298),48)+8</f>
        <v>29_10</v>
      </c>
    </row>
    <row r="1299" spans="1:8" x14ac:dyDescent="0.2">
      <c r="A1299" s="9" t="s">
        <v>51</v>
      </c>
      <c r="C1299" t="str">
        <f>""""&amp;SUBSTITUTE(A1299,"zzz",H1299)&amp;""""&amp;","</f>
        <v>"https://www.zeldadungeon.net/maps/totk/tiles/sky/6/29_11.jpg",</v>
      </c>
      <c r="H1299" t="str">
        <f>QUOTIENT(ROW(A1299),48)+2&amp;"_"&amp;MOD(ROW(A1299),48)+8</f>
        <v>29_11</v>
      </c>
    </row>
    <row r="1300" spans="1:8" x14ac:dyDescent="0.2">
      <c r="A1300" s="9" t="s">
        <v>51</v>
      </c>
      <c r="C1300" t="str">
        <f>""""&amp;SUBSTITUTE(A1300,"zzz",H1300)&amp;""""&amp;","</f>
        <v>"https://www.zeldadungeon.net/maps/totk/tiles/sky/6/29_12.jpg",</v>
      </c>
      <c r="H1300" t="str">
        <f>QUOTIENT(ROW(A1300),48)+2&amp;"_"&amp;MOD(ROW(A1300),48)+8</f>
        <v>29_12</v>
      </c>
    </row>
    <row r="1301" spans="1:8" x14ac:dyDescent="0.2">
      <c r="A1301" s="9" t="s">
        <v>51</v>
      </c>
      <c r="C1301" t="str">
        <f>""""&amp;SUBSTITUTE(A1301,"zzz",H1301)&amp;""""&amp;","</f>
        <v>"https://www.zeldadungeon.net/maps/totk/tiles/sky/6/29_13.jpg",</v>
      </c>
      <c r="H1301" t="str">
        <f>QUOTIENT(ROW(A1301),48)+2&amp;"_"&amp;MOD(ROW(A1301),48)+8</f>
        <v>29_13</v>
      </c>
    </row>
    <row r="1302" spans="1:8" x14ac:dyDescent="0.2">
      <c r="A1302" s="9" t="s">
        <v>51</v>
      </c>
      <c r="C1302" t="str">
        <f>""""&amp;SUBSTITUTE(A1302,"zzz",H1302)&amp;""""&amp;","</f>
        <v>"https://www.zeldadungeon.net/maps/totk/tiles/sky/6/29_14.jpg",</v>
      </c>
      <c r="H1302" t="str">
        <f>QUOTIENT(ROW(A1302),48)+2&amp;"_"&amp;MOD(ROW(A1302),48)+8</f>
        <v>29_14</v>
      </c>
    </row>
    <row r="1303" spans="1:8" x14ac:dyDescent="0.2">
      <c r="A1303" s="9" t="s">
        <v>51</v>
      </c>
      <c r="C1303" t="str">
        <f>""""&amp;SUBSTITUTE(A1303,"zzz",H1303)&amp;""""&amp;","</f>
        <v>"https://www.zeldadungeon.net/maps/totk/tiles/sky/6/29_15.jpg",</v>
      </c>
      <c r="H1303" t="str">
        <f>QUOTIENT(ROW(A1303),48)+2&amp;"_"&amp;MOD(ROW(A1303),48)+8</f>
        <v>29_15</v>
      </c>
    </row>
    <row r="1304" spans="1:8" x14ac:dyDescent="0.2">
      <c r="A1304" s="9" t="s">
        <v>51</v>
      </c>
      <c r="C1304" t="str">
        <f>""""&amp;SUBSTITUTE(A1304,"zzz",H1304)&amp;""""&amp;","</f>
        <v>"https://www.zeldadungeon.net/maps/totk/tiles/sky/6/29_16.jpg",</v>
      </c>
      <c r="H1304" t="str">
        <f>QUOTIENT(ROW(A1304),48)+2&amp;"_"&amp;MOD(ROW(A1304),48)+8</f>
        <v>29_16</v>
      </c>
    </row>
    <row r="1305" spans="1:8" x14ac:dyDescent="0.2">
      <c r="A1305" s="9" t="s">
        <v>51</v>
      </c>
      <c r="C1305" t="str">
        <f>""""&amp;SUBSTITUTE(A1305,"zzz",H1305)&amp;""""&amp;","</f>
        <v>"https://www.zeldadungeon.net/maps/totk/tiles/sky/6/29_17.jpg",</v>
      </c>
      <c r="H1305" t="str">
        <f>QUOTIENT(ROW(A1305),48)+2&amp;"_"&amp;MOD(ROW(A1305),48)+8</f>
        <v>29_17</v>
      </c>
    </row>
    <row r="1306" spans="1:8" x14ac:dyDescent="0.2">
      <c r="A1306" s="9" t="s">
        <v>51</v>
      </c>
      <c r="C1306" t="str">
        <f>""""&amp;SUBSTITUTE(A1306,"zzz",H1306)&amp;""""&amp;","</f>
        <v>"https://www.zeldadungeon.net/maps/totk/tiles/sky/6/29_18.jpg",</v>
      </c>
      <c r="H1306" t="str">
        <f>QUOTIENT(ROW(A1306),48)+2&amp;"_"&amp;MOD(ROW(A1306),48)+8</f>
        <v>29_18</v>
      </c>
    </row>
    <row r="1307" spans="1:8" x14ac:dyDescent="0.2">
      <c r="A1307" s="9" t="s">
        <v>51</v>
      </c>
      <c r="C1307" t="str">
        <f>""""&amp;SUBSTITUTE(A1307,"zzz",H1307)&amp;""""&amp;","</f>
        <v>"https://www.zeldadungeon.net/maps/totk/tiles/sky/6/29_19.jpg",</v>
      </c>
      <c r="H1307" t="str">
        <f>QUOTIENT(ROW(A1307),48)+2&amp;"_"&amp;MOD(ROW(A1307),48)+8</f>
        <v>29_19</v>
      </c>
    </row>
    <row r="1308" spans="1:8" x14ac:dyDescent="0.2">
      <c r="A1308" s="9" t="s">
        <v>51</v>
      </c>
      <c r="C1308" t="str">
        <f>""""&amp;SUBSTITUTE(A1308,"zzz",H1308)&amp;""""&amp;","</f>
        <v>"https://www.zeldadungeon.net/maps/totk/tiles/sky/6/29_20.jpg",</v>
      </c>
      <c r="H1308" t="str">
        <f>QUOTIENT(ROW(A1308),48)+2&amp;"_"&amp;MOD(ROW(A1308),48)+8</f>
        <v>29_20</v>
      </c>
    </row>
    <row r="1309" spans="1:8" x14ac:dyDescent="0.2">
      <c r="A1309" s="9" t="s">
        <v>51</v>
      </c>
      <c r="C1309" t="str">
        <f>""""&amp;SUBSTITUTE(A1309,"zzz",H1309)&amp;""""&amp;","</f>
        <v>"https://www.zeldadungeon.net/maps/totk/tiles/sky/6/29_21.jpg",</v>
      </c>
      <c r="H1309" t="str">
        <f>QUOTIENT(ROW(A1309),48)+2&amp;"_"&amp;MOD(ROW(A1309),48)+8</f>
        <v>29_21</v>
      </c>
    </row>
    <row r="1310" spans="1:8" x14ac:dyDescent="0.2">
      <c r="A1310" s="9" t="s">
        <v>51</v>
      </c>
      <c r="C1310" t="str">
        <f>""""&amp;SUBSTITUTE(A1310,"zzz",H1310)&amp;""""&amp;","</f>
        <v>"https://www.zeldadungeon.net/maps/totk/tiles/sky/6/29_22.jpg",</v>
      </c>
      <c r="H1310" t="str">
        <f>QUOTIENT(ROW(A1310),48)+2&amp;"_"&amp;MOD(ROW(A1310),48)+8</f>
        <v>29_22</v>
      </c>
    </row>
    <row r="1311" spans="1:8" x14ac:dyDescent="0.2">
      <c r="A1311" s="9" t="s">
        <v>51</v>
      </c>
      <c r="C1311" t="str">
        <f>""""&amp;SUBSTITUTE(A1311,"zzz",H1311)&amp;""""&amp;","</f>
        <v>"https://www.zeldadungeon.net/maps/totk/tiles/sky/6/29_23.jpg",</v>
      </c>
      <c r="H1311" t="str">
        <f>QUOTIENT(ROW(A1311),48)+2&amp;"_"&amp;MOD(ROW(A1311),48)+8</f>
        <v>29_23</v>
      </c>
    </row>
    <row r="1312" spans="1:8" x14ac:dyDescent="0.2">
      <c r="A1312" s="9" t="s">
        <v>51</v>
      </c>
      <c r="C1312" t="str">
        <f>""""&amp;SUBSTITUTE(A1312,"zzz",H1312)&amp;""""&amp;","</f>
        <v>"https://www.zeldadungeon.net/maps/totk/tiles/sky/6/29_24.jpg",</v>
      </c>
      <c r="H1312" t="str">
        <f>QUOTIENT(ROW(A1312),48)+2&amp;"_"&amp;MOD(ROW(A1312),48)+8</f>
        <v>29_24</v>
      </c>
    </row>
    <row r="1313" spans="1:8" x14ac:dyDescent="0.2">
      <c r="A1313" s="9" t="s">
        <v>51</v>
      </c>
      <c r="C1313" t="str">
        <f>""""&amp;SUBSTITUTE(A1313,"zzz",H1313)&amp;""""&amp;","</f>
        <v>"https://www.zeldadungeon.net/maps/totk/tiles/sky/6/29_25.jpg",</v>
      </c>
      <c r="H1313" t="str">
        <f>QUOTIENT(ROW(A1313),48)+2&amp;"_"&amp;MOD(ROW(A1313),48)+8</f>
        <v>29_25</v>
      </c>
    </row>
    <row r="1314" spans="1:8" x14ac:dyDescent="0.2">
      <c r="A1314" s="9" t="s">
        <v>51</v>
      </c>
      <c r="C1314" t="str">
        <f>""""&amp;SUBSTITUTE(A1314,"zzz",H1314)&amp;""""&amp;","</f>
        <v>"https://www.zeldadungeon.net/maps/totk/tiles/sky/6/29_26.jpg",</v>
      </c>
      <c r="H1314" t="str">
        <f>QUOTIENT(ROW(A1314),48)+2&amp;"_"&amp;MOD(ROW(A1314),48)+8</f>
        <v>29_26</v>
      </c>
    </row>
    <row r="1315" spans="1:8" x14ac:dyDescent="0.2">
      <c r="A1315" s="9" t="s">
        <v>51</v>
      </c>
      <c r="C1315" t="str">
        <f>""""&amp;SUBSTITUTE(A1315,"zzz",H1315)&amp;""""&amp;","</f>
        <v>"https://www.zeldadungeon.net/maps/totk/tiles/sky/6/29_27.jpg",</v>
      </c>
      <c r="H1315" t="str">
        <f>QUOTIENT(ROW(A1315),48)+2&amp;"_"&amp;MOD(ROW(A1315),48)+8</f>
        <v>29_27</v>
      </c>
    </row>
    <row r="1316" spans="1:8" x14ac:dyDescent="0.2">
      <c r="A1316" s="9" t="s">
        <v>51</v>
      </c>
      <c r="C1316" t="str">
        <f>""""&amp;SUBSTITUTE(A1316,"zzz",H1316)&amp;""""&amp;","</f>
        <v>"https://www.zeldadungeon.net/maps/totk/tiles/sky/6/29_28.jpg",</v>
      </c>
      <c r="H1316" t="str">
        <f>QUOTIENT(ROW(A1316),48)+2&amp;"_"&amp;MOD(ROW(A1316),48)+8</f>
        <v>29_28</v>
      </c>
    </row>
    <row r="1317" spans="1:8" x14ac:dyDescent="0.2">
      <c r="A1317" s="9" t="s">
        <v>51</v>
      </c>
      <c r="C1317" t="str">
        <f>""""&amp;SUBSTITUTE(A1317,"zzz",H1317)&amp;""""&amp;","</f>
        <v>"https://www.zeldadungeon.net/maps/totk/tiles/sky/6/29_29.jpg",</v>
      </c>
      <c r="H1317" t="str">
        <f>QUOTIENT(ROW(A1317),48)+2&amp;"_"&amp;MOD(ROW(A1317),48)+8</f>
        <v>29_29</v>
      </c>
    </row>
    <row r="1318" spans="1:8" x14ac:dyDescent="0.2">
      <c r="A1318" s="9" t="s">
        <v>51</v>
      </c>
      <c r="C1318" t="str">
        <f>""""&amp;SUBSTITUTE(A1318,"zzz",H1318)&amp;""""&amp;","</f>
        <v>"https://www.zeldadungeon.net/maps/totk/tiles/sky/6/29_30.jpg",</v>
      </c>
      <c r="H1318" t="str">
        <f>QUOTIENT(ROW(A1318),48)+2&amp;"_"&amp;MOD(ROW(A1318),48)+8</f>
        <v>29_30</v>
      </c>
    </row>
    <row r="1319" spans="1:8" x14ac:dyDescent="0.2">
      <c r="A1319" s="9" t="s">
        <v>51</v>
      </c>
      <c r="C1319" t="str">
        <f>""""&amp;SUBSTITUTE(A1319,"zzz",H1319)&amp;""""&amp;","</f>
        <v>"https://www.zeldadungeon.net/maps/totk/tiles/sky/6/29_31.jpg",</v>
      </c>
      <c r="H1319" t="str">
        <f>QUOTIENT(ROW(A1319),48)+2&amp;"_"&amp;MOD(ROW(A1319),48)+8</f>
        <v>29_31</v>
      </c>
    </row>
    <row r="1320" spans="1:8" x14ac:dyDescent="0.2">
      <c r="A1320" s="9" t="s">
        <v>51</v>
      </c>
      <c r="C1320" t="str">
        <f>""""&amp;SUBSTITUTE(A1320,"zzz",H1320)&amp;""""&amp;","</f>
        <v>"https://www.zeldadungeon.net/maps/totk/tiles/sky/6/29_32.jpg",</v>
      </c>
      <c r="H1320" t="str">
        <f>QUOTIENT(ROW(A1320),48)+2&amp;"_"&amp;MOD(ROW(A1320),48)+8</f>
        <v>29_32</v>
      </c>
    </row>
    <row r="1321" spans="1:8" x14ac:dyDescent="0.2">
      <c r="A1321" s="9" t="s">
        <v>51</v>
      </c>
      <c r="C1321" t="str">
        <f>""""&amp;SUBSTITUTE(A1321,"zzz",H1321)&amp;""""&amp;","</f>
        <v>"https://www.zeldadungeon.net/maps/totk/tiles/sky/6/29_33.jpg",</v>
      </c>
      <c r="H1321" t="str">
        <f>QUOTIENT(ROW(A1321),48)+2&amp;"_"&amp;MOD(ROW(A1321),48)+8</f>
        <v>29_33</v>
      </c>
    </row>
    <row r="1322" spans="1:8" x14ac:dyDescent="0.2">
      <c r="A1322" s="9" t="s">
        <v>51</v>
      </c>
      <c r="C1322" t="str">
        <f>""""&amp;SUBSTITUTE(A1322,"zzz",H1322)&amp;""""&amp;","</f>
        <v>"https://www.zeldadungeon.net/maps/totk/tiles/sky/6/29_34.jpg",</v>
      </c>
      <c r="H1322" t="str">
        <f>QUOTIENT(ROW(A1322),48)+2&amp;"_"&amp;MOD(ROW(A1322),48)+8</f>
        <v>29_34</v>
      </c>
    </row>
    <row r="1323" spans="1:8" x14ac:dyDescent="0.2">
      <c r="A1323" s="9" t="s">
        <v>51</v>
      </c>
      <c r="C1323" t="str">
        <f>""""&amp;SUBSTITUTE(A1323,"zzz",H1323)&amp;""""&amp;","</f>
        <v>"https://www.zeldadungeon.net/maps/totk/tiles/sky/6/29_35.jpg",</v>
      </c>
      <c r="H1323" t="str">
        <f>QUOTIENT(ROW(A1323),48)+2&amp;"_"&amp;MOD(ROW(A1323),48)+8</f>
        <v>29_35</v>
      </c>
    </row>
    <row r="1324" spans="1:8" x14ac:dyDescent="0.2">
      <c r="A1324" s="9" t="s">
        <v>51</v>
      </c>
      <c r="C1324" t="str">
        <f>""""&amp;SUBSTITUTE(A1324,"zzz",H1324)&amp;""""&amp;","</f>
        <v>"https://www.zeldadungeon.net/maps/totk/tiles/sky/6/29_36.jpg",</v>
      </c>
      <c r="H1324" t="str">
        <f>QUOTIENT(ROW(A1324),48)+2&amp;"_"&amp;MOD(ROW(A1324),48)+8</f>
        <v>29_36</v>
      </c>
    </row>
    <row r="1325" spans="1:8" x14ac:dyDescent="0.2">
      <c r="A1325" s="9" t="s">
        <v>51</v>
      </c>
      <c r="C1325" t="str">
        <f>""""&amp;SUBSTITUTE(A1325,"zzz",H1325)&amp;""""&amp;","</f>
        <v>"https://www.zeldadungeon.net/maps/totk/tiles/sky/6/29_37.jpg",</v>
      </c>
      <c r="H1325" t="str">
        <f>QUOTIENT(ROW(A1325),48)+2&amp;"_"&amp;MOD(ROW(A1325),48)+8</f>
        <v>29_37</v>
      </c>
    </row>
    <row r="1326" spans="1:8" x14ac:dyDescent="0.2">
      <c r="A1326" s="9" t="s">
        <v>51</v>
      </c>
      <c r="C1326" t="str">
        <f>""""&amp;SUBSTITUTE(A1326,"zzz",H1326)&amp;""""&amp;","</f>
        <v>"https://www.zeldadungeon.net/maps/totk/tiles/sky/6/29_38.jpg",</v>
      </c>
      <c r="H1326" t="str">
        <f>QUOTIENT(ROW(A1326),48)+2&amp;"_"&amp;MOD(ROW(A1326),48)+8</f>
        <v>29_38</v>
      </c>
    </row>
    <row r="1327" spans="1:8" x14ac:dyDescent="0.2">
      <c r="A1327" s="9" t="s">
        <v>51</v>
      </c>
      <c r="C1327" t="str">
        <f>""""&amp;SUBSTITUTE(A1327,"zzz",H1327)&amp;""""&amp;","</f>
        <v>"https://www.zeldadungeon.net/maps/totk/tiles/sky/6/29_39.jpg",</v>
      </c>
      <c r="H1327" t="str">
        <f>QUOTIENT(ROW(A1327),48)+2&amp;"_"&amp;MOD(ROW(A1327),48)+8</f>
        <v>29_39</v>
      </c>
    </row>
    <row r="1328" spans="1:8" x14ac:dyDescent="0.2">
      <c r="A1328" s="9" t="s">
        <v>51</v>
      </c>
      <c r="C1328" t="str">
        <f>""""&amp;SUBSTITUTE(A1328,"zzz",H1328)&amp;""""&amp;","</f>
        <v>"https://www.zeldadungeon.net/maps/totk/tiles/sky/6/29_40.jpg",</v>
      </c>
      <c r="H1328" t="str">
        <f>QUOTIENT(ROW(A1328),48)+2&amp;"_"&amp;MOD(ROW(A1328),48)+8</f>
        <v>29_40</v>
      </c>
    </row>
    <row r="1329" spans="1:8" x14ac:dyDescent="0.2">
      <c r="A1329" s="9" t="s">
        <v>51</v>
      </c>
      <c r="C1329" t="str">
        <f>""""&amp;SUBSTITUTE(A1329,"zzz",H1329)&amp;""""&amp;","</f>
        <v>"https://www.zeldadungeon.net/maps/totk/tiles/sky/6/29_41.jpg",</v>
      </c>
      <c r="H1329" t="str">
        <f>QUOTIENT(ROW(A1329),48)+2&amp;"_"&amp;MOD(ROW(A1329),48)+8</f>
        <v>29_41</v>
      </c>
    </row>
    <row r="1330" spans="1:8" x14ac:dyDescent="0.2">
      <c r="A1330" s="9" t="s">
        <v>51</v>
      </c>
      <c r="C1330" t="str">
        <f>""""&amp;SUBSTITUTE(A1330,"zzz",H1330)&amp;""""&amp;","</f>
        <v>"https://www.zeldadungeon.net/maps/totk/tiles/sky/6/29_42.jpg",</v>
      </c>
      <c r="H1330" t="str">
        <f>QUOTIENT(ROW(A1330),48)+2&amp;"_"&amp;MOD(ROW(A1330),48)+8</f>
        <v>29_42</v>
      </c>
    </row>
    <row r="1331" spans="1:8" x14ac:dyDescent="0.2">
      <c r="A1331" s="9" t="s">
        <v>51</v>
      </c>
      <c r="C1331" t="str">
        <f>""""&amp;SUBSTITUTE(A1331,"zzz",H1331)&amp;""""&amp;","</f>
        <v>"https://www.zeldadungeon.net/maps/totk/tiles/sky/6/29_43.jpg",</v>
      </c>
      <c r="H1331" t="str">
        <f>QUOTIENT(ROW(A1331),48)+2&amp;"_"&amp;MOD(ROW(A1331),48)+8</f>
        <v>29_43</v>
      </c>
    </row>
    <row r="1332" spans="1:8" x14ac:dyDescent="0.2">
      <c r="A1332" s="9" t="s">
        <v>51</v>
      </c>
      <c r="C1332" t="str">
        <f>""""&amp;SUBSTITUTE(A1332,"zzz",H1332)&amp;""""&amp;","</f>
        <v>"https://www.zeldadungeon.net/maps/totk/tiles/sky/6/29_44.jpg",</v>
      </c>
      <c r="H1332" t="str">
        <f>QUOTIENT(ROW(A1332),48)+2&amp;"_"&amp;MOD(ROW(A1332),48)+8</f>
        <v>29_44</v>
      </c>
    </row>
    <row r="1333" spans="1:8" x14ac:dyDescent="0.2">
      <c r="A1333" s="9" t="s">
        <v>51</v>
      </c>
      <c r="C1333" t="str">
        <f>""""&amp;SUBSTITUTE(A1333,"zzz",H1333)&amp;""""&amp;","</f>
        <v>"https://www.zeldadungeon.net/maps/totk/tiles/sky/6/29_45.jpg",</v>
      </c>
      <c r="H1333" t="str">
        <f>QUOTIENT(ROW(A1333),48)+2&amp;"_"&amp;MOD(ROW(A1333),48)+8</f>
        <v>29_45</v>
      </c>
    </row>
    <row r="1334" spans="1:8" x14ac:dyDescent="0.2">
      <c r="A1334" s="9" t="s">
        <v>51</v>
      </c>
      <c r="C1334" t="str">
        <f>""""&amp;SUBSTITUTE(A1334,"zzz",H1334)&amp;""""&amp;","</f>
        <v>"https://www.zeldadungeon.net/maps/totk/tiles/sky/6/29_46.jpg",</v>
      </c>
      <c r="H1334" t="str">
        <f>QUOTIENT(ROW(A1334),48)+2&amp;"_"&amp;MOD(ROW(A1334),48)+8</f>
        <v>29_46</v>
      </c>
    </row>
    <row r="1335" spans="1:8" x14ac:dyDescent="0.2">
      <c r="A1335" s="9" t="s">
        <v>51</v>
      </c>
      <c r="C1335" t="str">
        <f>""""&amp;SUBSTITUTE(A1335,"zzz",H1335)&amp;""""&amp;","</f>
        <v>"https://www.zeldadungeon.net/maps/totk/tiles/sky/6/29_47.jpg",</v>
      </c>
      <c r="H1335" t="str">
        <f>QUOTIENT(ROW(A1335),48)+2&amp;"_"&amp;MOD(ROW(A1335),48)+8</f>
        <v>29_47</v>
      </c>
    </row>
    <row r="1336" spans="1:8" x14ac:dyDescent="0.2">
      <c r="A1336" s="9" t="s">
        <v>51</v>
      </c>
      <c r="C1336" t="str">
        <f>""""&amp;SUBSTITUTE(A1336,"zzz",H1336)&amp;""""&amp;","</f>
        <v>"https://www.zeldadungeon.net/maps/totk/tiles/sky/6/29_48.jpg",</v>
      </c>
      <c r="H1336" t="str">
        <f>QUOTIENT(ROW(A1336),48)+2&amp;"_"&amp;MOD(ROW(A1336),48)+8</f>
        <v>29_48</v>
      </c>
    </row>
    <row r="1337" spans="1:8" x14ac:dyDescent="0.2">
      <c r="A1337" s="9" t="s">
        <v>51</v>
      </c>
      <c r="C1337" t="str">
        <f>""""&amp;SUBSTITUTE(A1337,"zzz",H1337)&amp;""""&amp;","</f>
        <v>"https://www.zeldadungeon.net/maps/totk/tiles/sky/6/29_49.jpg",</v>
      </c>
      <c r="H1337" t="str">
        <f>QUOTIENT(ROW(A1337),48)+2&amp;"_"&amp;MOD(ROW(A1337),48)+8</f>
        <v>29_49</v>
      </c>
    </row>
    <row r="1338" spans="1:8" x14ac:dyDescent="0.2">
      <c r="A1338" s="9" t="s">
        <v>51</v>
      </c>
      <c r="C1338" t="str">
        <f>""""&amp;SUBSTITUTE(A1338,"zzz",H1338)&amp;""""&amp;","</f>
        <v>"https://www.zeldadungeon.net/maps/totk/tiles/sky/6/29_50.jpg",</v>
      </c>
      <c r="H1338" t="str">
        <f>QUOTIENT(ROW(A1338),48)+2&amp;"_"&amp;MOD(ROW(A1338),48)+8</f>
        <v>29_50</v>
      </c>
    </row>
    <row r="1339" spans="1:8" x14ac:dyDescent="0.2">
      <c r="A1339" s="9" t="s">
        <v>51</v>
      </c>
      <c r="C1339" t="str">
        <f>""""&amp;SUBSTITUTE(A1339,"zzz",H1339)&amp;""""&amp;","</f>
        <v>"https://www.zeldadungeon.net/maps/totk/tiles/sky/6/29_51.jpg",</v>
      </c>
      <c r="H1339" t="str">
        <f>QUOTIENT(ROW(A1339),48)+2&amp;"_"&amp;MOD(ROW(A1339),48)+8</f>
        <v>29_51</v>
      </c>
    </row>
    <row r="1340" spans="1:8" x14ac:dyDescent="0.2">
      <c r="A1340" s="9" t="s">
        <v>51</v>
      </c>
      <c r="C1340" t="str">
        <f>""""&amp;SUBSTITUTE(A1340,"zzz",H1340)&amp;""""&amp;","</f>
        <v>"https://www.zeldadungeon.net/maps/totk/tiles/sky/6/29_52.jpg",</v>
      </c>
      <c r="H1340" t="str">
        <f>QUOTIENT(ROW(A1340),48)+2&amp;"_"&amp;MOD(ROW(A1340),48)+8</f>
        <v>29_52</v>
      </c>
    </row>
    <row r="1341" spans="1:8" x14ac:dyDescent="0.2">
      <c r="A1341" s="9" t="s">
        <v>51</v>
      </c>
      <c r="C1341" t="str">
        <f>""""&amp;SUBSTITUTE(A1341,"zzz",H1341)&amp;""""&amp;","</f>
        <v>"https://www.zeldadungeon.net/maps/totk/tiles/sky/6/29_53.jpg",</v>
      </c>
      <c r="H1341" t="str">
        <f>QUOTIENT(ROW(A1341),48)+2&amp;"_"&amp;MOD(ROW(A1341),48)+8</f>
        <v>29_53</v>
      </c>
    </row>
    <row r="1342" spans="1:8" x14ac:dyDescent="0.2">
      <c r="A1342" s="9" t="s">
        <v>51</v>
      </c>
      <c r="C1342" t="str">
        <f>""""&amp;SUBSTITUTE(A1342,"zzz",H1342)&amp;""""&amp;","</f>
        <v>"https://www.zeldadungeon.net/maps/totk/tiles/sky/6/29_54.jpg",</v>
      </c>
      <c r="H1342" t="str">
        <f>QUOTIENT(ROW(A1342),48)+2&amp;"_"&amp;MOD(ROW(A1342),48)+8</f>
        <v>29_54</v>
      </c>
    </row>
    <row r="1343" spans="1:8" x14ac:dyDescent="0.2">
      <c r="A1343" s="9" t="s">
        <v>51</v>
      </c>
      <c r="C1343" t="str">
        <f>""""&amp;SUBSTITUTE(A1343,"zzz",H1343)&amp;""""&amp;","</f>
        <v>"https://www.zeldadungeon.net/maps/totk/tiles/sky/6/29_55.jpg",</v>
      </c>
      <c r="H1343" t="str">
        <f>QUOTIENT(ROW(A1343),48)+2&amp;"_"&amp;MOD(ROW(A1343),48)+8</f>
        <v>29_55</v>
      </c>
    </row>
    <row r="1344" spans="1:8" x14ac:dyDescent="0.2">
      <c r="A1344" s="9" t="s">
        <v>51</v>
      </c>
      <c r="C1344" t="str">
        <f>""""&amp;SUBSTITUTE(A1344,"zzz",H1344)&amp;""""&amp;","</f>
        <v>"https://www.zeldadungeon.net/maps/totk/tiles/sky/6/30_8.jpg",</v>
      </c>
      <c r="H1344" t="str">
        <f>QUOTIENT(ROW(A1344),48)+2&amp;"_"&amp;MOD(ROW(A1344),48)+8</f>
        <v>30_8</v>
      </c>
    </row>
    <row r="1345" spans="1:8" x14ac:dyDescent="0.2">
      <c r="A1345" s="9" t="s">
        <v>51</v>
      </c>
      <c r="C1345" t="str">
        <f>""""&amp;SUBSTITUTE(A1345,"zzz",H1345)&amp;""""&amp;","</f>
        <v>"https://www.zeldadungeon.net/maps/totk/tiles/sky/6/30_9.jpg",</v>
      </c>
      <c r="H1345" t="str">
        <f>QUOTIENT(ROW(A1345),48)+2&amp;"_"&amp;MOD(ROW(A1345),48)+8</f>
        <v>30_9</v>
      </c>
    </row>
    <row r="1346" spans="1:8" x14ac:dyDescent="0.2">
      <c r="A1346" s="9" t="s">
        <v>51</v>
      </c>
      <c r="C1346" t="str">
        <f>""""&amp;SUBSTITUTE(A1346,"zzz",H1346)&amp;""""&amp;","</f>
        <v>"https://www.zeldadungeon.net/maps/totk/tiles/sky/6/30_10.jpg",</v>
      </c>
      <c r="H1346" t="str">
        <f>QUOTIENT(ROW(A1346),48)+2&amp;"_"&amp;MOD(ROW(A1346),48)+8</f>
        <v>30_10</v>
      </c>
    </row>
    <row r="1347" spans="1:8" x14ac:dyDescent="0.2">
      <c r="A1347" s="9" t="s">
        <v>51</v>
      </c>
      <c r="C1347" t="str">
        <f>""""&amp;SUBSTITUTE(A1347,"zzz",H1347)&amp;""""&amp;","</f>
        <v>"https://www.zeldadungeon.net/maps/totk/tiles/sky/6/30_11.jpg",</v>
      </c>
      <c r="H1347" t="str">
        <f>QUOTIENT(ROW(A1347),48)+2&amp;"_"&amp;MOD(ROW(A1347),48)+8</f>
        <v>30_11</v>
      </c>
    </row>
    <row r="1348" spans="1:8" x14ac:dyDescent="0.2">
      <c r="A1348" s="9" t="s">
        <v>51</v>
      </c>
      <c r="C1348" t="str">
        <f>""""&amp;SUBSTITUTE(A1348,"zzz",H1348)&amp;""""&amp;","</f>
        <v>"https://www.zeldadungeon.net/maps/totk/tiles/sky/6/30_12.jpg",</v>
      </c>
      <c r="H1348" t="str">
        <f>QUOTIENT(ROW(A1348),48)+2&amp;"_"&amp;MOD(ROW(A1348),48)+8</f>
        <v>30_12</v>
      </c>
    </row>
    <row r="1349" spans="1:8" x14ac:dyDescent="0.2">
      <c r="A1349" s="9" t="s">
        <v>51</v>
      </c>
      <c r="C1349" t="str">
        <f>""""&amp;SUBSTITUTE(A1349,"zzz",H1349)&amp;""""&amp;","</f>
        <v>"https://www.zeldadungeon.net/maps/totk/tiles/sky/6/30_13.jpg",</v>
      </c>
      <c r="H1349" t="str">
        <f>QUOTIENT(ROW(A1349),48)+2&amp;"_"&amp;MOD(ROW(A1349),48)+8</f>
        <v>30_13</v>
      </c>
    </row>
    <row r="1350" spans="1:8" x14ac:dyDescent="0.2">
      <c r="A1350" s="9" t="s">
        <v>51</v>
      </c>
      <c r="C1350" t="str">
        <f>""""&amp;SUBSTITUTE(A1350,"zzz",H1350)&amp;""""&amp;","</f>
        <v>"https://www.zeldadungeon.net/maps/totk/tiles/sky/6/30_14.jpg",</v>
      </c>
      <c r="H1350" t="str">
        <f>QUOTIENT(ROW(A1350),48)+2&amp;"_"&amp;MOD(ROW(A1350),48)+8</f>
        <v>30_14</v>
      </c>
    </row>
    <row r="1351" spans="1:8" x14ac:dyDescent="0.2">
      <c r="A1351" s="9" t="s">
        <v>51</v>
      </c>
      <c r="C1351" t="str">
        <f>""""&amp;SUBSTITUTE(A1351,"zzz",H1351)&amp;""""&amp;","</f>
        <v>"https://www.zeldadungeon.net/maps/totk/tiles/sky/6/30_15.jpg",</v>
      </c>
      <c r="H1351" t="str">
        <f>QUOTIENT(ROW(A1351),48)+2&amp;"_"&amp;MOD(ROW(A1351),48)+8</f>
        <v>30_15</v>
      </c>
    </row>
    <row r="1352" spans="1:8" x14ac:dyDescent="0.2">
      <c r="A1352" s="9" t="s">
        <v>51</v>
      </c>
      <c r="C1352" t="str">
        <f>""""&amp;SUBSTITUTE(A1352,"zzz",H1352)&amp;""""&amp;","</f>
        <v>"https://www.zeldadungeon.net/maps/totk/tiles/sky/6/30_16.jpg",</v>
      </c>
      <c r="H1352" t="str">
        <f>QUOTIENT(ROW(A1352),48)+2&amp;"_"&amp;MOD(ROW(A1352),48)+8</f>
        <v>30_16</v>
      </c>
    </row>
    <row r="1353" spans="1:8" x14ac:dyDescent="0.2">
      <c r="A1353" s="9" t="s">
        <v>51</v>
      </c>
      <c r="C1353" t="str">
        <f>""""&amp;SUBSTITUTE(A1353,"zzz",H1353)&amp;""""&amp;","</f>
        <v>"https://www.zeldadungeon.net/maps/totk/tiles/sky/6/30_17.jpg",</v>
      </c>
      <c r="H1353" t="str">
        <f>QUOTIENT(ROW(A1353),48)+2&amp;"_"&amp;MOD(ROW(A1353),48)+8</f>
        <v>30_17</v>
      </c>
    </row>
    <row r="1354" spans="1:8" x14ac:dyDescent="0.2">
      <c r="A1354" s="9" t="s">
        <v>51</v>
      </c>
      <c r="C1354" t="str">
        <f>""""&amp;SUBSTITUTE(A1354,"zzz",H1354)&amp;""""&amp;","</f>
        <v>"https://www.zeldadungeon.net/maps/totk/tiles/sky/6/30_18.jpg",</v>
      </c>
      <c r="H1354" t="str">
        <f>QUOTIENT(ROW(A1354),48)+2&amp;"_"&amp;MOD(ROW(A1354),48)+8</f>
        <v>30_18</v>
      </c>
    </row>
    <row r="1355" spans="1:8" x14ac:dyDescent="0.2">
      <c r="A1355" s="9" t="s">
        <v>51</v>
      </c>
      <c r="C1355" t="str">
        <f>""""&amp;SUBSTITUTE(A1355,"zzz",H1355)&amp;""""&amp;","</f>
        <v>"https://www.zeldadungeon.net/maps/totk/tiles/sky/6/30_19.jpg",</v>
      </c>
      <c r="H1355" t="str">
        <f>QUOTIENT(ROW(A1355),48)+2&amp;"_"&amp;MOD(ROW(A1355),48)+8</f>
        <v>30_19</v>
      </c>
    </row>
    <row r="1356" spans="1:8" x14ac:dyDescent="0.2">
      <c r="A1356" s="9" t="s">
        <v>51</v>
      </c>
      <c r="C1356" t="str">
        <f>""""&amp;SUBSTITUTE(A1356,"zzz",H1356)&amp;""""&amp;","</f>
        <v>"https://www.zeldadungeon.net/maps/totk/tiles/sky/6/30_20.jpg",</v>
      </c>
      <c r="H1356" t="str">
        <f>QUOTIENT(ROW(A1356),48)+2&amp;"_"&amp;MOD(ROW(A1356),48)+8</f>
        <v>30_20</v>
      </c>
    </row>
    <row r="1357" spans="1:8" x14ac:dyDescent="0.2">
      <c r="A1357" s="9" t="s">
        <v>51</v>
      </c>
      <c r="C1357" t="str">
        <f>""""&amp;SUBSTITUTE(A1357,"zzz",H1357)&amp;""""&amp;","</f>
        <v>"https://www.zeldadungeon.net/maps/totk/tiles/sky/6/30_21.jpg",</v>
      </c>
      <c r="H1357" t="str">
        <f>QUOTIENT(ROW(A1357),48)+2&amp;"_"&amp;MOD(ROW(A1357),48)+8</f>
        <v>30_21</v>
      </c>
    </row>
    <row r="1358" spans="1:8" x14ac:dyDescent="0.2">
      <c r="A1358" s="9" t="s">
        <v>51</v>
      </c>
      <c r="C1358" t="str">
        <f>""""&amp;SUBSTITUTE(A1358,"zzz",H1358)&amp;""""&amp;","</f>
        <v>"https://www.zeldadungeon.net/maps/totk/tiles/sky/6/30_22.jpg",</v>
      </c>
      <c r="H1358" t="str">
        <f>QUOTIENT(ROW(A1358),48)+2&amp;"_"&amp;MOD(ROW(A1358),48)+8</f>
        <v>30_22</v>
      </c>
    </row>
    <row r="1359" spans="1:8" x14ac:dyDescent="0.2">
      <c r="A1359" s="9" t="s">
        <v>51</v>
      </c>
      <c r="C1359" t="str">
        <f>""""&amp;SUBSTITUTE(A1359,"zzz",H1359)&amp;""""&amp;","</f>
        <v>"https://www.zeldadungeon.net/maps/totk/tiles/sky/6/30_23.jpg",</v>
      </c>
      <c r="H1359" t="str">
        <f>QUOTIENT(ROW(A1359),48)+2&amp;"_"&amp;MOD(ROW(A1359),48)+8</f>
        <v>30_23</v>
      </c>
    </row>
    <row r="1360" spans="1:8" x14ac:dyDescent="0.2">
      <c r="A1360" s="9" t="s">
        <v>51</v>
      </c>
      <c r="C1360" t="str">
        <f>""""&amp;SUBSTITUTE(A1360,"zzz",H1360)&amp;""""&amp;","</f>
        <v>"https://www.zeldadungeon.net/maps/totk/tiles/sky/6/30_24.jpg",</v>
      </c>
      <c r="H1360" t="str">
        <f>QUOTIENT(ROW(A1360),48)+2&amp;"_"&amp;MOD(ROW(A1360),48)+8</f>
        <v>30_24</v>
      </c>
    </row>
    <row r="1361" spans="1:8" x14ac:dyDescent="0.2">
      <c r="A1361" s="9" t="s">
        <v>51</v>
      </c>
      <c r="C1361" t="str">
        <f>""""&amp;SUBSTITUTE(A1361,"zzz",H1361)&amp;""""&amp;","</f>
        <v>"https://www.zeldadungeon.net/maps/totk/tiles/sky/6/30_25.jpg",</v>
      </c>
      <c r="H1361" t="str">
        <f>QUOTIENT(ROW(A1361),48)+2&amp;"_"&amp;MOD(ROW(A1361),48)+8</f>
        <v>30_25</v>
      </c>
    </row>
    <row r="1362" spans="1:8" x14ac:dyDescent="0.2">
      <c r="A1362" s="9" t="s">
        <v>51</v>
      </c>
      <c r="C1362" t="str">
        <f>""""&amp;SUBSTITUTE(A1362,"zzz",H1362)&amp;""""&amp;","</f>
        <v>"https://www.zeldadungeon.net/maps/totk/tiles/sky/6/30_26.jpg",</v>
      </c>
      <c r="H1362" t="str">
        <f>QUOTIENT(ROW(A1362),48)+2&amp;"_"&amp;MOD(ROW(A1362),48)+8</f>
        <v>30_26</v>
      </c>
    </row>
    <row r="1363" spans="1:8" x14ac:dyDescent="0.2">
      <c r="A1363" s="9" t="s">
        <v>51</v>
      </c>
      <c r="C1363" t="str">
        <f>""""&amp;SUBSTITUTE(A1363,"zzz",H1363)&amp;""""&amp;","</f>
        <v>"https://www.zeldadungeon.net/maps/totk/tiles/sky/6/30_27.jpg",</v>
      </c>
      <c r="H1363" t="str">
        <f>QUOTIENT(ROW(A1363),48)+2&amp;"_"&amp;MOD(ROW(A1363),48)+8</f>
        <v>30_27</v>
      </c>
    </row>
    <row r="1364" spans="1:8" x14ac:dyDescent="0.2">
      <c r="A1364" s="9" t="s">
        <v>51</v>
      </c>
      <c r="C1364" t="str">
        <f>""""&amp;SUBSTITUTE(A1364,"zzz",H1364)&amp;""""&amp;","</f>
        <v>"https://www.zeldadungeon.net/maps/totk/tiles/sky/6/30_28.jpg",</v>
      </c>
      <c r="H1364" t="str">
        <f>QUOTIENT(ROW(A1364),48)+2&amp;"_"&amp;MOD(ROW(A1364),48)+8</f>
        <v>30_28</v>
      </c>
    </row>
    <row r="1365" spans="1:8" x14ac:dyDescent="0.2">
      <c r="A1365" s="9" t="s">
        <v>51</v>
      </c>
      <c r="C1365" t="str">
        <f>""""&amp;SUBSTITUTE(A1365,"zzz",H1365)&amp;""""&amp;","</f>
        <v>"https://www.zeldadungeon.net/maps/totk/tiles/sky/6/30_29.jpg",</v>
      </c>
      <c r="H1365" t="str">
        <f>QUOTIENT(ROW(A1365),48)+2&amp;"_"&amp;MOD(ROW(A1365),48)+8</f>
        <v>30_29</v>
      </c>
    </row>
    <row r="1366" spans="1:8" x14ac:dyDescent="0.2">
      <c r="A1366" s="9" t="s">
        <v>51</v>
      </c>
      <c r="C1366" t="str">
        <f>""""&amp;SUBSTITUTE(A1366,"zzz",H1366)&amp;""""&amp;","</f>
        <v>"https://www.zeldadungeon.net/maps/totk/tiles/sky/6/30_30.jpg",</v>
      </c>
      <c r="H1366" t="str">
        <f>QUOTIENT(ROW(A1366),48)+2&amp;"_"&amp;MOD(ROW(A1366),48)+8</f>
        <v>30_30</v>
      </c>
    </row>
    <row r="1367" spans="1:8" x14ac:dyDescent="0.2">
      <c r="A1367" s="9" t="s">
        <v>51</v>
      </c>
      <c r="C1367" t="str">
        <f>""""&amp;SUBSTITUTE(A1367,"zzz",H1367)&amp;""""&amp;","</f>
        <v>"https://www.zeldadungeon.net/maps/totk/tiles/sky/6/30_31.jpg",</v>
      </c>
      <c r="H1367" t="str">
        <f>QUOTIENT(ROW(A1367),48)+2&amp;"_"&amp;MOD(ROW(A1367),48)+8</f>
        <v>30_31</v>
      </c>
    </row>
    <row r="1368" spans="1:8" x14ac:dyDescent="0.2">
      <c r="A1368" s="9" t="s">
        <v>51</v>
      </c>
      <c r="C1368" t="str">
        <f>""""&amp;SUBSTITUTE(A1368,"zzz",H1368)&amp;""""&amp;","</f>
        <v>"https://www.zeldadungeon.net/maps/totk/tiles/sky/6/30_32.jpg",</v>
      </c>
      <c r="H1368" t="str">
        <f>QUOTIENT(ROW(A1368),48)+2&amp;"_"&amp;MOD(ROW(A1368),48)+8</f>
        <v>30_32</v>
      </c>
    </row>
    <row r="1369" spans="1:8" x14ac:dyDescent="0.2">
      <c r="A1369" s="9" t="s">
        <v>51</v>
      </c>
      <c r="C1369" t="str">
        <f>""""&amp;SUBSTITUTE(A1369,"zzz",H1369)&amp;""""&amp;","</f>
        <v>"https://www.zeldadungeon.net/maps/totk/tiles/sky/6/30_33.jpg",</v>
      </c>
      <c r="H1369" t="str">
        <f>QUOTIENT(ROW(A1369),48)+2&amp;"_"&amp;MOD(ROW(A1369),48)+8</f>
        <v>30_33</v>
      </c>
    </row>
    <row r="1370" spans="1:8" x14ac:dyDescent="0.2">
      <c r="A1370" s="9" t="s">
        <v>51</v>
      </c>
      <c r="C1370" t="str">
        <f>""""&amp;SUBSTITUTE(A1370,"zzz",H1370)&amp;""""&amp;","</f>
        <v>"https://www.zeldadungeon.net/maps/totk/tiles/sky/6/30_34.jpg",</v>
      </c>
      <c r="H1370" t="str">
        <f>QUOTIENT(ROW(A1370),48)+2&amp;"_"&amp;MOD(ROW(A1370),48)+8</f>
        <v>30_34</v>
      </c>
    </row>
    <row r="1371" spans="1:8" x14ac:dyDescent="0.2">
      <c r="A1371" s="9" t="s">
        <v>51</v>
      </c>
      <c r="C1371" t="str">
        <f>""""&amp;SUBSTITUTE(A1371,"zzz",H1371)&amp;""""&amp;","</f>
        <v>"https://www.zeldadungeon.net/maps/totk/tiles/sky/6/30_35.jpg",</v>
      </c>
      <c r="H1371" t="str">
        <f>QUOTIENT(ROW(A1371),48)+2&amp;"_"&amp;MOD(ROW(A1371),48)+8</f>
        <v>30_35</v>
      </c>
    </row>
    <row r="1372" spans="1:8" x14ac:dyDescent="0.2">
      <c r="A1372" s="9" t="s">
        <v>51</v>
      </c>
      <c r="C1372" t="str">
        <f>""""&amp;SUBSTITUTE(A1372,"zzz",H1372)&amp;""""&amp;","</f>
        <v>"https://www.zeldadungeon.net/maps/totk/tiles/sky/6/30_36.jpg",</v>
      </c>
      <c r="H1372" t="str">
        <f>QUOTIENT(ROW(A1372),48)+2&amp;"_"&amp;MOD(ROW(A1372),48)+8</f>
        <v>30_36</v>
      </c>
    </row>
    <row r="1373" spans="1:8" x14ac:dyDescent="0.2">
      <c r="A1373" s="9" t="s">
        <v>51</v>
      </c>
      <c r="C1373" t="str">
        <f>""""&amp;SUBSTITUTE(A1373,"zzz",H1373)&amp;""""&amp;","</f>
        <v>"https://www.zeldadungeon.net/maps/totk/tiles/sky/6/30_37.jpg",</v>
      </c>
      <c r="H1373" t="str">
        <f>QUOTIENT(ROW(A1373),48)+2&amp;"_"&amp;MOD(ROW(A1373),48)+8</f>
        <v>30_37</v>
      </c>
    </row>
    <row r="1374" spans="1:8" x14ac:dyDescent="0.2">
      <c r="A1374" s="9" t="s">
        <v>51</v>
      </c>
      <c r="C1374" t="str">
        <f>""""&amp;SUBSTITUTE(A1374,"zzz",H1374)&amp;""""&amp;","</f>
        <v>"https://www.zeldadungeon.net/maps/totk/tiles/sky/6/30_38.jpg",</v>
      </c>
      <c r="H1374" t="str">
        <f>QUOTIENT(ROW(A1374),48)+2&amp;"_"&amp;MOD(ROW(A1374),48)+8</f>
        <v>30_38</v>
      </c>
    </row>
    <row r="1375" spans="1:8" x14ac:dyDescent="0.2">
      <c r="A1375" s="9" t="s">
        <v>51</v>
      </c>
      <c r="C1375" t="str">
        <f>""""&amp;SUBSTITUTE(A1375,"zzz",H1375)&amp;""""&amp;","</f>
        <v>"https://www.zeldadungeon.net/maps/totk/tiles/sky/6/30_39.jpg",</v>
      </c>
      <c r="H1375" t="str">
        <f>QUOTIENT(ROW(A1375),48)+2&amp;"_"&amp;MOD(ROW(A1375),48)+8</f>
        <v>30_39</v>
      </c>
    </row>
    <row r="1376" spans="1:8" x14ac:dyDescent="0.2">
      <c r="A1376" s="9" t="s">
        <v>51</v>
      </c>
      <c r="C1376" t="str">
        <f>""""&amp;SUBSTITUTE(A1376,"zzz",H1376)&amp;""""&amp;","</f>
        <v>"https://www.zeldadungeon.net/maps/totk/tiles/sky/6/30_40.jpg",</v>
      </c>
      <c r="H1376" t="str">
        <f>QUOTIENT(ROW(A1376),48)+2&amp;"_"&amp;MOD(ROW(A1376),48)+8</f>
        <v>30_40</v>
      </c>
    </row>
    <row r="1377" spans="1:8" x14ac:dyDescent="0.2">
      <c r="A1377" s="9" t="s">
        <v>51</v>
      </c>
      <c r="C1377" t="str">
        <f>""""&amp;SUBSTITUTE(A1377,"zzz",H1377)&amp;""""&amp;","</f>
        <v>"https://www.zeldadungeon.net/maps/totk/tiles/sky/6/30_41.jpg",</v>
      </c>
      <c r="H1377" t="str">
        <f>QUOTIENT(ROW(A1377),48)+2&amp;"_"&amp;MOD(ROW(A1377),48)+8</f>
        <v>30_41</v>
      </c>
    </row>
    <row r="1378" spans="1:8" x14ac:dyDescent="0.2">
      <c r="A1378" s="9" t="s">
        <v>51</v>
      </c>
      <c r="C1378" t="str">
        <f>""""&amp;SUBSTITUTE(A1378,"zzz",H1378)&amp;""""&amp;","</f>
        <v>"https://www.zeldadungeon.net/maps/totk/tiles/sky/6/30_42.jpg",</v>
      </c>
      <c r="H1378" t="str">
        <f>QUOTIENT(ROW(A1378),48)+2&amp;"_"&amp;MOD(ROW(A1378),48)+8</f>
        <v>30_42</v>
      </c>
    </row>
    <row r="1379" spans="1:8" x14ac:dyDescent="0.2">
      <c r="A1379" s="9" t="s">
        <v>51</v>
      </c>
      <c r="C1379" t="str">
        <f>""""&amp;SUBSTITUTE(A1379,"zzz",H1379)&amp;""""&amp;","</f>
        <v>"https://www.zeldadungeon.net/maps/totk/tiles/sky/6/30_43.jpg",</v>
      </c>
      <c r="H1379" t="str">
        <f>QUOTIENT(ROW(A1379),48)+2&amp;"_"&amp;MOD(ROW(A1379),48)+8</f>
        <v>30_43</v>
      </c>
    </row>
    <row r="1380" spans="1:8" x14ac:dyDescent="0.2">
      <c r="A1380" s="9" t="s">
        <v>51</v>
      </c>
      <c r="C1380" t="str">
        <f>""""&amp;SUBSTITUTE(A1380,"zzz",H1380)&amp;""""&amp;","</f>
        <v>"https://www.zeldadungeon.net/maps/totk/tiles/sky/6/30_44.jpg",</v>
      </c>
      <c r="H1380" t="str">
        <f>QUOTIENT(ROW(A1380),48)+2&amp;"_"&amp;MOD(ROW(A1380),48)+8</f>
        <v>30_44</v>
      </c>
    </row>
    <row r="1381" spans="1:8" x14ac:dyDescent="0.2">
      <c r="A1381" s="9" t="s">
        <v>51</v>
      </c>
      <c r="C1381" t="str">
        <f>""""&amp;SUBSTITUTE(A1381,"zzz",H1381)&amp;""""&amp;","</f>
        <v>"https://www.zeldadungeon.net/maps/totk/tiles/sky/6/30_45.jpg",</v>
      </c>
      <c r="H1381" t="str">
        <f>QUOTIENT(ROW(A1381),48)+2&amp;"_"&amp;MOD(ROW(A1381),48)+8</f>
        <v>30_45</v>
      </c>
    </row>
    <row r="1382" spans="1:8" x14ac:dyDescent="0.2">
      <c r="A1382" s="9" t="s">
        <v>51</v>
      </c>
      <c r="C1382" t="str">
        <f>""""&amp;SUBSTITUTE(A1382,"zzz",H1382)&amp;""""&amp;","</f>
        <v>"https://www.zeldadungeon.net/maps/totk/tiles/sky/6/30_46.jpg",</v>
      </c>
      <c r="H1382" t="str">
        <f>QUOTIENT(ROW(A1382),48)+2&amp;"_"&amp;MOD(ROW(A1382),48)+8</f>
        <v>30_46</v>
      </c>
    </row>
    <row r="1383" spans="1:8" x14ac:dyDescent="0.2">
      <c r="A1383" s="9" t="s">
        <v>51</v>
      </c>
      <c r="C1383" t="str">
        <f>""""&amp;SUBSTITUTE(A1383,"zzz",H1383)&amp;""""&amp;","</f>
        <v>"https://www.zeldadungeon.net/maps/totk/tiles/sky/6/30_47.jpg",</v>
      </c>
      <c r="H1383" t="str">
        <f>QUOTIENT(ROW(A1383),48)+2&amp;"_"&amp;MOD(ROW(A1383),48)+8</f>
        <v>30_47</v>
      </c>
    </row>
    <row r="1384" spans="1:8" x14ac:dyDescent="0.2">
      <c r="A1384" s="9" t="s">
        <v>51</v>
      </c>
      <c r="C1384" t="str">
        <f>""""&amp;SUBSTITUTE(A1384,"zzz",H1384)&amp;""""&amp;","</f>
        <v>"https://www.zeldadungeon.net/maps/totk/tiles/sky/6/30_48.jpg",</v>
      </c>
      <c r="H1384" t="str">
        <f>QUOTIENT(ROW(A1384),48)+2&amp;"_"&amp;MOD(ROW(A1384),48)+8</f>
        <v>30_48</v>
      </c>
    </row>
    <row r="1385" spans="1:8" x14ac:dyDescent="0.2">
      <c r="A1385" s="9" t="s">
        <v>51</v>
      </c>
      <c r="C1385" t="str">
        <f>""""&amp;SUBSTITUTE(A1385,"zzz",H1385)&amp;""""&amp;","</f>
        <v>"https://www.zeldadungeon.net/maps/totk/tiles/sky/6/30_49.jpg",</v>
      </c>
      <c r="H1385" t="str">
        <f>QUOTIENT(ROW(A1385),48)+2&amp;"_"&amp;MOD(ROW(A1385),48)+8</f>
        <v>30_49</v>
      </c>
    </row>
    <row r="1386" spans="1:8" x14ac:dyDescent="0.2">
      <c r="A1386" s="9" t="s">
        <v>51</v>
      </c>
      <c r="C1386" t="str">
        <f>""""&amp;SUBSTITUTE(A1386,"zzz",H1386)&amp;""""&amp;","</f>
        <v>"https://www.zeldadungeon.net/maps/totk/tiles/sky/6/30_50.jpg",</v>
      </c>
      <c r="H1386" t="str">
        <f>QUOTIENT(ROW(A1386),48)+2&amp;"_"&amp;MOD(ROW(A1386),48)+8</f>
        <v>30_50</v>
      </c>
    </row>
    <row r="1387" spans="1:8" x14ac:dyDescent="0.2">
      <c r="A1387" s="9" t="s">
        <v>51</v>
      </c>
      <c r="C1387" t="str">
        <f>""""&amp;SUBSTITUTE(A1387,"zzz",H1387)&amp;""""&amp;","</f>
        <v>"https://www.zeldadungeon.net/maps/totk/tiles/sky/6/30_51.jpg",</v>
      </c>
      <c r="H1387" t="str">
        <f>QUOTIENT(ROW(A1387),48)+2&amp;"_"&amp;MOD(ROW(A1387),48)+8</f>
        <v>30_51</v>
      </c>
    </row>
    <row r="1388" spans="1:8" x14ac:dyDescent="0.2">
      <c r="A1388" s="9" t="s">
        <v>51</v>
      </c>
      <c r="C1388" t="str">
        <f>""""&amp;SUBSTITUTE(A1388,"zzz",H1388)&amp;""""&amp;","</f>
        <v>"https://www.zeldadungeon.net/maps/totk/tiles/sky/6/30_52.jpg",</v>
      </c>
      <c r="H1388" t="str">
        <f>QUOTIENT(ROW(A1388),48)+2&amp;"_"&amp;MOD(ROW(A1388),48)+8</f>
        <v>30_52</v>
      </c>
    </row>
    <row r="1389" spans="1:8" x14ac:dyDescent="0.2">
      <c r="A1389" s="9" t="s">
        <v>51</v>
      </c>
      <c r="C1389" t="str">
        <f>""""&amp;SUBSTITUTE(A1389,"zzz",H1389)&amp;""""&amp;","</f>
        <v>"https://www.zeldadungeon.net/maps/totk/tiles/sky/6/30_53.jpg",</v>
      </c>
      <c r="H1389" t="str">
        <f>QUOTIENT(ROW(A1389),48)+2&amp;"_"&amp;MOD(ROW(A1389),48)+8</f>
        <v>30_53</v>
      </c>
    </row>
    <row r="1390" spans="1:8" x14ac:dyDescent="0.2">
      <c r="A1390" s="9" t="s">
        <v>51</v>
      </c>
      <c r="C1390" t="str">
        <f>""""&amp;SUBSTITUTE(A1390,"zzz",H1390)&amp;""""&amp;","</f>
        <v>"https://www.zeldadungeon.net/maps/totk/tiles/sky/6/30_54.jpg",</v>
      </c>
      <c r="H1390" t="str">
        <f>QUOTIENT(ROW(A1390),48)+2&amp;"_"&amp;MOD(ROW(A1390),48)+8</f>
        <v>30_54</v>
      </c>
    </row>
    <row r="1391" spans="1:8" x14ac:dyDescent="0.2">
      <c r="A1391" s="9" t="s">
        <v>51</v>
      </c>
      <c r="C1391" t="str">
        <f>""""&amp;SUBSTITUTE(A1391,"zzz",H1391)&amp;""""&amp;","</f>
        <v>"https://www.zeldadungeon.net/maps/totk/tiles/sky/6/30_55.jpg",</v>
      </c>
      <c r="H1391" t="str">
        <f>QUOTIENT(ROW(A1391),48)+2&amp;"_"&amp;MOD(ROW(A1391),48)+8</f>
        <v>30_55</v>
      </c>
    </row>
    <row r="1392" spans="1:8" x14ac:dyDescent="0.2">
      <c r="A1392" s="9" t="s">
        <v>51</v>
      </c>
      <c r="C1392" t="str">
        <f>""""&amp;SUBSTITUTE(A1392,"zzz",H1392)&amp;""""&amp;","</f>
        <v>"https://www.zeldadungeon.net/maps/totk/tiles/sky/6/31_8.jpg",</v>
      </c>
      <c r="H1392" t="str">
        <f>QUOTIENT(ROW(A1392),48)+2&amp;"_"&amp;MOD(ROW(A1392),48)+8</f>
        <v>31_8</v>
      </c>
    </row>
    <row r="1393" spans="1:8" x14ac:dyDescent="0.2">
      <c r="A1393" s="9" t="s">
        <v>51</v>
      </c>
      <c r="C1393" t="str">
        <f>""""&amp;SUBSTITUTE(A1393,"zzz",H1393)&amp;""""&amp;","</f>
        <v>"https://www.zeldadungeon.net/maps/totk/tiles/sky/6/31_9.jpg",</v>
      </c>
      <c r="H1393" t="str">
        <f>QUOTIENT(ROW(A1393),48)+2&amp;"_"&amp;MOD(ROW(A1393),48)+8</f>
        <v>31_9</v>
      </c>
    </row>
    <row r="1394" spans="1:8" x14ac:dyDescent="0.2">
      <c r="A1394" s="9" t="s">
        <v>51</v>
      </c>
      <c r="C1394" t="str">
        <f>""""&amp;SUBSTITUTE(A1394,"zzz",H1394)&amp;""""&amp;","</f>
        <v>"https://www.zeldadungeon.net/maps/totk/tiles/sky/6/31_10.jpg",</v>
      </c>
      <c r="H1394" t="str">
        <f>QUOTIENT(ROW(A1394),48)+2&amp;"_"&amp;MOD(ROW(A1394),48)+8</f>
        <v>31_10</v>
      </c>
    </row>
    <row r="1395" spans="1:8" x14ac:dyDescent="0.2">
      <c r="A1395" s="9" t="s">
        <v>51</v>
      </c>
      <c r="C1395" t="str">
        <f>""""&amp;SUBSTITUTE(A1395,"zzz",H1395)&amp;""""&amp;","</f>
        <v>"https://www.zeldadungeon.net/maps/totk/tiles/sky/6/31_11.jpg",</v>
      </c>
      <c r="H1395" t="str">
        <f>QUOTIENT(ROW(A1395),48)+2&amp;"_"&amp;MOD(ROW(A1395),48)+8</f>
        <v>31_11</v>
      </c>
    </row>
    <row r="1396" spans="1:8" x14ac:dyDescent="0.2">
      <c r="A1396" s="9" t="s">
        <v>51</v>
      </c>
      <c r="C1396" t="str">
        <f>""""&amp;SUBSTITUTE(A1396,"zzz",H1396)&amp;""""&amp;","</f>
        <v>"https://www.zeldadungeon.net/maps/totk/tiles/sky/6/31_12.jpg",</v>
      </c>
      <c r="H1396" t="str">
        <f>QUOTIENT(ROW(A1396),48)+2&amp;"_"&amp;MOD(ROW(A1396),48)+8</f>
        <v>31_12</v>
      </c>
    </row>
    <row r="1397" spans="1:8" x14ac:dyDescent="0.2">
      <c r="A1397" s="9" t="s">
        <v>51</v>
      </c>
      <c r="C1397" t="str">
        <f>""""&amp;SUBSTITUTE(A1397,"zzz",H1397)&amp;""""&amp;","</f>
        <v>"https://www.zeldadungeon.net/maps/totk/tiles/sky/6/31_13.jpg",</v>
      </c>
      <c r="H1397" t="str">
        <f>QUOTIENT(ROW(A1397),48)+2&amp;"_"&amp;MOD(ROW(A1397),48)+8</f>
        <v>31_13</v>
      </c>
    </row>
    <row r="1398" spans="1:8" x14ac:dyDescent="0.2">
      <c r="A1398" s="9" t="s">
        <v>51</v>
      </c>
      <c r="C1398" t="str">
        <f>""""&amp;SUBSTITUTE(A1398,"zzz",H1398)&amp;""""&amp;","</f>
        <v>"https://www.zeldadungeon.net/maps/totk/tiles/sky/6/31_14.jpg",</v>
      </c>
      <c r="H1398" t="str">
        <f>QUOTIENT(ROW(A1398),48)+2&amp;"_"&amp;MOD(ROW(A1398),48)+8</f>
        <v>31_14</v>
      </c>
    </row>
    <row r="1399" spans="1:8" x14ac:dyDescent="0.2">
      <c r="A1399" s="9" t="s">
        <v>51</v>
      </c>
      <c r="C1399" t="str">
        <f>""""&amp;SUBSTITUTE(A1399,"zzz",H1399)&amp;""""&amp;","</f>
        <v>"https://www.zeldadungeon.net/maps/totk/tiles/sky/6/31_15.jpg",</v>
      </c>
      <c r="H1399" t="str">
        <f>QUOTIENT(ROW(A1399),48)+2&amp;"_"&amp;MOD(ROW(A1399),48)+8</f>
        <v>31_15</v>
      </c>
    </row>
    <row r="1400" spans="1:8" x14ac:dyDescent="0.2">
      <c r="A1400" s="9" t="s">
        <v>51</v>
      </c>
      <c r="C1400" t="str">
        <f>""""&amp;SUBSTITUTE(A1400,"zzz",H1400)&amp;""""&amp;","</f>
        <v>"https://www.zeldadungeon.net/maps/totk/tiles/sky/6/31_16.jpg",</v>
      </c>
      <c r="H1400" t="str">
        <f>QUOTIENT(ROW(A1400),48)+2&amp;"_"&amp;MOD(ROW(A1400),48)+8</f>
        <v>31_16</v>
      </c>
    </row>
    <row r="1401" spans="1:8" x14ac:dyDescent="0.2">
      <c r="A1401" s="9" t="s">
        <v>51</v>
      </c>
      <c r="C1401" t="str">
        <f>""""&amp;SUBSTITUTE(A1401,"zzz",H1401)&amp;""""&amp;","</f>
        <v>"https://www.zeldadungeon.net/maps/totk/tiles/sky/6/31_17.jpg",</v>
      </c>
      <c r="H1401" t="str">
        <f>QUOTIENT(ROW(A1401),48)+2&amp;"_"&amp;MOD(ROW(A1401),48)+8</f>
        <v>31_17</v>
      </c>
    </row>
    <row r="1402" spans="1:8" x14ac:dyDescent="0.2">
      <c r="A1402" s="9" t="s">
        <v>51</v>
      </c>
      <c r="C1402" t="str">
        <f>""""&amp;SUBSTITUTE(A1402,"zzz",H1402)&amp;""""&amp;","</f>
        <v>"https://www.zeldadungeon.net/maps/totk/tiles/sky/6/31_18.jpg",</v>
      </c>
      <c r="H1402" t="str">
        <f>QUOTIENT(ROW(A1402),48)+2&amp;"_"&amp;MOD(ROW(A1402),48)+8</f>
        <v>31_18</v>
      </c>
    </row>
    <row r="1403" spans="1:8" x14ac:dyDescent="0.2">
      <c r="A1403" s="9" t="s">
        <v>51</v>
      </c>
      <c r="C1403" t="str">
        <f>""""&amp;SUBSTITUTE(A1403,"zzz",H1403)&amp;""""&amp;","</f>
        <v>"https://www.zeldadungeon.net/maps/totk/tiles/sky/6/31_19.jpg",</v>
      </c>
      <c r="H1403" t="str">
        <f>QUOTIENT(ROW(A1403),48)+2&amp;"_"&amp;MOD(ROW(A1403),48)+8</f>
        <v>31_19</v>
      </c>
    </row>
    <row r="1404" spans="1:8" x14ac:dyDescent="0.2">
      <c r="A1404" s="9" t="s">
        <v>51</v>
      </c>
      <c r="C1404" t="str">
        <f>""""&amp;SUBSTITUTE(A1404,"zzz",H1404)&amp;""""&amp;","</f>
        <v>"https://www.zeldadungeon.net/maps/totk/tiles/sky/6/31_20.jpg",</v>
      </c>
      <c r="H1404" t="str">
        <f>QUOTIENT(ROW(A1404),48)+2&amp;"_"&amp;MOD(ROW(A1404),48)+8</f>
        <v>31_20</v>
      </c>
    </row>
    <row r="1405" spans="1:8" x14ac:dyDescent="0.2">
      <c r="A1405" s="9" t="s">
        <v>51</v>
      </c>
      <c r="C1405" t="str">
        <f>""""&amp;SUBSTITUTE(A1405,"zzz",H1405)&amp;""""&amp;","</f>
        <v>"https://www.zeldadungeon.net/maps/totk/tiles/sky/6/31_21.jpg",</v>
      </c>
      <c r="H1405" t="str">
        <f>QUOTIENT(ROW(A1405),48)+2&amp;"_"&amp;MOD(ROW(A1405),48)+8</f>
        <v>31_21</v>
      </c>
    </row>
    <row r="1406" spans="1:8" x14ac:dyDescent="0.2">
      <c r="A1406" s="9" t="s">
        <v>51</v>
      </c>
      <c r="C1406" t="str">
        <f>""""&amp;SUBSTITUTE(A1406,"zzz",H1406)&amp;""""&amp;","</f>
        <v>"https://www.zeldadungeon.net/maps/totk/tiles/sky/6/31_22.jpg",</v>
      </c>
      <c r="H1406" t="str">
        <f>QUOTIENT(ROW(A1406),48)+2&amp;"_"&amp;MOD(ROW(A1406),48)+8</f>
        <v>31_22</v>
      </c>
    </row>
    <row r="1407" spans="1:8" x14ac:dyDescent="0.2">
      <c r="A1407" s="9" t="s">
        <v>51</v>
      </c>
      <c r="C1407" t="str">
        <f>""""&amp;SUBSTITUTE(A1407,"zzz",H1407)&amp;""""&amp;","</f>
        <v>"https://www.zeldadungeon.net/maps/totk/tiles/sky/6/31_23.jpg",</v>
      </c>
      <c r="H1407" t="str">
        <f>QUOTIENT(ROW(A1407),48)+2&amp;"_"&amp;MOD(ROW(A1407),48)+8</f>
        <v>31_23</v>
      </c>
    </row>
    <row r="1408" spans="1:8" x14ac:dyDescent="0.2">
      <c r="A1408" s="9" t="s">
        <v>51</v>
      </c>
      <c r="C1408" t="str">
        <f>""""&amp;SUBSTITUTE(A1408,"zzz",H1408)&amp;""""&amp;","</f>
        <v>"https://www.zeldadungeon.net/maps/totk/tiles/sky/6/31_24.jpg",</v>
      </c>
      <c r="H1408" t="str">
        <f>QUOTIENT(ROW(A1408),48)+2&amp;"_"&amp;MOD(ROW(A1408),48)+8</f>
        <v>31_24</v>
      </c>
    </row>
    <row r="1409" spans="1:8" x14ac:dyDescent="0.2">
      <c r="A1409" s="9" t="s">
        <v>51</v>
      </c>
      <c r="C1409" t="str">
        <f>""""&amp;SUBSTITUTE(A1409,"zzz",H1409)&amp;""""&amp;","</f>
        <v>"https://www.zeldadungeon.net/maps/totk/tiles/sky/6/31_25.jpg",</v>
      </c>
      <c r="H1409" t="str">
        <f>QUOTIENT(ROW(A1409),48)+2&amp;"_"&amp;MOD(ROW(A1409),48)+8</f>
        <v>31_25</v>
      </c>
    </row>
    <row r="1410" spans="1:8" x14ac:dyDescent="0.2">
      <c r="A1410" s="9" t="s">
        <v>51</v>
      </c>
      <c r="C1410" t="str">
        <f>""""&amp;SUBSTITUTE(A1410,"zzz",H1410)&amp;""""&amp;","</f>
        <v>"https://www.zeldadungeon.net/maps/totk/tiles/sky/6/31_26.jpg",</v>
      </c>
      <c r="H1410" t="str">
        <f>QUOTIENT(ROW(A1410),48)+2&amp;"_"&amp;MOD(ROW(A1410),48)+8</f>
        <v>31_26</v>
      </c>
    </row>
    <row r="1411" spans="1:8" x14ac:dyDescent="0.2">
      <c r="A1411" s="9" t="s">
        <v>51</v>
      </c>
      <c r="C1411" t="str">
        <f>""""&amp;SUBSTITUTE(A1411,"zzz",H1411)&amp;""""&amp;","</f>
        <v>"https://www.zeldadungeon.net/maps/totk/tiles/sky/6/31_27.jpg",</v>
      </c>
      <c r="H1411" t="str">
        <f>QUOTIENT(ROW(A1411),48)+2&amp;"_"&amp;MOD(ROW(A1411),48)+8</f>
        <v>31_27</v>
      </c>
    </row>
    <row r="1412" spans="1:8" x14ac:dyDescent="0.2">
      <c r="A1412" s="9" t="s">
        <v>51</v>
      </c>
      <c r="C1412" t="str">
        <f>""""&amp;SUBSTITUTE(A1412,"zzz",H1412)&amp;""""&amp;","</f>
        <v>"https://www.zeldadungeon.net/maps/totk/tiles/sky/6/31_28.jpg",</v>
      </c>
      <c r="H1412" t="str">
        <f>QUOTIENT(ROW(A1412),48)+2&amp;"_"&amp;MOD(ROW(A1412),48)+8</f>
        <v>31_28</v>
      </c>
    </row>
    <row r="1413" spans="1:8" x14ac:dyDescent="0.2">
      <c r="A1413" s="9" t="s">
        <v>51</v>
      </c>
      <c r="C1413" t="str">
        <f>""""&amp;SUBSTITUTE(A1413,"zzz",H1413)&amp;""""&amp;","</f>
        <v>"https://www.zeldadungeon.net/maps/totk/tiles/sky/6/31_29.jpg",</v>
      </c>
      <c r="H1413" t="str">
        <f>QUOTIENT(ROW(A1413),48)+2&amp;"_"&amp;MOD(ROW(A1413),48)+8</f>
        <v>31_29</v>
      </c>
    </row>
    <row r="1414" spans="1:8" x14ac:dyDescent="0.2">
      <c r="A1414" s="9" t="s">
        <v>51</v>
      </c>
      <c r="C1414" t="str">
        <f>""""&amp;SUBSTITUTE(A1414,"zzz",H1414)&amp;""""&amp;","</f>
        <v>"https://www.zeldadungeon.net/maps/totk/tiles/sky/6/31_30.jpg",</v>
      </c>
      <c r="H1414" t="str">
        <f>QUOTIENT(ROW(A1414),48)+2&amp;"_"&amp;MOD(ROW(A1414),48)+8</f>
        <v>31_30</v>
      </c>
    </row>
    <row r="1415" spans="1:8" x14ac:dyDescent="0.2">
      <c r="A1415" s="9" t="s">
        <v>51</v>
      </c>
      <c r="C1415" t="str">
        <f>""""&amp;SUBSTITUTE(A1415,"zzz",H1415)&amp;""""&amp;","</f>
        <v>"https://www.zeldadungeon.net/maps/totk/tiles/sky/6/31_31.jpg",</v>
      </c>
      <c r="H1415" t="str">
        <f>QUOTIENT(ROW(A1415),48)+2&amp;"_"&amp;MOD(ROW(A1415),48)+8</f>
        <v>31_31</v>
      </c>
    </row>
    <row r="1416" spans="1:8" x14ac:dyDescent="0.2">
      <c r="A1416" s="9" t="s">
        <v>51</v>
      </c>
      <c r="C1416" t="str">
        <f>""""&amp;SUBSTITUTE(A1416,"zzz",H1416)&amp;""""&amp;","</f>
        <v>"https://www.zeldadungeon.net/maps/totk/tiles/sky/6/31_32.jpg",</v>
      </c>
      <c r="H1416" t="str">
        <f>QUOTIENT(ROW(A1416),48)+2&amp;"_"&amp;MOD(ROW(A1416),48)+8</f>
        <v>31_32</v>
      </c>
    </row>
    <row r="1417" spans="1:8" x14ac:dyDescent="0.2">
      <c r="A1417" s="9" t="s">
        <v>51</v>
      </c>
      <c r="C1417" t="str">
        <f>""""&amp;SUBSTITUTE(A1417,"zzz",H1417)&amp;""""&amp;","</f>
        <v>"https://www.zeldadungeon.net/maps/totk/tiles/sky/6/31_33.jpg",</v>
      </c>
      <c r="H1417" t="str">
        <f>QUOTIENT(ROW(A1417),48)+2&amp;"_"&amp;MOD(ROW(A1417),48)+8</f>
        <v>31_33</v>
      </c>
    </row>
    <row r="1418" spans="1:8" x14ac:dyDescent="0.2">
      <c r="A1418" s="9" t="s">
        <v>51</v>
      </c>
      <c r="C1418" t="str">
        <f>""""&amp;SUBSTITUTE(A1418,"zzz",H1418)&amp;""""&amp;","</f>
        <v>"https://www.zeldadungeon.net/maps/totk/tiles/sky/6/31_34.jpg",</v>
      </c>
      <c r="H1418" t="str">
        <f>QUOTIENT(ROW(A1418),48)+2&amp;"_"&amp;MOD(ROW(A1418),48)+8</f>
        <v>31_34</v>
      </c>
    </row>
    <row r="1419" spans="1:8" x14ac:dyDescent="0.2">
      <c r="A1419" s="9" t="s">
        <v>51</v>
      </c>
      <c r="C1419" t="str">
        <f>""""&amp;SUBSTITUTE(A1419,"zzz",H1419)&amp;""""&amp;","</f>
        <v>"https://www.zeldadungeon.net/maps/totk/tiles/sky/6/31_35.jpg",</v>
      </c>
      <c r="H1419" t="str">
        <f>QUOTIENT(ROW(A1419),48)+2&amp;"_"&amp;MOD(ROW(A1419),48)+8</f>
        <v>31_35</v>
      </c>
    </row>
    <row r="1420" spans="1:8" x14ac:dyDescent="0.2">
      <c r="A1420" s="9" t="s">
        <v>51</v>
      </c>
      <c r="C1420" t="str">
        <f>""""&amp;SUBSTITUTE(A1420,"zzz",H1420)&amp;""""&amp;","</f>
        <v>"https://www.zeldadungeon.net/maps/totk/tiles/sky/6/31_36.jpg",</v>
      </c>
      <c r="H1420" t="str">
        <f>QUOTIENT(ROW(A1420),48)+2&amp;"_"&amp;MOD(ROW(A1420),48)+8</f>
        <v>31_36</v>
      </c>
    </row>
    <row r="1421" spans="1:8" x14ac:dyDescent="0.2">
      <c r="A1421" s="9" t="s">
        <v>51</v>
      </c>
      <c r="C1421" t="str">
        <f>""""&amp;SUBSTITUTE(A1421,"zzz",H1421)&amp;""""&amp;","</f>
        <v>"https://www.zeldadungeon.net/maps/totk/tiles/sky/6/31_37.jpg",</v>
      </c>
      <c r="H1421" t="str">
        <f>QUOTIENT(ROW(A1421),48)+2&amp;"_"&amp;MOD(ROW(A1421),48)+8</f>
        <v>31_37</v>
      </c>
    </row>
    <row r="1422" spans="1:8" x14ac:dyDescent="0.2">
      <c r="A1422" s="9" t="s">
        <v>51</v>
      </c>
      <c r="C1422" t="str">
        <f>""""&amp;SUBSTITUTE(A1422,"zzz",H1422)&amp;""""&amp;","</f>
        <v>"https://www.zeldadungeon.net/maps/totk/tiles/sky/6/31_38.jpg",</v>
      </c>
      <c r="H1422" t="str">
        <f>QUOTIENT(ROW(A1422),48)+2&amp;"_"&amp;MOD(ROW(A1422),48)+8</f>
        <v>31_38</v>
      </c>
    </row>
    <row r="1423" spans="1:8" x14ac:dyDescent="0.2">
      <c r="A1423" s="9" t="s">
        <v>51</v>
      </c>
      <c r="C1423" t="str">
        <f>""""&amp;SUBSTITUTE(A1423,"zzz",H1423)&amp;""""&amp;","</f>
        <v>"https://www.zeldadungeon.net/maps/totk/tiles/sky/6/31_39.jpg",</v>
      </c>
      <c r="H1423" t="str">
        <f>QUOTIENT(ROW(A1423),48)+2&amp;"_"&amp;MOD(ROW(A1423),48)+8</f>
        <v>31_39</v>
      </c>
    </row>
    <row r="1424" spans="1:8" x14ac:dyDescent="0.2">
      <c r="A1424" s="9" t="s">
        <v>51</v>
      </c>
      <c r="C1424" t="str">
        <f>""""&amp;SUBSTITUTE(A1424,"zzz",H1424)&amp;""""&amp;","</f>
        <v>"https://www.zeldadungeon.net/maps/totk/tiles/sky/6/31_40.jpg",</v>
      </c>
      <c r="H1424" t="str">
        <f>QUOTIENT(ROW(A1424),48)+2&amp;"_"&amp;MOD(ROW(A1424),48)+8</f>
        <v>31_40</v>
      </c>
    </row>
    <row r="1425" spans="1:8" x14ac:dyDescent="0.2">
      <c r="A1425" s="9" t="s">
        <v>51</v>
      </c>
      <c r="C1425" t="str">
        <f>""""&amp;SUBSTITUTE(A1425,"zzz",H1425)&amp;""""&amp;","</f>
        <v>"https://www.zeldadungeon.net/maps/totk/tiles/sky/6/31_41.jpg",</v>
      </c>
      <c r="H1425" t="str">
        <f>QUOTIENT(ROW(A1425),48)+2&amp;"_"&amp;MOD(ROW(A1425),48)+8</f>
        <v>31_41</v>
      </c>
    </row>
    <row r="1426" spans="1:8" x14ac:dyDescent="0.2">
      <c r="A1426" s="9" t="s">
        <v>51</v>
      </c>
      <c r="C1426" t="str">
        <f>""""&amp;SUBSTITUTE(A1426,"zzz",H1426)&amp;""""&amp;","</f>
        <v>"https://www.zeldadungeon.net/maps/totk/tiles/sky/6/31_42.jpg",</v>
      </c>
      <c r="H1426" t="str">
        <f>QUOTIENT(ROW(A1426),48)+2&amp;"_"&amp;MOD(ROW(A1426),48)+8</f>
        <v>31_42</v>
      </c>
    </row>
    <row r="1427" spans="1:8" x14ac:dyDescent="0.2">
      <c r="A1427" s="9" t="s">
        <v>51</v>
      </c>
      <c r="C1427" t="str">
        <f>""""&amp;SUBSTITUTE(A1427,"zzz",H1427)&amp;""""&amp;","</f>
        <v>"https://www.zeldadungeon.net/maps/totk/tiles/sky/6/31_43.jpg",</v>
      </c>
      <c r="H1427" t="str">
        <f>QUOTIENT(ROW(A1427),48)+2&amp;"_"&amp;MOD(ROW(A1427),48)+8</f>
        <v>31_43</v>
      </c>
    </row>
    <row r="1428" spans="1:8" x14ac:dyDescent="0.2">
      <c r="A1428" s="9" t="s">
        <v>51</v>
      </c>
      <c r="C1428" t="str">
        <f>""""&amp;SUBSTITUTE(A1428,"zzz",H1428)&amp;""""&amp;","</f>
        <v>"https://www.zeldadungeon.net/maps/totk/tiles/sky/6/31_44.jpg",</v>
      </c>
      <c r="H1428" t="str">
        <f>QUOTIENT(ROW(A1428),48)+2&amp;"_"&amp;MOD(ROW(A1428),48)+8</f>
        <v>31_44</v>
      </c>
    </row>
    <row r="1429" spans="1:8" x14ac:dyDescent="0.2">
      <c r="A1429" s="9" t="s">
        <v>51</v>
      </c>
      <c r="C1429" t="str">
        <f>""""&amp;SUBSTITUTE(A1429,"zzz",H1429)&amp;""""&amp;","</f>
        <v>"https://www.zeldadungeon.net/maps/totk/tiles/sky/6/31_45.jpg",</v>
      </c>
      <c r="H1429" t="str">
        <f>QUOTIENT(ROW(A1429),48)+2&amp;"_"&amp;MOD(ROW(A1429),48)+8</f>
        <v>31_45</v>
      </c>
    </row>
    <row r="1430" spans="1:8" x14ac:dyDescent="0.2">
      <c r="A1430" s="9" t="s">
        <v>51</v>
      </c>
      <c r="C1430" t="str">
        <f>""""&amp;SUBSTITUTE(A1430,"zzz",H1430)&amp;""""&amp;","</f>
        <v>"https://www.zeldadungeon.net/maps/totk/tiles/sky/6/31_46.jpg",</v>
      </c>
      <c r="H1430" t="str">
        <f>QUOTIENT(ROW(A1430),48)+2&amp;"_"&amp;MOD(ROW(A1430),48)+8</f>
        <v>31_46</v>
      </c>
    </row>
    <row r="1431" spans="1:8" x14ac:dyDescent="0.2">
      <c r="A1431" s="9" t="s">
        <v>51</v>
      </c>
      <c r="C1431" t="str">
        <f>""""&amp;SUBSTITUTE(A1431,"zzz",H1431)&amp;""""&amp;","</f>
        <v>"https://www.zeldadungeon.net/maps/totk/tiles/sky/6/31_47.jpg",</v>
      </c>
      <c r="H1431" t="str">
        <f>QUOTIENT(ROW(A1431),48)+2&amp;"_"&amp;MOD(ROW(A1431),48)+8</f>
        <v>31_47</v>
      </c>
    </row>
    <row r="1432" spans="1:8" x14ac:dyDescent="0.2">
      <c r="A1432" s="9" t="s">
        <v>51</v>
      </c>
      <c r="C1432" t="str">
        <f>""""&amp;SUBSTITUTE(A1432,"zzz",H1432)&amp;""""&amp;","</f>
        <v>"https://www.zeldadungeon.net/maps/totk/tiles/sky/6/31_48.jpg",</v>
      </c>
      <c r="H1432" t="str">
        <f>QUOTIENT(ROW(A1432),48)+2&amp;"_"&amp;MOD(ROW(A1432),48)+8</f>
        <v>31_48</v>
      </c>
    </row>
    <row r="1433" spans="1:8" x14ac:dyDescent="0.2">
      <c r="A1433" s="9" t="s">
        <v>51</v>
      </c>
      <c r="C1433" t="str">
        <f>""""&amp;SUBSTITUTE(A1433,"zzz",H1433)&amp;""""&amp;","</f>
        <v>"https://www.zeldadungeon.net/maps/totk/tiles/sky/6/31_49.jpg",</v>
      </c>
      <c r="H1433" t="str">
        <f>QUOTIENT(ROW(A1433),48)+2&amp;"_"&amp;MOD(ROW(A1433),48)+8</f>
        <v>31_49</v>
      </c>
    </row>
    <row r="1434" spans="1:8" x14ac:dyDescent="0.2">
      <c r="A1434" s="9" t="s">
        <v>51</v>
      </c>
      <c r="C1434" t="str">
        <f>""""&amp;SUBSTITUTE(A1434,"zzz",H1434)&amp;""""&amp;","</f>
        <v>"https://www.zeldadungeon.net/maps/totk/tiles/sky/6/31_50.jpg",</v>
      </c>
      <c r="H1434" t="str">
        <f>QUOTIENT(ROW(A1434),48)+2&amp;"_"&amp;MOD(ROW(A1434),48)+8</f>
        <v>31_50</v>
      </c>
    </row>
    <row r="1435" spans="1:8" x14ac:dyDescent="0.2">
      <c r="A1435" s="9" t="s">
        <v>51</v>
      </c>
      <c r="C1435" t="str">
        <f>""""&amp;SUBSTITUTE(A1435,"zzz",H1435)&amp;""""&amp;","</f>
        <v>"https://www.zeldadungeon.net/maps/totk/tiles/sky/6/31_51.jpg",</v>
      </c>
      <c r="H1435" t="str">
        <f>QUOTIENT(ROW(A1435),48)+2&amp;"_"&amp;MOD(ROW(A1435),48)+8</f>
        <v>31_51</v>
      </c>
    </row>
    <row r="1436" spans="1:8" x14ac:dyDescent="0.2">
      <c r="A1436" s="9" t="s">
        <v>51</v>
      </c>
      <c r="C1436" t="str">
        <f>""""&amp;SUBSTITUTE(A1436,"zzz",H1436)&amp;""""&amp;","</f>
        <v>"https://www.zeldadungeon.net/maps/totk/tiles/sky/6/31_52.jpg",</v>
      </c>
      <c r="H1436" t="str">
        <f>QUOTIENT(ROW(A1436),48)+2&amp;"_"&amp;MOD(ROW(A1436),48)+8</f>
        <v>31_52</v>
      </c>
    </row>
    <row r="1437" spans="1:8" x14ac:dyDescent="0.2">
      <c r="A1437" s="9" t="s">
        <v>51</v>
      </c>
      <c r="C1437" t="str">
        <f>""""&amp;SUBSTITUTE(A1437,"zzz",H1437)&amp;""""&amp;","</f>
        <v>"https://www.zeldadungeon.net/maps/totk/tiles/sky/6/31_53.jpg",</v>
      </c>
      <c r="H1437" t="str">
        <f>QUOTIENT(ROW(A1437),48)+2&amp;"_"&amp;MOD(ROW(A1437),48)+8</f>
        <v>31_53</v>
      </c>
    </row>
    <row r="1438" spans="1:8" x14ac:dyDescent="0.2">
      <c r="A1438" s="9" t="s">
        <v>51</v>
      </c>
      <c r="C1438" t="str">
        <f>""""&amp;SUBSTITUTE(A1438,"zzz",H1438)&amp;""""&amp;","</f>
        <v>"https://www.zeldadungeon.net/maps/totk/tiles/sky/6/31_54.jpg",</v>
      </c>
      <c r="H1438" t="str">
        <f>QUOTIENT(ROW(A1438),48)+2&amp;"_"&amp;MOD(ROW(A1438),48)+8</f>
        <v>31_54</v>
      </c>
    </row>
    <row r="1439" spans="1:8" x14ac:dyDescent="0.2">
      <c r="A1439" s="9" t="s">
        <v>51</v>
      </c>
      <c r="C1439" t="str">
        <f>""""&amp;SUBSTITUTE(A1439,"zzz",H1439)&amp;""""&amp;","</f>
        <v>"https://www.zeldadungeon.net/maps/totk/tiles/sky/6/31_55.jpg",</v>
      </c>
      <c r="H1439" t="str">
        <f>QUOTIENT(ROW(A1439),48)+2&amp;"_"&amp;MOD(ROW(A1439),48)+8</f>
        <v>31_55</v>
      </c>
    </row>
    <row r="1440" spans="1:8" x14ac:dyDescent="0.2">
      <c r="A1440" s="9" t="s">
        <v>51</v>
      </c>
      <c r="C1440" t="str">
        <f>""""&amp;SUBSTITUTE(A1440,"zzz",H1440)&amp;""""&amp;","</f>
        <v>"https://www.zeldadungeon.net/maps/totk/tiles/sky/6/32_8.jpg",</v>
      </c>
      <c r="H1440" t="str">
        <f>QUOTIENT(ROW(A1440),48)+2&amp;"_"&amp;MOD(ROW(A1440),48)+8</f>
        <v>32_8</v>
      </c>
    </row>
    <row r="1441" spans="1:8" x14ac:dyDescent="0.2">
      <c r="A1441" s="9" t="s">
        <v>51</v>
      </c>
      <c r="C1441" t="str">
        <f>""""&amp;SUBSTITUTE(A1441,"zzz",H1441)&amp;""""&amp;","</f>
        <v>"https://www.zeldadungeon.net/maps/totk/tiles/sky/6/32_9.jpg",</v>
      </c>
      <c r="H1441" t="str">
        <f>QUOTIENT(ROW(A1441),48)+2&amp;"_"&amp;MOD(ROW(A1441),48)+8</f>
        <v>32_9</v>
      </c>
    </row>
    <row r="1442" spans="1:8" x14ac:dyDescent="0.2">
      <c r="A1442" s="9" t="s">
        <v>51</v>
      </c>
      <c r="C1442" t="str">
        <f>""""&amp;SUBSTITUTE(A1442,"zzz",H1442)&amp;""""&amp;","</f>
        <v>"https://www.zeldadungeon.net/maps/totk/tiles/sky/6/32_10.jpg",</v>
      </c>
      <c r="H1442" t="str">
        <f>QUOTIENT(ROW(A1442),48)+2&amp;"_"&amp;MOD(ROW(A1442),48)+8</f>
        <v>32_10</v>
      </c>
    </row>
    <row r="1443" spans="1:8" x14ac:dyDescent="0.2">
      <c r="A1443" s="9" t="s">
        <v>51</v>
      </c>
      <c r="C1443" t="str">
        <f>""""&amp;SUBSTITUTE(A1443,"zzz",H1443)&amp;""""&amp;","</f>
        <v>"https://www.zeldadungeon.net/maps/totk/tiles/sky/6/32_11.jpg",</v>
      </c>
      <c r="H1443" t="str">
        <f>QUOTIENT(ROW(A1443),48)+2&amp;"_"&amp;MOD(ROW(A1443),48)+8</f>
        <v>32_11</v>
      </c>
    </row>
    <row r="1444" spans="1:8" x14ac:dyDescent="0.2">
      <c r="A1444" s="9" t="s">
        <v>51</v>
      </c>
      <c r="C1444" t="str">
        <f>""""&amp;SUBSTITUTE(A1444,"zzz",H1444)&amp;""""&amp;","</f>
        <v>"https://www.zeldadungeon.net/maps/totk/tiles/sky/6/32_12.jpg",</v>
      </c>
      <c r="H1444" t="str">
        <f>QUOTIENT(ROW(A1444),48)+2&amp;"_"&amp;MOD(ROW(A1444),48)+8</f>
        <v>32_12</v>
      </c>
    </row>
    <row r="1445" spans="1:8" x14ac:dyDescent="0.2">
      <c r="A1445" s="9" t="s">
        <v>51</v>
      </c>
      <c r="C1445" t="str">
        <f>""""&amp;SUBSTITUTE(A1445,"zzz",H1445)&amp;""""&amp;","</f>
        <v>"https://www.zeldadungeon.net/maps/totk/tiles/sky/6/32_13.jpg",</v>
      </c>
      <c r="H1445" t="str">
        <f>QUOTIENT(ROW(A1445),48)+2&amp;"_"&amp;MOD(ROW(A1445),48)+8</f>
        <v>32_13</v>
      </c>
    </row>
    <row r="1446" spans="1:8" x14ac:dyDescent="0.2">
      <c r="A1446" s="9" t="s">
        <v>51</v>
      </c>
      <c r="C1446" t="str">
        <f>""""&amp;SUBSTITUTE(A1446,"zzz",H1446)&amp;""""&amp;","</f>
        <v>"https://www.zeldadungeon.net/maps/totk/tiles/sky/6/32_14.jpg",</v>
      </c>
      <c r="H1446" t="str">
        <f>QUOTIENT(ROW(A1446),48)+2&amp;"_"&amp;MOD(ROW(A1446),48)+8</f>
        <v>32_14</v>
      </c>
    </row>
    <row r="1447" spans="1:8" x14ac:dyDescent="0.2">
      <c r="A1447" s="9" t="s">
        <v>51</v>
      </c>
      <c r="C1447" t="str">
        <f>""""&amp;SUBSTITUTE(A1447,"zzz",H1447)&amp;""""&amp;","</f>
        <v>"https://www.zeldadungeon.net/maps/totk/tiles/sky/6/32_15.jpg",</v>
      </c>
      <c r="H1447" t="str">
        <f>QUOTIENT(ROW(A1447),48)+2&amp;"_"&amp;MOD(ROW(A1447),48)+8</f>
        <v>32_15</v>
      </c>
    </row>
    <row r="1448" spans="1:8" x14ac:dyDescent="0.2">
      <c r="A1448" s="9" t="s">
        <v>51</v>
      </c>
      <c r="C1448" t="str">
        <f>""""&amp;SUBSTITUTE(A1448,"zzz",H1448)&amp;""""&amp;","</f>
        <v>"https://www.zeldadungeon.net/maps/totk/tiles/sky/6/32_16.jpg",</v>
      </c>
      <c r="H1448" t="str">
        <f>QUOTIENT(ROW(A1448),48)+2&amp;"_"&amp;MOD(ROW(A1448),48)+8</f>
        <v>32_16</v>
      </c>
    </row>
    <row r="1449" spans="1:8" x14ac:dyDescent="0.2">
      <c r="A1449" s="9" t="s">
        <v>51</v>
      </c>
      <c r="C1449" t="str">
        <f>""""&amp;SUBSTITUTE(A1449,"zzz",H1449)&amp;""""&amp;","</f>
        <v>"https://www.zeldadungeon.net/maps/totk/tiles/sky/6/32_17.jpg",</v>
      </c>
      <c r="H1449" t="str">
        <f>QUOTIENT(ROW(A1449),48)+2&amp;"_"&amp;MOD(ROW(A1449),48)+8</f>
        <v>32_17</v>
      </c>
    </row>
    <row r="1450" spans="1:8" x14ac:dyDescent="0.2">
      <c r="A1450" s="9" t="s">
        <v>51</v>
      </c>
      <c r="C1450" t="str">
        <f>""""&amp;SUBSTITUTE(A1450,"zzz",H1450)&amp;""""&amp;","</f>
        <v>"https://www.zeldadungeon.net/maps/totk/tiles/sky/6/32_18.jpg",</v>
      </c>
      <c r="H1450" t="str">
        <f>QUOTIENT(ROW(A1450),48)+2&amp;"_"&amp;MOD(ROW(A1450),48)+8</f>
        <v>32_18</v>
      </c>
    </row>
    <row r="1451" spans="1:8" x14ac:dyDescent="0.2">
      <c r="A1451" s="9" t="s">
        <v>51</v>
      </c>
      <c r="C1451" t="str">
        <f>""""&amp;SUBSTITUTE(A1451,"zzz",H1451)&amp;""""&amp;","</f>
        <v>"https://www.zeldadungeon.net/maps/totk/tiles/sky/6/32_19.jpg",</v>
      </c>
      <c r="H1451" t="str">
        <f>QUOTIENT(ROW(A1451),48)+2&amp;"_"&amp;MOD(ROW(A1451),48)+8</f>
        <v>32_19</v>
      </c>
    </row>
    <row r="1452" spans="1:8" x14ac:dyDescent="0.2">
      <c r="A1452" s="9" t="s">
        <v>51</v>
      </c>
      <c r="C1452" t="str">
        <f>""""&amp;SUBSTITUTE(A1452,"zzz",H1452)&amp;""""&amp;","</f>
        <v>"https://www.zeldadungeon.net/maps/totk/tiles/sky/6/32_20.jpg",</v>
      </c>
      <c r="H1452" t="str">
        <f>QUOTIENT(ROW(A1452),48)+2&amp;"_"&amp;MOD(ROW(A1452),48)+8</f>
        <v>32_20</v>
      </c>
    </row>
    <row r="1453" spans="1:8" x14ac:dyDescent="0.2">
      <c r="A1453" s="9" t="s">
        <v>51</v>
      </c>
      <c r="C1453" t="str">
        <f>""""&amp;SUBSTITUTE(A1453,"zzz",H1453)&amp;""""&amp;","</f>
        <v>"https://www.zeldadungeon.net/maps/totk/tiles/sky/6/32_21.jpg",</v>
      </c>
      <c r="H1453" t="str">
        <f>QUOTIENT(ROW(A1453),48)+2&amp;"_"&amp;MOD(ROW(A1453),48)+8</f>
        <v>32_21</v>
      </c>
    </row>
    <row r="1454" spans="1:8" x14ac:dyDescent="0.2">
      <c r="A1454" s="9" t="s">
        <v>51</v>
      </c>
      <c r="C1454" t="str">
        <f>""""&amp;SUBSTITUTE(A1454,"zzz",H1454)&amp;""""&amp;","</f>
        <v>"https://www.zeldadungeon.net/maps/totk/tiles/sky/6/32_22.jpg",</v>
      </c>
      <c r="H1454" t="str">
        <f>QUOTIENT(ROW(A1454),48)+2&amp;"_"&amp;MOD(ROW(A1454),48)+8</f>
        <v>32_22</v>
      </c>
    </row>
    <row r="1455" spans="1:8" x14ac:dyDescent="0.2">
      <c r="A1455" s="9" t="s">
        <v>51</v>
      </c>
      <c r="C1455" t="str">
        <f>""""&amp;SUBSTITUTE(A1455,"zzz",H1455)&amp;""""&amp;","</f>
        <v>"https://www.zeldadungeon.net/maps/totk/tiles/sky/6/32_23.jpg",</v>
      </c>
      <c r="H1455" t="str">
        <f>QUOTIENT(ROW(A1455),48)+2&amp;"_"&amp;MOD(ROW(A1455),48)+8</f>
        <v>32_23</v>
      </c>
    </row>
    <row r="1456" spans="1:8" x14ac:dyDescent="0.2">
      <c r="A1456" s="9" t="s">
        <v>51</v>
      </c>
      <c r="C1456" t="str">
        <f>""""&amp;SUBSTITUTE(A1456,"zzz",H1456)&amp;""""&amp;","</f>
        <v>"https://www.zeldadungeon.net/maps/totk/tiles/sky/6/32_24.jpg",</v>
      </c>
      <c r="H1456" t="str">
        <f>QUOTIENT(ROW(A1456),48)+2&amp;"_"&amp;MOD(ROW(A1456),48)+8</f>
        <v>32_24</v>
      </c>
    </row>
    <row r="1457" spans="1:8" x14ac:dyDescent="0.2">
      <c r="A1457" s="9" t="s">
        <v>51</v>
      </c>
      <c r="C1457" t="str">
        <f>""""&amp;SUBSTITUTE(A1457,"zzz",H1457)&amp;""""&amp;","</f>
        <v>"https://www.zeldadungeon.net/maps/totk/tiles/sky/6/32_25.jpg",</v>
      </c>
      <c r="H1457" t="str">
        <f>QUOTIENT(ROW(A1457),48)+2&amp;"_"&amp;MOD(ROW(A1457),48)+8</f>
        <v>32_25</v>
      </c>
    </row>
    <row r="1458" spans="1:8" x14ac:dyDescent="0.2">
      <c r="A1458" s="9" t="s">
        <v>51</v>
      </c>
      <c r="C1458" t="str">
        <f>""""&amp;SUBSTITUTE(A1458,"zzz",H1458)&amp;""""&amp;","</f>
        <v>"https://www.zeldadungeon.net/maps/totk/tiles/sky/6/32_26.jpg",</v>
      </c>
      <c r="H1458" t="str">
        <f>QUOTIENT(ROW(A1458),48)+2&amp;"_"&amp;MOD(ROW(A1458),48)+8</f>
        <v>32_26</v>
      </c>
    </row>
    <row r="1459" spans="1:8" x14ac:dyDescent="0.2">
      <c r="A1459" s="9" t="s">
        <v>51</v>
      </c>
      <c r="C1459" t="str">
        <f>""""&amp;SUBSTITUTE(A1459,"zzz",H1459)&amp;""""&amp;","</f>
        <v>"https://www.zeldadungeon.net/maps/totk/tiles/sky/6/32_27.jpg",</v>
      </c>
      <c r="H1459" t="str">
        <f>QUOTIENT(ROW(A1459),48)+2&amp;"_"&amp;MOD(ROW(A1459),48)+8</f>
        <v>32_27</v>
      </c>
    </row>
    <row r="1460" spans="1:8" x14ac:dyDescent="0.2">
      <c r="A1460" s="9" t="s">
        <v>51</v>
      </c>
      <c r="C1460" t="str">
        <f>""""&amp;SUBSTITUTE(A1460,"zzz",H1460)&amp;""""&amp;","</f>
        <v>"https://www.zeldadungeon.net/maps/totk/tiles/sky/6/32_28.jpg",</v>
      </c>
      <c r="H1460" t="str">
        <f>QUOTIENT(ROW(A1460),48)+2&amp;"_"&amp;MOD(ROW(A1460),48)+8</f>
        <v>32_28</v>
      </c>
    </row>
    <row r="1461" spans="1:8" x14ac:dyDescent="0.2">
      <c r="A1461" s="9" t="s">
        <v>51</v>
      </c>
      <c r="C1461" t="str">
        <f>""""&amp;SUBSTITUTE(A1461,"zzz",H1461)&amp;""""&amp;","</f>
        <v>"https://www.zeldadungeon.net/maps/totk/tiles/sky/6/32_29.jpg",</v>
      </c>
      <c r="H1461" t="str">
        <f>QUOTIENT(ROW(A1461),48)+2&amp;"_"&amp;MOD(ROW(A1461),48)+8</f>
        <v>32_29</v>
      </c>
    </row>
    <row r="1462" spans="1:8" x14ac:dyDescent="0.2">
      <c r="A1462" s="9" t="s">
        <v>51</v>
      </c>
      <c r="C1462" t="str">
        <f>""""&amp;SUBSTITUTE(A1462,"zzz",H1462)&amp;""""&amp;","</f>
        <v>"https://www.zeldadungeon.net/maps/totk/tiles/sky/6/32_30.jpg",</v>
      </c>
      <c r="H1462" t="str">
        <f>QUOTIENT(ROW(A1462),48)+2&amp;"_"&amp;MOD(ROW(A1462),48)+8</f>
        <v>32_30</v>
      </c>
    </row>
    <row r="1463" spans="1:8" x14ac:dyDescent="0.2">
      <c r="A1463" s="9" t="s">
        <v>51</v>
      </c>
      <c r="C1463" t="str">
        <f>""""&amp;SUBSTITUTE(A1463,"zzz",H1463)&amp;""""&amp;","</f>
        <v>"https://www.zeldadungeon.net/maps/totk/tiles/sky/6/32_31.jpg",</v>
      </c>
      <c r="H1463" t="str">
        <f>QUOTIENT(ROW(A1463),48)+2&amp;"_"&amp;MOD(ROW(A1463),48)+8</f>
        <v>32_31</v>
      </c>
    </row>
    <row r="1464" spans="1:8" x14ac:dyDescent="0.2">
      <c r="A1464" s="9" t="s">
        <v>51</v>
      </c>
      <c r="C1464" t="str">
        <f>""""&amp;SUBSTITUTE(A1464,"zzz",H1464)&amp;""""&amp;","</f>
        <v>"https://www.zeldadungeon.net/maps/totk/tiles/sky/6/32_32.jpg",</v>
      </c>
      <c r="H1464" t="str">
        <f>QUOTIENT(ROW(A1464),48)+2&amp;"_"&amp;MOD(ROW(A1464),48)+8</f>
        <v>32_32</v>
      </c>
    </row>
    <row r="1465" spans="1:8" x14ac:dyDescent="0.2">
      <c r="A1465" s="9" t="s">
        <v>51</v>
      </c>
      <c r="C1465" t="str">
        <f>""""&amp;SUBSTITUTE(A1465,"zzz",H1465)&amp;""""&amp;","</f>
        <v>"https://www.zeldadungeon.net/maps/totk/tiles/sky/6/32_33.jpg",</v>
      </c>
      <c r="H1465" t="str">
        <f>QUOTIENT(ROW(A1465),48)+2&amp;"_"&amp;MOD(ROW(A1465),48)+8</f>
        <v>32_33</v>
      </c>
    </row>
    <row r="1466" spans="1:8" x14ac:dyDescent="0.2">
      <c r="A1466" s="9" t="s">
        <v>51</v>
      </c>
      <c r="C1466" t="str">
        <f>""""&amp;SUBSTITUTE(A1466,"zzz",H1466)&amp;""""&amp;","</f>
        <v>"https://www.zeldadungeon.net/maps/totk/tiles/sky/6/32_34.jpg",</v>
      </c>
      <c r="H1466" t="str">
        <f>QUOTIENT(ROW(A1466),48)+2&amp;"_"&amp;MOD(ROW(A1466),48)+8</f>
        <v>32_34</v>
      </c>
    </row>
    <row r="1467" spans="1:8" x14ac:dyDescent="0.2">
      <c r="A1467" s="9" t="s">
        <v>51</v>
      </c>
      <c r="C1467" t="str">
        <f>""""&amp;SUBSTITUTE(A1467,"zzz",H1467)&amp;""""&amp;","</f>
        <v>"https://www.zeldadungeon.net/maps/totk/tiles/sky/6/32_35.jpg",</v>
      </c>
      <c r="H1467" t="str">
        <f>QUOTIENT(ROW(A1467),48)+2&amp;"_"&amp;MOD(ROW(A1467),48)+8</f>
        <v>32_35</v>
      </c>
    </row>
    <row r="1468" spans="1:8" x14ac:dyDescent="0.2">
      <c r="A1468" s="9" t="s">
        <v>51</v>
      </c>
      <c r="C1468" t="str">
        <f>""""&amp;SUBSTITUTE(A1468,"zzz",H1468)&amp;""""&amp;","</f>
        <v>"https://www.zeldadungeon.net/maps/totk/tiles/sky/6/32_36.jpg",</v>
      </c>
      <c r="H1468" t="str">
        <f>QUOTIENT(ROW(A1468),48)+2&amp;"_"&amp;MOD(ROW(A1468),48)+8</f>
        <v>32_36</v>
      </c>
    </row>
    <row r="1469" spans="1:8" x14ac:dyDescent="0.2">
      <c r="A1469" s="9" t="s">
        <v>51</v>
      </c>
      <c r="C1469" t="str">
        <f>""""&amp;SUBSTITUTE(A1469,"zzz",H1469)&amp;""""&amp;","</f>
        <v>"https://www.zeldadungeon.net/maps/totk/tiles/sky/6/32_37.jpg",</v>
      </c>
      <c r="H1469" t="str">
        <f>QUOTIENT(ROW(A1469),48)+2&amp;"_"&amp;MOD(ROW(A1469),48)+8</f>
        <v>32_37</v>
      </c>
    </row>
    <row r="1470" spans="1:8" x14ac:dyDescent="0.2">
      <c r="A1470" s="9" t="s">
        <v>51</v>
      </c>
      <c r="C1470" t="str">
        <f>""""&amp;SUBSTITUTE(A1470,"zzz",H1470)&amp;""""&amp;","</f>
        <v>"https://www.zeldadungeon.net/maps/totk/tiles/sky/6/32_38.jpg",</v>
      </c>
      <c r="H1470" t="str">
        <f>QUOTIENT(ROW(A1470),48)+2&amp;"_"&amp;MOD(ROW(A1470),48)+8</f>
        <v>32_38</v>
      </c>
    </row>
    <row r="1471" spans="1:8" x14ac:dyDescent="0.2">
      <c r="A1471" s="9" t="s">
        <v>51</v>
      </c>
      <c r="C1471" t="str">
        <f>""""&amp;SUBSTITUTE(A1471,"zzz",H1471)&amp;""""&amp;","</f>
        <v>"https://www.zeldadungeon.net/maps/totk/tiles/sky/6/32_39.jpg",</v>
      </c>
      <c r="H1471" t="str">
        <f>QUOTIENT(ROW(A1471),48)+2&amp;"_"&amp;MOD(ROW(A1471),48)+8</f>
        <v>32_39</v>
      </c>
    </row>
    <row r="1472" spans="1:8" x14ac:dyDescent="0.2">
      <c r="A1472" s="9" t="s">
        <v>51</v>
      </c>
      <c r="C1472" t="str">
        <f>""""&amp;SUBSTITUTE(A1472,"zzz",H1472)&amp;""""&amp;","</f>
        <v>"https://www.zeldadungeon.net/maps/totk/tiles/sky/6/32_40.jpg",</v>
      </c>
      <c r="H1472" t="str">
        <f>QUOTIENT(ROW(A1472),48)+2&amp;"_"&amp;MOD(ROW(A1472),48)+8</f>
        <v>32_40</v>
      </c>
    </row>
    <row r="1473" spans="1:8" x14ac:dyDescent="0.2">
      <c r="A1473" s="9" t="s">
        <v>51</v>
      </c>
      <c r="C1473" t="str">
        <f>""""&amp;SUBSTITUTE(A1473,"zzz",H1473)&amp;""""&amp;","</f>
        <v>"https://www.zeldadungeon.net/maps/totk/tiles/sky/6/32_41.jpg",</v>
      </c>
      <c r="H1473" t="str">
        <f>QUOTIENT(ROW(A1473),48)+2&amp;"_"&amp;MOD(ROW(A1473),48)+8</f>
        <v>32_41</v>
      </c>
    </row>
    <row r="1474" spans="1:8" x14ac:dyDescent="0.2">
      <c r="A1474" s="9" t="s">
        <v>51</v>
      </c>
      <c r="C1474" t="str">
        <f>""""&amp;SUBSTITUTE(A1474,"zzz",H1474)&amp;""""&amp;","</f>
        <v>"https://www.zeldadungeon.net/maps/totk/tiles/sky/6/32_42.jpg",</v>
      </c>
      <c r="H1474" t="str">
        <f>QUOTIENT(ROW(A1474),48)+2&amp;"_"&amp;MOD(ROW(A1474),48)+8</f>
        <v>32_42</v>
      </c>
    </row>
    <row r="1475" spans="1:8" x14ac:dyDescent="0.2">
      <c r="A1475" s="9" t="s">
        <v>51</v>
      </c>
      <c r="C1475" t="str">
        <f>""""&amp;SUBSTITUTE(A1475,"zzz",H1475)&amp;""""&amp;","</f>
        <v>"https://www.zeldadungeon.net/maps/totk/tiles/sky/6/32_43.jpg",</v>
      </c>
      <c r="H1475" t="str">
        <f>QUOTIENT(ROW(A1475),48)+2&amp;"_"&amp;MOD(ROW(A1475),48)+8</f>
        <v>32_43</v>
      </c>
    </row>
    <row r="1476" spans="1:8" x14ac:dyDescent="0.2">
      <c r="A1476" s="9" t="s">
        <v>51</v>
      </c>
      <c r="C1476" t="str">
        <f>""""&amp;SUBSTITUTE(A1476,"zzz",H1476)&amp;""""&amp;","</f>
        <v>"https://www.zeldadungeon.net/maps/totk/tiles/sky/6/32_44.jpg",</v>
      </c>
      <c r="H1476" t="str">
        <f>QUOTIENT(ROW(A1476),48)+2&amp;"_"&amp;MOD(ROW(A1476),48)+8</f>
        <v>32_44</v>
      </c>
    </row>
    <row r="1477" spans="1:8" x14ac:dyDescent="0.2">
      <c r="A1477" s="9" t="s">
        <v>51</v>
      </c>
      <c r="C1477" t="str">
        <f>""""&amp;SUBSTITUTE(A1477,"zzz",H1477)&amp;""""&amp;","</f>
        <v>"https://www.zeldadungeon.net/maps/totk/tiles/sky/6/32_45.jpg",</v>
      </c>
      <c r="H1477" t="str">
        <f>QUOTIENT(ROW(A1477),48)+2&amp;"_"&amp;MOD(ROW(A1477),48)+8</f>
        <v>32_45</v>
      </c>
    </row>
    <row r="1478" spans="1:8" x14ac:dyDescent="0.2">
      <c r="A1478" s="9" t="s">
        <v>51</v>
      </c>
      <c r="C1478" t="str">
        <f>""""&amp;SUBSTITUTE(A1478,"zzz",H1478)&amp;""""&amp;","</f>
        <v>"https://www.zeldadungeon.net/maps/totk/tiles/sky/6/32_46.jpg",</v>
      </c>
      <c r="H1478" t="str">
        <f>QUOTIENT(ROW(A1478),48)+2&amp;"_"&amp;MOD(ROW(A1478),48)+8</f>
        <v>32_46</v>
      </c>
    </row>
    <row r="1479" spans="1:8" x14ac:dyDescent="0.2">
      <c r="A1479" s="9" t="s">
        <v>51</v>
      </c>
      <c r="C1479" t="str">
        <f>""""&amp;SUBSTITUTE(A1479,"zzz",H1479)&amp;""""&amp;","</f>
        <v>"https://www.zeldadungeon.net/maps/totk/tiles/sky/6/32_47.jpg",</v>
      </c>
      <c r="H1479" t="str">
        <f>QUOTIENT(ROW(A1479),48)+2&amp;"_"&amp;MOD(ROW(A1479),48)+8</f>
        <v>32_47</v>
      </c>
    </row>
    <row r="1480" spans="1:8" x14ac:dyDescent="0.2">
      <c r="A1480" s="9" t="s">
        <v>51</v>
      </c>
      <c r="C1480" t="str">
        <f>""""&amp;SUBSTITUTE(A1480,"zzz",H1480)&amp;""""&amp;","</f>
        <v>"https://www.zeldadungeon.net/maps/totk/tiles/sky/6/32_48.jpg",</v>
      </c>
      <c r="H1480" t="str">
        <f>QUOTIENT(ROW(A1480),48)+2&amp;"_"&amp;MOD(ROW(A1480),48)+8</f>
        <v>32_48</v>
      </c>
    </row>
    <row r="1481" spans="1:8" x14ac:dyDescent="0.2">
      <c r="A1481" s="9" t="s">
        <v>51</v>
      </c>
      <c r="C1481" t="str">
        <f>""""&amp;SUBSTITUTE(A1481,"zzz",H1481)&amp;""""&amp;","</f>
        <v>"https://www.zeldadungeon.net/maps/totk/tiles/sky/6/32_49.jpg",</v>
      </c>
      <c r="H1481" t="str">
        <f>QUOTIENT(ROW(A1481),48)+2&amp;"_"&amp;MOD(ROW(A1481),48)+8</f>
        <v>32_49</v>
      </c>
    </row>
    <row r="1482" spans="1:8" x14ac:dyDescent="0.2">
      <c r="A1482" s="9" t="s">
        <v>51</v>
      </c>
      <c r="C1482" t="str">
        <f>""""&amp;SUBSTITUTE(A1482,"zzz",H1482)&amp;""""&amp;","</f>
        <v>"https://www.zeldadungeon.net/maps/totk/tiles/sky/6/32_50.jpg",</v>
      </c>
      <c r="H1482" t="str">
        <f>QUOTIENT(ROW(A1482),48)+2&amp;"_"&amp;MOD(ROW(A1482),48)+8</f>
        <v>32_50</v>
      </c>
    </row>
    <row r="1483" spans="1:8" x14ac:dyDescent="0.2">
      <c r="A1483" s="9" t="s">
        <v>51</v>
      </c>
      <c r="C1483" t="str">
        <f>""""&amp;SUBSTITUTE(A1483,"zzz",H1483)&amp;""""&amp;","</f>
        <v>"https://www.zeldadungeon.net/maps/totk/tiles/sky/6/32_51.jpg",</v>
      </c>
      <c r="H1483" t="str">
        <f>QUOTIENT(ROW(A1483),48)+2&amp;"_"&amp;MOD(ROW(A1483),48)+8</f>
        <v>32_51</v>
      </c>
    </row>
    <row r="1484" spans="1:8" x14ac:dyDescent="0.2">
      <c r="A1484" s="9" t="s">
        <v>51</v>
      </c>
      <c r="C1484" t="str">
        <f>""""&amp;SUBSTITUTE(A1484,"zzz",H1484)&amp;""""&amp;","</f>
        <v>"https://www.zeldadungeon.net/maps/totk/tiles/sky/6/32_52.jpg",</v>
      </c>
      <c r="H1484" t="str">
        <f>QUOTIENT(ROW(A1484),48)+2&amp;"_"&amp;MOD(ROW(A1484),48)+8</f>
        <v>32_52</v>
      </c>
    </row>
    <row r="1485" spans="1:8" x14ac:dyDescent="0.2">
      <c r="A1485" s="9" t="s">
        <v>51</v>
      </c>
      <c r="C1485" t="str">
        <f>""""&amp;SUBSTITUTE(A1485,"zzz",H1485)&amp;""""&amp;","</f>
        <v>"https://www.zeldadungeon.net/maps/totk/tiles/sky/6/32_53.jpg",</v>
      </c>
      <c r="H1485" t="str">
        <f>QUOTIENT(ROW(A1485),48)+2&amp;"_"&amp;MOD(ROW(A1485),48)+8</f>
        <v>32_53</v>
      </c>
    </row>
    <row r="1486" spans="1:8" x14ac:dyDescent="0.2">
      <c r="A1486" s="9" t="s">
        <v>51</v>
      </c>
      <c r="C1486" t="str">
        <f>""""&amp;SUBSTITUTE(A1486,"zzz",H1486)&amp;""""&amp;","</f>
        <v>"https://www.zeldadungeon.net/maps/totk/tiles/sky/6/32_54.jpg",</v>
      </c>
      <c r="H1486" t="str">
        <f>QUOTIENT(ROW(A1486),48)+2&amp;"_"&amp;MOD(ROW(A1486),48)+8</f>
        <v>32_54</v>
      </c>
    </row>
    <row r="1487" spans="1:8" x14ac:dyDescent="0.2">
      <c r="A1487" s="9" t="s">
        <v>51</v>
      </c>
      <c r="C1487" t="str">
        <f>""""&amp;SUBSTITUTE(A1487,"zzz",H1487)&amp;""""&amp;","</f>
        <v>"https://www.zeldadungeon.net/maps/totk/tiles/sky/6/32_55.jpg",</v>
      </c>
      <c r="H1487" t="str">
        <f>QUOTIENT(ROW(A1487),48)+2&amp;"_"&amp;MOD(ROW(A1487),48)+8</f>
        <v>32_55</v>
      </c>
    </row>
    <row r="1488" spans="1:8" x14ac:dyDescent="0.2">
      <c r="A1488" s="9" t="s">
        <v>51</v>
      </c>
      <c r="C1488" t="str">
        <f>""""&amp;SUBSTITUTE(A1488,"zzz",H1488)&amp;""""&amp;","</f>
        <v>"https://www.zeldadungeon.net/maps/totk/tiles/sky/6/33_8.jpg",</v>
      </c>
      <c r="H1488" t="str">
        <f>QUOTIENT(ROW(A1488),48)+2&amp;"_"&amp;MOD(ROW(A1488),48)+8</f>
        <v>33_8</v>
      </c>
    </row>
    <row r="1489" spans="1:8" x14ac:dyDescent="0.2">
      <c r="A1489" s="9" t="s">
        <v>51</v>
      </c>
      <c r="C1489" t="str">
        <f>""""&amp;SUBSTITUTE(A1489,"zzz",H1489)&amp;""""&amp;","</f>
        <v>"https://www.zeldadungeon.net/maps/totk/tiles/sky/6/33_9.jpg",</v>
      </c>
      <c r="H1489" t="str">
        <f>QUOTIENT(ROW(A1489),48)+2&amp;"_"&amp;MOD(ROW(A1489),48)+8</f>
        <v>33_9</v>
      </c>
    </row>
    <row r="1490" spans="1:8" x14ac:dyDescent="0.2">
      <c r="A1490" s="9" t="s">
        <v>51</v>
      </c>
      <c r="C1490" t="str">
        <f>""""&amp;SUBSTITUTE(A1490,"zzz",H1490)&amp;""""&amp;","</f>
        <v>"https://www.zeldadungeon.net/maps/totk/tiles/sky/6/33_10.jpg",</v>
      </c>
      <c r="H1490" t="str">
        <f>QUOTIENT(ROW(A1490),48)+2&amp;"_"&amp;MOD(ROW(A1490),48)+8</f>
        <v>33_10</v>
      </c>
    </row>
    <row r="1491" spans="1:8" x14ac:dyDescent="0.2">
      <c r="A1491" s="9" t="s">
        <v>51</v>
      </c>
      <c r="C1491" t="str">
        <f>""""&amp;SUBSTITUTE(A1491,"zzz",H1491)&amp;""""&amp;","</f>
        <v>"https://www.zeldadungeon.net/maps/totk/tiles/sky/6/33_11.jpg",</v>
      </c>
      <c r="H1491" t="str">
        <f>QUOTIENT(ROW(A1491),48)+2&amp;"_"&amp;MOD(ROW(A1491),48)+8</f>
        <v>33_11</v>
      </c>
    </row>
    <row r="1492" spans="1:8" x14ac:dyDescent="0.2">
      <c r="A1492" s="9" t="s">
        <v>51</v>
      </c>
      <c r="C1492" t="str">
        <f>""""&amp;SUBSTITUTE(A1492,"zzz",H1492)&amp;""""&amp;","</f>
        <v>"https://www.zeldadungeon.net/maps/totk/tiles/sky/6/33_12.jpg",</v>
      </c>
      <c r="H1492" t="str">
        <f>QUOTIENT(ROW(A1492),48)+2&amp;"_"&amp;MOD(ROW(A1492),48)+8</f>
        <v>33_12</v>
      </c>
    </row>
    <row r="1493" spans="1:8" x14ac:dyDescent="0.2">
      <c r="A1493" s="9" t="s">
        <v>51</v>
      </c>
      <c r="C1493" t="str">
        <f>""""&amp;SUBSTITUTE(A1493,"zzz",H1493)&amp;""""&amp;","</f>
        <v>"https://www.zeldadungeon.net/maps/totk/tiles/sky/6/33_13.jpg",</v>
      </c>
      <c r="H1493" t="str">
        <f>QUOTIENT(ROW(A1493),48)+2&amp;"_"&amp;MOD(ROW(A1493),48)+8</f>
        <v>33_13</v>
      </c>
    </row>
    <row r="1494" spans="1:8" x14ac:dyDescent="0.2">
      <c r="A1494" s="9" t="s">
        <v>51</v>
      </c>
      <c r="C1494" t="str">
        <f>""""&amp;SUBSTITUTE(A1494,"zzz",H1494)&amp;""""&amp;","</f>
        <v>"https://www.zeldadungeon.net/maps/totk/tiles/sky/6/33_14.jpg",</v>
      </c>
      <c r="H1494" t="str">
        <f>QUOTIENT(ROW(A1494),48)+2&amp;"_"&amp;MOD(ROW(A1494),48)+8</f>
        <v>33_14</v>
      </c>
    </row>
    <row r="1495" spans="1:8" x14ac:dyDescent="0.2">
      <c r="A1495" s="9" t="s">
        <v>51</v>
      </c>
      <c r="C1495" t="str">
        <f>""""&amp;SUBSTITUTE(A1495,"zzz",H1495)&amp;""""&amp;","</f>
        <v>"https://www.zeldadungeon.net/maps/totk/tiles/sky/6/33_15.jpg",</v>
      </c>
      <c r="H1495" t="str">
        <f>QUOTIENT(ROW(A1495),48)+2&amp;"_"&amp;MOD(ROW(A1495),48)+8</f>
        <v>33_15</v>
      </c>
    </row>
    <row r="1496" spans="1:8" x14ac:dyDescent="0.2">
      <c r="A1496" s="9" t="s">
        <v>51</v>
      </c>
      <c r="C1496" t="str">
        <f>""""&amp;SUBSTITUTE(A1496,"zzz",H1496)&amp;""""&amp;","</f>
        <v>"https://www.zeldadungeon.net/maps/totk/tiles/sky/6/33_16.jpg",</v>
      </c>
      <c r="H1496" t="str">
        <f>QUOTIENT(ROW(A1496),48)+2&amp;"_"&amp;MOD(ROW(A1496),48)+8</f>
        <v>33_16</v>
      </c>
    </row>
    <row r="1497" spans="1:8" x14ac:dyDescent="0.2">
      <c r="A1497" s="9" t="s">
        <v>51</v>
      </c>
      <c r="C1497" t="str">
        <f>""""&amp;SUBSTITUTE(A1497,"zzz",H1497)&amp;""""&amp;","</f>
        <v>"https://www.zeldadungeon.net/maps/totk/tiles/sky/6/33_17.jpg",</v>
      </c>
      <c r="H1497" t="str">
        <f>QUOTIENT(ROW(A1497),48)+2&amp;"_"&amp;MOD(ROW(A1497),48)+8</f>
        <v>33_17</v>
      </c>
    </row>
    <row r="1498" spans="1:8" x14ac:dyDescent="0.2">
      <c r="A1498" s="9" t="s">
        <v>51</v>
      </c>
      <c r="C1498" t="str">
        <f>""""&amp;SUBSTITUTE(A1498,"zzz",H1498)&amp;""""&amp;","</f>
        <v>"https://www.zeldadungeon.net/maps/totk/tiles/sky/6/33_18.jpg",</v>
      </c>
      <c r="H1498" t="str">
        <f>QUOTIENT(ROW(A1498),48)+2&amp;"_"&amp;MOD(ROW(A1498),48)+8</f>
        <v>33_18</v>
      </c>
    </row>
    <row r="1499" spans="1:8" x14ac:dyDescent="0.2">
      <c r="A1499" s="9" t="s">
        <v>51</v>
      </c>
      <c r="C1499" t="str">
        <f>""""&amp;SUBSTITUTE(A1499,"zzz",H1499)&amp;""""&amp;","</f>
        <v>"https://www.zeldadungeon.net/maps/totk/tiles/sky/6/33_19.jpg",</v>
      </c>
      <c r="H1499" t="str">
        <f>QUOTIENT(ROW(A1499),48)+2&amp;"_"&amp;MOD(ROW(A1499),48)+8</f>
        <v>33_19</v>
      </c>
    </row>
    <row r="1500" spans="1:8" x14ac:dyDescent="0.2">
      <c r="A1500" s="9" t="s">
        <v>51</v>
      </c>
      <c r="C1500" t="str">
        <f>""""&amp;SUBSTITUTE(A1500,"zzz",H1500)&amp;""""&amp;","</f>
        <v>"https://www.zeldadungeon.net/maps/totk/tiles/sky/6/33_20.jpg",</v>
      </c>
      <c r="H1500" t="str">
        <f>QUOTIENT(ROW(A1500),48)+2&amp;"_"&amp;MOD(ROW(A1500),48)+8</f>
        <v>33_20</v>
      </c>
    </row>
    <row r="1501" spans="1:8" x14ac:dyDescent="0.2">
      <c r="A1501" s="9" t="s">
        <v>51</v>
      </c>
      <c r="C1501" t="str">
        <f>""""&amp;SUBSTITUTE(A1501,"zzz",H1501)&amp;""""&amp;","</f>
        <v>"https://www.zeldadungeon.net/maps/totk/tiles/sky/6/33_21.jpg",</v>
      </c>
      <c r="H1501" t="str">
        <f>QUOTIENT(ROW(A1501),48)+2&amp;"_"&amp;MOD(ROW(A1501),48)+8</f>
        <v>33_21</v>
      </c>
    </row>
    <row r="1502" spans="1:8" x14ac:dyDescent="0.2">
      <c r="A1502" s="9" t="s">
        <v>51</v>
      </c>
      <c r="C1502" t="str">
        <f>""""&amp;SUBSTITUTE(A1502,"zzz",H1502)&amp;""""&amp;","</f>
        <v>"https://www.zeldadungeon.net/maps/totk/tiles/sky/6/33_22.jpg",</v>
      </c>
      <c r="H1502" t="str">
        <f>QUOTIENT(ROW(A1502),48)+2&amp;"_"&amp;MOD(ROW(A1502),48)+8</f>
        <v>33_22</v>
      </c>
    </row>
    <row r="1503" spans="1:8" x14ac:dyDescent="0.2">
      <c r="A1503" s="9" t="s">
        <v>51</v>
      </c>
      <c r="C1503" t="str">
        <f>""""&amp;SUBSTITUTE(A1503,"zzz",H1503)&amp;""""&amp;","</f>
        <v>"https://www.zeldadungeon.net/maps/totk/tiles/sky/6/33_23.jpg",</v>
      </c>
      <c r="H1503" t="str">
        <f>QUOTIENT(ROW(A1503),48)+2&amp;"_"&amp;MOD(ROW(A1503),48)+8</f>
        <v>33_23</v>
      </c>
    </row>
    <row r="1504" spans="1:8" x14ac:dyDescent="0.2">
      <c r="A1504" s="9" t="s">
        <v>51</v>
      </c>
      <c r="C1504" t="str">
        <f>""""&amp;SUBSTITUTE(A1504,"zzz",H1504)&amp;""""&amp;","</f>
        <v>"https://www.zeldadungeon.net/maps/totk/tiles/sky/6/33_24.jpg",</v>
      </c>
      <c r="H1504" t="str">
        <f>QUOTIENT(ROW(A1504),48)+2&amp;"_"&amp;MOD(ROW(A1504),48)+8</f>
        <v>33_24</v>
      </c>
    </row>
    <row r="1505" spans="1:8" x14ac:dyDescent="0.2">
      <c r="A1505" s="9" t="s">
        <v>51</v>
      </c>
      <c r="C1505" t="str">
        <f>""""&amp;SUBSTITUTE(A1505,"zzz",H1505)&amp;""""&amp;","</f>
        <v>"https://www.zeldadungeon.net/maps/totk/tiles/sky/6/33_25.jpg",</v>
      </c>
      <c r="H1505" t="str">
        <f>QUOTIENT(ROW(A1505),48)+2&amp;"_"&amp;MOD(ROW(A1505),48)+8</f>
        <v>33_25</v>
      </c>
    </row>
    <row r="1506" spans="1:8" x14ac:dyDescent="0.2">
      <c r="A1506" s="9" t="s">
        <v>51</v>
      </c>
      <c r="C1506" t="str">
        <f>""""&amp;SUBSTITUTE(A1506,"zzz",H1506)&amp;""""&amp;","</f>
        <v>"https://www.zeldadungeon.net/maps/totk/tiles/sky/6/33_26.jpg",</v>
      </c>
      <c r="H1506" t="str">
        <f>QUOTIENT(ROW(A1506),48)+2&amp;"_"&amp;MOD(ROW(A1506),48)+8</f>
        <v>33_26</v>
      </c>
    </row>
    <row r="1507" spans="1:8" x14ac:dyDescent="0.2">
      <c r="A1507" s="9" t="s">
        <v>51</v>
      </c>
      <c r="C1507" t="str">
        <f>""""&amp;SUBSTITUTE(A1507,"zzz",H1507)&amp;""""&amp;","</f>
        <v>"https://www.zeldadungeon.net/maps/totk/tiles/sky/6/33_27.jpg",</v>
      </c>
      <c r="H1507" t="str">
        <f>QUOTIENT(ROW(A1507),48)+2&amp;"_"&amp;MOD(ROW(A1507),48)+8</f>
        <v>33_27</v>
      </c>
    </row>
    <row r="1508" spans="1:8" x14ac:dyDescent="0.2">
      <c r="A1508" s="9" t="s">
        <v>51</v>
      </c>
      <c r="C1508" t="str">
        <f>""""&amp;SUBSTITUTE(A1508,"zzz",H1508)&amp;""""&amp;","</f>
        <v>"https://www.zeldadungeon.net/maps/totk/tiles/sky/6/33_28.jpg",</v>
      </c>
      <c r="H1508" t="str">
        <f>QUOTIENT(ROW(A1508),48)+2&amp;"_"&amp;MOD(ROW(A1508),48)+8</f>
        <v>33_28</v>
      </c>
    </row>
    <row r="1509" spans="1:8" x14ac:dyDescent="0.2">
      <c r="A1509" s="9" t="s">
        <v>51</v>
      </c>
      <c r="C1509" t="str">
        <f>""""&amp;SUBSTITUTE(A1509,"zzz",H1509)&amp;""""&amp;","</f>
        <v>"https://www.zeldadungeon.net/maps/totk/tiles/sky/6/33_29.jpg",</v>
      </c>
      <c r="H1509" t="str">
        <f>QUOTIENT(ROW(A1509),48)+2&amp;"_"&amp;MOD(ROW(A1509),48)+8</f>
        <v>33_29</v>
      </c>
    </row>
    <row r="1510" spans="1:8" x14ac:dyDescent="0.2">
      <c r="A1510" s="9" t="s">
        <v>51</v>
      </c>
      <c r="C1510" t="str">
        <f>""""&amp;SUBSTITUTE(A1510,"zzz",H1510)&amp;""""&amp;","</f>
        <v>"https://www.zeldadungeon.net/maps/totk/tiles/sky/6/33_30.jpg",</v>
      </c>
      <c r="H1510" t="str">
        <f>QUOTIENT(ROW(A1510),48)+2&amp;"_"&amp;MOD(ROW(A1510),48)+8</f>
        <v>33_30</v>
      </c>
    </row>
    <row r="1511" spans="1:8" x14ac:dyDescent="0.2">
      <c r="A1511" s="9" t="s">
        <v>51</v>
      </c>
      <c r="C1511" t="str">
        <f>""""&amp;SUBSTITUTE(A1511,"zzz",H1511)&amp;""""&amp;","</f>
        <v>"https://www.zeldadungeon.net/maps/totk/tiles/sky/6/33_31.jpg",</v>
      </c>
      <c r="H1511" t="str">
        <f>QUOTIENT(ROW(A1511),48)+2&amp;"_"&amp;MOD(ROW(A1511),48)+8</f>
        <v>33_31</v>
      </c>
    </row>
    <row r="1512" spans="1:8" x14ac:dyDescent="0.2">
      <c r="A1512" s="9" t="s">
        <v>51</v>
      </c>
      <c r="C1512" t="str">
        <f>""""&amp;SUBSTITUTE(A1512,"zzz",H1512)&amp;""""&amp;","</f>
        <v>"https://www.zeldadungeon.net/maps/totk/tiles/sky/6/33_32.jpg",</v>
      </c>
      <c r="H1512" t="str">
        <f>QUOTIENT(ROW(A1512),48)+2&amp;"_"&amp;MOD(ROW(A1512),48)+8</f>
        <v>33_32</v>
      </c>
    </row>
    <row r="1513" spans="1:8" x14ac:dyDescent="0.2">
      <c r="A1513" s="9" t="s">
        <v>51</v>
      </c>
      <c r="C1513" t="str">
        <f>""""&amp;SUBSTITUTE(A1513,"zzz",H1513)&amp;""""&amp;","</f>
        <v>"https://www.zeldadungeon.net/maps/totk/tiles/sky/6/33_33.jpg",</v>
      </c>
      <c r="H1513" t="str">
        <f>QUOTIENT(ROW(A1513),48)+2&amp;"_"&amp;MOD(ROW(A1513),48)+8</f>
        <v>33_33</v>
      </c>
    </row>
    <row r="1514" spans="1:8" x14ac:dyDescent="0.2">
      <c r="A1514" s="9" t="s">
        <v>51</v>
      </c>
      <c r="C1514" t="str">
        <f>""""&amp;SUBSTITUTE(A1514,"zzz",H1514)&amp;""""&amp;","</f>
        <v>"https://www.zeldadungeon.net/maps/totk/tiles/sky/6/33_34.jpg",</v>
      </c>
      <c r="H1514" t="str">
        <f>QUOTIENT(ROW(A1514),48)+2&amp;"_"&amp;MOD(ROW(A1514),48)+8</f>
        <v>33_34</v>
      </c>
    </row>
    <row r="1515" spans="1:8" x14ac:dyDescent="0.2">
      <c r="A1515" s="9" t="s">
        <v>51</v>
      </c>
      <c r="C1515" t="str">
        <f>""""&amp;SUBSTITUTE(A1515,"zzz",H1515)&amp;""""&amp;","</f>
        <v>"https://www.zeldadungeon.net/maps/totk/tiles/sky/6/33_35.jpg",</v>
      </c>
      <c r="H1515" t="str">
        <f>QUOTIENT(ROW(A1515),48)+2&amp;"_"&amp;MOD(ROW(A1515),48)+8</f>
        <v>33_35</v>
      </c>
    </row>
    <row r="1516" spans="1:8" x14ac:dyDescent="0.2">
      <c r="A1516" s="9" t="s">
        <v>51</v>
      </c>
      <c r="C1516" t="str">
        <f>""""&amp;SUBSTITUTE(A1516,"zzz",H1516)&amp;""""&amp;","</f>
        <v>"https://www.zeldadungeon.net/maps/totk/tiles/sky/6/33_36.jpg",</v>
      </c>
      <c r="H1516" t="str">
        <f>QUOTIENT(ROW(A1516),48)+2&amp;"_"&amp;MOD(ROW(A1516),48)+8</f>
        <v>33_36</v>
      </c>
    </row>
    <row r="1517" spans="1:8" x14ac:dyDescent="0.2">
      <c r="A1517" s="9" t="s">
        <v>51</v>
      </c>
      <c r="C1517" t="str">
        <f>""""&amp;SUBSTITUTE(A1517,"zzz",H1517)&amp;""""&amp;","</f>
        <v>"https://www.zeldadungeon.net/maps/totk/tiles/sky/6/33_37.jpg",</v>
      </c>
      <c r="H1517" t="str">
        <f>QUOTIENT(ROW(A1517),48)+2&amp;"_"&amp;MOD(ROW(A1517),48)+8</f>
        <v>33_37</v>
      </c>
    </row>
    <row r="1518" spans="1:8" x14ac:dyDescent="0.2">
      <c r="A1518" s="9" t="s">
        <v>51</v>
      </c>
      <c r="C1518" t="str">
        <f>""""&amp;SUBSTITUTE(A1518,"zzz",H1518)&amp;""""&amp;","</f>
        <v>"https://www.zeldadungeon.net/maps/totk/tiles/sky/6/33_38.jpg",</v>
      </c>
      <c r="H1518" t="str">
        <f>QUOTIENT(ROW(A1518),48)+2&amp;"_"&amp;MOD(ROW(A1518),48)+8</f>
        <v>33_38</v>
      </c>
    </row>
    <row r="1519" spans="1:8" x14ac:dyDescent="0.2">
      <c r="A1519" s="9" t="s">
        <v>51</v>
      </c>
      <c r="C1519" t="str">
        <f>""""&amp;SUBSTITUTE(A1519,"zzz",H1519)&amp;""""&amp;","</f>
        <v>"https://www.zeldadungeon.net/maps/totk/tiles/sky/6/33_39.jpg",</v>
      </c>
      <c r="H1519" t="str">
        <f>QUOTIENT(ROW(A1519),48)+2&amp;"_"&amp;MOD(ROW(A1519),48)+8</f>
        <v>33_39</v>
      </c>
    </row>
    <row r="1520" spans="1:8" x14ac:dyDescent="0.2">
      <c r="A1520" s="9" t="s">
        <v>51</v>
      </c>
      <c r="C1520" t="str">
        <f>""""&amp;SUBSTITUTE(A1520,"zzz",H1520)&amp;""""&amp;","</f>
        <v>"https://www.zeldadungeon.net/maps/totk/tiles/sky/6/33_40.jpg",</v>
      </c>
      <c r="H1520" t="str">
        <f>QUOTIENT(ROW(A1520),48)+2&amp;"_"&amp;MOD(ROW(A1520),48)+8</f>
        <v>33_40</v>
      </c>
    </row>
    <row r="1521" spans="1:8" x14ac:dyDescent="0.2">
      <c r="A1521" s="9" t="s">
        <v>51</v>
      </c>
      <c r="C1521" t="str">
        <f>""""&amp;SUBSTITUTE(A1521,"zzz",H1521)&amp;""""&amp;","</f>
        <v>"https://www.zeldadungeon.net/maps/totk/tiles/sky/6/33_41.jpg",</v>
      </c>
      <c r="H1521" t="str">
        <f>QUOTIENT(ROW(A1521),48)+2&amp;"_"&amp;MOD(ROW(A1521),48)+8</f>
        <v>33_41</v>
      </c>
    </row>
    <row r="1522" spans="1:8" x14ac:dyDescent="0.2">
      <c r="A1522" s="9" t="s">
        <v>51</v>
      </c>
      <c r="C1522" t="str">
        <f>""""&amp;SUBSTITUTE(A1522,"zzz",H1522)&amp;""""&amp;","</f>
        <v>"https://www.zeldadungeon.net/maps/totk/tiles/sky/6/33_42.jpg",</v>
      </c>
      <c r="H1522" t="str">
        <f>QUOTIENT(ROW(A1522),48)+2&amp;"_"&amp;MOD(ROW(A1522),48)+8</f>
        <v>33_42</v>
      </c>
    </row>
    <row r="1523" spans="1:8" x14ac:dyDescent="0.2">
      <c r="A1523" s="9" t="s">
        <v>51</v>
      </c>
      <c r="C1523" t="str">
        <f>""""&amp;SUBSTITUTE(A1523,"zzz",H1523)&amp;""""&amp;","</f>
        <v>"https://www.zeldadungeon.net/maps/totk/tiles/sky/6/33_43.jpg",</v>
      </c>
      <c r="H1523" t="str">
        <f>QUOTIENT(ROW(A1523),48)+2&amp;"_"&amp;MOD(ROW(A1523),48)+8</f>
        <v>33_43</v>
      </c>
    </row>
    <row r="1524" spans="1:8" x14ac:dyDescent="0.2">
      <c r="A1524" s="9" t="s">
        <v>51</v>
      </c>
      <c r="C1524" t="str">
        <f>""""&amp;SUBSTITUTE(A1524,"zzz",H1524)&amp;""""&amp;","</f>
        <v>"https://www.zeldadungeon.net/maps/totk/tiles/sky/6/33_44.jpg",</v>
      </c>
      <c r="H1524" t="str">
        <f>QUOTIENT(ROW(A1524),48)+2&amp;"_"&amp;MOD(ROW(A1524),48)+8</f>
        <v>33_44</v>
      </c>
    </row>
    <row r="1525" spans="1:8" x14ac:dyDescent="0.2">
      <c r="A1525" s="9" t="s">
        <v>51</v>
      </c>
      <c r="C1525" t="str">
        <f>""""&amp;SUBSTITUTE(A1525,"zzz",H1525)&amp;""""&amp;","</f>
        <v>"https://www.zeldadungeon.net/maps/totk/tiles/sky/6/33_45.jpg",</v>
      </c>
      <c r="H1525" t="str">
        <f>QUOTIENT(ROW(A1525),48)+2&amp;"_"&amp;MOD(ROW(A1525),48)+8</f>
        <v>33_45</v>
      </c>
    </row>
    <row r="1526" spans="1:8" x14ac:dyDescent="0.2">
      <c r="A1526" s="9" t="s">
        <v>51</v>
      </c>
      <c r="C1526" t="str">
        <f>""""&amp;SUBSTITUTE(A1526,"zzz",H1526)&amp;""""&amp;","</f>
        <v>"https://www.zeldadungeon.net/maps/totk/tiles/sky/6/33_46.jpg",</v>
      </c>
      <c r="H1526" t="str">
        <f>QUOTIENT(ROW(A1526),48)+2&amp;"_"&amp;MOD(ROW(A1526),48)+8</f>
        <v>33_46</v>
      </c>
    </row>
    <row r="1527" spans="1:8" x14ac:dyDescent="0.2">
      <c r="A1527" s="9" t="s">
        <v>51</v>
      </c>
      <c r="C1527" t="str">
        <f>""""&amp;SUBSTITUTE(A1527,"zzz",H1527)&amp;""""&amp;","</f>
        <v>"https://www.zeldadungeon.net/maps/totk/tiles/sky/6/33_47.jpg",</v>
      </c>
      <c r="H1527" t="str">
        <f>QUOTIENT(ROW(A1527),48)+2&amp;"_"&amp;MOD(ROW(A1527),48)+8</f>
        <v>33_47</v>
      </c>
    </row>
    <row r="1528" spans="1:8" x14ac:dyDescent="0.2">
      <c r="A1528" s="9" t="s">
        <v>51</v>
      </c>
      <c r="C1528" t="str">
        <f>""""&amp;SUBSTITUTE(A1528,"zzz",H1528)&amp;""""&amp;","</f>
        <v>"https://www.zeldadungeon.net/maps/totk/tiles/sky/6/33_48.jpg",</v>
      </c>
      <c r="H1528" t="str">
        <f>QUOTIENT(ROW(A1528),48)+2&amp;"_"&amp;MOD(ROW(A1528),48)+8</f>
        <v>33_48</v>
      </c>
    </row>
    <row r="1529" spans="1:8" x14ac:dyDescent="0.2">
      <c r="A1529" s="9" t="s">
        <v>51</v>
      </c>
      <c r="C1529" t="str">
        <f>""""&amp;SUBSTITUTE(A1529,"zzz",H1529)&amp;""""&amp;","</f>
        <v>"https://www.zeldadungeon.net/maps/totk/tiles/sky/6/33_49.jpg",</v>
      </c>
      <c r="H1529" t="str">
        <f>QUOTIENT(ROW(A1529),48)+2&amp;"_"&amp;MOD(ROW(A1529),48)+8</f>
        <v>33_49</v>
      </c>
    </row>
    <row r="1530" spans="1:8" x14ac:dyDescent="0.2">
      <c r="A1530" s="9" t="s">
        <v>51</v>
      </c>
      <c r="C1530" t="str">
        <f>""""&amp;SUBSTITUTE(A1530,"zzz",H1530)&amp;""""&amp;","</f>
        <v>"https://www.zeldadungeon.net/maps/totk/tiles/sky/6/33_50.jpg",</v>
      </c>
      <c r="H1530" t="str">
        <f>QUOTIENT(ROW(A1530),48)+2&amp;"_"&amp;MOD(ROW(A1530),48)+8</f>
        <v>33_50</v>
      </c>
    </row>
    <row r="1531" spans="1:8" x14ac:dyDescent="0.2">
      <c r="A1531" s="9" t="s">
        <v>51</v>
      </c>
      <c r="C1531" t="str">
        <f>""""&amp;SUBSTITUTE(A1531,"zzz",H1531)&amp;""""&amp;","</f>
        <v>"https://www.zeldadungeon.net/maps/totk/tiles/sky/6/33_51.jpg",</v>
      </c>
      <c r="H1531" t="str">
        <f>QUOTIENT(ROW(A1531),48)+2&amp;"_"&amp;MOD(ROW(A1531),48)+8</f>
        <v>33_51</v>
      </c>
    </row>
    <row r="1532" spans="1:8" x14ac:dyDescent="0.2">
      <c r="A1532" s="9" t="s">
        <v>51</v>
      </c>
      <c r="C1532" t="str">
        <f>""""&amp;SUBSTITUTE(A1532,"zzz",H1532)&amp;""""&amp;","</f>
        <v>"https://www.zeldadungeon.net/maps/totk/tiles/sky/6/33_52.jpg",</v>
      </c>
      <c r="H1532" t="str">
        <f>QUOTIENT(ROW(A1532),48)+2&amp;"_"&amp;MOD(ROW(A1532),48)+8</f>
        <v>33_52</v>
      </c>
    </row>
    <row r="1533" spans="1:8" x14ac:dyDescent="0.2">
      <c r="A1533" s="9" t="s">
        <v>51</v>
      </c>
      <c r="C1533" t="str">
        <f>""""&amp;SUBSTITUTE(A1533,"zzz",H1533)&amp;""""&amp;","</f>
        <v>"https://www.zeldadungeon.net/maps/totk/tiles/sky/6/33_53.jpg",</v>
      </c>
      <c r="H1533" t="str">
        <f>QUOTIENT(ROW(A1533),48)+2&amp;"_"&amp;MOD(ROW(A1533),48)+8</f>
        <v>33_53</v>
      </c>
    </row>
    <row r="1534" spans="1:8" x14ac:dyDescent="0.2">
      <c r="A1534" s="9" t="s">
        <v>51</v>
      </c>
      <c r="C1534" t="str">
        <f>""""&amp;SUBSTITUTE(A1534,"zzz",H1534)&amp;""""&amp;","</f>
        <v>"https://www.zeldadungeon.net/maps/totk/tiles/sky/6/33_54.jpg",</v>
      </c>
      <c r="H1534" t="str">
        <f>QUOTIENT(ROW(A1534),48)+2&amp;"_"&amp;MOD(ROW(A1534),48)+8</f>
        <v>33_54</v>
      </c>
    </row>
    <row r="1535" spans="1:8" x14ac:dyDescent="0.2">
      <c r="A1535" s="9" t="s">
        <v>51</v>
      </c>
      <c r="C1535" t="str">
        <f>""""&amp;SUBSTITUTE(A1535,"zzz",H1535)&amp;""""&amp;","</f>
        <v>"https://www.zeldadungeon.net/maps/totk/tiles/sky/6/33_55.jpg",</v>
      </c>
      <c r="H1535" t="str">
        <f>QUOTIENT(ROW(A1535),48)+2&amp;"_"&amp;MOD(ROW(A1535),48)+8</f>
        <v>33_55</v>
      </c>
    </row>
    <row r="1536" spans="1:8" x14ac:dyDescent="0.2">
      <c r="A1536" s="9" t="s">
        <v>51</v>
      </c>
      <c r="C1536" t="str">
        <f>""""&amp;SUBSTITUTE(A1536,"zzz",H1536)&amp;""""&amp;","</f>
        <v>"https://www.zeldadungeon.net/maps/totk/tiles/sky/6/34_8.jpg",</v>
      </c>
      <c r="H1536" t="str">
        <f>QUOTIENT(ROW(A1536),48)+2&amp;"_"&amp;MOD(ROW(A1536),48)+8</f>
        <v>34_8</v>
      </c>
    </row>
    <row r="1537" spans="1:8" x14ac:dyDescent="0.2">
      <c r="A1537" s="9" t="s">
        <v>51</v>
      </c>
      <c r="C1537" t="str">
        <f>""""&amp;SUBSTITUTE(A1537,"zzz",H1537)&amp;""""&amp;","</f>
        <v>"https://www.zeldadungeon.net/maps/totk/tiles/sky/6/34_9.jpg",</v>
      </c>
      <c r="H1537" t="str">
        <f>QUOTIENT(ROW(A1537),48)+2&amp;"_"&amp;MOD(ROW(A1537),48)+8</f>
        <v>34_9</v>
      </c>
    </row>
    <row r="1538" spans="1:8" x14ac:dyDescent="0.2">
      <c r="A1538" s="9" t="s">
        <v>51</v>
      </c>
      <c r="C1538" t="str">
        <f>""""&amp;SUBSTITUTE(A1538,"zzz",H1538)&amp;""""&amp;","</f>
        <v>"https://www.zeldadungeon.net/maps/totk/tiles/sky/6/34_10.jpg",</v>
      </c>
      <c r="H1538" t="str">
        <f>QUOTIENT(ROW(A1538),48)+2&amp;"_"&amp;MOD(ROW(A1538),48)+8</f>
        <v>34_10</v>
      </c>
    </row>
    <row r="1539" spans="1:8" x14ac:dyDescent="0.2">
      <c r="A1539" s="9" t="s">
        <v>51</v>
      </c>
      <c r="C1539" t="str">
        <f>""""&amp;SUBSTITUTE(A1539,"zzz",H1539)&amp;""""&amp;","</f>
        <v>"https://www.zeldadungeon.net/maps/totk/tiles/sky/6/34_11.jpg",</v>
      </c>
      <c r="H1539" t="str">
        <f>QUOTIENT(ROW(A1539),48)+2&amp;"_"&amp;MOD(ROW(A1539),48)+8</f>
        <v>34_11</v>
      </c>
    </row>
    <row r="1540" spans="1:8" x14ac:dyDescent="0.2">
      <c r="A1540" s="9" t="s">
        <v>51</v>
      </c>
      <c r="C1540" t="str">
        <f>""""&amp;SUBSTITUTE(A1540,"zzz",H1540)&amp;""""&amp;","</f>
        <v>"https://www.zeldadungeon.net/maps/totk/tiles/sky/6/34_12.jpg",</v>
      </c>
      <c r="H1540" t="str">
        <f>QUOTIENT(ROW(A1540),48)+2&amp;"_"&amp;MOD(ROW(A1540),48)+8</f>
        <v>34_12</v>
      </c>
    </row>
    <row r="1541" spans="1:8" x14ac:dyDescent="0.2">
      <c r="A1541" s="9" t="s">
        <v>51</v>
      </c>
      <c r="C1541" t="str">
        <f>""""&amp;SUBSTITUTE(A1541,"zzz",H1541)&amp;""""&amp;","</f>
        <v>"https://www.zeldadungeon.net/maps/totk/tiles/sky/6/34_13.jpg",</v>
      </c>
      <c r="H1541" t="str">
        <f>QUOTIENT(ROW(A1541),48)+2&amp;"_"&amp;MOD(ROW(A1541),48)+8</f>
        <v>34_13</v>
      </c>
    </row>
    <row r="1542" spans="1:8" x14ac:dyDescent="0.2">
      <c r="A1542" s="9" t="s">
        <v>51</v>
      </c>
      <c r="C1542" t="str">
        <f>""""&amp;SUBSTITUTE(A1542,"zzz",H1542)&amp;""""&amp;","</f>
        <v>"https://www.zeldadungeon.net/maps/totk/tiles/sky/6/34_14.jpg",</v>
      </c>
      <c r="H1542" t="str">
        <f>QUOTIENT(ROW(A1542),48)+2&amp;"_"&amp;MOD(ROW(A1542),48)+8</f>
        <v>34_14</v>
      </c>
    </row>
    <row r="1543" spans="1:8" x14ac:dyDescent="0.2">
      <c r="A1543" s="9" t="s">
        <v>51</v>
      </c>
      <c r="C1543" t="str">
        <f>""""&amp;SUBSTITUTE(A1543,"zzz",H1543)&amp;""""&amp;","</f>
        <v>"https://www.zeldadungeon.net/maps/totk/tiles/sky/6/34_15.jpg",</v>
      </c>
      <c r="H1543" t="str">
        <f>QUOTIENT(ROW(A1543),48)+2&amp;"_"&amp;MOD(ROW(A1543),48)+8</f>
        <v>34_15</v>
      </c>
    </row>
    <row r="1544" spans="1:8" x14ac:dyDescent="0.2">
      <c r="A1544" s="9" t="s">
        <v>51</v>
      </c>
      <c r="C1544" t="str">
        <f>""""&amp;SUBSTITUTE(A1544,"zzz",H1544)&amp;""""&amp;","</f>
        <v>"https://www.zeldadungeon.net/maps/totk/tiles/sky/6/34_16.jpg",</v>
      </c>
      <c r="H1544" t="str">
        <f>QUOTIENT(ROW(A1544),48)+2&amp;"_"&amp;MOD(ROW(A1544),48)+8</f>
        <v>34_16</v>
      </c>
    </row>
    <row r="1545" spans="1:8" x14ac:dyDescent="0.2">
      <c r="A1545" s="9" t="s">
        <v>51</v>
      </c>
      <c r="C1545" t="str">
        <f>""""&amp;SUBSTITUTE(A1545,"zzz",H1545)&amp;""""&amp;","</f>
        <v>"https://www.zeldadungeon.net/maps/totk/tiles/sky/6/34_17.jpg",</v>
      </c>
      <c r="H1545" t="str">
        <f>QUOTIENT(ROW(A1545),48)+2&amp;"_"&amp;MOD(ROW(A1545),48)+8</f>
        <v>34_17</v>
      </c>
    </row>
    <row r="1546" spans="1:8" x14ac:dyDescent="0.2">
      <c r="A1546" s="9" t="s">
        <v>51</v>
      </c>
      <c r="C1546" t="str">
        <f>""""&amp;SUBSTITUTE(A1546,"zzz",H1546)&amp;""""&amp;","</f>
        <v>"https://www.zeldadungeon.net/maps/totk/tiles/sky/6/34_18.jpg",</v>
      </c>
      <c r="H1546" t="str">
        <f>QUOTIENT(ROW(A1546),48)+2&amp;"_"&amp;MOD(ROW(A1546),48)+8</f>
        <v>34_18</v>
      </c>
    </row>
    <row r="1547" spans="1:8" x14ac:dyDescent="0.2">
      <c r="A1547" s="9" t="s">
        <v>51</v>
      </c>
      <c r="C1547" t="str">
        <f>""""&amp;SUBSTITUTE(A1547,"zzz",H1547)&amp;""""&amp;","</f>
        <v>"https://www.zeldadungeon.net/maps/totk/tiles/sky/6/34_19.jpg",</v>
      </c>
      <c r="H1547" t="str">
        <f>QUOTIENT(ROW(A1547),48)+2&amp;"_"&amp;MOD(ROW(A1547),48)+8</f>
        <v>34_19</v>
      </c>
    </row>
    <row r="1548" spans="1:8" x14ac:dyDescent="0.2">
      <c r="A1548" s="9" t="s">
        <v>51</v>
      </c>
      <c r="C1548" t="str">
        <f>""""&amp;SUBSTITUTE(A1548,"zzz",H1548)&amp;""""&amp;","</f>
        <v>"https://www.zeldadungeon.net/maps/totk/tiles/sky/6/34_20.jpg",</v>
      </c>
      <c r="H1548" t="str">
        <f>QUOTIENT(ROW(A1548),48)+2&amp;"_"&amp;MOD(ROW(A1548),48)+8</f>
        <v>34_20</v>
      </c>
    </row>
    <row r="1549" spans="1:8" x14ac:dyDescent="0.2">
      <c r="A1549" s="9" t="s">
        <v>51</v>
      </c>
      <c r="C1549" t="str">
        <f>""""&amp;SUBSTITUTE(A1549,"zzz",H1549)&amp;""""&amp;","</f>
        <v>"https://www.zeldadungeon.net/maps/totk/tiles/sky/6/34_21.jpg",</v>
      </c>
      <c r="H1549" t="str">
        <f>QUOTIENT(ROW(A1549),48)+2&amp;"_"&amp;MOD(ROW(A1549),48)+8</f>
        <v>34_21</v>
      </c>
    </row>
    <row r="1550" spans="1:8" x14ac:dyDescent="0.2">
      <c r="A1550" s="9" t="s">
        <v>51</v>
      </c>
      <c r="C1550" t="str">
        <f>""""&amp;SUBSTITUTE(A1550,"zzz",H1550)&amp;""""&amp;","</f>
        <v>"https://www.zeldadungeon.net/maps/totk/tiles/sky/6/34_22.jpg",</v>
      </c>
      <c r="H1550" t="str">
        <f>QUOTIENT(ROW(A1550),48)+2&amp;"_"&amp;MOD(ROW(A1550),48)+8</f>
        <v>34_22</v>
      </c>
    </row>
    <row r="1551" spans="1:8" x14ac:dyDescent="0.2">
      <c r="A1551" s="9" t="s">
        <v>51</v>
      </c>
      <c r="C1551" t="str">
        <f>""""&amp;SUBSTITUTE(A1551,"zzz",H1551)&amp;""""&amp;","</f>
        <v>"https://www.zeldadungeon.net/maps/totk/tiles/sky/6/34_23.jpg",</v>
      </c>
      <c r="H1551" t="str">
        <f>QUOTIENT(ROW(A1551),48)+2&amp;"_"&amp;MOD(ROW(A1551),48)+8</f>
        <v>34_23</v>
      </c>
    </row>
    <row r="1552" spans="1:8" x14ac:dyDescent="0.2">
      <c r="A1552" s="9" t="s">
        <v>51</v>
      </c>
      <c r="C1552" t="str">
        <f>""""&amp;SUBSTITUTE(A1552,"zzz",H1552)&amp;""""&amp;","</f>
        <v>"https://www.zeldadungeon.net/maps/totk/tiles/sky/6/34_24.jpg",</v>
      </c>
      <c r="H1552" t="str">
        <f>QUOTIENT(ROW(A1552),48)+2&amp;"_"&amp;MOD(ROW(A1552),48)+8</f>
        <v>34_24</v>
      </c>
    </row>
    <row r="1553" spans="1:8" x14ac:dyDescent="0.2">
      <c r="A1553" s="9" t="s">
        <v>51</v>
      </c>
      <c r="C1553" t="str">
        <f>""""&amp;SUBSTITUTE(A1553,"zzz",H1553)&amp;""""&amp;","</f>
        <v>"https://www.zeldadungeon.net/maps/totk/tiles/sky/6/34_25.jpg",</v>
      </c>
      <c r="H1553" t="str">
        <f>QUOTIENT(ROW(A1553),48)+2&amp;"_"&amp;MOD(ROW(A1553),48)+8</f>
        <v>34_25</v>
      </c>
    </row>
    <row r="1554" spans="1:8" x14ac:dyDescent="0.2">
      <c r="A1554" s="9" t="s">
        <v>51</v>
      </c>
      <c r="C1554" t="str">
        <f>""""&amp;SUBSTITUTE(A1554,"zzz",H1554)&amp;""""&amp;","</f>
        <v>"https://www.zeldadungeon.net/maps/totk/tiles/sky/6/34_26.jpg",</v>
      </c>
      <c r="H1554" t="str">
        <f>QUOTIENT(ROW(A1554),48)+2&amp;"_"&amp;MOD(ROW(A1554),48)+8</f>
        <v>34_26</v>
      </c>
    </row>
    <row r="1555" spans="1:8" x14ac:dyDescent="0.2">
      <c r="A1555" s="9" t="s">
        <v>51</v>
      </c>
      <c r="C1555" t="str">
        <f>""""&amp;SUBSTITUTE(A1555,"zzz",H1555)&amp;""""&amp;","</f>
        <v>"https://www.zeldadungeon.net/maps/totk/tiles/sky/6/34_27.jpg",</v>
      </c>
      <c r="H1555" t="str">
        <f>QUOTIENT(ROW(A1555),48)+2&amp;"_"&amp;MOD(ROW(A1555),48)+8</f>
        <v>34_27</v>
      </c>
    </row>
    <row r="1556" spans="1:8" x14ac:dyDescent="0.2">
      <c r="A1556" s="9" t="s">
        <v>51</v>
      </c>
      <c r="C1556" t="str">
        <f>""""&amp;SUBSTITUTE(A1556,"zzz",H1556)&amp;""""&amp;","</f>
        <v>"https://www.zeldadungeon.net/maps/totk/tiles/sky/6/34_28.jpg",</v>
      </c>
      <c r="H1556" t="str">
        <f>QUOTIENT(ROW(A1556),48)+2&amp;"_"&amp;MOD(ROW(A1556),48)+8</f>
        <v>34_28</v>
      </c>
    </row>
    <row r="1557" spans="1:8" x14ac:dyDescent="0.2">
      <c r="A1557" s="9" t="s">
        <v>51</v>
      </c>
      <c r="C1557" t="str">
        <f>""""&amp;SUBSTITUTE(A1557,"zzz",H1557)&amp;""""&amp;","</f>
        <v>"https://www.zeldadungeon.net/maps/totk/tiles/sky/6/34_29.jpg",</v>
      </c>
      <c r="H1557" t="str">
        <f>QUOTIENT(ROW(A1557),48)+2&amp;"_"&amp;MOD(ROW(A1557),48)+8</f>
        <v>34_29</v>
      </c>
    </row>
    <row r="1558" spans="1:8" x14ac:dyDescent="0.2">
      <c r="A1558" s="9" t="s">
        <v>51</v>
      </c>
      <c r="C1558" t="str">
        <f>""""&amp;SUBSTITUTE(A1558,"zzz",H1558)&amp;""""&amp;","</f>
        <v>"https://www.zeldadungeon.net/maps/totk/tiles/sky/6/34_30.jpg",</v>
      </c>
      <c r="H1558" t="str">
        <f>QUOTIENT(ROW(A1558),48)+2&amp;"_"&amp;MOD(ROW(A1558),48)+8</f>
        <v>34_30</v>
      </c>
    </row>
    <row r="1559" spans="1:8" x14ac:dyDescent="0.2">
      <c r="A1559" s="9" t="s">
        <v>51</v>
      </c>
      <c r="C1559" t="str">
        <f>""""&amp;SUBSTITUTE(A1559,"zzz",H1559)&amp;""""&amp;","</f>
        <v>"https://www.zeldadungeon.net/maps/totk/tiles/sky/6/34_31.jpg",</v>
      </c>
      <c r="H1559" t="str">
        <f>QUOTIENT(ROW(A1559),48)+2&amp;"_"&amp;MOD(ROW(A1559),48)+8</f>
        <v>34_31</v>
      </c>
    </row>
    <row r="1560" spans="1:8" x14ac:dyDescent="0.2">
      <c r="A1560" s="9" t="s">
        <v>51</v>
      </c>
      <c r="C1560" t="str">
        <f>""""&amp;SUBSTITUTE(A1560,"zzz",H1560)&amp;""""&amp;","</f>
        <v>"https://www.zeldadungeon.net/maps/totk/tiles/sky/6/34_32.jpg",</v>
      </c>
      <c r="H1560" t="str">
        <f>QUOTIENT(ROW(A1560),48)+2&amp;"_"&amp;MOD(ROW(A1560),48)+8</f>
        <v>34_32</v>
      </c>
    </row>
    <row r="1561" spans="1:8" x14ac:dyDescent="0.2">
      <c r="A1561" s="9" t="s">
        <v>51</v>
      </c>
      <c r="C1561" t="str">
        <f>""""&amp;SUBSTITUTE(A1561,"zzz",H1561)&amp;""""&amp;","</f>
        <v>"https://www.zeldadungeon.net/maps/totk/tiles/sky/6/34_33.jpg",</v>
      </c>
      <c r="H1561" t="str">
        <f>QUOTIENT(ROW(A1561),48)+2&amp;"_"&amp;MOD(ROW(A1561),48)+8</f>
        <v>34_33</v>
      </c>
    </row>
    <row r="1562" spans="1:8" x14ac:dyDescent="0.2">
      <c r="A1562" s="9" t="s">
        <v>51</v>
      </c>
      <c r="C1562" t="str">
        <f>""""&amp;SUBSTITUTE(A1562,"zzz",H1562)&amp;""""&amp;","</f>
        <v>"https://www.zeldadungeon.net/maps/totk/tiles/sky/6/34_34.jpg",</v>
      </c>
      <c r="H1562" t="str">
        <f>QUOTIENT(ROW(A1562),48)+2&amp;"_"&amp;MOD(ROW(A1562),48)+8</f>
        <v>34_34</v>
      </c>
    </row>
    <row r="1563" spans="1:8" x14ac:dyDescent="0.2">
      <c r="A1563" s="9" t="s">
        <v>51</v>
      </c>
      <c r="C1563" t="str">
        <f>""""&amp;SUBSTITUTE(A1563,"zzz",H1563)&amp;""""&amp;","</f>
        <v>"https://www.zeldadungeon.net/maps/totk/tiles/sky/6/34_35.jpg",</v>
      </c>
      <c r="H1563" t="str">
        <f>QUOTIENT(ROW(A1563),48)+2&amp;"_"&amp;MOD(ROW(A1563),48)+8</f>
        <v>34_35</v>
      </c>
    </row>
    <row r="1564" spans="1:8" x14ac:dyDescent="0.2">
      <c r="A1564" s="9" t="s">
        <v>51</v>
      </c>
      <c r="C1564" t="str">
        <f>""""&amp;SUBSTITUTE(A1564,"zzz",H1564)&amp;""""&amp;","</f>
        <v>"https://www.zeldadungeon.net/maps/totk/tiles/sky/6/34_36.jpg",</v>
      </c>
      <c r="H1564" t="str">
        <f>QUOTIENT(ROW(A1564),48)+2&amp;"_"&amp;MOD(ROW(A1564),48)+8</f>
        <v>34_36</v>
      </c>
    </row>
    <row r="1565" spans="1:8" x14ac:dyDescent="0.2">
      <c r="A1565" s="9" t="s">
        <v>51</v>
      </c>
      <c r="C1565" t="str">
        <f>""""&amp;SUBSTITUTE(A1565,"zzz",H1565)&amp;""""&amp;","</f>
        <v>"https://www.zeldadungeon.net/maps/totk/tiles/sky/6/34_37.jpg",</v>
      </c>
      <c r="H1565" t="str">
        <f>QUOTIENT(ROW(A1565),48)+2&amp;"_"&amp;MOD(ROW(A1565),48)+8</f>
        <v>34_37</v>
      </c>
    </row>
    <row r="1566" spans="1:8" x14ac:dyDescent="0.2">
      <c r="A1566" s="9" t="s">
        <v>51</v>
      </c>
      <c r="C1566" t="str">
        <f>""""&amp;SUBSTITUTE(A1566,"zzz",H1566)&amp;""""&amp;","</f>
        <v>"https://www.zeldadungeon.net/maps/totk/tiles/sky/6/34_38.jpg",</v>
      </c>
      <c r="H1566" t="str">
        <f>QUOTIENT(ROW(A1566),48)+2&amp;"_"&amp;MOD(ROW(A1566),48)+8</f>
        <v>34_38</v>
      </c>
    </row>
    <row r="1567" spans="1:8" x14ac:dyDescent="0.2">
      <c r="A1567" s="9" t="s">
        <v>51</v>
      </c>
      <c r="C1567" t="str">
        <f>""""&amp;SUBSTITUTE(A1567,"zzz",H1567)&amp;""""&amp;","</f>
        <v>"https://www.zeldadungeon.net/maps/totk/tiles/sky/6/34_39.jpg",</v>
      </c>
      <c r="H1567" t="str">
        <f>QUOTIENT(ROW(A1567),48)+2&amp;"_"&amp;MOD(ROW(A1567),48)+8</f>
        <v>34_39</v>
      </c>
    </row>
    <row r="1568" spans="1:8" x14ac:dyDescent="0.2">
      <c r="A1568" s="9" t="s">
        <v>51</v>
      </c>
      <c r="C1568" t="str">
        <f>""""&amp;SUBSTITUTE(A1568,"zzz",H1568)&amp;""""&amp;","</f>
        <v>"https://www.zeldadungeon.net/maps/totk/tiles/sky/6/34_40.jpg",</v>
      </c>
      <c r="H1568" t="str">
        <f>QUOTIENT(ROW(A1568),48)+2&amp;"_"&amp;MOD(ROW(A1568),48)+8</f>
        <v>34_40</v>
      </c>
    </row>
    <row r="1569" spans="1:8" x14ac:dyDescent="0.2">
      <c r="A1569" s="9" t="s">
        <v>51</v>
      </c>
      <c r="C1569" t="str">
        <f>""""&amp;SUBSTITUTE(A1569,"zzz",H1569)&amp;""""&amp;","</f>
        <v>"https://www.zeldadungeon.net/maps/totk/tiles/sky/6/34_41.jpg",</v>
      </c>
      <c r="H1569" t="str">
        <f>QUOTIENT(ROW(A1569),48)+2&amp;"_"&amp;MOD(ROW(A1569),48)+8</f>
        <v>34_41</v>
      </c>
    </row>
    <row r="1570" spans="1:8" x14ac:dyDescent="0.2">
      <c r="A1570" s="9" t="s">
        <v>51</v>
      </c>
      <c r="C1570" t="str">
        <f>""""&amp;SUBSTITUTE(A1570,"zzz",H1570)&amp;""""&amp;","</f>
        <v>"https://www.zeldadungeon.net/maps/totk/tiles/sky/6/34_42.jpg",</v>
      </c>
      <c r="H1570" t="str">
        <f>QUOTIENT(ROW(A1570),48)+2&amp;"_"&amp;MOD(ROW(A1570),48)+8</f>
        <v>34_42</v>
      </c>
    </row>
    <row r="1571" spans="1:8" x14ac:dyDescent="0.2">
      <c r="A1571" s="9" t="s">
        <v>51</v>
      </c>
      <c r="C1571" t="str">
        <f>""""&amp;SUBSTITUTE(A1571,"zzz",H1571)&amp;""""&amp;","</f>
        <v>"https://www.zeldadungeon.net/maps/totk/tiles/sky/6/34_43.jpg",</v>
      </c>
      <c r="H1571" t="str">
        <f>QUOTIENT(ROW(A1571),48)+2&amp;"_"&amp;MOD(ROW(A1571),48)+8</f>
        <v>34_43</v>
      </c>
    </row>
    <row r="1572" spans="1:8" x14ac:dyDescent="0.2">
      <c r="A1572" s="9" t="s">
        <v>51</v>
      </c>
      <c r="C1572" t="str">
        <f>""""&amp;SUBSTITUTE(A1572,"zzz",H1572)&amp;""""&amp;","</f>
        <v>"https://www.zeldadungeon.net/maps/totk/tiles/sky/6/34_44.jpg",</v>
      </c>
      <c r="H1572" t="str">
        <f>QUOTIENT(ROW(A1572),48)+2&amp;"_"&amp;MOD(ROW(A1572),48)+8</f>
        <v>34_44</v>
      </c>
    </row>
    <row r="1573" spans="1:8" x14ac:dyDescent="0.2">
      <c r="A1573" s="9" t="s">
        <v>51</v>
      </c>
      <c r="C1573" t="str">
        <f>""""&amp;SUBSTITUTE(A1573,"zzz",H1573)&amp;""""&amp;","</f>
        <v>"https://www.zeldadungeon.net/maps/totk/tiles/sky/6/34_45.jpg",</v>
      </c>
      <c r="H1573" t="str">
        <f>QUOTIENT(ROW(A1573),48)+2&amp;"_"&amp;MOD(ROW(A1573),48)+8</f>
        <v>34_45</v>
      </c>
    </row>
    <row r="1574" spans="1:8" x14ac:dyDescent="0.2">
      <c r="A1574" s="9" t="s">
        <v>51</v>
      </c>
      <c r="C1574" t="str">
        <f>""""&amp;SUBSTITUTE(A1574,"zzz",H1574)&amp;""""&amp;","</f>
        <v>"https://www.zeldadungeon.net/maps/totk/tiles/sky/6/34_46.jpg",</v>
      </c>
      <c r="H1574" t="str">
        <f>QUOTIENT(ROW(A1574),48)+2&amp;"_"&amp;MOD(ROW(A1574),48)+8</f>
        <v>34_46</v>
      </c>
    </row>
    <row r="1575" spans="1:8" x14ac:dyDescent="0.2">
      <c r="A1575" s="9" t="s">
        <v>51</v>
      </c>
      <c r="C1575" t="str">
        <f>""""&amp;SUBSTITUTE(A1575,"zzz",H1575)&amp;""""&amp;","</f>
        <v>"https://www.zeldadungeon.net/maps/totk/tiles/sky/6/34_47.jpg",</v>
      </c>
      <c r="H1575" t="str">
        <f>QUOTIENT(ROW(A1575),48)+2&amp;"_"&amp;MOD(ROW(A1575),48)+8</f>
        <v>34_47</v>
      </c>
    </row>
    <row r="1576" spans="1:8" x14ac:dyDescent="0.2">
      <c r="A1576" s="9" t="s">
        <v>51</v>
      </c>
      <c r="C1576" t="str">
        <f>""""&amp;SUBSTITUTE(A1576,"zzz",H1576)&amp;""""&amp;","</f>
        <v>"https://www.zeldadungeon.net/maps/totk/tiles/sky/6/34_48.jpg",</v>
      </c>
      <c r="H1576" t="str">
        <f>QUOTIENT(ROW(A1576),48)+2&amp;"_"&amp;MOD(ROW(A1576),48)+8</f>
        <v>34_48</v>
      </c>
    </row>
    <row r="1577" spans="1:8" x14ac:dyDescent="0.2">
      <c r="A1577" s="9" t="s">
        <v>51</v>
      </c>
      <c r="C1577" t="str">
        <f>""""&amp;SUBSTITUTE(A1577,"zzz",H1577)&amp;""""&amp;","</f>
        <v>"https://www.zeldadungeon.net/maps/totk/tiles/sky/6/34_49.jpg",</v>
      </c>
      <c r="H1577" t="str">
        <f>QUOTIENT(ROW(A1577),48)+2&amp;"_"&amp;MOD(ROW(A1577),48)+8</f>
        <v>34_49</v>
      </c>
    </row>
    <row r="1578" spans="1:8" x14ac:dyDescent="0.2">
      <c r="A1578" s="9" t="s">
        <v>51</v>
      </c>
      <c r="C1578" t="str">
        <f>""""&amp;SUBSTITUTE(A1578,"zzz",H1578)&amp;""""&amp;","</f>
        <v>"https://www.zeldadungeon.net/maps/totk/tiles/sky/6/34_50.jpg",</v>
      </c>
      <c r="H1578" t="str">
        <f>QUOTIENT(ROW(A1578),48)+2&amp;"_"&amp;MOD(ROW(A1578),48)+8</f>
        <v>34_50</v>
      </c>
    </row>
    <row r="1579" spans="1:8" x14ac:dyDescent="0.2">
      <c r="A1579" s="9" t="s">
        <v>51</v>
      </c>
      <c r="C1579" t="str">
        <f>""""&amp;SUBSTITUTE(A1579,"zzz",H1579)&amp;""""&amp;","</f>
        <v>"https://www.zeldadungeon.net/maps/totk/tiles/sky/6/34_51.jpg",</v>
      </c>
      <c r="H1579" t="str">
        <f>QUOTIENT(ROW(A1579),48)+2&amp;"_"&amp;MOD(ROW(A1579),48)+8</f>
        <v>34_51</v>
      </c>
    </row>
    <row r="1580" spans="1:8" x14ac:dyDescent="0.2">
      <c r="A1580" s="9" t="s">
        <v>51</v>
      </c>
      <c r="C1580" t="str">
        <f>""""&amp;SUBSTITUTE(A1580,"zzz",H1580)&amp;""""&amp;","</f>
        <v>"https://www.zeldadungeon.net/maps/totk/tiles/sky/6/34_52.jpg",</v>
      </c>
      <c r="H1580" t="str">
        <f>QUOTIENT(ROW(A1580),48)+2&amp;"_"&amp;MOD(ROW(A1580),48)+8</f>
        <v>34_52</v>
      </c>
    </row>
    <row r="1581" spans="1:8" x14ac:dyDescent="0.2">
      <c r="A1581" s="9" t="s">
        <v>51</v>
      </c>
      <c r="C1581" t="str">
        <f>""""&amp;SUBSTITUTE(A1581,"zzz",H1581)&amp;""""&amp;","</f>
        <v>"https://www.zeldadungeon.net/maps/totk/tiles/sky/6/34_53.jpg",</v>
      </c>
      <c r="H1581" t="str">
        <f>QUOTIENT(ROW(A1581),48)+2&amp;"_"&amp;MOD(ROW(A1581),48)+8</f>
        <v>34_53</v>
      </c>
    </row>
    <row r="1582" spans="1:8" x14ac:dyDescent="0.2">
      <c r="A1582" s="9" t="s">
        <v>51</v>
      </c>
      <c r="C1582" t="str">
        <f>""""&amp;SUBSTITUTE(A1582,"zzz",H1582)&amp;""""&amp;","</f>
        <v>"https://www.zeldadungeon.net/maps/totk/tiles/sky/6/34_54.jpg",</v>
      </c>
      <c r="H1582" t="str">
        <f>QUOTIENT(ROW(A1582),48)+2&amp;"_"&amp;MOD(ROW(A1582),48)+8</f>
        <v>34_54</v>
      </c>
    </row>
    <row r="1583" spans="1:8" x14ac:dyDescent="0.2">
      <c r="A1583" s="9" t="s">
        <v>51</v>
      </c>
      <c r="C1583" t="str">
        <f>""""&amp;SUBSTITUTE(A1583,"zzz",H1583)&amp;""""&amp;","</f>
        <v>"https://www.zeldadungeon.net/maps/totk/tiles/sky/6/34_55.jpg",</v>
      </c>
      <c r="H1583" t="str">
        <f>QUOTIENT(ROW(A1583),48)+2&amp;"_"&amp;MOD(ROW(A1583),48)+8</f>
        <v>34_55</v>
      </c>
    </row>
    <row r="1584" spans="1:8" x14ac:dyDescent="0.2">
      <c r="A1584" s="9" t="s">
        <v>51</v>
      </c>
      <c r="C1584" t="str">
        <f>""""&amp;SUBSTITUTE(A1584,"zzz",H1584)&amp;""""&amp;","</f>
        <v>"https://www.zeldadungeon.net/maps/totk/tiles/sky/6/35_8.jpg",</v>
      </c>
      <c r="H1584" t="str">
        <f>QUOTIENT(ROW(A1584),48)+2&amp;"_"&amp;MOD(ROW(A1584),48)+8</f>
        <v>35_8</v>
      </c>
    </row>
    <row r="1585" spans="1:8" x14ac:dyDescent="0.2">
      <c r="A1585" s="9" t="s">
        <v>51</v>
      </c>
      <c r="C1585" t="str">
        <f>""""&amp;SUBSTITUTE(A1585,"zzz",H1585)&amp;""""&amp;","</f>
        <v>"https://www.zeldadungeon.net/maps/totk/tiles/sky/6/35_9.jpg",</v>
      </c>
      <c r="H1585" t="str">
        <f>QUOTIENT(ROW(A1585),48)+2&amp;"_"&amp;MOD(ROW(A1585),48)+8</f>
        <v>35_9</v>
      </c>
    </row>
    <row r="1586" spans="1:8" x14ac:dyDescent="0.2">
      <c r="A1586" s="9" t="s">
        <v>51</v>
      </c>
      <c r="C1586" t="str">
        <f>""""&amp;SUBSTITUTE(A1586,"zzz",H1586)&amp;""""&amp;","</f>
        <v>"https://www.zeldadungeon.net/maps/totk/tiles/sky/6/35_10.jpg",</v>
      </c>
      <c r="H1586" t="str">
        <f>QUOTIENT(ROW(A1586),48)+2&amp;"_"&amp;MOD(ROW(A1586),48)+8</f>
        <v>35_10</v>
      </c>
    </row>
    <row r="1587" spans="1:8" x14ac:dyDescent="0.2">
      <c r="A1587" s="9" t="s">
        <v>51</v>
      </c>
      <c r="C1587" t="str">
        <f>""""&amp;SUBSTITUTE(A1587,"zzz",H1587)&amp;""""&amp;","</f>
        <v>"https://www.zeldadungeon.net/maps/totk/tiles/sky/6/35_11.jpg",</v>
      </c>
      <c r="H1587" t="str">
        <f>QUOTIENT(ROW(A1587),48)+2&amp;"_"&amp;MOD(ROW(A1587),48)+8</f>
        <v>35_11</v>
      </c>
    </row>
    <row r="1588" spans="1:8" x14ac:dyDescent="0.2">
      <c r="A1588" s="9" t="s">
        <v>51</v>
      </c>
      <c r="C1588" t="str">
        <f>""""&amp;SUBSTITUTE(A1588,"zzz",H1588)&amp;""""&amp;","</f>
        <v>"https://www.zeldadungeon.net/maps/totk/tiles/sky/6/35_12.jpg",</v>
      </c>
      <c r="H1588" t="str">
        <f>QUOTIENT(ROW(A1588),48)+2&amp;"_"&amp;MOD(ROW(A1588),48)+8</f>
        <v>35_12</v>
      </c>
    </row>
    <row r="1589" spans="1:8" x14ac:dyDescent="0.2">
      <c r="A1589" s="9" t="s">
        <v>51</v>
      </c>
      <c r="C1589" t="str">
        <f>""""&amp;SUBSTITUTE(A1589,"zzz",H1589)&amp;""""&amp;","</f>
        <v>"https://www.zeldadungeon.net/maps/totk/tiles/sky/6/35_13.jpg",</v>
      </c>
      <c r="H1589" t="str">
        <f>QUOTIENT(ROW(A1589),48)+2&amp;"_"&amp;MOD(ROW(A1589),48)+8</f>
        <v>35_13</v>
      </c>
    </row>
    <row r="1590" spans="1:8" x14ac:dyDescent="0.2">
      <c r="A1590" s="9" t="s">
        <v>51</v>
      </c>
      <c r="C1590" t="str">
        <f>""""&amp;SUBSTITUTE(A1590,"zzz",H1590)&amp;""""&amp;","</f>
        <v>"https://www.zeldadungeon.net/maps/totk/tiles/sky/6/35_14.jpg",</v>
      </c>
      <c r="H1590" t="str">
        <f>QUOTIENT(ROW(A1590),48)+2&amp;"_"&amp;MOD(ROW(A1590),48)+8</f>
        <v>35_14</v>
      </c>
    </row>
    <row r="1591" spans="1:8" x14ac:dyDescent="0.2">
      <c r="A1591" s="9" t="s">
        <v>51</v>
      </c>
      <c r="C1591" t="str">
        <f>""""&amp;SUBSTITUTE(A1591,"zzz",H1591)&amp;""""&amp;","</f>
        <v>"https://www.zeldadungeon.net/maps/totk/tiles/sky/6/35_15.jpg",</v>
      </c>
      <c r="H1591" t="str">
        <f>QUOTIENT(ROW(A1591),48)+2&amp;"_"&amp;MOD(ROW(A1591),48)+8</f>
        <v>35_15</v>
      </c>
    </row>
    <row r="1592" spans="1:8" x14ac:dyDescent="0.2">
      <c r="A1592" s="9" t="s">
        <v>51</v>
      </c>
      <c r="C1592" t="str">
        <f>""""&amp;SUBSTITUTE(A1592,"zzz",H1592)&amp;""""&amp;","</f>
        <v>"https://www.zeldadungeon.net/maps/totk/tiles/sky/6/35_16.jpg",</v>
      </c>
      <c r="H1592" t="str">
        <f>QUOTIENT(ROW(A1592),48)+2&amp;"_"&amp;MOD(ROW(A1592),48)+8</f>
        <v>35_16</v>
      </c>
    </row>
    <row r="1593" spans="1:8" x14ac:dyDescent="0.2">
      <c r="A1593" s="9" t="s">
        <v>51</v>
      </c>
      <c r="C1593" t="str">
        <f>""""&amp;SUBSTITUTE(A1593,"zzz",H1593)&amp;""""&amp;","</f>
        <v>"https://www.zeldadungeon.net/maps/totk/tiles/sky/6/35_17.jpg",</v>
      </c>
      <c r="H1593" t="str">
        <f>QUOTIENT(ROW(A1593),48)+2&amp;"_"&amp;MOD(ROW(A1593),48)+8</f>
        <v>35_17</v>
      </c>
    </row>
    <row r="1594" spans="1:8" x14ac:dyDescent="0.2">
      <c r="A1594" s="9" t="s">
        <v>51</v>
      </c>
      <c r="C1594" t="str">
        <f>""""&amp;SUBSTITUTE(A1594,"zzz",H1594)&amp;""""&amp;","</f>
        <v>"https://www.zeldadungeon.net/maps/totk/tiles/sky/6/35_18.jpg",</v>
      </c>
      <c r="H1594" t="str">
        <f>QUOTIENT(ROW(A1594),48)+2&amp;"_"&amp;MOD(ROW(A1594),48)+8</f>
        <v>35_18</v>
      </c>
    </row>
    <row r="1595" spans="1:8" x14ac:dyDescent="0.2">
      <c r="A1595" s="9" t="s">
        <v>51</v>
      </c>
      <c r="C1595" t="str">
        <f>""""&amp;SUBSTITUTE(A1595,"zzz",H1595)&amp;""""&amp;","</f>
        <v>"https://www.zeldadungeon.net/maps/totk/tiles/sky/6/35_19.jpg",</v>
      </c>
      <c r="H1595" t="str">
        <f>QUOTIENT(ROW(A1595),48)+2&amp;"_"&amp;MOD(ROW(A1595),48)+8</f>
        <v>35_19</v>
      </c>
    </row>
    <row r="1596" spans="1:8" x14ac:dyDescent="0.2">
      <c r="A1596" s="9" t="s">
        <v>51</v>
      </c>
      <c r="C1596" t="str">
        <f>""""&amp;SUBSTITUTE(A1596,"zzz",H1596)&amp;""""&amp;","</f>
        <v>"https://www.zeldadungeon.net/maps/totk/tiles/sky/6/35_20.jpg",</v>
      </c>
      <c r="H1596" t="str">
        <f>QUOTIENT(ROW(A1596),48)+2&amp;"_"&amp;MOD(ROW(A1596),48)+8</f>
        <v>35_20</v>
      </c>
    </row>
    <row r="1597" spans="1:8" x14ac:dyDescent="0.2">
      <c r="A1597" s="9" t="s">
        <v>51</v>
      </c>
      <c r="C1597" t="str">
        <f>""""&amp;SUBSTITUTE(A1597,"zzz",H1597)&amp;""""&amp;","</f>
        <v>"https://www.zeldadungeon.net/maps/totk/tiles/sky/6/35_21.jpg",</v>
      </c>
      <c r="H1597" t="str">
        <f>QUOTIENT(ROW(A1597),48)+2&amp;"_"&amp;MOD(ROW(A1597),48)+8</f>
        <v>35_21</v>
      </c>
    </row>
    <row r="1598" spans="1:8" x14ac:dyDescent="0.2">
      <c r="A1598" s="9" t="s">
        <v>51</v>
      </c>
      <c r="C1598" t="str">
        <f>""""&amp;SUBSTITUTE(A1598,"zzz",H1598)&amp;""""&amp;","</f>
        <v>"https://www.zeldadungeon.net/maps/totk/tiles/sky/6/35_22.jpg",</v>
      </c>
      <c r="H1598" t="str">
        <f>QUOTIENT(ROW(A1598),48)+2&amp;"_"&amp;MOD(ROW(A1598),48)+8</f>
        <v>35_22</v>
      </c>
    </row>
    <row r="1599" spans="1:8" x14ac:dyDescent="0.2">
      <c r="A1599" s="9" t="s">
        <v>51</v>
      </c>
      <c r="C1599" t="str">
        <f>""""&amp;SUBSTITUTE(A1599,"zzz",H1599)&amp;""""&amp;","</f>
        <v>"https://www.zeldadungeon.net/maps/totk/tiles/sky/6/35_23.jpg",</v>
      </c>
      <c r="H1599" t="str">
        <f>QUOTIENT(ROW(A1599),48)+2&amp;"_"&amp;MOD(ROW(A1599),48)+8</f>
        <v>35_23</v>
      </c>
    </row>
    <row r="1600" spans="1:8" x14ac:dyDescent="0.2">
      <c r="A1600" s="9" t="s">
        <v>51</v>
      </c>
      <c r="C1600" t="str">
        <f>""""&amp;SUBSTITUTE(A1600,"zzz",H1600)&amp;""""&amp;","</f>
        <v>"https://www.zeldadungeon.net/maps/totk/tiles/sky/6/35_24.jpg",</v>
      </c>
      <c r="H1600" t="str">
        <f>QUOTIENT(ROW(A1600),48)+2&amp;"_"&amp;MOD(ROW(A1600),48)+8</f>
        <v>35_24</v>
      </c>
    </row>
    <row r="1601" spans="1:8" x14ac:dyDescent="0.2">
      <c r="A1601" s="9" t="s">
        <v>51</v>
      </c>
      <c r="C1601" t="str">
        <f>""""&amp;SUBSTITUTE(A1601,"zzz",H1601)&amp;""""&amp;","</f>
        <v>"https://www.zeldadungeon.net/maps/totk/tiles/sky/6/35_25.jpg",</v>
      </c>
      <c r="H1601" t="str">
        <f>QUOTIENT(ROW(A1601),48)+2&amp;"_"&amp;MOD(ROW(A1601),48)+8</f>
        <v>35_25</v>
      </c>
    </row>
    <row r="1602" spans="1:8" x14ac:dyDescent="0.2">
      <c r="A1602" s="9" t="s">
        <v>51</v>
      </c>
      <c r="C1602" t="str">
        <f>""""&amp;SUBSTITUTE(A1602,"zzz",H1602)&amp;""""&amp;","</f>
        <v>"https://www.zeldadungeon.net/maps/totk/tiles/sky/6/35_26.jpg",</v>
      </c>
      <c r="H1602" t="str">
        <f>QUOTIENT(ROW(A1602),48)+2&amp;"_"&amp;MOD(ROW(A1602),48)+8</f>
        <v>35_26</v>
      </c>
    </row>
    <row r="1603" spans="1:8" x14ac:dyDescent="0.2">
      <c r="A1603" s="9" t="s">
        <v>51</v>
      </c>
      <c r="C1603" t="str">
        <f>""""&amp;SUBSTITUTE(A1603,"zzz",H1603)&amp;""""&amp;","</f>
        <v>"https://www.zeldadungeon.net/maps/totk/tiles/sky/6/35_27.jpg",</v>
      </c>
      <c r="H1603" t="str">
        <f>QUOTIENT(ROW(A1603),48)+2&amp;"_"&amp;MOD(ROW(A1603),48)+8</f>
        <v>35_27</v>
      </c>
    </row>
    <row r="1604" spans="1:8" x14ac:dyDescent="0.2">
      <c r="A1604" s="9" t="s">
        <v>51</v>
      </c>
      <c r="C1604" t="str">
        <f>""""&amp;SUBSTITUTE(A1604,"zzz",H1604)&amp;""""&amp;","</f>
        <v>"https://www.zeldadungeon.net/maps/totk/tiles/sky/6/35_28.jpg",</v>
      </c>
      <c r="H1604" t="str">
        <f>QUOTIENT(ROW(A1604),48)+2&amp;"_"&amp;MOD(ROW(A1604),48)+8</f>
        <v>35_28</v>
      </c>
    </row>
    <row r="1605" spans="1:8" x14ac:dyDescent="0.2">
      <c r="A1605" s="9" t="s">
        <v>51</v>
      </c>
      <c r="C1605" t="str">
        <f>""""&amp;SUBSTITUTE(A1605,"zzz",H1605)&amp;""""&amp;","</f>
        <v>"https://www.zeldadungeon.net/maps/totk/tiles/sky/6/35_29.jpg",</v>
      </c>
      <c r="H1605" t="str">
        <f>QUOTIENT(ROW(A1605),48)+2&amp;"_"&amp;MOD(ROW(A1605),48)+8</f>
        <v>35_29</v>
      </c>
    </row>
    <row r="1606" spans="1:8" x14ac:dyDescent="0.2">
      <c r="A1606" s="9" t="s">
        <v>51</v>
      </c>
      <c r="C1606" t="str">
        <f>""""&amp;SUBSTITUTE(A1606,"zzz",H1606)&amp;""""&amp;","</f>
        <v>"https://www.zeldadungeon.net/maps/totk/tiles/sky/6/35_30.jpg",</v>
      </c>
      <c r="H1606" t="str">
        <f>QUOTIENT(ROW(A1606),48)+2&amp;"_"&amp;MOD(ROW(A1606),48)+8</f>
        <v>35_30</v>
      </c>
    </row>
    <row r="1607" spans="1:8" x14ac:dyDescent="0.2">
      <c r="A1607" s="9" t="s">
        <v>51</v>
      </c>
      <c r="C1607" t="str">
        <f>""""&amp;SUBSTITUTE(A1607,"zzz",H1607)&amp;""""&amp;","</f>
        <v>"https://www.zeldadungeon.net/maps/totk/tiles/sky/6/35_31.jpg",</v>
      </c>
      <c r="H1607" t="str">
        <f>QUOTIENT(ROW(A1607),48)+2&amp;"_"&amp;MOD(ROW(A1607),48)+8</f>
        <v>35_31</v>
      </c>
    </row>
    <row r="1608" spans="1:8" x14ac:dyDescent="0.2">
      <c r="A1608" s="9" t="s">
        <v>51</v>
      </c>
      <c r="C1608" t="str">
        <f>""""&amp;SUBSTITUTE(A1608,"zzz",H1608)&amp;""""&amp;","</f>
        <v>"https://www.zeldadungeon.net/maps/totk/tiles/sky/6/35_32.jpg",</v>
      </c>
      <c r="H1608" t="str">
        <f>QUOTIENT(ROW(A1608),48)+2&amp;"_"&amp;MOD(ROW(A1608),48)+8</f>
        <v>35_32</v>
      </c>
    </row>
    <row r="1609" spans="1:8" x14ac:dyDescent="0.2">
      <c r="A1609" s="9" t="s">
        <v>51</v>
      </c>
      <c r="C1609" t="str">
        <f>""""&amp;SUBSTITUTE(A1609,"zzz",H1609)&amp;""""&amp;","</f>
        <v>"https://www.zeldadungeon.net/maps/totk/tiles/sky/6/35_33.jpg",</v>
      </c>
      <c r="H1609" t="str">
        <f>QUOTIENT(ROW(A1609),48)+2&amp;"_"&amp;MOD(ROW(A1609),48)+8</f>
        <v>35_33</v>
      </c>
    </row>
    <row r="1610" spans="1:8" x14ac:dyDescent="0.2">
      <c r="A1610" s="9" t="s">
        <v>51</v>
      </c>
      <c r="C1610" t="str">
        <f>""""&amp;SUBSTITUTE(A1610,"zzz",H1610)&amp;""""&amp;","</f>
        <v>"https://www.zeldadungeon.net/maps/totk/tiles/sky/6/35_34.jpg",</v>
      </c>
      <c r="H1610" t="str">
        <f>QUOTIENT(ROW(A1610),48)+2&amp;"_"&amp;MOD(ROW(A1610),48)+8</f>
        <v>35_34</v>
      </c>
    </row>
    <row r="1611" spans="1:8" x14ac:dyDescent="0.2">
      <c r="A1611" s="9" t="s">
        <v>51</v>
      </c>
      <c r="C1611" t="str">
        <f>""""&amp;SUBSTITUTE(A1611,"zzz",H1611)&amp;""""&amp;","</f>
        <v>"https://www.zeldadungeon.net/maps/totk/tiles/sky/6/35_35.jpg",</v>
      </c>
      <c r="H1611" t="str">
        <f>QUOTIENT(ROW(A1611),48)+2&amp;"_"&amp;MOD(ROW(A1611),48)+8</f>
        <v>35_35</v>
      </c>
    </row>
    <row r="1612" spans="1:8" x14ac:dyDescent="0.2">
      <c r="A1612" s="9" t="s">
        <v>51</v>
      </c>
      <c r="C1612" t="str">
        <f>""""&amp;SUBSTITUTE(A1612,"zzz",H1612)&amp;""""&amp;","</f>
        <v>"https://www.zeldadungeon.net/maps/totk/tiles/sky/6/35_36.jpg",</v>
      </c>
      <c r="H1612" t="str">
        <f>QUOTIENT(ROW(A1612),48)+2&amp;"_"&amp;MOD(ROW(A1612),48)+8</f>
        <v>35_36</v>
      </c>
    </row>
    <row r="1613" spans="1:8" x14ac:dyDescent="0.2">
      <c r="A1613" s="9" t="s">
        <v>51</v>
      </c>
      <c r="C1613" t="str">
        <f>""""&amp;SUBSTITUTE(A1613,"zzz",H1613)&amp;""""&amp;","</f>
        <v>"https://www.zeldadungeon.net/maps/totk/tiles/sky/6/35_37.jpg",</v>
      </c>
      <c r="H1613" t="str">
        <f>QUOTIENT(ROW(A1613),48)+2&amp;"_"&amp;MOD(ROW(A1613),48)+8</f>
        <v>35_37</v>
      </c>
    </row>
    <row r="1614" spans="1:8" x14ac:dyDescent="0.2">
      <c r="A1614" s="9" t="s">
        <v>51</v>
      </c>
      <c r="C1614" t="str">
        <f>""""&amp;SUBSTITUTE(A1614,"zzz",H1614)&amp;""""&amp;","</f>
        <v>"https://www.zeldadungeon.net/maps/totk/tiles/sky/6/35_38.jpg",</v>
      </c>
      <c r="H1614" t="str">
        <f>QUOTIENT(ROW(A1614),48)+2&amp;"_"&amp;MOD(ROW(A1614),48)+8</f>
        <v>35_38</v>
      </c>
    </row>
    <row r="1615" spans="1:8" x14ac:dyDescent="0.2">
      <c r="A1615" s="9" t="s">
        <v>51</v>
      </c>
      <c r="C1615" t="str">
        <f>""""&amp;SUBSTITUTE(A1615,"zzz",H1615)&amp;""""&amp;","</f>
        <v>"https://www.zeldadungeon.net/maps/totk/tiles/sky/6/35_39.jpg",</v>
      </c>
      <c r="H1615" t="str">
        <f>QUOTIENT(ROW(A1615),48)+2&amp;"_"&amp;MOD(ROW(A1615),48)+8</f>
        <v>35_39</v>
      </c>
    </row>
    <row r="1616" spans="1:8" x14ac:dyDescent="0.2">
      <c r="A1616" s="9" t="s">
        <v>51</v>
      </c>
      <c r="C1616" t="str">
        <f>""""&amp;SUBSTITUTE(A1616,"zzz",H1616)&amp;""""&amp;","</f>
        <v>"https://www.zeldadungeon.net/maps/totk/tiles/sky/6/35_40.jpg",</v>
      </c>
      <c r="H1616" t="str">
        <f>QUOTIENT(ROW(A1616),48)+2&amp;"_"&amp;MOD(ROW(A1616),48)+8</f>
        <v>35_40</v>
      </c>
    </row>
    <row r="1617" spans="1:8" x14ac:dyDescent="0.2">
      <c r="A1617" s="9" t="s">
        <v>51</v>
      </c>
      <c r="C1617" t="str">
        <f>""""&amp;SUBSTITUTE(A1617,"zzz",H1617)&amp;""""&amp;","</f>
        <v>"https://www.zeldadungeon.net/maps/totk/tiles/sky/6/35_41.jpg",</v>
      </c>
      <c r="H1617" t="str">
        <f>QUOTIENT(ROW(A1617),48)+2&amp;"_"&amp;MOD(ROW(A1617),48)+8</f>
        <v>35_41</v>
      </c>
    </row>
    <row r="1618" spans="1:8" x14ac:dyDescent="0.2">
      <c r="A1618" s="9" t="s">
        <v>51</v>
      </c>
      <c r="C1618" t="str">
        <f>""""&amp;SUBSTITUTE(A1618,"zzz",H1618)&amp;""""&amp;","</f>
        <v>"https://www.zeldadungeon.net/maps/totk/tiles/sky/6/35_42.jpg",</v>
      </c>
      <c r="H1618" t="str">
        <f>QUOTIENT(ROW(A1618),48)+2&amp;"_"&amp;MOD(ROW(A1618),48)+8</f>
        <v>35_42</v>
      </c>
    </row>
    <row r="1619" spans="1:8" x14ac:dyDescent="0.2">
      <c r="A1619" s="9" t="s">
        <v>51</v>
      </c>
      <c r="C1619" t="str">
        <f>""""&amp;SUBSTITUTE(A1619,"zzz",H1619)&amp;""""&amp;","</f>
        <v>"https://www.zeldadungeon.net/maps/totk/tiles/sky/6/35_43.jpg",</v>
      </c>
      <c r="H1619" t="str">
        <f>QUOTIENT(ROW(A1619),48)+2&amp;"_"&amp;MOD(ROW(A1619),48)+8</f>
        <v>35_43</v>
      </c>
    </row>
    <row r="1620" spans="1:8" x14ac:dyDescent="0.2">
      <c r="A1620" s="9" t="s">
        <v>51</v>
      </c>
      <c r="C1620" t="str">
        <f>""""&amp;SUBSTITUTE(A1620,"zzz",H1620)&amp;""""&amp;","</f>
        <v>"https://www.zeldadungeon.net/maps/totk/tiles/sky/6/35_44.jpg",</v>
      </c>
      <c r="H1620" t="str">
        <f>QUOTIENT(ROW(A1620),48)+2&amp;"_"&amp;MOD(ROW(A1620),48)+8</f>
        <v>35_44</v>
      </c>
    </row>
    <row r="1621" spans="1:8" x14ac:dyDescent="0.2">
      <c r="A1621" s="9" t="s">
        <v>51</v>
      </c>
      <c r="C1621" t="str">
        <f>""""&amp;SUBSTITUTE(A1621,"zzz",H1621)&amp;""""&amp;","</f>
        <v>"https://www.zeldadungeon.net/maps/totk/tiles/sky/6/35_45.jpg",</v>
      </c>
      <c r="H1621" t="str">
        <f>QUOTIENT(ROW(A1621),48)+2&amp;"_"&amp;MOD(ROW(A1621),48)+8</f>
        <v>35_45</v>
      </c>
    </row>
    <row r="1622" spans="1:8" x14ac:dyDescent="0.2">
      <c r="A1622" s="9" t="s">
        <v>51</v>
      </c>
      <c r="C1622" t="str">
        <f>""""&amp;SUBSTITUTE(A1622,"zzz",H1622)&amp;""""&amp;","</f>
        <v>"https://www.zeldadungeon.net/maps/totk/tiles/sky/6/35_46.jpg",</v>
      </c>
      <c r="H1622" t="str">
        <f>QUOTIENT(ROW(A1622),48)+2&amp;"_"&amp;MOD(ROW(A1622),48)+8</f>
        <v>35_46</v>
      </c>
    </row>
    <row r="1623" spans="1:8" x14ac:dyDescent="0.2">
      <c r="A1623" s="9" t="s">
        <v>51</v>
      </c>
      <c r="C1623" t="str">
        <f>""""&amp;SUBSTITUTE(A1623,"zzz",H1623)&amp;""""&amp;","</f>
        <v>"https://www.zeldadungeon.net/maps/totk/tiles/sky/6/35_47.jpg",</v>
      </c>
      <c r="H1623" t="str">
        <f>QUOTIENT(ROW(A1623),48)+2&amp;"_"&amp;MOD(ROW(A1623),48)+8</f>
        <v>35_47</v>
      </c>
    </row>
    <row r="1624" spans="1:8" x14ac:dyDescent="0.2">
      <c r="A1624" s="9" t="s">
        <v>51</v>
      </c>
      <c r="C1624" t="str">
        <f>""""&amp;SUBSTITUTE(A1624,"zzz",H1624)&amp;""""&amp;","</f>
        <v>"https://www.zeldadungeon.net/maps/totk/tiles/sky/6/35_48.jpg",</v>
      </c>
      <c r="H1624" t="str">
        <f>QUOTIENT(ROW(A1624),48)+2&amp;"_"&amp;MOD(ROW(A1624),48)+8</f>
        <v>35_48</v>
      </c>
    </row>
    <row r="1625" spans="1:8" x14ac:dyDescent="0.2">
      <c r="A1625" s="9" t="s">
        <v>51</v>
      </c>
      <c r="C1625" t="str">
        <f>""""&amp;SUBSTITUTE(A1625,"zzz",H1625)&amp;""""&amp;","</f>
        <v>"https://www.zeldadungeon.net/maps/totk/tiles/sky/6/35_49.jpg",</v>
      </c>
      <c r="H1625" t="str">
        <f>QUOTIENT(ROW(A1625),48)+2&amp;"_"&amp;MOD(ROW(A1625),48)+8</f>
        <v>35_49</v>
      </c>
    </row>
    <row r="1626" spans="1:8" x14ac:dyDescent="0.2">
      <c r="A1626" s="9" t="s">
        <v>51</v>
      </c>
      <c r="C1626" t="str">
        <f>""""&amp;SUBSTITUTE(A1626,"zzz",H1626)&amp;""""&amp;","</f>
        <v>"https://www.zeldadungeon.net/maps/totk/tiles/sky/6/35_50.jpg",</v>
      </c>
      <c r="H1626" t="str">
        <f>QUOTIENT(ROW(A1626),48)+2&amp;"_"&amp;MOD(ROW(A1626),48)+8</f>
        <v>35_50</v>
      </c>
    </row>
    <row r="1627" spans="1:8" x14ac:dyDescent="0.2">
      <c r="A1627" s="9" t="s">
        <v>51</v>
      </c>
      <c r="C1627" t="str">
        <f>""""&amp;SUBSTITUTE(A1627,"zzz",H1627)&amp;""""&amp;","</f>
        <v>"https://www.zeldadungeon.net/maps/totk/tiles/sky/6/35_51.jpg",</v>
      </c>
      <c r="H1627" t="str">
        <f>QUOTIENT(ROW(A1627),48)+2&amp;"_"&amp;MOD(ROW(A1627),48)+8</f>
        <v>35_51</v>
      </c>
    </row>
    <row r="1628" spans="1:8" x14ac:dyDescent="0.2">
      <c r="A1628" s="9" t="s">
        <v>51</v>
      </c>
      <c r="C1628" t="str">
        <f>""""&amp;SUBSTITUTE(A1628,"zzz",H1628)&amp;""""&amp;","</f>
        <v>"https://www.zeldadungeon.net/maps/totk/tiles/sky/6/35_52.jpg",</v>
      </c>
      <c r="H1628" t="str">
        <f>QUOTIENT(ROW(A1628),48)+2&amp;"_"&amp;MOD(ROW(A1628),48)+8</f>
        <v>35_52</v>
      </c>
    </row>
    <row r="1629" spans="1:8" x14ac:dyDescent="0.2">
      <c r="A1629" s="9" t="s">
        <v>51</v>
      </c>
      <c r="C1629" t="str">
        <f>""""&amp;SUBSTITUTE(A1629,"zzz",H1629)&amp;""""&amp;","</f>
        <v>"https://www.zeldadungeon.net/maps/totk/tiles/sky/6/35_53.jpg",</v>
      </c>
      <c r="H1629" t="str">
        <f>QUOTIENT(ROW(A1629),48)+2&amp;"_"&amp;MOD(ROW(A1629),48)+8</f>
        <v>35_53</v>
      </c>
    </row>
    <row r="1630" spans="1:8" x14ac:dyDescent="0.2">
      <c r="A1630" s="9" t="s">
        <v>51</v>
      </c>
      <c r="C1630" t="str">
        <f>""""&amp;SUBSTITUTE(A1630,"zzz",H1630)&amp;""""&amp;","</f>
        <v>"https://www.zeldadungeon.net/maps/totk/tiles/sky/6/35_54.jpg",</v>
      </c>
      <c r="H1630" t="str">
        <f>QUOTIENT(ROW(A1630),48)+2&amp;"_"&amp;MOD(ROW(A1630),48)+8</f>
        <v>35_54</v>
      </c>
    </row>
    <row r="1631" spans="1:8" x14ac:dyDescent="0.2">
      <c r="A1631" s="9" t="s">
        <v>51</v>
      </c>
      <c r="C1631" t="str">
        <f>""""&amp;SUBSTITUTE(A1631,"zzz",H1631)&amp;""""&amp;","</f>
        <v>"https://www.zeldadungeon.net/maps/totk/tiles/sky/6/35_55.jpg",</v>
      </c>
      <c r="H1631" t="str">
        <f>QUOTIENT(ROW(A1631),48)+2&amp;"_"&amp;MOD(ROW(A1631),48)+8</f>
        <v>35_55</v>
      </c>
    </row>
    <row r="1632" spans="1:8" x14ac:dyDescent="0.2">
      <c r="A1632" s="9" t="s">
        <v>51</v>
      </c>
      <c r="C1632" t="str">
        <f>""""&amp;SUBSTITUTE(A1632,"zzz",H1632)&amp;""""&amp;","</f>
        <v>"https://www.zeldadungeon.net/maps/totk/tiles/sky/6/36_8.jpg",</v>
      </c>
      <c r="H1632" t="str">
        <f>QUOTIENT(ROW(A1632),48)+2&amp;"_"&amp;MOD(ROW(A1632),48)+8</f>
        <v>36_8</v>
      </c>
    </row>
    <row r="1633" spans="1:8" x14ac:dyDescent="0.2">
      <c r="A1633" s="9" t="s">
        <v>51</v>
      </c>
      <c r="C1633" t="str">
        <f>""""&amp;SUBSTITUTE(A1633,"zzz",H1633)&amp;""""&amp;","</f>
        <v>"https://www.zeldadungeon.net/maps/totk/tiles/sky/6/36_9.jpg",</v>
      </c>
      <c r="H1633" t="str">
        <f>QUOTIENT(ROW(A1633),48)+2&amp;"_"&amp;MOD(ROW(A1633),48)+8</f>
        <v>36_9</v>
      </c>
    </row>
    <row r="1634" spans="1:8" x14ac:dyDescent="0.2">
      <c r="A1634" s="9" t="s">
        <v>51</v>
      </c>
      <c r="C1634" t="str">
        <f>""""&amp;SUBSTITUTE(A1634,"zzz",H1634)&amp;""""&amp;","</f>
        <v>"https://www.zeldadungeon.net/maps/totk/tiles/sky/6/36_10.jpg",</v>
      </c>
      <c r="H1634" t="str">
        <f>QUOTIENT(ROW(A1634),48)+2&amp;"_"&amp;MOD(ROW(A1634),48)+8</f>
        <v>36_10</v>
      </c>
    </row>
    <row r="1635" spans="1:8" x14ac:dyDescent="0.2">
      <c r="A1635" s="9" t="s">
        <v>51</v>
      </c>
      <c r="C1635" t="str">
        <f>""""&amp;SUBSTITUTE(A1635,"zzz",H1635)&amp;""""&amp;","</f>
        <v>"https://www.zeldadungeon.net/maps/totk/tiles/sky/6/36_11.jpg",</v>
      </c>
      <c r="H1635" t="str">
        <f>QUOTIENT(ROW(A1635),48)+2&amp;"_"&amp;MOD(ROW(A1635),48)+8</f>
        <v>36_11</v>
      </c>
    </row>
    <row r="1636" spans="1:8" x14ac:dyDescent="0.2">
      <c r="A1636" s="9" t="s">
        <v>51</v>
      </c>
      <c r="C1636" t="str">
        <f>""""&amp;SUBSTITUTE(A1636,"zzz",H1636)&amp;""""&amp;","</f>
        <v>"https://www.zeldadungeon.net/maps/totk/tiles/sky/6/36_12.jpg",</v>
      </c>
      <c r="H1636" t="str">
        <f>QUOTIENT(ROW(A1636),48)+2&amp;"_"&amp;MOD(ROW(A1636),48)+8</f>
        <v>36_12</v>
      </c>
    </row>
    <row r="1637" spans="1:8" x14ac:dyDescent="0.2">
      <c r="A1637" s="9" t="s">
        <v>51</v>
      </c>
      <c r="C1637" t="str">
        <f>""""&amp;SUBSTITUTE(A1637,"zzz",H1637)&amp;""""&amp;","</f>
        <v>"https://www.zeldadungeon.net/maps/totk/tiles/sky/6/36_13.jpg",</v>
      </c>
      <c r="H1637" t="str">
        <f>QUOTIENT(ROW(A1637),48)+2&amp;"_"&amp;MOD(ROW(A1637),48)+8</f>
        <v>36_13</v>
      </c>
    </row>
    <row r="1638" spans="1:8" x14ac:dyDescent="0.2">
      <c r="A1638" s="9" t="s">
        <v>51</v>
      </c>
      <c r="C1638" t="str">
        <f>""""&amp;SUBSTITUTE(A1638,"zzz",H1638)&amp;""""&amp;","</f>
        <v>"https://www.zeldadungeon.net/maps/totk/tiles/sky/6/36_14.jpg",</v>
      </c>
      <c r="H1638" t="str">
        <f>QUOTIENT(ROW(A1638),48)+2&amp;"_"&amp;MOD(ROW(A1638),48)+8</f>
        <v>36_14</v>
      </c>
    </row>
    <row r="1639" spans="1:8" x14ac:dyDescent="0.2">
      <c r="A1639" s="9" t="s">
        <v>51</v>
      </c>
      <c r="C1639" t="str">
        <f>""""&amp;SUBSTITUTE(A1639,"zzz",H1639)&amp;""""&amp;","</f>
        <v>"https://www.zeldadungeon.net/maps/totk/tiles/sky/6/36_15.jpg",</v>
      </c>
      <c r="H1639" t="str">
        <f>QUOTIENT(ROW(A1639),48)+2&amp;"_"&amp;MOD(ROW(A1639),48)+8</f>
        <v>36_15</v>
      </c>
    </row>
    <row r="1640" spans="1:8" x14ac:dyDescent="0.2">
      <c r="A1640" s="9" t="s">
        <v>51</v>
      </c>
      <c r="C1640" t="str">
        <f>""""&amp;SUBSTITUTE(A1640,"zzz",H1640)&amp;""""&amp;","</f>
        <v>"https://www.zeldadungeon.net/maps/totk/tiles/sky/6/36_16.jpg",</v>
      </c>
      <c r="H1640" t="str">
        <f>QUOTIENT(ROW(A1640),48)+2&amp;"_"&amp;MOD(ROW(A1640),48)+8</f>
        <v>36_16</v>
      </c>
    </row>
    <row r="1641" spans="1:8" x14ac:dyDescent="0.2">
      <c r="A1641" s="9" t="s">
        <v>51</v>
      </c>
      <c r="C1641" t="str">
        <f>""""&amp;SUBSTITUTE(A1641,"zzz",H1641)&amp;""""&amp;","</f>
        <v>"https://www.zeldadungeon.net/maps/totk/tiles/sky/6/36_17.jpg",</v>
      </c>
      <c r="H1641" t="str">
        <f>QUOTIENT(ROW(A1641),48)+2&amp;"_"&amp;MOD(ROW(A1641),48)+8</f>
        <v>36_17</v>
      </c>
    </row>
    <row r="1642" spans="1:8" x14ac:dyDescent="0.2">
      <c r="A1642" s="9" t="s">
        <v>51</v>
      </c>
      <c r="C1642" t="str">
        <f>""""&amp;SUBSTITUTE(A1642,"zzz",H1642)&amp;""""&amp;","</f>
        <v>"https://www.zeldadungeon.net/maps/totk/tiles/sky/6/36_18.jpg",</v>
      </c>
      <c r="H1642" t="str">
        <f>QUOTIENT(ROW(A1642),48)+2&amp;"_"&amp;MOD(ROW(A1642),48)+8</f>
        <v>36_18</v>
      </c>
    </row>
    <row r="1643" spans="1:8" x14ac:dyDescent="0.2">
      <c r="A1643" s="9" t="s">
        <v>51</v>
      </c>
      <c r="C1643" t="str">
        <f>""""&amp;SUBSTITUTE(A1643,"zzz",H1643)&amp;""""&amp;","</f>
        <v>"https://www.zeldadungeon.net/maps/totk/tiles/sky/6/36_19.jpg",</v>
      </c>
      <c r="H1643" t="str">
        <f>QUOTIENT(ROW(A1643),48)+2&amp;"_"&amp;MOD(ROW(A1643),48)+8</f>
        <v>36_19</v>
      </c>
    </row>
    <row r="1644" spans="1:8" x14ac:dyDescent="0.2">
      <c r="A1644" s="9" t="s">
        <v>51</v>
      </c>
      <c r="C1644" t="str">
        <f>""""&amp;SUBSTITUTE(A1644,"zzz",H1644)&amp;""""&amp;","</f>
        <v>"https://www.zeldadungeon.net/maps/totk/tiles/sky/6/36_20.jpg",</v>
      </c>
      <c r="H1644" t="str">
        <f>QUOTIENT(ROW(A1644),48)+2&amp;"_"&amp;MOD(ROW(A1644),48)+8</f>
        <v>36_20</v>
      </c>
    </row>
    <row r="1645" spans="1:8" x14ac:dyDescent="0.2">
      <c r="A1645" s="9" t="s">
        <v>51</v>
      </c>
      <c r="C1645" t="str">
        <f>""""&amp;SUBSTITUTE(A1645,"zzz",H1645)&amp;""""&amp;","</f>
        <v>"https://www.zeldadungeon.net/maps/totk/tiles/sky/6/36_21.jpg",</v>
      </c>
      <c r="H1645" t="str">
        <f>QUOTIENT(ROW(A1645),48)+2&amp;"_"&amp;MOD(ROW(A1645),48)+8</f>
        <v>36_21</v>
      </c>
    </row>
    <row r="1646" spans="1:8" x14ac:dyDescent="0.2">
      <c r="A1646" s="9" t="s">
        <v>51</v>
      </c>
      <c r="C1646" t="str">
        <f>""""&amp;SUBSTITUTE(A1646,"zzz",H1646)&amp;""""&amp;","</f>
        <v>"https://www.zeldadungeon.net/maps/totk/tiles/sky/6/36_22.jpg",</v>
      </c>
      <c r="H1646" t="str">
        <f>QUOTIENT(ROW(A1646),48)+2&amp;"_"&amp;MOD(ROW(A1646),48)+8</f>
        <v>36_22</v>
      </c>
    </row>
    <row r="1647" spans="1:8" x14ac:dyDescent="0.2">
      <c r="A1647" s="9" t="s">
        <v>51</v>
      </c>
      <c r="C1647" t="str">
        <f>""""&amp;SUBSTITUTE(A1647,"zzz",H1647)&amp;""""&amp;","</f>
        <v>"https://www.zeldadungeon.net/maps/totk/tiles/sky/6/36_23.jpg",</v>
      </c>
      <c r="H1647" t="str">
        <f>QUOTIENT(ROW(A1647),48)+2&amp;"_"&amp;MOD(ROW(A1647),48)+8</f>
        <v>36_23</v>
      </c>
    </row>
    <row r="1648" spans="1:8" x14ac:dyDescent="0.2">
      <c r="A1648" s="9" t="s">
        <v>51</v>
      </c>
      <c r="C1648" t="str">
        <f>""""&amp;SUBSTITUTE(A1648,"zzz",H1648)&amp;""""&amp;","</f>
        <v>"https://www.zeldadungeon.net/maps/totk/tiles/sky/6/36_24.jpg",</v>
      </c>
      <c r="H1648" t="str">
        <f>QUOTIENT(ROW(A1648),48)+2&amp;"_"&amp;MOD(ROW(A1648),48)+8</f>
        <v>36_24</v>
      </c>
    </row>
    <row r="1649" spans="1:8" x14ac:dyDescent="0.2">
      <c r="A1649" s="9" t="s">
        <v>51</v>
      </c>
      <c r="C1649" t="str">
        <f>""""&amp;SUBSTITUTE(A1649,"zzz",H1649)&amp;""""&amp;","</f>
        <v>"https://www.zeldadungeon.net/maps/totk/tiles/sky/6/36_25.jpg",</v>
      </c>
      <c r="H1649" t="str">
        <f>QUOTIENT(ROW(A1649),48)+2&amp;"_"&amp;MOD(ROW(A1649),48)+8</f>
        <v>36_25</v>
      </c>
    </row>
    <row r="1650" spans="1:8" x14ac:dyDescent="0.2">
      <c r="A1650" s="9" t="s">
        <v>51</v>
      </c>
      <c r="C1650" t="str">
        <f>""""&amp;SUBSTITUTE(A1650,"zzz",H1650)&amp;""""&amp;","</f>
        <v>"https://www.zeldadungeon.net/maps/totk/tiles/sky/6/36_26.jpg",</v>
      </c>
      <c r="H1650" t="str">
        <f>QUOTIENT(ROW(A1650),48)+2&amp;"_"&amp;MOD(ROW(A1650),48)+8</f>
        <v>36_26</v>
      </c>
    </row>
    <row r="1651" spans="1:8" x14ac:dyDescent="0.2">
      <c r="A1651" s="9" t="s">
        <v>51</v>
      </c>
      <c r="C1651" t="str">
        <f>""""&amp;SUBSTITUTE(A1651,"zzz",H1651)&amp;""""&amp;","</f>
        <v>"https://www.zeldadungeon.net/maps/totk/tiles/sky/6/36_27.jpg",</v>
      </c>
      <c r="H1651" t="str">
        <f>QUOTIENT(ROW(A1651),48)+2&amp;"_"&amp;MOD(ROW(A1651),48)+8</f>
        <v>36_27</v>
      </c>
    </row>
    <row r="1652" spans="1:8" x14ac:dyDescent="0.2">
      <c r="A1652" s="9" t="s">
        <v>51</v>
      </c>
      <c r="C1652" t="str">
        <f>""""&amp;SUBSTITUTE(A1652,"zzz",H1652)&amp;""""&amp;","</f>
        <v>"https://www.zeldadungeon.net/maps/totk/tiles/sky/6/36_28.jpg",</v>
      </c>
      <c r="H1652" t="str">
        <f>QUOTIENT(ROW(A1652),48)+2&amp;"_"&amp;MOD(ROW(A1652),48)+8</f>
        <v>36_28</v>
      </c>
    </row>
    <row r="1653" spans="1:8" x14ac:dyDescent="0.2">
      <c r="A1653" s="9" t="s">
        <v>51</v>
      </c>
      <c r="C1653" t="str">
        <f>""""&amp;SUBSTITUTE(A1653,"zzz",H1653)&amp;""""&amp;","</f>
        <v>"https://www.zeldadungeon.net/maps/totk/tiles/sky/6/36_29.jpg",</v>
      </c>
      <c r="H1653" t="str">
        <f>QUOTIENT(ROW(A1653),48)+2&amp;"_"&amp;MOD(ROW(A1653),48)+8</f>
        <v>36_29</v>
      </c>
    </row>
    <row r="1654" spans="1:8" x14ac:dyDescent="0.2">
      <c r="A1654" s="9" t="s">
        <v>51</v>
      </c>
      <c r="C1654" t="str">
        <f>""""&amp;SUBSTITUTE(A1654,"zzz",H1654)&amp;""""&amp;","</f>
        <v>"https://www.zeldadungeon.net/maps/totk/tiles/sky/6/36_30.jpg",</v>
      </c>
      <c r="H1654" t="str">
        <f>QUOTIENT(ROW(A1654),48)+2&amp;"_"&amp;MOD(ROW(A1654),48)+8</f>
        <v>36_30</v>
      </c>
    </row>
    <row r="1655" spans="1:8" x14ac:dyDescent="0.2">
      <c r="A1655" s="9" t="s">
        <v>51</v>
      </c>
      <c r="C1655" t="str">
        <f>""""&amp;SUBSTITUTE(A1655,"zzz",H1655)&amp;""""&amp;","</f>
        <v>"https://www.zeldadungeon.net/maps/totk/tiles/sky/6/36_31.jpg",</v>
      </c>
      <c r="H1655" t="str">
        <f>QUOTIENT(ROW(A1655),48)+2&amp;"_"&amp;MOD(ROW(A1655),48)+8</f>
        <v>36_31</v>
      </c>
    </row>
    <row r="1656" spans="1:8" x14ac:dyDescent="0.2">
      <c r="A1656" s="9" t="s">
        <v>51</v>
      </c>
      <c r="C1656" t="str">
        <f>""""&amp;SUBSTITUTE(A1656,"zzz",H1656)&amp;""""&amp;","</f>
        <v>"https://www.zeldadungeon.net/maps/totk/tiles/sky/6/36_32.jpg",</v>
      </c>
      <c r="H1656" t="str">
        <f>QUOTIENT(ROW(A1656),48)+2&amp;"_"&amp;MOD(ROW(A1656),48)+8</f>
        <v>36_32</v>
      </c>
    </row>
    <row r="1657" spans="1:8" x14ac:dyDescent="0.2">
      <c r="A1657" s="9" t="s">
        <v>51</v>
      </c>
      <c r="C1657" t="str">
        <f>""""&amp;SUBSTITUTE(A1657,"zzz",H1657)&amp;""""&amp;","</f>
        <v>"https://www.zeldadungeon.net/maps/totk/tiles/sky/6/36_33.jpg",</v>
      </c>
      <c r="H1657" t="str">
        <f>QUOTIENT(ROW(A1657),48)+2&amp;"_"&amp;MOD(ROW(A1657),48)+8</f>
        <v>36_33</v>
      </c>
    </row>
    <row r="1658" spans="1:8" x14ac:dyDescent="0.2">
      <c r="A1658" s="9" t="s">
        <v>51</v>
      </c>
      <c r="C1658" t="str">
        <f>""""&amp;SUBSTITUTE(A1658,"zzz",H1658)&amp;""""&amp;","</f>
        <v>"https://www.zeldadungeon.net/maps/totk/tiles/sky/6/36_34.jpg",</v>
      </c>
      <c r="H1658" t="str">
        <f>QUOTIENT(ROW(A1658),48)+2&amp;"_"&amp;MOD(ROW(A1658),48)+8</f>
        <v>36_34</v>
      </c>
    </row>
    <row r="1659" spans="1:8" x14ac:dyDescent="0.2">
      <c r="A1659" s="9" t="s">
        <v>51</v>
      </c>
      <c r="C1659" t="str">
        <f>""""&amp;SUBSTITUTE(A1659,"zzz",H1659)&amp;""""&amp;","</f>
        <v>"https://www.zeldadungeon.net/maps/totk/tiles/sky/6/36_35.jpg",</v>
      </c>
      <c r="H1659" t="str">
        <f>QUOTIENT(ROW(A1659),48)+2&amp;"_"&amp;MOD(ROW(A1659),48)+8</f>
        <v>36_35</v>
      </c>
    </row>
    <row r="1660" spans="1:8" x14ac:dyDescent="0.2">
      <c r="A1660" s="9" t="s">
        <v>51</v>
      </c>
      <c r="C1660" t="str">
        <f>""""&amp;SUBSTITUTE(A1660,"zzz",H1660)&amp;""""&amp;","</f>
        <v>"https://www.zeldadungeon.net/maps/totk/tiles/sky/6/36_36.jpg",</v>
      </c>
      <c r="H1660" t="str">
        <f>QUOTIENT(ROW(A1660),48)+2&amp;"_"&amp;MOD(ROW(A1660),48)+8</f>
        <v>36_36</v>
      </c>
    </row>
    <row r="1661" spans="1:8" x14ac:dyDescent="0.2">
      <c r="A1661" s="9" t="s">
        <v>51</v>
      </c>
      <c r="C1661" t="str">
        <f>""""&amp;SUBSTITUTE(A1661,"zzz",H1661)&amp;""""&amp;","</f>
        <v>"https://www.zeldadungeon.net/maps/totk/tiles/sky/6/36_37.jpg",</v>
      </c>
      <c r="H1661" t="str">
        <f>QUOTIENT(ROW(A1661),48)+2&amp;"_"&amp;MOD(ROW(A1661),48)+8</f>
        <v>36_37</v>
      </c>
    </row>
    <row r="1662" spans="1:8" x14ac:dyDescent="0.2">
      <c r="A1662" s="9" t="s">
        <v>51</v>
      </c>
      <c r="C1662" t="str">
        <f>""""&amp;SUBSTITUTE(A1662,"zzz",H1662)&amp;""""&amp;","</f>
        <v>"https://www.zeldadungeon.net/maps/totk/tiles/sky/6/36_38.jpg",</v>
      </c>
      <c r="H1662" t="str">
        <f>QUOTIENT(ROW(A1662),48)+2&amp;"_"&amp;MOD(ROW(A1662),48)+8</f>
        <v>36_38</v>
      </c>
    </row>
    <row r="1663" spans="1:8" x14ac:dyDescent="0.2">
      <c r="A1663" s="9" t="s">
        <v>51</v>
      </c>
      <c r="C1663" t="str">
        <f>""""&amp;SUBSTITUTE(A1663,"zzz",H1663)&amp;""""&amp;","</f>
        <v>"https://www.zeldadungeon.net/maps/totk/tiles/sky/6/36_39.jpg",</v>
      </c>
      <c r="H1663" t="str">
        <f>QUOTIENT(ROW(A1663),48)+2&amp;"_"&amp;MOD(ROW(A1663),48)+8</f>
        <v>36_39</v>
      </c>
    </row>
    <row r="1664" spans="1:8" x14ac:dyDescent="0.2">
      <c r="A1664" s="9" t="s">
        <v>51</v>
      </c>
      <c r="C1664" t="str">
        <f>""""&amp;SUBSTITUTE(A1664,"zzz",H1664)&amp;""""&amp;","</f>
        <v>"https://www.zeldadungeon.net/maps/totk/tiles/sky/6/36_40.jpg",</v>
      </c>
      <c r="H1664" t="str">
        <f>QUOTIENT(ROW(A1664),48)+2&amp;"_"&amp;MOD(ROW(A1664),48)+8</f>
        <v>36_40</v>
      </c>
    </row>
    <row r="1665" spans="1:8" x14ac:dyDescent="0.2">
      <c r="A1665" s="9" t="s">
        <v>51</v>
      </c>
      <c r="C1665" t="str">
        <f>""""&amp;SUBSTITUTE(A1665,"zzz",H1665)&amp;""""&amp;","</f>
        <v>"https://www.zeldadungeon.net/maps/totk/tiles/sky/6/36_41.jpg",</v>
      </c>
      <c r="H1665" t="str">
        <f>QUOTIENT(ROW(A1665),48)+2&amp;"_"&amp;MOD(ROW(A1665),48)+8</f>
        <v>36_41</v>
      </c>
    </row>
    <row r="1666" spans="1:8" x14ac:dyDescent="0.2">
      <c r="A1666" s="9" t="s">
        <v>51</v>
      </c>
      <c r="C1666" t="str">
        <f>""""&amp;SUBSTITUTE(A1666,"zzz",H1666)&amp;""""&amp;","</f>
        <v>"https://www.zeldadungeon.net/maps/totk/tiles/sky/6/36_42.jpg",</v>
      </c>
      <c r="H1666" t="str">
        <f>QUOTIENT(ROW(A1666),48)+2&amp;"_"&amp;MOD(ROW(A1666),48)+8</f>
        <v>36_42</v>
      </c>
    </row>
    <row r="1667" spans="1:8" x14ac:dyDescent="0.2">
      <c r="A1667" s="9" t="s">
        <v>51</v>
      </c>
      <c r="C1667" t="str">
        <f>""""&amp;SUBSTITUTE(A1667,"zzz",H1667)&amp;""""&amp;","</f>
        <v>"https://www.zeldadungeon.net/maps/totk/tiles/sky/6/36_43.jpg",</v>
      </c>
      <c r="H1667" t="str">
        <f>QUOTIENT(ROW(A1667),48)+2&amp;"_"&amp;MOD(ROW(A1667),48)+8</f>
        <v>36_43</v>
      </c>
    </row>
    <row r="1668" spans="1:8" x14ac:dyDescent="0.2">
      <c r="A1668" s="9" t="s">
        <v>51</v>
      </c>
      <c r="C1668" t="str">
        <f>""""&amp;SUBSTITUTE(A1668,"zzz",H1668)&amp;""""&amp;","</f>
        <v>"https://www.zeldadungeon.net/maps/totk/tiles/sky/6/36_44.jpg",</v>
      </c>
      <c r="H1668" t="str">
        <f>QUOTIENT(ROW(A1668),48)+2&amp;"_"&amp;MOD(ROW(A1668),48)+8</f>
        <v>36_44</v>
      </c>
    </row>
    <row r="1669" spans="1:8" x14ac:dyDescent="0.2">
      <c r="A1669" s="9" t="s">
        <v>51</v>
      </c>
      <c r="C1669" t="str">
        <f>""""&amp;SUBSTITUTE(A1669,"zzz",H1669)&amp;""""&amp;","</f>
        <v>"https://www.zeldadungeon.net/maps/totk/tiles/sky/6/36_45.jpg",</v>
      </c>
      <c r="H1669" t="str">
        <f>QUOTIENT(ROW(A1669),48)+2&amp;"_"&amp;MOD(ROW(A1669),48)+8</f>
        <v>36_45</v>
      </c>
    </row>
    <row r="1670" spans="1:8" x14ac:dyDescent="0.2">
      <c r="A1670" s="9" t="s">
        <v>51</v>
      </c>
      <c r="C1670" t="str">
        <f>""""&amp;SUBSTITUTE(A1670,"zzz",H1670)&amp;""""&amp;","</f>
        <v>"https://www.zeldadungeon.net/maps/totk/tiles/sky/6/36_46.jpg",</v>
      </c>
      <c r="H1670" t="str">
        <f>QUOTIENT(ROW(A1670),48)+2&amp;"_"&amp;MOD(ROW(A1670),48)+8</f>
        <v>36_46</v>
      </c>
    </row>
    <row r="1671" spans="1:8" x14ac:dyDescent="0.2">
      <c r="A1671" s="9" t="s">
        <v>51</v>
      </c>
      <c r="C1671" t="str">
        <f>""""&amp;SUBSTITUTE(A1671,"zzz",H1671)&amp;""""&amp;","</f>
        <v>"https://www.zeldadungeon.net/maps/totk/tiles/sky/6/36_47.jpg",</v>
      </c>
      <c r="H1671" t="str">
        <f>QUOTIENT(ROW(A1671),48)+2&amp;"_"&amp;MOD(ROW(A1671),48)+8</f>
        <v>36_47</v>
      </c>
    </row>
    <row r="1672" spans="1:8" x14ac:dyDescent="0.2">
      <c r="A1672" s="9" t="s">
        <v>51</v>
      </c>
      <c r="C1672" t="str">
        <f>""""&amp;SUBSTITUTE(A1672,"zzz",H1672)&amp;""""&amp;","</f>
        <v>"https://www.zeldadungeon.net/maps/totk/tiles/sky/6/36_48.jpg",</v>
      </c>
      <c r="H1672" t="str">
        <f>QUOTIENT(ROW(A1672),48)+2&amp;"_"&amp;MOD(ROW(A1672),48)+8</f>
        <v>36_48</v>
      </c>
    </row>
    <row r="1673" spans="1:8" x14ac:dyDescent="0.2">
      <c r="A1673" s="9" t="s">
        <v>51</v>
      </c>
      <c r="C1673" t="str">
        <f>""""&amp;SUBSTITUTE(A1673,"zzz",H1673)&amp;""""&amp;","</f>
        <v>"https://www.zeldadungeon.net/maps/totk/tiles/sky/6/36_49.jpg",</v>
      </c>
      <c r="H1673" t="str">
        <f>QUOTIENT(ROW(A1673),48)+2&amp;"_"&amp;MOD(ROW(A1673),48)+8</f>
        <v>36_49</v>
      </c>
    </row>
    <row r="1674" spans="1:8" x14ac:dyDescent="0.2">
      <c r="A1674" s="9" t="s">
        <v>51</v>
      </c>
      <c r="C1674" t="str">
        <f>""""&amp;SUBSTITUTE(A1674,"zzz",H1674)&amp;""""&amp;","</f>
        <v>"https://www.zeldadungeon.net/maps/totk/tiles/sky/6/36_50.jpg",</v>
      </c>
      <c r="H1674" t="str">
        <f>QUOTIENT(ROW(A1674),48)+2&amp;"_"&amp;MOD(ROW(A1674),48)+8</f>
        <v>36_50</v>
      </c>
    </row>
    <row r="1675" spans="1:8" x14ac:dyDescent="0.2">
      <c r="A1675" s="9" t="s">
        <v>51</v>
      </c>
      <c r="C1675" t="str">
        <f>""""&amp;SUBSTITUTE(A1675,"zzz",H1675)&amp;""""&amp;","</f>
        <v>"https://www.zeldadungeon.net/maps/totk/tiles/sky/6/36_51.jpg",</v>
      </c>
      <c r="H1675" t="str">
        <f>QUOTIENT(ROW(A1675),48)+2&amp;"_"&amp;MOD(ROW(A1675),48)+8</f>
        <v>36_51</v>
      </c>
    </row>
    <row r="1676" spans="1:8" x14ac:dyDescent="0.2">
      <c r="A1676" s="9" t="s">
        <v>51</v>
      </c>
      <c r="C1676" t="str">
        <f>""""&amp;SUBSTITUTE(A1676,"zzz",H1676)&amp;""""&amp;","</f>
        <v>"https://www.zeldadungeon.net/maps/totk/tiles/sky/6/36_52.jpg",</v>
      </c>
      <c r="H1676" t="str">
        <f>QUOTIENT(ROW(A1676),48)+2&amp;"_"&amp;MOD(ROW(A1676),48)+8</f>
        <v>36_52</v>
      </c>
    </row>
    <row r="1677" spans="1:8" x14ac:dyDescent="0.2">
      <c r="A1677" s="9" t="s">
        <v>51</v>
      </c>
      <c r="C1677" t="str">
        <f>""""&amp;SUBSTITUTE(A1677,"zzz",H1677)&amp;""""&amp;","</f>
        <v>"https://www.zeldadungeon.net/maps/totk/tiles/sky/6/36_53.jpg",</v>
      </c>
      <c r="H1677" t="str">
        <f>QUOTIENT(ROW(A1677),48)+2&amp;"_"&amp;MOD(ROW(A1677),48)+8</f>
        <v>36_53</v>
      </c>
    </row>
    <row r="1678" spans="1:8" x14ac:dyDescent="0.2">
      <c r="A1678" s="9" t="s">
        <v>51</v>
      </c>
      <c r="C1678" t="str">
        <f>""""&amp;SUBSTITUTE(A1678,"zzz",H1678)&amp;""""&amp;","</f>
        <v>"https://www.zeldadungeon.net/maps/totk/tiles/sky/6/36_54.jpg",</v>
      </c>
      <c r="H1678" t="str">
        <f>QUOTIENT(ROW(A1678),48)+2&amp;"_"&amp;MOD(ROW(A1678),48)+8</f>
        <v>36_54</v>
      </c>
    </row>
    <row r="1679" spans="1:8" x14ac:dyDescent="0.2">
      <c r="A1679" s="9" t="s">
        <v>51</v>
      </c>
      <c r="C1679" t="str">
        <f>""""&amp;SUBSTITUTE(A1679,"zzz",H1679)&amp;""""&amp;","</f>
        <v>"https://www.zeldadungeon.net/maps/totk/tiles/sky/6/36_55.jpg",</v>
      </c>
      <c r="H1679" t="str">
        <f>QUOTIENT(ROW(A1679),48)+2&amp;"_"&amp;MOD(ROW(A1679),48)+8</f>
        <v>36_55</v>
      </c>
    </row>
    <row r="1680" spans="1:8" x14ac:dyDescent="0.2">
      <c r="A1680" s="9" t="s">
        <v>51</v>
      </c>
      <c r="C1680" t="str">
        <f>""""&amp;SUBSTITUTE(A1680,"zzz",H1680)&amp;""""&amp;","</f>
        <v>"https://www.zeldadungeon.net/maps/totk/tiles/sky/6/37_8.jpg",</v>
      </c>
      <c r="H1680" t="str">
        <f>QUOTIENT(ROW(A1680),48)+2&amp;"_"&amp;MOD(ROW(A1680),48)+8</f>
        <v>37_8</v>
      </c>
    </row>
    <row r="1681" spans="1:8" x14ac:dyDescent="0.2">
      <c r="A1681" s="9" t="s">
        <v>51</v>
      </c>
      <c r="C1681" t="str">
        <f>""""&amp;SUBSTITUTE(A1681,"zzz",H1681)&amp;""""&amp;","</f>
        <v>"https://www.zeldadungeon.net/maps/totk/tiles/sky/6/37_9.jpg",</v>
      </c>
      <c r="H1681" t="str">
        <f>QUOTIENT(ROW(A1681),48)+2&amp;"_"&amp;MOD(ROW(A1681),48)+8</f>
        <v>37_9</v>
      </c>
    </row>
    <row r="1682" spans="1:8" x14ac:dyDescent="0.2">
      <c r="A1682" s="9" t="s">
        <v>51</v>
      </c>
      <c r="C1682" t="str">
        <f>""""&amp;SUBSTITUTE(A1682,"zzz",H1682)&amp;""""&amp;","</f>
        <v>"https://www.zeldadungeon.net/maps/totk/tiles/sky/6/37_10.jpg",</v>
      </c>
      <c r="H1682" t="str">
        <f>QUOTIENT(ROW(A1682),48)+2&amp;"_"&amp;MOD(ROW(A1682),48)+8</f>
        <v>37_10</v>
      </c>
    </row>
    <row r="1683" spans="1:8" x14ac:dyDescent="0.2">
      <c r="A1683" s="9" t="s">
        <v>51</v>
      </c>
      <c r="C1683" t="str">
        <f>""""&amp;SUBSTITUTE(A1683,"zzz",H1683)&amp;""""&amp;","</f>
        <v>"https://www.zeldadungeon.net/maps/totk/tiles/sky/6/37_11.jpg",</v>
      </c>
      <c r="H1683" t="str">
        <f>QUOTIENT(ROW(A1683),48)+2&amp;"_"&amp;MOD(ROW(A1683),48)+8</f>
        <v>37_11</v>
      </c>
    </row>
    <row r="1684" spans="1:8" x14ac:dyDescent="0.2">
      <c r="A1684" s="9" t="s">
        <v>51</v>
      </c>
      <c r="C1684" t="str">
        <f>""""&amp;SUBSTITUTE(A1684,"zzz",H1684)&amp;""""&amp;","</f>
        <v>"https://www.zeldadungeon.net/maps/totk/tiles/sky/6/37_12.jpg",</v>
      </c>
      <c r="H1684" t="str">
        <f>QUOTIENT(ROW(A1684),48)+2&amp;"_"&amp;MOD(ROW(A1684),48)+8</f>
        <v>37_12</v>
      </c>
    </row>
    <row r="1685" spans="1:8" x14ac:dyDescent="0.2">
      <c r="A1685" s="9" t="s">
        <v>51</v>
      </c>
      <c r="C1685" t="str">
        <f>""""&amp;SUBSTITUTE(A1685,"zzz",H1685)&amp;""""&amp;","</f>
        <v>"https://www.zeldadungeon.net/maps/totk/tiles/sky/6/37_13.jpg",</v>
      </c>
      <c r="H1685" t="str">
        <f>QUOTIENT(ROW(A1685),48)+2&amp;"_"&amp;MOD(ROW(A1685),48)+8</f>
        <v>37_13</v>
      </c>
    </row>
    <row r="1686" spans="1:8" x14ac:dyDescent="0.2">
      <c r="A1686" s="9" t="s">
        <v>51</v>
      </c>
      <c r="C1686" t="str">
        <f>""""&amp;SUBSTITUTE(A1686,"zzz",H1686)&amp;""""&amp;","</f>
        <v>"https://www.zeldadungeon.net/maps/totk/tiles/sky/6/37_14.jpg",</v>
      </c>
      <c r="H1686" t="str">
        <f>QUOTIENT(ROW(A1686),48)+2&amp;"_"&amp;MOD(ROW(A1686),48)+8</f>
        <v>37_14</v>
      </c>
    </row>
    <row r="1687" spans="1:8" x14ac:dyDescent="0.2">
      <c r="A1687" s="9" t="s">
        <v>51</v>
      </c>
      <c r="C1687" t="str">
        <f>""""&amp;SUBSTITUTE(A1687,"zzz",H1687)&amp;""""&amp;","</f>
        <v>"https://www.zeldadungeon.net/maps/totk/tiles/sky/6/37_15.jpg",</v>
      </c>
      <c r="H1687" t="str">
        <f>QUOTIENT(ROW(A1687),48)+2&amp;"_"&amp;MOD(ROW(A1687),48)+8</f>
        <v>37_15</v>
      </c>
    </row>
    <row r="1688" spans="1:8" x14ac:dyDescent="0.2">
      <c r="A1688" s="9" t="s">
        <v>51</v>
      </c>
      <c r="C1688" t="str">
        <f>""""&amp;SUBSTITUTE(A1688,"zzz",H1688)&amp;""""&amp;","</f>
        <v>"https://www.zeldadungeon.net/maps/totk/tiles/sky/6/37_16.jpg",</v>
      </c>
      <c r="H1688" t="str">
        <f>QUOTIENT(ROW(A1688),48)+2&amp;"_"&amp;MOD(ROW(A1688),48)+8</f>
        <v>37_16</v>
      </c>
    </row>
    <row r="1689" spans="1:8" x14ac:dyDescent="0.2">
      <c r="A1689" s="9" t="s">
        <v>51</v>
      </c>
      <c r="C1689" t="str">
        <f>""""&amp;SUBSTITUTE(A1689,"zzz",H1689)&amp;""""&amp;","</f>
        <v>"https://www.zeldadungeon.net/maps/totk/tiles/sky/6/37_17.jpg",</v>
      </c>
      <c r="H1689" t="str">
        <f>QUOTIENT(ROW(A1689),48)+2&amp;"_"&amp;MOD(ROW(A1689),48)+8</f>
        <v>37_17</v>
      </c>
    </row>
    <row r="1690" spans="1:8" x14ac:dyDescent="0.2">
      <c r="A1690" s="9" t="s">
        <v>51</v>
      </c>
      <c r="C1690" t="str">
        <f>""""&amp;SUBSTITUTE(A1690,"zzz",H1690)&amp;""""&amp;","</f>
        <v>"https://www.zeldadungeon.net/maps/totk/tiles/sky/6/37_18.jpg",</v>
      </c>
      <c r="H1690" t="str">
        <f>QUOTIENT(ROW(A1690),48)+2&amp;"_"&amp;MOD(ROW(A1690),48)+8</f>
        <v>37_18</v>
      </c>
    </row>
    <row r="1691" spans="1:8" x14ac:dyDescent="0.2">
      <c r="A1691" s="9" t="s">
        <v>51</v>
      </c>
      <c r="C1691" t="str">
        <f>""""&amp;SUBSTITUTE(A1691,"zzz",H1691)&amp;""""&amp;","</f>
        <v>"https://www.zeldadungeon.net/maps/totk/tiles/sky/6/37_19.jpg",</v>
      </c>
      <c r="H1691" t="str">
        <f>QUOTIENT(ROW(A1691),48)+2&amp;"_"&amp;MOD(ROW(A1691),48)+8</f>
        <v>37_19</v>
      </c>
    </row>
    <row r="1692" spans="1:8" x14ac:dyDescent="0.2">
      <c r="A1692" s="9" t="s">
        <v>51</v>
      </c>
      <c r="C1692" t="str">
        <f>""""&amp;SUBSTITUTE(A1692,"zzz",H1692)&amp;""""&amp;","</f>
        <v>"https://www.zeldadungeon.net/maps/totk/tiles/sky/6/37_20.jpg",</v>
      </c>
      <c r="H1692" t="str">
        <f>QUOTIENT(ROW(A1692),48)+2&amp;"_"&amp;MOD(ROW(A1692),48)+8</f>
        <v>37_20</v>
      </c>
    </row>
    <row r="1693" spans="1:8" x14ac:dyDescent="0.2">
      <c r="A1693" s="9" t="s">
        <v>51</v>
      </c>
      <c r="C1693" t="str">
        <f>""""&amp;SUBSTITUTE(A1693,"zzz",H1693)&amp;""""&amp;","</f>
        <v>"https://www.zeldadungeon.net/maps/totk/tiles/sky/6/37_21.jpg",</v>
      </c>
      <c r="H1693" t="str">
        <f>QUOTIENT(ROW(A1693),48)+2&amp;"_"&amp;MOD(ROW(A1693),48)+8</f>
        <v>37_21</v>
      </c>
    </row>
    <row r="1694" spans="1:8" x14ac:dyDescent="0.2">
      <c r="A1694" s="9" t="s">
        <v>51</v>
      </c>
      <c r="C1694" t="str">
        <f>""""&amp;SUBSTITUTE(A1694,"zzz",H1694)&amp;""""&amp;","</f>
        <v>"https://www.zeldadungeon.net/maps/totk/tiles/sky/6/37_22.jpg",</v>
      </c>
      <c r="H1694" t="str">
        <f>QUOTIENT(ROW(A1694),48)+2&amp;"_"&amp;MOD(ROW(A1694),48)+8</f>
        <v>37_22</v>
      </c>
    </row>
    <row r="1695" spans="1:8" x14ac:dyDescent="0.2">
      <c r="A1695" s="9" t="s">
        <v>51</v>
      </c>
      <c r="C1695" t="str">
        <f>""""&amp;SUBSTITUTE(A1695,"zzz",H1695)&amp;""""&amp;","</f>
        <v>"https://www.zeldadungeon.net/maps/totk/tiles/sky/6/37_23.jpg",</v>
      </c>
      <c r="H1695" t="str">
        <f>QUOTIENT(ROW(A1695),48)+2&amp;"_"&amp;MOD(ROW(A1695),48)+8</f>
        <v>37_23</v>
      </c>
    </row>
    <row r="1696" spans="1:8" x14ac:dyDescent="0.2">
      <c r="A1696" s="9" t="s">
        <v>51</v>
      </c>
      <c r="C1696" t="str">
        <f>""""&amp;SUBSTITUTE(A1696,"zzz",H1696)&amp;""""&amp;","</f>
        <v>"https://www.zeldadungeon.net/maps/totk/tiles/sky/6/37_24.jpg",</v>
      </c>
      <c r="H1696" t="str">
        <f>QUOTIENT(ROW(A1696),48)+2&amp;"_"&amp;MOD(ROW(A1696),48)+8</f>
        <v>37_24</v>
      </c>
    </row>
    <row r="1697" spans="1:8" x14ac:dyDescent="0.2">
      <c r="A1697" s="9" t="s">
        <v>51</v>
      </c>
      <c r="C1697" t="str">
        <f>""""&amp;SUBSTITUTE(A1697,"zzz",H1697)&amp;""""&amp;","</f>
        <v>"https://www.zeldadungeon.net/maps/totk/tiles/sky/6/37_25.jpg",</v>
      </c>
      <c r="H1697" t="str">
        <f>QUOTIENT(ROW(A1697),48)+2&amp;"_"&amp;MOD(ROW(A1697),48)+8</f>
        <v>37_25</v>
      </c>
    </row>
    <row r="1698" spans="1:8" x14ac:dyDescent="0.2">
      <c r="A1698" s="9" t="s">
        <v>51</v>
      </c>
      <c r="C1698" t="str">
        <f>""""&amp;SUBSTITUTE(A1698,"zzz",H1698)&amp;""""&amp;","</f>
        <v>"https://www.zeldadungeon.net/maps/totk/tiles/sky/6/37_26.jpg",</v>
      </c>
      <c r="H1698" t="str">
        <f>QUOTIENT(ROW(A1698),48)+2&amp;"_"&amp;MOD(ROW(A1698),48)+8</f>
        <v>37_26</v>
      </c>
    </row>
    <row r="1699" spans="1:8" x14ac:dyDescent="0.2">
      <c r="A1699" s="9" t="s">
        <v>51</v>
      </c>
      <c r="C1699" t="str">
        <f>""""&amp;SUBSTITUTE(A1699,"zzz",H1699)&amp;""""&amp;","</f>
        <v>"https://www.zeldadungeon.net/maps/totk/tiles/sky/6/37_27.jpg",</v>
      </c>
      <c r="H1699" t="str">
        <f>QUOTIENT(ROW(A1699),48)+2&amp;"_"&amp;MOD(ROW(A1699),48)+8</f>
        <v>37_27</v>
      </c>
    </row>
    <row r="1700" spans="1:8" x14ac:dyDescent="0.2">
      <c r="A1700" s="9" t="s">
        <v>51</v>
      </c>
      <c r="C1700" t="str">
        <f>""""&amp;SUBSTITUTE(A1700,"zzz",H1700)&amp;""""&amp;","</f>
        <v>"https://www.zeldadungeon.net/maps/totk/tiles/sky/6/37_28.jpg",</v>
      </c>
      <c r="H1700" t="str">
        <f>QUOTIENT(ROW(A1700),48)+2&amp;"_"&amp;MOD(ROW(A1700),48)+8</f>
        <v>37_28</v>
      </c>
    </row>
    <row r="1701" spans="1:8" x14ac:dyDescent="0.2">
      <c r="A1701" s="9" t="s">
        <v>51</v>
      </c>
      <c r="C1701" t="str">
        <f>""""&amp;SUBSTITUTE(A1701,"zzz",H1701)&amp;""""&amp;","</f>
        <v>"https://www.zeldadungeon.net/maps/totk/tiles/sky/6/37_29.jpg",</v>
      </c>
      <c r="H1701" t="str">
        <f>QUOTIENT(ROW(A1701),48)+2&amp;"_"&amp;MOD(ROW(A1701),48)+8</f>
        <v>37_29</v>
      </c>
    </row>
    <row r="1702" spans="1:8" x14ac:dyDescent="0.2">
      <c r="A1702" s="9" t="s">
        <v>51</v>
      </c>
      <c r="C1702" t="str">
        <f>""""&amp;SUBSTITUTE(A1702,"zzz",H1702)&amp;""""&amp;","</f>
        <v>"https://www.zeldadungeon.net/maps/totk/tiles/sky/6/37_30.jpg",</v>
      </c>
      <c r="H1702" t="str">
        <f>QUOTIENT(ROW(A1702),48)+2&amp;"_"&amp;MOD(ROW(A1702),48)+8</f>
        <v>37_30</v>
      </c>
    </row>
    <row r="1703" spans="1:8" x14ac:dyDescent="0.2">
      <c r="A1703" s="9" t="s">
        <v>51</v>
      </c>
      <c r="C1703" t="str">
        <f>""""&amp;SUBSTITUTE(A1703,"zzz",H1703)&amp;""""&amp;","</f>
        <v>"https://www.zeldadungeon.net/maps/totk/tiles/sky/6/37_31.jpg",</v>
      </c>
      <c r="H1703" t="str">
        <f>QUOTIENT(ROW(A1703),48)+2&amp;"_"&amp;MOD(ROW(A1703),48)+8</f>
        <v>37_31</v>
      </c>
    </row>
    <row r="1704" spans="1:8" x14ac:dyDescent="0.2">
      <c r="A1704" s="9" t="s">
        <v>51</v>
      </c>
      <c r="C1704" t="str">
        <f>""""&amp;SUBSTITUTE(A1704,"zzz",H1704)&amp;""""&amp;","</f>
        <v>"https://www.zeldadungeon.net/maps/totk/tiles/sky/6/37_32.jpg",</v>
      </c>
      <c r="H1704" t="str">
        <f>QUOTIENT(ROW(A1704),48)+2&amp;"_"&amp;MOD(ROW(A1704),48)+8</f>
        <v>37_32</v>
      </c>
    </row>
    <row r="1705" spans="1:8" x14ac:dyDescent="0.2">
      <c r="A1705" s="9" t="s">
        <v>51</v>
      </c>
      <c r="C1705" t="str">
        <f>""""&amp;SUBSTITUTE(A1705,"zzz",H1705)&amp;""""&amp;","</f>
        <v>"https://www.zeldadungeon.net/maps/totk/tiles/sky/6/37_33.jpg",</v>
      </c>
      <c r="H1705" t="str">
        <f>QUOTIENT(ROW(A1705),48)+2&amp;"_"&amp;MOD(ROW(A1705),48)+8</f>
        <v>37_33</v>
      </c>
    </row>
    <row r="1706" spans="1:8" x14ac:dyDescent="0.2">
      <c r="A1706" s="9" t="s">
        <v>51</v>
      </c>
      <c r="C1706" t="str">
        <f>""""&amp;SUBSTITUTE(A1706,"zzz",H1706)&amp;""""&amp;","</f>
        <v>"https://www.zeldadungeon.net/maps/totk/tiles/sky/6/37_34.jpg",</v>
      </c>
      <c r="H1706" t="str">
        <f>QUOTIENT(ROW(A1706),48)+2&amp;"_"&amp;MOD(ROW(A1706),48)+8</f>
        <v>37_34</v>
      </c>
    </row>
    <row r="1707" spans="1:8" x14ac:dyDescent="0.2">
      <c r="A1707" s="9" t="s">
        <v>51</v>
      </c>
      <c r="C1707" t="str">
        <f>""""&amp;SUBSTITUTE(A1707,"zzz",H1707)&amp;""""&amp;","</f>
        <v>"https://www.zeldadungeon.net/maps/totk/tiles/sky/6/37_35.jpg",</v>
      </c>
      <c r="H1707" t="str">
        <f>QUOTIENT(ROW(A1707),48)+2&amp;"_"&amp;MOD(ROW(A1707),48)+8</f>
        <v>37_35</v>
      </c>
    </row>
    <row r="1708" spans="1:8" x14ac:dyDescent="0.2">
      <c r="A1708" s="9" t="s">
        <v>51</v>
      </c>
      <c r="C1708" t="str">
        <f>""""&amp;SUBSTITUTE(A1708,"zzz",H1708)&amp;""""&amp;","</f>
        <v>"https://www.zeldadungeon.net/maps/totk/tiles/sky/6/37_36.jpg",</v>
      </c>
      <c r="H1708" t="str">
        <f>QUOTIENT(ROW(A1708),48)+2&amp;"_"&amp;MOD(ROW(A1708),48)+8</f>
        <v>37_36</v>
      </c>
    </row>
    <row r="1709" spans="1:8" x14ac:dyDescent="0.2">
      <c r="A1709" s="9" t="s">
        <v>51</v>
      </c>
      <c r="C1709" t="str">
        <f>""""&amp;SUBSTITUTE(A1709,"zzz",H1709)&amp;""""&amp;","</f>
        <v>"https://www.zeldadungeon.net/maps/totk/tiles/sky/6/37_37.jpg",</v>
      </c>
      <c r="H1709" t="str">
        <f>QUOTIENT(ROW(A1709),48)+2&amp;"_"&amp;MOD(ROW(A1709),48)+8</f>
        <v>37_37</v>
      </c>
    </row>
    <row r="1710" spans="1:8" x14ac:dyDescent="0.2">
      <c r="A1710" s="9" t="s">
        <v>51</v>
      </c>
      <c r="C1710" t="str">
        <f>""""&amp;SUBSTITUTE(A1710,"zzz",H1710)&amp;""""&amp;","</f>
        <v>"https://www.zeldadungeon.net/maps/totk/tiles/sky/6/37_38.jpg",</v>
      </c>
      <c r="H1710" t="str">
        <f>QUOTIENT(ROW(A1710),48)+2&amp;"_"&amp;MOD(ROW(A1710),48)+8</f>
        <v>37_38</v>
      </c>
    </row>
    <row r="1711" spans="1:8" x14ac:dyDescent="0.2">
      <c r="A1711" s="9" t="s">
        <v>51</v>
      </c>
      <c r="C1711" t="str">
        <f>""""&amp;SUBSTITUTE(A1711,"zzz",H1711)&amp;""""&amp;","</f>
        <v>"https://www.zeldadungeon.net/maps/totk/tiles/sky/6/37_39.jpg",</v>
      </c>
      <c r="H1711" t="str">
        <f>QUOTIENT(ROW(A1711),48)+2&amp;"_"&amp;MOD(ROW(A1711),48)+8</f>
        <v>37_39</v>
      </c>
    </row>
    <row r="1712" spans="1:8" x14ac:dyDescent="0.2">
      <c r="A1712" s="9" t="s">
        <v>51</v>
      </c>
      <c r="C1712" t="str">
        <f>""""&amp;SUBSTITUTE(A1712,"zzz",H1712)&amp;""""&amp;","</f>
        <v>"https://www.zeldadungeon.net/maps/totk/tiles/sky/6/37_40.jpg",</v>
      </c>
      <c r="H1712" t="str">
        <f>QUOTIENT(ROW(A1712),48)+2&amp;"_"&amp;MOD(ROW(A1712),48)+8</f>
        <v>37_40</v>
      </c>
    </row>
    <row r="1713" spans="1:8" x14ac:dyDescent="0.2">
      <c r="A1713" s="9" t="s">
        <v>51</v>
      </c>
      <c r="C1713" t="str">
        <f>""""&amp;SUBSTITUTE(A1713,"zzz",H1713)&amp;""""&amp;","</f>
        <v>"https://www.zeldadungeon.net/maps/totk/tiles/sky/6/37_41.jpg",</v>
      </c>
      <c r="H1713" t="str">
        <f>QUOTIENT(ROW(A1713),48)+2&amp;"_"&amp;MOD(ROW(A1713),48)+8</f>
        <v>37_41</v>
      </c>
    </row>
    <row r="1714" spans="1:8" x14ac:dyDescent="0.2">
      <c r="A1714" s="9" t="s">
        <v>51</v>
      </c>
      <c r="C1714" t="str">
        <f>""""&amp;SUBSTITUTE(A1714,"zzz",H1714)&amp;""""&amp;","</f>
        <v>"https://www.zeldadungeon.net/maps/totk/tiles/sky/6/37_42.jpg",</v>
      </c>
      <c r="H1714" t="str">
        <f>QUOTIENT(ROW(A1714),48)+2&amp;"_"&amp;MOD(ROW(A1714),48)+8</f>
        <v>37_42</v>
      </c>
    </row>
    <row r="1715" spans="1:8" x14ac:dyDescent="0.2">
      <c r="A1715" s="9" t="s">
        <v>51</v>
      </c>
      <c r="C1715" t="str">
        <f>""""&amp;SUBSTITUTE(A1715,"zzz",H1715)&amp;""""&amp;","</f>
        <v>"https://www.zeldadungeon.net/maps/totk/tiles/sky/6/37_43.jpg",</v>
      </c>
      <c r="H1715" t="str">
        <f>QUOTIENT(ROW(A1715),48)+2&amp;"_"&amp;MOD(ROW(A1715),48)+8</f>
        <v>37_43</v>
      </c>
    </row>
    <row r="1716" spans="1:8" x14ac:dyDescent="0.2">
      <c r="A1716" s="9" t="s">
        <v>51</v>
      </c>
      <c r="C1716" t="str">
        <f>""""&amp;SUBSTITUTE(A1716,"zzz",H1716)&amp;""""&amp;","</f>
        <v>"https://www.zeldadungeon.net/maps/totk/tiles/sky/6/37_44.jpg",</v>
      </c>
      <c r="H1716" t="str">
        <f>QUOTIENT(ROW(A1716),48)+2&amp;"_"&amp;MOD(ROW(A1716),48)+8</f>
        <v>37_44</v>
      </c>
    </row>
    <row r="1717" spans="1:8" x14ac:dyDescent="0.2">
      <c r="A1717" s="9" t="s">
        <v>51</v>
      </c>
      <c r="C1717" t="str">
        <f>""""&amp;SUBSTITUTE(A1717,"zzz",H1717)&amp;""""&amp;","</f>
        <v>"https://www.zeldadungeon.net/maps/totk/tiles/sky/6/37_45.jpg",</v>
      </c>
      <c r="H1717" t="str">
        <f>QUOTIENT(ROW(A1717),48)+2&amp;"_"&amp;MOD(ROW(A1717),48)+8</f>
        <v>37_45</v>
      </c>
    </row>
    <row r="1718" spans="1:8" x14ac:dyDescent="0.2">
      <c r="A1718" s="9" t="s">
        <v>51</v>
      </c>
      <c r="C1718" t="str">
        <f>""""&amp;SUBSTITUTE(A1718,"zzz",H1718)&amp;""""&amp;","</f>
        <v>"https://www.zeldadungeon.net/maps/totk/tiles/sky/6/37_46.jpg",</v>
      </c>
      <c r="H1718" t="str">
        <f>QUOTIENT(ROW(A1718),48)+2&amp;"_"&amp;MOD(ROW(A1718),48)+8</f>
        <v>37_46</v>
      </c>
    </row>
    <row r="1719" spans="1:8" x14ac:dyDescent="0.2">
      <c r="A1719" s="9" t="s">
        <v>51</v>
      </c>
      <c r="C1719" t="str">
        <f>""""&amp;SUBSTITUTE(A1719,"zzz",H1719)&amp;""""&amp;","</f>
        <v>"https://www.zeldadungeon.net/maps/totk/tiles/sky/6/37_47.jpg",</v>
      </c>
      <c r="H1719" t="str">
        <f>QUOTIENT(ROW(A1719),48)+2&amp;"_"&amp;MOD(ROW(A1719),48)+8</f>
        <v>37_47</v>
      </c>
    </row>
    <row r="1720" spans="1:8" x14ac:dyDescent="0.2">
      <c r="A1720" s="9" t="s">
        <v>51</v>
      </c>
      <c r="C1720" t="str">
        <f>""""&amp;SUBSTITUTE(A1720,"zzz",H1720)&amp;""""&amp;","</f>
        <v>"https://www.zeldadungeon.net/maps/totk/tiles/sky/6/37_48.jpg",</v>
      </c>
      <c r="H1720" t="str">
        <f>QUOTIENT(ROW(A1720),48)+2&amp;"_"&amp;MOD(ROW(A1720),48)+8</f>
        <v>37_48</v>
      </c>
    </row>
    <row r="1721" spans="1:8" x14ac:dyDescent="0.2">
      <c r="A1721" s="9" t="s">
        <v>51</v>
      </c>
      <c r="C1721" t="str">
        <f>""""&amp;SUBSTITUTE(A1721,"zzz",H1721)&amp;""""&amp;","</f>
        <v>"https://www.zeldadungeon.net/maps/totk/tiles/sky/6/37_49.jpg",</v>
      </c>
      <c r="H1721" t="str">
        <f>QUOTIENT(ROW(A1721),48)+2&amp;"_"&amp;MOD(ROW(A1721),48)+8</f>
        <v>37_49</v>
      </c>
    </row>
    <row r="1722" spans="1:8" x14ac:dyDescent="0.2">
      <c r="A1722" s="9" t="s">
        <v>51</v>
      </c>
      <c r="C1722" t="str">
        <f>""""&amp;SUBSTITUTE(A1722,"zzz",H1722)&amp;""""&amp;","</f>
        <v>"https://www.zeldadungeon.net/maps/totk/tiles/sky/6/37_50.jpg",</v>
      </c>
      <c r="H1722" t="str">
        <f>QUOTIENT(ROW(A1722),48)+2&amp;"_"&amp;MOD(ROW(A1722),48)+8</f>
        <v>37_50</v>
      </c>
    </row>
    <row r="1723" spans="1:8" x14ac:dyDescent="0.2">
      <c r="A1723" s="9" t="s">
        <v>51</v>
      </c>
      <c r="C1723" t="str">
        <f>""""&amp;SUBSTITUTE(A1723,"zzz",H1723)&amp;""""&amp;","</f>
        <v>"https://www.zeldadungeon.net/maps/totk/tiles/sky/6/37_51.jpg",</v>
      </c>
      <c r="H1723" t="str">
        <f>QUOTIENT(ROW(A1723),48)+2&amp;"_"&amp;MOD(ROW(A1723),48)+8</f>
        <v>37_51</v>
      </c>
    </row>
    <row r="1724" spans="1:8" x14ac:dyDescent="0.2">
      <c r="A1724" s="9" t="s">
        <v>51</v>
      </c>
      <c r="C1724" t="str">
        <f>""""&amp;SUBSTITUTE(A1724,"zzz",H1724)&amp;""""&amp;","</f>
        <v>"https://www.zeldadungeon.net/maps/totk/tiles/sky/6/37_52.jpg",</v>
      </c>
      <c r="H1724" t="str">
        <f>QUOTIENT(ROW(A1724),48)+2&amp;"_"&amp;MOD(ROW(A1724),48)+8</f>
        <v>37_52</v>
      </c>
    </row>
    <row r="1725" spans="1:8" x14ac:dyDescent="0.2">
      <c r="A1725" s="9" t="s">
        <v>51</v>
      </c>
      <c r="C1725" t="str">
        <f>""""&amp;SUBSTITUTE(A1725,"zzz",H1725)&amp;""""&amp;","</f>
        <v>"https://www.zeldadungeon.net/maps/totk/tiles/sky/6/37_53.jpg",</v>
      </c>
      <c r="H1725" t="str">
        <f>QUOTIENT(ROW(A1725),48)+2&amp;"_"&amp;MOD(ROW(A1725),48)+8</f>
        <v>37_53</v>
      </c>
    </row>
    <row r="1726" spans="1:8" x14ac:dyDescent="0.2">
      <c r="A1726" s="9" t="s">
        <v>51</v>
      </c>
      <c r="C1726" t="str">
        <f>""""&amp;SUBSTITUTE(A1726,"zzz",H1726)&amp;""""&amp;","</f>
        <v>"https://www.zeldadungeon.net/maps/totk/tiles/sky/6/37_54.jpg",</v>
      </c>
      <c r="H1726" t="str">
        <f>QUOTIENT(ROW(A1726),48)+2&amp;"_"&amp;MOD(ROW(A1726),48)+8</f>
        <v>37_54</v>
      </c>
    </row>
    <row r="1727" spans="1:8" x14ac:dyDescent="0.2">
      <c r="A1727" s="9" t="s">
        <v>51</v>
      </c>
      <c r="C1727" t="str">
        <f>""""&amp;SUBSTITUTE(A1727,"zzz",H1727)&amp;""""&amp;","</f>
        <v>"https://www.zeldadungeon.net/maps/totk/tiles/sky/6/37_55.jpg",</v>
      </c>
      <c r="H1727" t="str">
        <f>QUOTIENT(ROW(A1727),48)+2&amp;"_"&amp;MOD(ROW(A1727),48)+8</f>
        <v>37_55</v>
      </c>
    </row>
    <row r="1728" spans="1:8" x14ac:dyDescent="0.2">
      <c r="A1728" s="9" t="s">
        <v>51</v>
      </c>
      <c r="C1728" t="str">
        <f>""""&amp;SUBSTITUTE(A1728,"zzz",H1728)&amp;""""&amp;","</f>
        <v>"https://www.zeldadungeon.net/maps/totk/tiles/sky/6/38_8.jpg",</v>
      </c>
      <c r="H1728" t="str">
        <f>QUOTIENT(ROW(A1728),48)+2&amp;"_"&amp;MOD(ROW(A1728),48)+8</f>
        <v>38_8</v>
      </c>
    </row>
    <row r="1729" spans="1:8" x14ac:dyDescent="0.2">
      <c r="A1729" s="9" t="s">
        <v>51</v>
      </c>
      <c r="C1729" t="str">
        <f>""""&amp;SUBSTITUTE(A1729,"zzz",H1729)&amp;""""&amp;","</f>
        <v>"https://www.zeldadungeon.net/maps/totk/tiles/sky/6/38_9.jpg",</v>
      </c>
      <c r="H1729" t="str">
        <f>QUOTIENT(ROW(A1729),48)+2&amp;"_"&amp;MOD(ROW(A1729),48)+8</f>
        <v>38_9</v>
      </c>
    </row>
    <row r="1730" spans="1:8" x14ac:dyDescent="0.2">
      <c r="A1730" s="9" t="s">
        <v>51</v>
      </c>
      <c r="C1730" t="str">
        <f>""""&amp;SUBSTITUTE(A1730,"zzz",H1730)&amp;""""&amp;","</f>
        <v>"https://www.zeldadungeon.net/maps/totk/tiles/sky/6/38_10.jpg",</v>
      </c>
      <c r="H1730" t="str">
        <f>QUOTIENT(ROW(A1730),48)+2&amp;"_"&amp;MOD(ROW(A1730),48)+8</f>
        <v>38_10</v>
      </c>
    </row>
    <row r="1731" spans="1:8" x14ac:dyDescent="0.2">
      <c r="A1731" s="9" t="s">
        <v>51</v>
      </c>
      <c r="C1731" t="str">
        <f>""""&amp;SUBSTITUTE(A1731,"zzz",H1731)&amp;""""&amp;","</f>
        <v>"https://www.zeldadungeon.net/maps/totk/tiles/sky/6/38_11.jpg",</v>
      </c>
      <c r="H1731" t="str">
        <f>QUOTIENT(ROW(A1731),48)+2&amp;"_"&amp;MOD(ROW(A1731),48)+8</f>
        <v>38_11</v>
      </c>
    </row>
    <row r="1732" spans="1:8" x14ac:dyDescent="0.2">
      <c r="A1732" s="9" t="s">
        <v>51</v>
      </c>
      <c r="C1732" t="str">
        <f>""""&amp;SUBSTITUTE(A1732,"zzz",H1732)&amp;""""&amp;","</f>
        <v>"https://www.zeldadungeon.net/maps/totk/tiles/sky/6/38_12.jpg",</v>
      </c>
      <c r="H1732" t="str">
        <f>QUOTIENT(ROW(A1732),48)+2&amp;"_"&amp;MOD(ROW(A1732),48)+8</f>
        <v>38_12</v>
      </c>
    </row>
    <row r="1733" spans="1:8" x14ac:dyDescent="0.2">
      <c r="A1733" s="9" t="s">
        <v>51</v>
      </c>
      <c r="C1733" t="str">
        <f>""""&amp;SUBSTITUTE(A1733,"zzz",H1733)&amp;""""&amp;","</f>
        <v>"https://www.zeldadungeon.net/maps/totk/tiles/sky/6/38_13.jpg",</v>
      </c>
      <c r="H1733" t="str">
        <f>QUOTIENT(ROW(A1733),48)+2&amp;"_"&amp;MOD(ROW(A1733),48)+8</f>
        <v>38_13</v>
      </c>
    </row>
    <row r="1734" spans="1:8" x14ac:dyDescent="0.2">
      <c r="A1734" s="9" t="s">
        <v>51</v>
      </c>
      <c r="C1734" t="str">
        <f>""""&amp;SUBSTITUTE(A1734,"zzz",H1734)&amp;""""&amp;","</f>
        <v>"https://www.zeldadungeon.net/maps/totk/tiles/sky/6/38_14.jpg",</v>
      </c>
      <c r="H1734" t="str">
        <f>QUOTIENT(ROW(A1734),48)+2&amp;"_"&amp;MOD(ROW(A1734),48)+8</f>
        <v>38_14</v>
      </c>
    </row>
    <row r="1735" spans="1:8" x14ac:dyDescent="0.2">
      <c r="A1735" s="9" t="s">
        <v>51</v>
      </c>
      <c r="C1735" t="str">
        <f>""""&amp;SUBSTITUTE(A1735,"zzz",H1735)&amp;""""&amp;","</f>
        <v>"https://www.zeldadungeon.net/maps/totk/tiles/sky/6/38_15.jpg",</v>
      </c>
      <c r="H1735" t="str">
        <f>QUOTIENT(ROW(A1735),48)+2&amp;"_"&amp;MOD(ROW(A1735),48)+8</f>
        <v>38_15</v>
      </c>
    </row>
    <row r="1736" spans="1:8" x14ac:dyDescent="0.2">
      <c r="A1736" s="9" t="s">
        <v>51</v>
      </c>
      <c r="C1736" t="str">
        <f>""""&amp;SUBSTITUTE(A1736,"zzz",H1736)&amp;""""&amp;","</f>
        <v>"https://www.zeldadungeon.net/maps/totk/tiles/sky/6/38_16.jpg",</v>
      </c>
      <c r="H1736" t="str">
        <f>QUOTIENT(ROW(A1736),48)+2&amp;"_"&amp;MOD(ROW(A1736),48)+8</f>
        <v>38_16</v>
      </c>
    </row>
    <row r="1737" spans="1:8" x14ac:dyDescent="0.2">
      <c r="A1737" s="9" t="s">
        <v>51</v>
      </c>
      <c r="C1737" t="str">
        <f>""""&amp;SUBSTITUTE(A1737,"zzz",H1737)&amp;""""&amp;","</f>
        <v>"https://www.zeldadungeon.net/maps/totk/tiles/sky/6/38_17.jpg",</v>
      </c>
      <c r="H1737" t="str">
        <f>QUOTIENT(ROW(A1737),48)+2&amp;"_"&amp;MOD(ROW(A1737),48)+8</f>
        <v>38_17</v>
      </c>
    </row>
    <row r="1738" spans="1:8" x14ac:dyDescent="0.2">
      <c r="A1738" s="9" t="s">
        <v>51</v>
      </c>
      <c r="C1738" t="str">
        <f>""""&amp;SUBSTITUTE(A1738,"zzz",H1738)&amp;""""&amp;","</f>
        <v>"https://www.zeldadungeon.net/maps/totk/tiles/sky/6/38_18.jpg",</v>
      </c>
      <c r="H1738" t="str">
        <f>QUOTIENT(ROW(A1738),48)+2&amp;"_"&amp;MOD(ROW(A1738),48)+8</f>
        <v>38_18</v>
      </c>
    </row>
    <row r="1739" spans="1:8" x14ac:dyDescent="0.2">
      <c r="A1739" s="9" t="s">
        <v>51</v>
      </c>
      <c r="C1739" t="str">
        <f>""""&amp;SUBSTITUTE(A1739,"zzz",H1739)&amp;""""&amp;","</f>
        <v>"https://www.zeldadungeon.net/maps/totk/tiles/sky/6/38_19.jpg",</v>
      </c>
      <c r="H1739" t="str">
        <f>QUOTIENT(ROW(A1739),48)+2&amp;"_"&amp;MOD(ROW(A1739),48)+8</f>
        <v>38_19</v>
      </c>
    </row>
    <row r="1740" spans="1:8" x14ac:dyDescent="0.2">
      <c r="A1740" s="9" t="s">
        <v>51</v>
      </c>
      <c r="C1740" t="str">
        <f>""""&amp;SUBSTITUTE(A1740,"zzz",H1740)&amp;""""&amp;","</f>
        <v>"https://www.zeldadungeon.net/maps/totk/tiles/sky/6/38_20.jpg",</v>
      </c>
      <c r="H1740" t="str">
        <f>QUOTIENT(ROW(A1740),48)+2&amp;"_"&amp;MOD(ROW(A1740),48)+8</f>
        <v>38_20</v>
      </c>
    </row>
    <row r="1741" spans="1:8" x14ac:dyDescent="0.2">
      <c r="A1741" s="9" t="s">
        <v>51</v>
      </c>
      <c r="C1741" t="str">
        <f>""""&amp;SUBSTITUTE(A1741,"zzz",H1741)&amp;""""&amp;","</f>
        <v>"https://www.zeldadungeon.net/maps/totk/tiles/sky/6/38_21.jpg",</v>
      </c>
      <c r="H1741" t="str">
        <f>QUOTIENT(ROW(A1741),48)+2&amp;"_"&amp;MOD(ROW(A1741),48)+8</f>
        <v>38_21</v>
      </c>
    </row>
    <row r="1742" spans="1:8" x14ac:dyDescent="0.2">
      <c r="A1742" s="9" t="s">
        <v>51</v>
      </c>
      <c r="C1742" t="str">
        <f>""""&amp;SUBSTITUTE(A1742,"zzz",H1742)&amp;""""&amp;","</f>
        <v>"https://www.zeldadungeon.net/maps/totk/tiles/sky/6/38_22.jpg",</v>
      </c>
      <c r="H1742" t="str">
        <f>QUOTIENT(ROW(A1742),48)+2&amp;"_"&amp;MOD(ROW(A1742),48)+8</f>
        <v>38_22</v>
      </c>
    </row>
    <row r="1743" spans="1:8" x14ac:dyDescent="0.2">
      <c r="A1743" s="9" t="s">
        <v>51</v>
      </c>
      <c r="C1743" t="str">
        <f>""""&amp;SUBSTITUTE(A1743,"zzz",H1743)&amp;""""&amp;","</f>
        <v>"https://www.zeldadungeon.net/maps/totk/tiles/sky/6/38_23.jpg",</v>
      </c>
      <c r="H1743" t="str">
        <f>QUOTIENT(ROW(A1743),48)+2&amp;"_"&amp;MOD(ROW(A1743),48)+8</f>
        <v>38_23</v>
      </c>
    </row>
    <row r="1744" spans="1:8" x14ac:dyDescent="0.2">
      <c r="A1744" s="9" t="s">
        <v>51</v>
      </c>
      <c r="C1744" t="str">
        <f>""""&amp;SUBSTITUTE(A1744,"zzz",H1744)&amp;""""&amp;","</f>
        <v>"https://www.zeldadungeon.net/maps/totk/tiles/sky/6/38_24.jpg",</v>
      </c>
      <c r="H1744" t="str">
        <f>QUOTIENT(ROW(A1744),48)+2&amp;"_"&amp;MOD(ROW(A1744),48)+8</f>
        <v>38_24</v>
      </c>
    </row>
    <row r="1745" spans="1:8" x14ac:dyDescent="0.2">
      <c r="A1745" s="9" t="s">
        <v>51</v>
      </c>
      <c r="C1745" t="str">
        <f>""""&amp;SUBSTITUTE(A1745,"zzz",H1745)&amp;""""&amp;","</f>
        <v>"https://www.zeldadungeon.net/maps/totk/tiles/sky/6/38_25.jpg",</v>
      </c>
      <c r="H1745" t="str">
        <f>QUOTIENT(ROW(A1745),48)+2&amp;"_"&amp;MOD(ROW(A1745),48)+8</f>
        <v>38_25</v>
      </c>
    </row>
    <row r="1746" spans="1:8" x14ac:dyDescent="0.2">
      <c r="A1746" s="9" t="s">
        <v>51</v>
      </c>
      <c r="C1746" t="str">
        <f>""""&amp;SUBSTITUTE(A1746,"zzz",H1746)&amp;""""&amp;","</f>
        <v>"https://www.zeldadungeon.net/maps/totk/tiles/sky/6/38_26.jpg",</v>
      </c>
      <c r="H1746" t="str">
        <f>QUOTIENT(ROW(A1746),48)+2&amp;"_"&amp;MOD(ROW(A1746),48)+8</f>
        <v>38_26</v>
      </c>
    </row>
    <row r="1747" spans="1:8" x14ac:dyDescent="0.2">
      <c r="A1747" s="9" t="s">
        <v>51</v>
      </c>
      <c r="C1747" t="str">
        <f>""""&amp;SUBSTITUTE(A1747,"zzz",H1747)&amp;""""&amp;","</f>
        <v>"https://www.zeldadungeon.net/maps/totk/tiles/sky/6/38_27.jpg",</v>
      </c>
      <c r="H1747" t="str">
        <f>QUOTIENT(ROW(A1747),48)+2&amp;"_"&amp;MOD(ROW(A1747),48)+8</f>
        <v>38_27</v>
      </c>
    </row>
    <row r="1748" spans="1:8" x14ac:dyDescent="0.2">
      <c r="A1748" s="9" t="s">
        <v>51</v>
      </c>
      <c r="C1748" t="str">
        <f>""""&amp;SUBSTITUTE(A1748,"zzz",H1748)&amp;""""&amp;","</f>
        <v>"https://www.zeldadungeon.net/maps/totk/tiles/sky/6/38_28.jpg",</v>
      </c>
      <c r="H1748" t="str">
        <f>QUOTIENT(ROW(A1748),48)+2&amp;"_"&amp;MOD(ROW(A1748),48)+8</f>
        <v>38_28</v>
      </c>
    </row>
    <row r="1749" spans="1:8" x14ac:dyDescent="0.2">
      <c r="A1749" s="9" t="s">
        <v>51</v>
      </c>
      <c r="C1749" t="str">
        <f>""""&amp;SUBSTITUTE(A1749,"zzz",H1749)&amp;""""&amp;","</f>
        <v>"https://www.zeldadungeon.net/maps/totk/tiles/sky/6/38_29.jpg",</v>
      </c>
      <c r="H1749" t="str">
        <f>QUOTIENT(ROW(A1749),48)+2&amp;"_"&amp;MOD(ROW(A1749),48)+8</f>
        <v>38_29</v>
      </c>
    </row>
    <row r="1750" spans="1:8" x14ac:dyDescent="0.2">
      <c r="A1750" s="9" t="s">
        <v>51</v>
      </c>
      <c r="C1750" t="str">
        <f>""""&amp;SUBSTITUTE(A1750,"zzz",H1750)&amp;""""&amp;","</f>
        <v>"https://www.zeldadungeon.net/maps/totk/tiles/sky/6/38_30.jpg",</v>
      </c>
      <c r="H1750" t="str">
        <f>QUOTIENT(ROW(A1750),48)+2&amp;"_"&amp;MOD(ROW(A1750),48)+8</f>
        <v>38_30</v>
      </c>
    </row>
    <row r="1751" spans="1:8" x14ac:dyDescent="0.2">
      <c r="A1751" s="9" t="s">
        <v>51</v>
      </c>
      <c r="C1751" t="str">
        <f>""""&amp;SUBSTITUTE(A1751,"zzz",H1751)&amp;""""&amp;","</f>
        <v>"https://www.zeldadungeon.net/maps/totk/tiles/sky/6/38_31.jpg",</v>
      </c>
      <c r="H1751" t="str">
        <f>QUOTIENT(ROW(A1751),48)+2&amp;"_"&amp;MOD(ROW(A1751),48)+8</f>
        <v>38_31</v>
      </c>
    </row>
    <row r="1752" spans="1:8" x14ac:dyDescent="0.2">
      <c r="A1752" s="9" t="s">
        <v>51</v>
      </c>
      <c r="C1752" t="str">
        <f>""""&amp;SUBSTITUTE(A1752,"zzz",H1752)&amp;""""&amp;","</f>
        <v>"https://www.zeldadungeon.net/maps/totk/tiles/sky/6/38_32.jpg",</v>
      </c>
      <c r="H1752" t="str">
        <f>QUOTIENT(ROW(A1752),48)+2&amp;"_"&amp;MOD(ROW(A1752),48)+8</f>
        <v>38_32</v>
      </c>
    </row>
    <row r="1753" spans="1:8" x14ac:dyDescent="0.2">
      <c r="A1753" s="9" t="s">
        <v>51</v>
      </c>
      <c r="C1753" t="str">
        <f>""""&amp;SUBSTITUTE(A1753,"zzz",H1753)&amp;""""&amp;","</f>
        <v>"https://www.zeldadungeon.net/maps/totk/tiles/sky/6/38_33.jpg",</v>
      </c>
      <c r="H1753" t="str">
        <f>QUOTIENT(ROW(A1753),48)+2&amp;"_"&amp;MOD(ROW(A1753),48)+8</f>
        <v>38_33</v>
      </c>
    </row>
    <row r="1754" spans="1:8" x14ac:dyDescent="0.2">
      <c r="A1754" s="9" t="s">
        <v>51</v>
      </c>
      <c r="C1754" t="str">
        <f>""""&amp;SUBSTITUTE(A1754,"zzz",H1754)&amp;""""&amp;","</f>
        <v>"https://www.zeldadungeon.net/maps/totk/tiles/sky/6/38_34.jpg",</v>
      </c>
      <c r="H1754" t="str">
        <f>QUOTIENT(ROW(A1754),48)+2&amp;"_"&amp;MOD(ROW(A1754),48)+8</f>
        <v>38_34</v>
      </c>
    </row>
    <row r="1755" spans="1:8" x14ac:dyDescent="0.2">
      <c r="A1755" s="9" t="s">
        <v>51</v>
      </c>
      <c r="C1755" t="str">
        <f>""""&amp;SUBSTITUTE(A1755,"zzz",H1755)&amp;""""&amp;","</f>
        <v>"https://www.zeldadungeon.net/maps/totk/tiles/sky/6/38_35.jpg",</v>
      </c>
      <c r="H1755" t="str">
        <f>QUOTIENT(ROW(A1755),48)+2&amp;"_"&amp;MOD(ROW(A1755),48)+8</f>
        <v>38_35</v>
      </c>
    </row>
    <row r="1756" spans="1:8" x14ac:dyDescent="0.2">
      <c r="A1756" s="9" t="s">
        <v>51</v>
      </c>
      <c r="C1756" t="str">
        <f>""""&amp;SUBSTITUTE(A1756,"zzz",H1756)&amp;""""&amp;","</f>
        <v>"https://www.zeldadungeon.net/maps/totk/tiles/sky/6/38_36.jpg",</v>
      </c>
      <c r="H1756" t="str">
        <f>QUOTIENT(ROW(A1756),48)+2&amp;"_"&amp;MOD(ROW(A1756),48)+8</f>
        <v>38_36</v>
      </c>
    </row>
    <row r="1757" spans="1:8" x14ac:dyDescent="0.2">
      <c r="A1757" s="9" t="s">
        <v>51</v>
      </c>
      <c r="C1757" t="str">
        <f>""""&amp;SUBSTITUTE(A1757,"zzz",H1757)&amp;""""&amp;","</f>
        <v>"https://www.zeldadungeon.net/maps/totk/tiles/sky/6/38_37.jpg",</v>
      </c>
      <c r="H1757" t="str">
        <f>QUOTIENT(ROW(A1757),48)+2&amp;"_"&amp;MOD(ROW(A1757),48)+8</f>
        <v>38_37</v>
      </c>
    </row>
    <row r="1758" spans="1:8" x14ac:dyDescent="0.2">
      <c r="A1758" s="9" t="s">
        <v>51</v>
      </c>
      <c r="C1758" t="str">
        <f>""""&amp;SUBSTITUTE(A1758,"zzz",H1758)&amp;""""&amp;","</f>
        <v>"https://www.zeldadungeon.net/maps/totk/tiles/sky/6/38_38.jpg",</v>
      </c>
      <c r="H1758" t="str">
        <f>QUOTIENT(ROW(A1758),48)+2&amp;"_"&amp;MOD(ROW(A1758),48)+8</f>
        <v>38_38</v>
      </c>
    </row>
    <row r="1759" spans="1:8" x14ac:dyDescent="0.2">
      <c r="A1759" s="9" t="s">
        <v>51</v>
      </c>
      <c r="C1759" t="str">
        <f>""""&amp;SUBSTITUTE(A1759,"zzz",H1759)&amp;""""&amp;","</f>
        <v>"https://www.zeldadungeon.net/maps/totk/tiles/sky/6/38_39.jpg",</v>
      </c>
      <c r="H1759" t="str">
        <f>QUOTIENT(ROW(A1759),48)+2&amp;"_"&amp;MOD(ROW(A1759),48)+8</f>
        <v>38_39</v>
      </c>
    </row>
    <row r="1760" spans="1:8" x14ac:dyDescent="0.2">
      <c r="A1760" s="9" t="s">
        <v>51</v>
      </c>
      <c r="C1760" t="str">
        <f>""""&amp;SUBSTITUTE(A1760,"zzz",H1760)&amp;""""&amp;","</f>
        <v>"https://www.zeldadungeon.net/maps/totk/tiles/sky/6/38_40.jpg",</v>
      </c>
      <c r="H1760" t="str">
        <f>QUOTIENT(ROW(A1760),48)+2&amp;"_"&amp;MOD(ROW(A1760),48)+8</f>
        <v>38_40</v>
      </c>
    </row>
    <row r="1761" spans="1:8" x14ac:dyDescent="0.2">
      <c r="A1761" s="9" t="s">
        <v>51</v>
      </c>
      <c r="C1761" t="str">
        <f>""""&amp;SUBSTITUTE(A1761,"zzz",H1761)&amp;""""&amp;","</f>
        <v>"https://www.zeldadungeon.net/maps/totk/tiles/sky/6/38_41.jpg",</v>
      </c>
      <c r="H1761" t="str">
        <f>QUOTIENT(ROW(A1761),48)+2&amp;"_"&amp;MOD(ROW(A1761),48)+8</f>
        <v>38_41</v>
      </c>
    </row>
    <row r="1762" spans="1:8" x14ac:dyDescent="0.2">
      <c r="A1762" s="9" t="s">
        <v>51</v>
      </c>
      <c r="C1762" t="str">
        <f>""""&amp;SUBSTITUTE(A1762,"zzz",H1762)&amp;""""&amp;","</f>
        <v>"https://www.zeldadungeon.net/maps/totk/tiles/sky/6/38_42.jpg",</v>
      </c>
      <c r="H1762" t="str">
        <f>QUOTIENT(ROW(A1762),48)+2&amp;"_"&amp;MOD(ROW(A1762),48)+8</f>
        <v>38_42</v>
      </c>
    </row>
    <row r="1763" spans="1:8" x14ac:dyDescent="0.2">
      <c r="A1763" s="9" t="s">
        <v>51</v>
      </c>
      <c r="C1763" t="str">
        <f>""""&amp;SUBSTITUTE(A1763,"zzz",H1763)&amp;""""&amp;","</f>
        <v>"https://www.zeldadungeon.net/maps/totk/tiles/sky/6/38_43.jpg",</v>
      </c>
      <c r="H1763" t="str">
        <f>QUOTIENT(ROW(A1763),48)+2&amp;"_"&amp;MOD(ROW(A1763),48)+8</f>
        <v>38_43</v>
      </c>
    </row>
    <row r="1764" spans="1:8" x14ac:dyDescent="0.2">
      <c r="A1764" s="9" t="s">
        <v>51</v>
      </c>
      <c r="C1764" t="str">
        <f>""""&amp;SUBSTITUTE(A1764,"zzz",H1764)&amp;""""&amp;","</f>
        <v>"https://www.zeldadungeon.net/maps/totk/tiles/sky/6/38_44.jpg",</v>
      </c>
      <c r="H1764" t="str">
        <f>QUOTIENT(ROW(A1764),48)+2&amp;"_"&amp;MOD(ROW(A1764),48)+8</f>
        <v>38_44</v>
      </c>
    </row>
    <row r="1765" spans="1:8" x14ac:dyDescent="0.2">
      <c r="A1765" s="9" t="s">
        <v>51</v>
      </c>
      <c r="C1765" t="str">
        <f>""""&amp;SUBSTITUTE(A1765,"zzz",H1765)&amp;""""&amp;","</f>
        <v>"https://www.zeldadungeon.net/maps/totk/tiles/sky/6/38_45.jpg",</v>
      </c>
      <c r="H1765" t="str">
        <f>QUOTIENT(ROW(A1765),48)+2&amp;"_"&amp;MOD(ROW(A1765),48)+8</f>
        <v>38_45</v>
      </c>
    </row>
    <row r="1766" spans="1:8" x14ac:dyDescent="0.2">
      <c r="A1766" s="9" t="s">
        <v>51</v>
      </c>
      <c r="C1766" t="str">
        <f>""""&amp;SUBSTITUTE(A1766,"zzz",H1766)&amp;""""&amp;","</f>
        <v>"https://www.zeldadungeon.net/maps/totk/tiles/sky/6/38_46.jpg",</v>
      </c>
      <c r="H1766" t="str">
        <f>QUOTIENT(ROW(A1766),48)+2&amp;"_"&amp;MOD(ROW(A1766),48)+8</f>
        <v>38_46</v>
      </c>
    </row>
    <row r="1767" spans="1:8" x14ac:dyDescent="0.2">
      <c r="A1767" s="9" t="s">
        <v>51</v>
      </c>
      <c r="C1767" t="str">
        <f>""""&amp;SUBSTITUTE(A1767,"zzz",H1767)&amp;""""&amp;","</f>
        <v>"https://www.zeldadungeon.net/maps/totk/tiles/sky/6/38_47.jpg",</v>
      </c>
      <c r="H1767" t="str">
        <f>QUOTIENT(ROW(A1767),48)+2&amp;"_"&amp;MOD(ROW(A1767),48)+8</f>
        <v>38_47</v>
      </c>
    </row>
    <row r="1768" spans="1:8" x14ac:dyDescent="0.2">
      <c r="A1768" s="9" t="s">
        <v>51</v>
      </c>
      <c r="C1768" t="str">
        <f>""""&amp;SUBSTITUTE(A1768,"zzz",H1768)&amp;""""&amp;","</f>
        <v>"https://www.zeldadungeon.net/maps/totk/tiles/sky/6/38_48.jpg",</v>
      </c>
      <c r="H1768" t="str">
        <f>QUOTIENT(ROW(A1768),48)+2&amp;"_"&amp;MOD(ROW(A1768),48)+8</f>
        <v>38_48</v>
      </c>
    </row>
    <row r="1769" spans="1:8" x14ac:dyDescent="0.2">
      <c r="A1769" s="9" t="s">
        <v>51</v>
      </c>
      <c r="C1769" t="str">
        <f>""""&amp;SUBSTITUTE(A1769,"zzz",H1769)&amp;""""&amp;","</f>
        <v>"https://www.zeldadungeon.net/maps/totk/tiles/sky/6/38_49.jpg",</v>
      </c>
      <c r="H1769" t="str">
        <f>QUOTIENT(ROW(A1769),48)+2&amp;"_"&amp;MOD(ROW(A1769),48)+8</f>
        <v>38_49</v>
      </c>
    </row>
    <row r="1770" spans="1:8" x14ac:dyDescent="0.2">
      <c r="A1770" s="9" t="s">
        <v>51</v>
      </c>
      <c r="C1770" t="str">
        <f>""""&amp;SUBSTITUTE(A1770,"zzz",H1770)&amp;""""&amp;","</f>
        <v>"https://www.zeldadungeon.net/maps/totk/tiles/sky/6/38_50.jpg",</v>
      </c>
      <c r="H1770" t="str">
        <f>QUOTIENT(ROW(A1770),48)+2&amp;"_"&amp;MOD(ROW(A1770),48)+8</f>
        <v>38_50</v>
      </c>
    </row>
    <row r="1771" spans="1:8" x14ac:dyDescent="0.2">
      <c r="A1771" s="9" t="s">
        <v>51</v>
      </c>
      <c r="C1771" t="str">
        <f>""""&amp;SUBSTITUTE(A1771,"zzz",H1771)&amp;""""&amp;","</f>
        <v>"https://www.zeldadungeon.net/maps/totk/tiles/sky/6/38_51.jpg",</v>
      </c>
      <c r="H1771" t="str">
        <f>QUOTIENT(ROW(A1771),48)+2&amp;"_"&amp;MOD(ROW(A1771),48)+8</f>
        <v>38_51</v>
      </c>
    </row>
    <row r="1772" spans="1:8" x14ac:dyDescent="0.2">
      <c r="A1772" s="9" t="s">
        <v>51</v>
      </c>
      <c r="C1772" t="str">
        <f>""""&amp;SUBSTITUTE(A1772,"zzz",H1772)&amp;""""&amp;","</f>
        <v>"https://www.zeldadungeon.net/maps/totk/tiles/sky/6/38_52.jpg",</v>
      </c>
      <c r="H1772" t="str">
        <f>QUOTIENT(ROW(A1772),48)+2&amp;"_"&amp;MOD(ROW(A1772),48)+8</f>
        <v>38_52</v>
      </c>
    </row>
    <row r="1773" spans="1:8" x14ac:dyDescent="0.2">
      <c r="A1773" s="9" t="s">
        <v>51</v>
      </c>
      <c r="C1773" t="str">
        <f>""""&amp;SUBSTITUTE(A1773,"zzz",H1773)&amp;""""&amp;","</f>
        <v>"https://www.zeldadungeon.net/maps/totk/tiles/sky/6/38_53.jpg",</v>
      </c>
      <c r="H1773" t="str">
        <f>QUOTIENT(ROW(A1773),48)+2&amp;"_"&amp;MOD(ROW(A1773),48)+8</f>
        <v>38_53</v>
      </c>
    </row>
    <row r="1774" spans="1:8" x14ac:dyDescent="0.2">
      <c r="A1774" s="9" t="s">
        <v>51</v>
      </c>
      <c r="C1774" t="str">
        <f>""""&amp;SUBSTITUTE(A1774,"zzz",H1774)&amp;""""&amp;","</f>
        <v>"https://www.zeldadungeon.net/maps/totk/tiles/sky/6/38_54.jpg",</v>
      </c>
      <c r="H1774" t="str">
        <f>QUOTIENT(ROW(A1774),48)+2&amp;"_"&amp;MOD(ROW(A1774),48)+8</f>
        <v>38_54</v>
      </c>
    </row>
    <row r="1775" spans="1:8" x14ac:dyDescent="0.2">
      <c r="A1775" s="9" t="s">
        <v>51</v>
      </c>
      <c r="C1775" t="str">
        <f>""""&amp;SUBSTITUTE(A1775,"zzz",H1775)&amp;""""&amp;","</f>
        <v>"https://www.zeldadungeon.net/maps/totk/tiles/sky/6/38_55.jpg",</v>
      </c>
      <c r="H1775" t="str">
        <f>QUOTIENT(ROW(A1775),48)+2&amp;"_"&amp;MOD(ROW(A1775),48)+8</f>
        <v>38_55</v>
      </c>
    </row>
    <row r="1776" spans="1:8" x14ac:dyDescent="0.2">
      <c r="A1776" s="9" t="s">
        <v>51</v>
      </c>
      <c r="C1776" t="str">
        <f>""""&amp;SUBSTITUTE(A1776,"zzz",H1776)&amp;""""&amp;","</f>
        <v>"https://www.zeldadungeon.net/maps/totk/tiles/sky/6/39_8.jpg",</v>
      </c>
      <c r="H1776" t="str">
        <f>QUOTIENT(ROW(A1776),48)+2&amp;"_"&amp;MOD(ROW(A1776),48)+8</f>
        <v>39_8</v>
      </c>
    </row>
    <row r="1777" spans="1:8" x14ac:dyDescent="0.2">
      <c r="A1777" s="9" t="s">
        <v>51</v>
      </c>
      <c r="C1777" t="str">
        <f>""""&amp;SUBSTITUTE(A1777,"zzz",H1777)&amp;""""&amp;","</f>
        <v>"https://www.zeldadungeon.net/maps/totk/tiles/sky/6/39_9.jpg",</v>
      </c>
      <c r="H1777" t="str">
        <f>QUOTIENT(ROW(A1777),48)+2&amp;"_"&amp;MOD(ROW(A1777),48)+8</f>
        <v>39_9</v>
      </c>
    </row>
    <row r="1778" spans="1:8" x14ac:dyDescent="0.2">
      <c r="A1778" s="9" t="s">
        <v>51</v>
      </c>
      <c r="C1778" t="str">
        <f>""""&amp;SUBSTITUTE(A1778,"zzz",H1778)&amp;""""&amp;","</f>
        <v>"https://www.zeldadungeon.net/maps/totk/tiles/sky/6/39_10.jpg",</v>
      </c>
      <c r="H1778" t="str">
        <f>QUOTIENT(ROW(A1778),48)+2&amp;"_"&amp;MOD(ROW(A1778),48)+8</f>
        <v>39_10</v>
      </c>
    </row>
    <row r="1779" spans="1:8" x14ac:dyDescent="0.2">
      <c r="A1779" s="9" t="s">
        <v>51</v>
      </c>
      <c r="C1779" t="str">
        <f>""""&amp;SUBSTITUTE(A1779,"zzz",H1779)&amp;""""&amp;","</f>
        <v>"https://www.zeldadungeon.net/maps/totk/tiles/sky/6/39_11.jpg",</v>
      </c>
      <c r="H1779" t="str">
        <f>QUOTIENT(ROW(A1779),48)+2&amp;"_"&amp;MOD(ROW(A1779),48)+8</f>
        <v>39_11</v>
      </c>
    </row>
    <row r="1780" spans="1:8" x14ac:dyDescent="0.2">
      <c r="A1780" s="9" t="s">
        <v>51</v>
      </c>
      <c r="C1780" t="str">
        <f>""""&amp;SUBSTITUTE(A1780,"zzz",H1780)&amp;""""&amp;","</f>
        <v>"https://www.zeldadungeon.net/maps/totk/tiles/sky/6/39_12.jpg",</v>
      </c>
      <c r="H1780" t="str">
        <f>QUOTIENT(ROW(A1780),48)+2&amp;"_"&amp;MOD(ROW(A1780),48)+8</f>
        <v>39_12</v>
      </c>
    </row>
    <row r="1781" spans="1:8" x14ac:dyDescent="0.2">
      <c r="A1781" s="9" t="s">
        <v>51</v>
      </c>
      <c r="C1781" t="str">
        <f>""""&amp;SUBSTITUTE(A1781,"zzz",H1781)&amp;""""&amp;","</f>
        <v>"https://www.zeldadungeon.net/maps/totk/tiles/sky/6/39_13.jpg",</v>
      </c>
      <c r="H1781" t="str">
        <f>QUOTIENT(ROW(A1781),48)+2&amp;"_"&amp;MOD(ROW(A1781),48)+8</f>
        <v>39_13</v>
      </c>
    </row>
    <row r="1782" spans="1:8" x14ac:dyDescent="0.2">
      <c r="A1782" s="9" t="s">
        <v>51</v>
      </c>
      <c r="C1782" t="str">
        <f>""""&amp;SUBSTITUTE(A1782,"zzz",H1782)&amp;""""&amp;","</f>
        <v>"https://www.zeldadungeon.net/maps/totk/tiles/sky/6/39_14.jpg",</v>
      </c>
      <c r="H1782" t="str">
        <f>QUOTIENT(ROW(A1782),48)+2&amp;"_"&amp;MOD(ROW(A1782),48)+8</f>
        <v>39_14</v>
      </c>
    </row>
    <row r="1783" spans="1:8" x14ac:dyDescent="0.2">
      <c r="A1783" s="9" t="s">
        <v>51</v>
      </c>
      <c r="C1783" t="str">
        <f>""""&amp;SUBSTITUTE(A1783,"zzz",H1783)&amp;""""&amp;","</f>
        <v>"https://www.zeldadungeon.net/maps/totk/tiles/sky/6/39_15.jpg",</v>
      </c>
      <c r="H1783" t="str">
        <f>QUOTIENT(ROW(A1783),48)+2&amp;"_"&amp;MOD(ROW(A1783),48)+8</f>
        <v>39_15</v>
      </c>
    </row>
    <row r="1784" spans="1:8" x14ac:dyDescent="0.2">
      <c r="A1784" s="9" t="s">
        <v>51</v>
      </c>
      <c r="C1784" t="str">
        <f>""""&amp;SUBSTITUTE(A1784,"zzz",H1784)&amp;""""&amp;","</f>
        <v>"https://www.zeldadungeon.net/maps/totk/tiles/sky/6/39_16.jpg",</v>
      </c>
      <c r="H1784" t="str">
        <f>QUOTIENT(ROW(A1784),48)+2&amp;"_"&amp;MOD(ROW(A1784),48)+8</f>
        <v>39_16</v>
      </c>
    </row>
    <row r="1785" spans="1:8" x14ac:dyDescent="0.2">
      <c r="A1785" s="9" t="s">
        <v>51</v>
      </c>
      <c r="C1785" t="str">
        <f>""""&amp;SUBSTITUTE(A1785,"zzz",H1785)&amp;""""&amp;","</f>
        <v>"https://www.zeldadungeon.net/maps/totk/tiles/sky/6/39_17.jpg",</v>
      </c>
      <c r="H1785" t="str">
        <f>QUOTIENT(ROW(A1785),48)+2&amp;"_"&amp;MOD(ROW(A1785),48)+8</f>
        <v>39_17</v>
      </c>
    </row>
    <row r="1786" spans="1:8" x14ac:dyDescent="0.2">
      <c r="A1786" s="9" t="s">
        <v>51</v>
      </c>
      <c r="C1786" t="str">
        <f>""""&amp;SUBSTITUTE(A1786,"zzz",H1786)&amp;""""&amp;","</f>
        <v>"https://www.zeldadungeon.net/maps/totk/tiles/sky/6/39_18.jpg",</v>
      </c>
      <c r="H1786" t="str">
        <f>QUOTIENT(ROW(A1786),48)+2&amp;"_"&amp;MOD(ROW(A1786),48)+8</f>
        <v>39_18</v>
      </c>
    </row>
    <row r="1787" spans="1:8" x14ac:dyDescent="0.2">
      <c r="A1787" s="9" t="s">
        <v>51</v>
      </c>
      <c r="C1787" t="str">
        <f>""""&amp;SUBSTITUTE(A1787,"zzz",H1787)&amp;""""&amp;","</f>
        <v>"https://www.zeldadungeon.net/maps/totk/tiles/sky/6/39_19.jpg",</v>
      </c>
      <c r="H1787" t="str">
        <f>QUOTIENT(ROW(A1787),48)+2&amp;"_"&amp;MOD(ROW(A1787),48)+8</f>
        <v>39_19</v>
      </c>
    </row>
    <row r="1788" spans="1:8" x14ac:dyDescent="0.2">
      <c r="A1788" s="9" t="s">
        <v>51</v>
      </c>
      <c r="C1788" t="str">
        <f>""""&amp;SUBSTITUTE(A1788,"zzz",H1788)&amp;""""&amp;","</f>
        <v>"https://www.zeldadungeon.net/maps/totk/tiles/sky/6/39_20.jpg",</v>
      </c>
      <c r="H1788" t="str">
        <f>QUOTIENT(ROW(A1788),48)+2&amp;"_"&amp;MOD(ROW(A1788),48)+8</f>
        <v>39_20</v>
      </c>
    </row>
    <row r="1789" spans="1:8" x14ac:dyDescent="0.2">
      <c r="A1789" s="9" t="s">
        <v>51</v>
      </c>
      <c r="C1789" t="str">
        <f>""""&amp;SUBSTITUTE(A1789,"zzz",H1789)&amp;""""&amp;","</f>
        <v>"https://www.zeldadungeon.net/maps/totk/tiles/sky/6/39_21.jpg",</v>
      </c>
      <c r="H1789" t="str">
        <f>QUOTIENT(ROW(A1789),48)+2&amp;"_"&amp;MOD(ROW(A1789),48)+8</f>
        <v>39_21</v>
      </c>
    </row>
    <row r="1790" spans="1:8" x14ac:dyDescent="0.2">
      <c r="A1790" s="9" t="s">
        <v>51</v>
      </c>
      <c r="C1790" t="str">
        <f>""""&amp;SUBSTITUTE(A1790,"zzz",H1790)&amp;""""&amp;","</f>
        <v>"https://www.zeldadungeon.net/maps/totk/tiles/sky/6/39_22.jpg",</v>
      </c>
      <c r="H1790" t="str">
        <f>QUOTIENT(ROW(A1790),48)+2&amp;"_"&amp;MOD(ROW(A1790),48)+8</f>
        <v>39_22</v>
      </c>
    </row>
    <row r="1791" spans="1:8" x14ac:dyDescent="0.2">
      <c r="A1791" s="9" t="s">
        <v>51</v>
      </c>
      <c r="C1791" t="str">
        <f>""""&amp;SUBSTITUTE(A1791,"zzz",H1791)&amp;""""&amp;","</f>
        <v>"https://www.zeldadungeon.net/maps/totk/tiles/sky/6/39_23.jpg",</v>
      </c>
      <c r="H1791" t="str">
        <f>QUOTIENT(ROW(A1791),48)+2&amp;"_"&amp;MOD(ROW(A1791),48)+8</f>
        <v>39_23</v>
      </c>
    </row>
    <row r="1792" spans="1:8" x14ac:dyDescent="0.2">
      <c r="A1792" s="9" t="s">
        <v>51</v>
      </c>
      <c r="C1792" t="str">
        <f>""""&amp;SUBSTITUTE(A1792,"zzz",H1792)&amp;""""&amp;","</f>
        <v>"https://www.zeldadungeon.net/maps/totk/tiles/sky/6/39_24.jpg",</v>
      </c>
      <c r="H1792" t="str">
        <f>QUOTIENT(ROW(A1792),48)+2&amp;"_"&amp;MOD(ROW(A1792),48)+8</f>
        <v>39_24</v>
      </c>
    </row>
    <row r="1793" spans="1:8" x14ac:dyDescent="0.2">
      <c r="A1793" s="9" t="s">
        <v>51</v>
      </c>
      <c r="C1793" t="str">
        <f>""""&amp;SUBSTITUTE(A1793,"zzz",H1793)&amp;""""&amp;","</f>
        <v>"https://www.zeldadungeon.net/maps/totk/tiles/sky/6/39_25.jpg",</v>
      </c>
      <c r="H1793" t="str">
        <f>QUOTIENT(ROW(A1793),48)+2&amp;"_"&amp;MOD(ROW(A1793),48)+8</f>
        <v>39_25</v>
      </c>
    </row>
    <row r="1794" spans="1:8" x14ac:dyDescent="0.2">
      <c r="A1794" s="9" t="s">
        <v>51</v>
      </c>
      <c r="C1794" t="str">
        <f>""""&amp;SUBSTITUTE(A1794,"zzz",H1794)&amp;""""&amp;","</f>
        <v>"https://www.zeldadungeon.net/maps/totk/tiles/sky/6/39_26.jpg",</v>
      </c>
      <c r="H1794" t="str">
        <f>QUOTIENT(ROW(A1794),48)+2&amp;"_"&amp;MOD(ROW(A1794),48)+8</f>
        <v>39_26</v>
      </c>
    </row>
    <row r="1795" spans="1:8" x14ac:dyDescent="0.2">
      <c r="A1795" s="9" t="s">
        <v>51</v>
      </c>
      <c r="C1795" t="str">
        <f>""""&amp;SUBSTITUTE(A1795,"zzz",H1795)&amp;""""&amp;","</f>
        <v>"https://www.zeldadungeon.net/maps/totk/tiles/sky/6/39_27.jpg",</v>
      </c>
      <c r="H1795" t="str">
        <f>QUOTIENT(ROW(A1795),48)+2&amp;"_"&amp;MOD(ROW(A1795),48)+8</f>
        <v>39_27</v>
      </c>
    </row>
    <row r="1796" spans="1:8" x14ac:dyDescent="0.2">
      <c r="A1796" s="9" t="s">
        <v>51</v>
      </c>
      <c r="C1796" t="str">
        <f>""""&amp;SUBSTITUTE(A1796,"zzz",H1796)&amp;""""&amp;","</f>
        <v>"https://www.zeldadungeon.net/maps/totk/tiles/sky/6/39_28.jpg",</v>
      </c>
      <c r="H1796" t="str">
        <f>QUOTIENT(ROW(A1796),48)+2&amp;"_"&amp;MOD(ROW(A1796),48)+8</f>
        <v>39_28</v>
      </c>
    </row>
    <row r="1797" spans="1:8" x14ac:dyDescent="0.2">
      <c r="A1797" s="9" t="s">
        <v>51</v>
      </c>
      <c r="C1797" t="str">
        <f>""""&amp;SUBSTITUTE(A1797,"zzz",H1797)&amp;""""&amp;","</f>
        <v>"https://www.zeldadungeon.net/maps/totk/tiles/sky/6/39_29.jpg",</v>
      </c>
      <c r="H1797" t="str">
        <f>QUOTIENT(ROW(A1797),48)+2&amp;"_"&amp;MOD(ROW(A1797),48)+8</f>
        <v>39_29</v>
      </c>
    </row>
    <row r="1798" spans="1:8" x14ac:dyDescent="0.2">
      <c r="A1798" s="9" t="s">
        <v>51</v>
      </c>
      <c r="C1798" t="str">
        <f>""""&amp;SUBSTITUTE(A1798,"zzz",H1798)&amp;""""&amp;","</f>
        <v>"https://www.zeldadungeon.net/maps/totk/tiles/sky/6/39_30.jpg",</v>
      </c>
      <c r="H1798" t="str">
        <f>QUOTIENT(ROW(A1798),48)+2&amp;"_"&amp;MOD(ROW(A1798),48)+8</f>
        <v>39_30</v>
      </c>
    </row>
    <row r="1799" spans="1:8" x14ac:dyDescent="0.2">
      <c r="A1799" s="9" t="s">
        <v>51</v>
      </c>
      <c r="C1799" t="str">
        <f>""""&amp;SUBSTITUTE(A1799,"zzz",H1799)&amp;""""&amp;","</f>
        <v>"https://www.zeldadungeon.net/maps/totk/tiles/sky/6/39_31.jpg",</v>
      </c>
      <c r="H1799" t="str">
        <f>QUOTIENT(ROW(A1799),48)+2&amp;"_"&amp;MOD(ROW(A1799),48)+8</f>
        <v>39_31</v>
      </c>
    </row>
    <row r="1800" spans="1:8" x14ac:dyDescent="0.2">
      <c r="A1800" s="9" t="s">
        <v>51</v>
      </c>
      <c r="C1800" t="str">
        <f>""""&amp;SUBSTITUTE(A1800,"zzz",H1800)&amp;""""&amp;","</f>
        <v>"https://www.zeldadungeon.net/maps/totk/tiles/sky/6/39_32.jpg",</v>
      </c>
      <c r="H1800" t="str">
        <f>QUOTIENT(ROW(A1800),48)+2&amp;"_"&amp;MOD(ROW(A1800),48)+8</f>
        <v>39_32</v>
      </c>
    </row>
    <row r="1801" spans="1:8" x14ac:dyDescent="0.2">
      <c r="A1801" s="9" t="s">
        <v>51</v>
      </c>
      <c r="C1801" t="str">
        <f>""""&amp;SUBSTITUTE(A1801,"zzz",H1801)&amp;""""&amp;","</f>
        <v>"https://www.zeldadungeon.net/maps/totk/tiles/sky/6/39_33.jpg",</v>
      </c>
      <c r="H1801" t="str">
        <f>QUOTIENT(ROW(A1801),48)+2&amp;"_"&amp;MOD(ROW(A1801),48)+8</f>
        <v>39_33</v>
      </c>
    </row>
    <row r="1802" spans="1:8" x14ac:dyDescent="0.2">
      <c r="A1802" s="9" t="s">
        <v>51</v>
      </c>
      <c r="C1802" t="str">
        <f>""""&amp;SUBSTITUTE(A1802,"zzz",H1802)&amp;""""&amp;","</f>
        <v>"https://www.zeldadungeon.net/maps/totk/tiles/sky/6/39_34.jpg",</v>
      </c>
      <c r="H1802" t="str">
        <f>QUOTIENT(ROW(A1802),48)+2&amp;"_"&amp;MOD(ROW(A1802),48)+8</f>
        <v>39_34</v>
      </c>
    </row>
    <row r="1803" spans="1:8" x14ac:dyDescent="0.2">
      <c r="A1803" s="9" t="s">
        <v>51</v>
      </c>
      <c r="C1803" t="str">
        <f>""""&amp;SUBSTITUTE(A1803,"zzz",H1803)&amp;""""&amp;","</f>
        <v>"https://www.zeldadungeon.net/maps/totk/tiles/sky/6/39_35.jpg",</v>
      </c>
      <c r="H1803" t="str">
        <f>QUOTIENT(ROW(A1803),48)+2&amp;"_"&amp;MOD(ROW(A1803),48)+8</f>
        <v>39_35</v>
      </c>
    </row>
    <row r="1804" spans="1:8" x14ac:dyDescent="0.2">
      <c r="A1804" s="9" t="s">
        <v>51</v>
      </c>
      <c r="C1804" t="str">
        <f>""""&amp;SUBSTITUTE(A1804,"zzz",H1804)&amp;""""&amp;","</f>
        <v>"https://www.zeldadungeon.net/maps/totk/tiles/sky/6/39_36.jpg",</v>
      </c>
      <c r="H1804" t="str">
        <f>QUOTIENT(ROW(A1804),48)+2&amp;"_"&amp;MOD(ROW(A1804),48)+8</f>
        <v>39_36</v>
      </c>
    </row>
    <row r="1805" spans="1:8" x14ac:dyDescent="0.2">
      <c r="A1805" s="9" t="s">
        <v>51</v>
      </c>
      <c r="C1805" t="str">
        <f>""""&amp;SUBSTITUTE(A1805,"zzz",H1805)&amp;""""&amp;","</f>
        <v>"https://www.zeldadungeon.net/maps/totk/tiles/sky/6/39_37.jpg",</v>
      </c>
      <c r="H1805" t="str">
        <f>QUOTIENT(ROW(A1805),48)+2&amp;"_"&amp;MOD(ROW(A1805),48)+8</f>
        <v>39_37</v>
      </c>
    </row>
    <row r="1806" spans="1:8" x14ac:dyDescent="0.2">
      <c r="A1806" s="9" t="s">
        <v>51</v>
      </c>
      <c r="C1806" t="str">
        <f>""""&amp;SUBSTITUTE(A1806,"zzz",H1806)&amp;""""&amp;","</f>
        <v>"https://www.zeldadungeon.net/maps/totk/tiles/sky/6/39_38.jpg",</v>
      </c>
      <c r="H1806" t="str">
        <f>QUOTIENT(ROW(A1806),48)+2&amp;"_"&amp;MOD(ROW(A1806),48)+8</f>
        <v>39_38</v>
      </c>
    </row>
    <row r="1807" spans="1:8" x14ac:dyDescent="0.2">
      <c r="A1807" s="9" t="s">
        <v>51</v>
      </c>
      <c r="C1807" t="str">
        <f>""""&amp;SUBSTITUTE(A1807,"zzz",H1807)&amp;""""&amp;","</f>
        <v>"https://www.zeldadungeon.net/maps/totk/tiles/sky/6/39_39.jpg",</v>
      </c>
      <c r="H1807" t="str">
        <f>QUOTIENT(ROW(A1807),48)+2&amp;"_"&amp;MOD(ROW(A1807),48)+8</f>
        <v>39_39</v>
      </c>
    </row>
    <row r="1808" spans="1:8" x14ac:dyDescent="0.2">
      <c r="A1808" s="9" t="s">
        <v>51</v>
      </c>
      <c r="C1808" t="str">
        <f>""""&amp;SUBSTITUTE(A1808,"zzz",H1808)&amp;""""&amp;","</f>
        <v>"https://www.zeldadungeon.net/maps/totk/tiles/sky/6/39_40.jpg",</v>
      </c>
      <c r="H1808" t="str">
        <f>QUOTIENT(ROW(A1808),48)+2&amp;"_"&amp;MOD(ROW(A1808),48)+8</f>
        <v>39_40</v>
      </c>
    </row>
    <row r="1809" spans="1:8" x14ac:dyDescent="0.2">
      <c r="A1809" s="9" t="s">
        <v>51</v>
      </c>
      <c r="C1809" t="str">
        <f>""""&amp;SUBSTITUTE(A1809,"zzz",H1809)&amp;""""&amp;","</f>
        <v>"https://www.zeldadungeon.net/maps/totk/tiles/sky/6/39_41.jpg",</v>
      </c>
      <c r="H1809" t="str">
        <f>QUOTIENT(ROW(A1809),48)+2&amp;"_"&amp;MOD(ROW(A1809),48)+8</f>
        <v>39_41</v>
      </c>
    </row>
    <row r="1810" spans="1:8" x14ac:dyDescent="0.2">
      <c r="A1810" s="9" t="s">
        <v>51</v>
      </c>
      <c r="C1810" t="str">
        <f>""""&amp;SUBSTITUTE(A1810,"zzz",H1810)&amp;""""&amp;","</f>
        <v>"https://www.zeldadungeon.net/maps/totk/tiles/sky/6/39_42.jpg",</v>
      </c>
      <c r="H1810" t="str">
        <f>QUOTIENT(ROW(A1810),48)+2&amp;"_"&amp;MOD(ROW(A1810),48)+8</f>
        <v>39_42</v>
      </c>
    </row>
    <row r="1811" spans="1:8" x14ac:dyDescent="0.2">
      <c r="A1811" s="9" t="s">
        <v>51</v>
      </c>
      <c r="C1811" t="str">
        <f>""""&amp;SUBSTITUTE(A1811,"zzz",H1811)&amp;""""&amp;","</f>
        <v>"https://www.zeldadungeon.net/maps/totk/tiles/sky/6/39_43.jpg",</v>
      </c>
      <c r="H1811" t="str">
        <f>QUOTIENT(ROW(A1811),48)+2&amp;"_"&amp;MOD(ROW(A1811),48)+8</f>
        <v>39_43</v>
      </c>
    </row>
    <row r="1812" spans="1:8" x14ac:dyDescent="0.2">
      <c r="A1812" s="9" t="s">
        <v>51</v>
      </c>
      <c r="C1812" t="str">
        <f>""""&amp;SUBSTITUTE(A1812,"zzz",H1812)&amp;""""&amp;","</f>
        <v>"https://www.zeldadungeon.net/maps/totk/tiles/sky/6/39_44.jpg",</v>
      </c>
      <c r="H1812" t="str">
        <f>QUOTIENT(ROW(A1812),48)+2&amp;"_"&amp;MOD(ROW(A1812),48)+8</f>
        <v>39_44</v>
      </c>
    </row>
    <row r="1813" spans="1:8" x14ac:dyDescent="0.2">
      <c r="A1813" s="9" t="s">
        <v>51</v>
      </c>
      <c r="C1813" t="str">
        <f>""""&amp;SUBSTITUTE(A1813,"zzz",H1813)&amp;""""&amp;","</f>
        <v>"https://www.zeldadungeon.net/maps/totk/tiles/sky/6/39_45.jpg",</v>
      </c>
      <c r="H1813" t="str">
        <f>QUOTIENT(ROW(A1813),48)+2&amp;"_"&amp;MOD(ROW(A1813),48)+8</f>
        <v>39_45</v>
      </c>
    </row>
    <row r="1814" spans="1:8" x14ac:dyDescent="0.2">
      <c r="A1814" s="9" t="s">
        <v>51</v>
      </c>
      <c r="C1814" t="str">
        <f>""""&amp;SUBSTITUTE(A1814,"zzz",H1814)&amp;""""&amp;","</f>
        <v>"https://www.zeldadungeon.net/maps/totk/tiles/sky/6/39_46.jpg",</v>
      </c>
      <c r="H1814" t="str">
        <f>QUOTIENT(ROW(A1814),48)+2&amp;"_"&amp;MOD(ROW(A1814),48)+8</f>
        <v>39_46</v>
      </c>
    </row>
    <row r="1815" spans="1:8" x14ac:dyDescent="0.2">
      <c r="A1815" s="9" t="s">
        <v>51</v>
      </c>
      <c r="C1815" t="str">
        <f>""""&amp;SUBSTITUTE(A1815,"zzz",H1815)&amp;""""&amp;","</f>
        <v>"https://www.zeldadungeon.net/maps/totk/tiles/sky/6/39_47.jpg",</v>
      </c>
      <c r="H1815" t="str">
        <f>QUOTIENT(ROW(A1815),48)+2&amp;"_"&amp;MOD(ROW(A1815),48)+8</f>
        <v>39_47</v>
      </c>
    </row>
    <row r="1816" spans="1:8" x14ac:dyDescent="0.2">
      <c r="A1816" s="9" t="s">
        <v>51</v>
      </c>
      <c r="C1816" t="str">
        <f>""""&amp;SUBSTITUTE(A1816,"zzz",H1816)&amp;""""&amp;","</f>
        <v>"https://www.zeldadungeon.net/maps/totk/tiles/sky/6/39_48.jpg",</v>
      </c>
      <c r="H1816" t="str">
        <f>QUOTIENT(ROW(A1816),48)+2&amp;"_"&amp;MOD(ROW(A1816),48)+8</f>
        <v>39_48</v>
      </c>
    </row>
    <row r="1817" spans="1:8" x14ac:dyDescent="0.2">
      <c r="A1817" s="9" t="s">
        <v>51</v>
      </c>
      <c r="C1817" t="str">
        <f>""""&amp;SUBSTITUTE(A1817,"zzz",H1817)&amp;""""&amp;","</f>
        <v>"https://www.zeldadungeon.net/maps/totk/tiles/sky/6/39_49.jpg",</v>
      </c>
      <c r="H1817" t="str">
        <f>QUOTIENT(ROW(A1817),48)+2&amp;"_"&amp;MOD(ROW(A1817),48)+8</f>
        <v>39_49</v>
      </c>
    </row>
    <row r="1818" spans="1:8" x14ac:dyDescent="0.2">
      <c r="A1818" s="9" t="s">
        <v>51</v>
      </c>
      <c r="C1818" t="str">
        <f>""""&amp;SUBSTITUTE(A1818,"zzz",H1818)&amp;""""&amp;","</f>
        <v>"https://www.zeldadungeon.net/maps/totk/tiles/sky/6/39_50.jpg",</v>
      </c>
      <c r="H1818" t="str">
        <f>QUOTIENT(ROW(A1818),48)+2&amp;"_"&amp;MOD(ROW(A1818),48)+8</f>
        <v>39_50</v>
      </c>
    </row>
    <row r="1819" spans="1:8" x14ac:dyDescent="0.2">
      <c r="A1819" s="9" t="s">
        <v>51</v>
      </c>
      <c r="C1819" t="str">
        <f>""""&amp;SUBSTITUTE(A1819,"zzz",H1819)&amp;""""&amp;","</f>
        <v>"https://www.zeldadungeon.net/maps/totk/tiles/sky/6/39_51.jpg",</v>
      </c>
      <c r="H1819" t="str">
        <f>QUOTIENT(ROW(A1819),48)+2&amp;"_"&amp;MOD(ROW(A1819),48)+8</f>
        <v>39_51</v>
      </c>
    </row>
    <row r="1820" spans="1:8" x14ac:dyDescent="0.2">
      <c r="A1820" s="9" t="s">
        <v>51</v>
      </c>
      <c r="C1820" t="str">
        <f>""""&amp;SUBSTITUTE(A1820,"zzz",H1820)&amp;""""&amp;","</f>
        <v>"https://www.zeldadungeon.net/maps/totk/tiles/sky/6/39_52.jpg",</v>
      </c>
      <c r="H1820" t="str">
        <f>QUOTIENT(ROW(A1820),48)+2&amp;"_"&amp;MOD(ROW(A1820),48)+8</f>
        <v>39_52</v>
      </c>
    </row>
    <row r="1821" spans="1:8" x14ac:dyDescent="0.2">
      <c r="A1821" s="9" t="s">
        <v>51</v>
      </c>
      <c r="C1821" t="str">
        <f>""""&amp;SUBSTITUTE(A1821,"zzz",H1821)&amp;""""&amp;","</f>
        <v>"https://www.zeldadungeon.net/maps/totk/tiles/sky/6/39_53.jpg",</v>
      </c>
      <c r="H1821" t="str">
        <f>QUOTIENT(ROW(A1821),48)+2&amp;"_"&amp;MOD(ROW(A1821),48)+8</f>
        <v>39_53</v>
      </c>
    </row>
    <row r="1822" spans="1:8" x14ac:dyDescent="0.2">
      <c r="A1822" s="9" t="s">
        <v>51</v>
      </c>
      <c r="C1822" t="str">
        <f>""""&amp;SUBSTITUTE(A1822,"zzz",H1822)&amp;""""&amp;","</f>
        <v>"https://www.zeldadungeon.net/maps/totk/tiles/sky/6/39_54.jpg",</v>
      </c>
      <c r="H1822" t="str">
        <f>QUOTIENT(ROW(A1822),48)+2&amp;"_"&amp;MOD(ROW(A1822),48)+8</f>
        <v>39_54</v>
      </c>
    </row>
    <row r="1823" spans="1:8" x14ac:dyDescent="0.2">
      <c r="A1823" s="9" t="s">
        <v>51</v>
      </c>
      <c r="C1823" t="str">
        <f>""""&amp;SUBSTITUTE(A1823,"zzz",H1823)&amp;""""&amp;","</f>
        <v>"https://www.zeldadungeon.net/maps/totk/tiles/sky/6/39_55.jpg",</v>
      </c>
      <c r="H1823" t="str">
        <f>QUOTIENT(ROW(A1823),48)+2&amp;"_"&amp;MOD(ROW(A1823),48)+8</f>
        <v>39_55</v>
      </c>
    </row>
    <row r="1824" spans="1:8" x14ac:dyDescent="0.2">
      <c r="A1824" s="9" t="s">
        <v>51</v>
      </c>
      <c r="C1824" t="str">
        <f>""""&amp;SUBSTITUTE(A1824,"zzz",H1824)&amp;""""&amp;","</f>
        <v>"https://www.zeldadungeon.net/maps/totk/tiles/sky/6/40_8.jpg",</v>
      </c>
      <c r="H1824" t="str">
        <f>QUOTIENT(ROW(A1824),48)+2&amp;"_"&amp;MOD(ROW(A1824),48)+8</f>
        <v>40_8</v>
      </c>
    </row>
    <row r="1825" spans="1:8" x14ac:dyDescent="0.2">
      <c r="A1825" s="9" t="s">
        <v>51</v>
      </c>
      <c r="C1825" t="str">
        <f>""""&amp;SUBSTITUTE(A1825,"zzz",H1825)&amp;""""&amp;","</f>
        <v>"https://www.zeldadungeon.net/maps/totk/tiles/sky/6/40_9.jpg",</v>
      </c>
      <c r="H1825" t="str">
        <f>QUOTIENT(ROW(A1825),48)+2&amp;"_"&amp;MOD(ROW(A1825),48)+8</f>
        <v>40_9</v>
      </c>
    </row>
    <row r="1826" spans="1:8" x14ac:dyDescent="0.2">
      <c r="A1826" s="9" t="s">
        <v>51</v>
      </c>
      <c r="C1826" t="str">
        <f>""""&amp;SUBSTITUTE(A1826,"zzz",H1826)&amp;""""&amp;","</f>
        <v>"https://www.zeldadungeon.net/maps/totk/tiles/sky/6/40_10.jpg",</v>
      </c>
      <c r="H1826" t="str">
        <f>QUOTIENT(ROW(A1826),48)+2&amp;"_"&amp;MOD(ROW(A1826),48)+8</f>
        <v>40_10</v>
      </c>
    </row>
    <row r="1827" spans="1:8" x14ac:dyDescent="0.2">
      <c r="A1827" s="9" t="s">
        <v>51</v>
      </c>
      <c r="C1827" t="str">
        <f>""""&amp;SUBSTITUTE(A1827,"zzz",H1827)&amp;""""&amp;","</f>
        <v>"https://www.zeldadungeon.net/maps/totk/tiles/sky/6/40_11.jpg",</v>
      </c>
      <c r="H1827" t="str">
        <f>QUOTIENT(ROW(A1827),48)+2&amp;"_"&amp;MOD(ROW(A1827),48)+8</f>
        <v>40_11</v>
      </c>
    </row>
    <row r="1828" spans="1:8" x14ac:dyDescent="0.2">
      <c r="A1828" s="9" t="s">
        <v>51</v>
      </c>
      <c r="C1828" t="str">
        <f>""""&amp;SUBSTITUTE(A1828,"zzz",H1828)&amp;""""&amp;","</f>
        <v>"https://www.zeldadungeon.net/maps/totk/tiles/sky/6/40_12.jpg",</v>
      </c>
      <c r="H1828" t="str">
        <f>QUOTIENT(ROW(A1828),48)+2&amp;"_"&amp;MOD(ROW(A1828),48)+8</f>
        <v>40_12</v>
      </c>
    </row>
    <row r="1829" spans="1:8" x14ac:dyDescent="0.2">
      <c r="A1829" s="9" t="s">
        <v>51</v>
      </c>
      <c r="C1829" t="str">
        <f>""""&amp;SUBSTITUTE(A1829,"zzz",H1829)&amp;""""&amp;","</f>
        <v>"https://www.zeldadungeon.net/maps/totk/tiles/sky/6/40_13.jpg",</v>
      </c>
      <c r="H1829" t="str">
        <f>QUOTIENT(ROW(A1829),48)+2&amp;"_"&amp;MOD(ROW(A1829),48)+8</f>
        <v>40_13</v>
      </c>
    </row>
    <row r="1830" spans="1:8" x14ac:dyDescent="0.2">
      <c r="A1830" s="9" t="s">
        <v>51</v>
      </c>
      <c r="C1830" t="str">
        <f>""""&amp;SUBSTITUTE(A1830,"zzz",H1830)&amp;""""&amp;","</f>
        <v>"https://www.zeldadungeon.net/maps/totk/tiles/sky/6/40_14.jpg",</v>
      </c>
      <c r="H1830" t="str">
        <f>QUOTIENT(ROW(A1830),48)+2&amp;"_"&amp;MOD(ROW(A1830),48)+8</f>
        <v>40_14</v>
      </c>
    </row>
    <row r="1831" spans="1:8" x14ac:dyDescent="0.2">
      <c r="A1831" s="9" t="s">
        <v>51</v>
      </c>
      <c r="C1831" t="str">
        <f>""""&amp;SUBSTITUTE(A1831,"zzz",H1831)&amp;""""&amp;","</f>
        <v>"https://www.zeldadungeon.net/maps/totk/tiles/sky/6/40_15.jpg",</v>
      </c>
      <c r="H1831" t="str">
        <f>QUOTIENT(ROW(A1831),48)+2&amp;"_"&amp;MOD(ROW(A1831),48)+8</f>
        <v>40_15</v>
      </c>
    </row>
    <row r="1832" spans="1:8" x14ac:dyDescent="0.2">
      <c r="A1832" s="9" t="s">
        <v>51</v>
      </c>
      <c r="C1832" t="str">
        <f>""""&amp;SUBSTITUTE(A1832,"zzz",H1832)&amp;""""&amp;","</f>
        <v>"https://www.zeldadungeon.net/maps/totk/tiles/sky/6/40_16.jpg",</v>
      </c>
      <c r="H1832" t="str">
        <f>QUOTIENT(ROW(A1832),48)+2&amp;"_"&amp;MOD(ROW(A1832),48)+8</f>
        <v>40_16</v>
      </c>
    </row>
    <row r="1833" spans="1:8" x14ac:dyDescent="0.2">
      <c r="A1833" s="9" t="s">
        <v>51</v>
      </c>
      <c r="C1833" t="str">
        <f>""""&amp;SUBSTITUTE(A1833,"zzz",H1833)&amp;""""&amp;","</f>
        <v>"https://www.zeldadungeon.net/maps/totk/tiles/sky/6/40_17.jpg",</v>
      </c>
      <c r="H1833" t="str">
        <f>QUOTIENT(ROW(A1833),48)+2&amp;"_"&amp;MOD(ROW(A1833),48)+8</f>
        <v>40_17</v>
      </c>
    </row>
    <row r="1834" spans="1:8" x14ac:dyDescent="0.2">
      <c r="A1834" s="9" t="s">
        <v>51</v>
      </c>
      <c r="C1834" t="str">
        <f>""""&amp;SUBSTITUTE(A1834,"zzz",H1834)&amp;""""&amp;","</f>
        <v>"https://www.zeldadungeon.net/maps/totk/tiles/sky/6/40_18.jpg",</v>
      </c>
      <c r="H1834" t="str">
        <f>QUOTIENT(ROW(A1834),48)+2&amp;"_"&amp;MOD(ROW(A1834),48)+8</f>
        <v>40_18</v>
      </c>
    </row>
    <row r="1835" spans="1:8" x14ac:dyDescent="0.2">
      <c r="A1835" s="9" t="s">
        <v>51</v>
      </c>
      <c r="C1835" t="str">
        <f>""""&amp;SUBSTITUTE(A1835,"zzz",H1835)&amp;""""&amp;","</f>
        <v>"https://www.zeldadungeon.net/maps/totk/tiles/sky/6/40_19.jpg",</v>
      </c>
      <c r="H1835" t="str">
        <f>QUOTIENT(ROW(A1835),48)+2&amp;"_"&amp;MOD(ROW(A1835),48)+8</f>
        <v>40_19</v>
      </c>
    </row>
    <row r="1836" spans="1:8" x14ac:dyDescent="0.2">
      <c r="A1836" s="9" t="s">
        <v>51</v>
      </c>
      <c r="C1836" t="str">
        <f>""""&amp;SUBSTITUTE(A1836,"zzz",H1836)&amp;""""&amp;","</f>
        <v>"https://www.zeldadungeon.net/maps/totk/tiles/sky/6/40_20.jpg",</v>
      </c>
      <c r="H1836" t="str">
        <f>QUOTIENT(ROW(A1836),48)+2&amp;"_"&amp;MOD(ROW(A1836),48)+8</f>
        <v>40_20</v>
      </c>
    </row>
    <row r="1837" spans="1:8" x14ac:dyDescent="0.2">
      <c r="A1837" s="9" t="s">
        <v>51</v>
      </c>
      <c r="C1837" t="str">
        <f>""""&amp;SUBSTITUTE(A1837,"zzz",H1837)&amp;""""&amp;","</f>
        <v>"https://www.zeldadungeon.net/maps/totk/tiles/sky/6/40_21.jpg",</v>
      </c>
      <c r="H1837" t="str">
        <f>QUOTIENT(ROW(A1837),48)+2&amp;"_"&amp;MOD(ROW(A1837),48)+8</f>
        <v>40_21</v>
      </c>
    </row>
    <row r="1838" spans="1:8" x14ac:dyDescent="0.2">
      <c r="A1838" s="9" t="s">
        <v>51</v>
      </c>
      <c r="C1838" t="str">
        <f>""""&amp;SUBSTITUTE(A1838,"zzz",H1838)&amp;""""&amp;","</f>
        <v>"https://www.zeldadungeon.net/maps/totk/tiles/sky/6/40_22.jpg",</v>
      </c>
      <c r="H1838" t="str">
        <f>QUOTIENT(ROW(A1838),48)+2&amp;"_"&amp;MOD(ROW(A1838),48)+8</f>
        <v>40_22</v>
      </c>
    </row>
    <row r="1839" spans="1:8" x14ac:dyDescent="0.2">
      <c r="A1839" s="9" t="s">
        <v>51</v>
      </c>
      <c r="C1839" t="str">
        <f>""""&amp;SUBSTITUTE(A1839,"zzz",H1839)&amp;""""&amp;","</f>
        <v>"https://www.zeldadungeon.net/maps/totk/tiles/sky/6/40_23.jpg",</v>
      </c>
      <c r="H1839" t="str">
        <f>QUOTIENT(ROW(A1839),48)+2&amp;"_"&amp;MOD(ROW(A1839),48)+8</f>
        <v>40_23</v>
      </c>
    </row>
    <row r="1840" spans="1:8" x14ac:dyDescent="0.2">
      <c r="A1840" s="9" t="s">
        <v>51</v>
      </c>
      <c r="C1840" t="str">
        <f>""""&amp;SUBSTITUTE(A1840,"zzz",H1840)&amp;""""&amp;","</f>
        <v>"https://www.zeldadungeon.net/maps/totk/tiles/sky/6/40_24.jpg",</v>
      </c>
      <c r="H1840" t="str">
        <f>QUOTIENT(ROW(A1840),48)+2&amp;"_"&amp;MOD(ROW(A1840),48)+8</f>
        <v>40_24</v>
      </c>
    </row>
    <row r="1841" spans="1:8" x14ac:dyDescent="0.2">
      <c r="A1841" s="9" t="s">
        <v>51</v>
      </c>
      <c r="C1841" t="str">
        <f>""""&amp;SUBSTITUTE(A1841,"zzz",H1841)&amp;""""&amp;","</f>
        <v>"https://www.zeldadungeon.net/maps/totk/tiles/sky/6/40_25.jpg",</v>
      </c>
      <c r="H1841" t="str">
        <f>QUOTIENT(ROW(A1841),48)+2&amp;"_"&amp;MOD(ROW(A1841),48)+8</f>
        <v>40_25</v>
      </c>
    </row>
    <row r="1842" spans="1:8" x14ac:dyDescent="0.2">
      <c r="A1842" s="9" t="s">
        <v>51</v>
      </c>
      <c r="C1842" t="str">
        <f>""""&amp;SUBSTITUTE(A1842,"zzz",H1842)&amp;""""&amp;","</f>
        <v>"https://www.zeldadungeon.net/maps/totk/tiles/sky/6/40_26.jpg",</v>
      </c>
      <c r="H1842" t="str">
        <f>QUOTIENT(ROW(A1842),48)+2&amp;"_"&amp;MOD(ROW(A1842),48)+8</f>
        <v>40_26</v>
      </c>
    </row>
    <row r="1843" spans="1:8" x14ac:dyDescent="0.2">
      <c r="A1843" s="9" t="s">
        <v>51</v>
      </c>
      <c r="C1843" t="str">
        <f>""""&amp;SUBSTITUTE(A1843,"zzz",H1843)&amp;""""&amp;","</f>
        <v>"https://www.zeldadungeon.net/maps/totk/tiles/sky/6/40_27.jpg",</v>
      </c>
      <c r="H1843" t="str">
        <f>QUOTIENT(ROW(A1843),48)+2&amp;"_"&amp;MOD(ROW(A1843),48)+8</f>
        <v>40_27</v>
      </c>
    </row>
    <row r="1844" spans="1:8" x14ac:dyDescent="0.2">
      <c r="A1844" s="9" t="s">
        <v>51</v>
      </c>
      <c r="C1844" t="str">
        <f>""""&amp;SUBSTITUTE(A1844,"zzz",H1844)&amp;""""&amp;","</f>
        <v>"https://www.zeldadungeon.net/maps/totk/tiles/sky/6/40_28.jpg",</v>
      </c>
      <c r="H1844" t="str">
        <f>QUOTIENT(ROW(A1844),48)+2&amp;"_"&amp;MOD(ROW(A1844),48)+8</f>
        <v>40_28</v>
      </c>
    </row>
    <row r="1845" spans="1:8" x14ac:dyDescent="0.2">
      <c r="A1845" s="9" t="s">
        <v>51</v>
      </c>
      <c r="C1845" t="str">
        <f>""""&amp;SUBSTITUTE(A1845,"zzz",H1845)&amp;""""&amp;","</f>
        <v>"https://www.zeldadungeon.net/maps/totk/tiles/sky/6/40_29.jpg",</v>
      </c>
      <c r="H1845" t="str">
        <f>QUOTIENT(ROW(A1845),48)+2&amp;"_"&amp;MOD(ROW(A1845),48)+8</f>
        <v>40_29</v>
      </c>
    </row>
    <row r="1846" spans="1:8" x14ac:dyDescent="0.2">
      <c r="A1846" s="9" t="s">
        <v>51</v>
      </c>
      <c r="C1846" t="str">
        <f>""""&amp;SUBSTITUTE(A1846,"zzz",H1846)&amp;""""&amp;","</f>
        <v>"https://www.zeldadungeon.net/maps/totk/tiles/sky/6/40_30.jpg",</v>
      </c>
      <c r="H1846" t="str">
        <f>QUOTIENT(ROW(A1846),48)+2&amp;"_"&amp;MOD(ROW(A1846),48)+8</f>
        <v>40_30</v>
      </c>
    </row>
    <row r="1847" spans="1:8" x14ac:dyDescent="0.2">
      <c r="A1847" s="9" t="s">
        <v>51</v>
      </c>
      <c r="C1847" t="str">
        <f>""""&amp;SUBSTITUTE(A1847,"zzz",H1847)&amp;""""&amp;","</f>
        <v>"https://www.zeldadungeon.net/maps/totk/tiles/sky/6/40_31.jpg",</v>
      </c>
      <c r="H1847" t="str">
        <f>QUOTIENT(ROW(A1847),48)+2&amp;"_"&amp;MOD(ROW(A1847),48)+8</f>
        <v>40_31</v>
      </c>
    </row>
    <row r="1848" spans="1:8" x14ac:dyDescent="0.2">
      <c r="A1848" s="9" t="s">
        <v>51</v>
      </c>
      <c r="C1848" t="str">
        <f>""""&amp;SUBSTITUTE(A1848,"zzz",H1848)&amp;""""&amp;","</f>
        <v>"https://www.zeldadungeon.net/maps/totk/tiles/sky/6/40_32.jpg",</v>
      </c>
      <c r="H1848" t="str">
        <f>QUOTIENT(ROW(A1848),48)+2&amp;"_"&amp;MOD(ROW(A1848),48)+8</f>
        <v>40_32</v>
      </c>
    </row>
    <row r="1849" spans="1:8" x14ac:dyDescent="0.2">
      <c r="A1849" s="9" t="s">
        <v>51</v>
      </c>
      <c r="C1849" t="str">
        <f>""""&amp;SUBSTITUTE(A1849,"zzz",H1849)&amp;""""&amp;","</f>
        <v>"https://www.zeldadungeon.net/maps/totk/tiles/sky/6/40_33.jpg",</v>
      </c>
      <c r="H1849" t="str">
        <f>QUOTIENT(ROW(A1849),48)+2&amp;"_"&amp;MOD(ROW(A1849),48)+8</f>
        <v>40_33</v>
      </c>
    </row>
    <row r="1850" spans="1:8" x14ac:dyDescent="0.2">
      <c r="A1850" s="9" t="s">
        <v>51</v>
      </c>
      <c r="C1850" t="str">
        <f>""""&amp;SUBSTITUTE(A1850,"zzz",H1850)&amp;""""&amp;","</f>
        <v>"https://www.zeldadungeon.net/maps/totk/tiles/sky/6/40_34.jpg",</v>
      </c>
      <c r="H1850" t="str">
        <f>QUOTIENT(ROW(A1850),48)+2&amp;"_"&amp;MOD(ROW(A1850),48)+8</f>
        <v>40_34</v>
      </c>
    </row>
    <row r="1851" spans="1:8" x14ac:dyDescent="0.2">
      <c r="A1851" s="9" t="s">
        <v>51</v>
      </c>
      <c r="C1851" t="str">
        <f>""""&amp;SUBSTITUTE(A1851,"zzz",H1851)&amp;""""&amp;","</f>
        <v>"https://www.zeldadungeon.net/maps/totk/tiles/sky/6/40_35.jpg",</v>
      </c>
      <c r="H1851" t="str">
        <f>QUOTIENT(ROW(A1851),48)+2&amp;"_"&amp;MOD(ROW(A1851),48)+8</f>
        <v>40_35</v>
      </c>
    </row>
    <row r="1852" spans="1:8" x14ac:dyDescent="0.2">
      <c r="A1852" s="9" t="s">
        <v>51</v>
      </c>
      <c r="C1852" t="str">
        <f>""""&amp;SUBSTITUTE(A1852,"zzz",H1852)&amp;""""&amp;","</f>
        <v>"https://www.zeldadungeon.net/maps/totk/tiles/sky/6/40_36.jpg",</v>
      </c>
      <c r="H1852" t="str">
        <f>QUOTIENT(ROW(A1852),48)+2&amp;"_"&amp;MOD(ROW(A1852),48)+8</f>
        <v>40_36</v>
      </c>
    </row>
    <row r="1853" spans="1:8" x14ac:dyDescent="0.2">
      <c r="A1853" s="9" t="s">
        <v>51</v>
      </c>
      <c r="C1853" t="str">
        <f>""""&amp;SUBSTITUTE(A1853,"zzz",H1853)&amp;""""&amp;","</f>
        <v>"https://www.zeldadungeon.net/maps/totk/tiles/sky/6/40_37.jpg",</v>
      </c>
      <c r="H1853" t="str">
        <f>QUOTIENT(ROW(A1853),48)+2&amp;"_"&amp;MOD(ROW(A1853),48)+8</f>
        <v>40_37</v>
      </c>
    </row>
    <row r="1854" spans="1:8" x14ac:dyDescent="0.2">
      <c r="A1854" s="9" t="s">
        <v>51</v>
      </c>
      <c r="C1854" t="str">
        <f>""""&amp;SUBSTITUTE(A1854,"zzz",H1854)&amp;""""&amp;","</f>
        <v>"https://www.zeldadungeon.net/maps/totk/tiles/sky/6/40_38.jpg",</v>
      </c>
      <c r="H1854" t="str">
        <f>QUOTIENT(ROW(A1854),48)+2&amp;"_"&amp;MOD(ROW(A1854),48)+8</f>
        <v>40_38</v>
      </c>
    </row>
    <row r="1855" spans="1:8" x14ac:dyDescent="0.2">
      <c r="A1855" s="9" t="s">
        <v>51</v>
      </c>
      <c r="C1855" t="str">
        <f>""""&amp;SUBSTITUTE(A1855,"zzz",H1855)&amp;""""&amp;","</f>
        <v>"https://www.zeldadungeon.net/maps/totk/tiles/sky/6/40_39.jpg",</v>
      </c>
      <c r="H1855" t="str">
        <f>QUOTIENT(ROW(A1855),48)+2&amp;"_"&amp;MOD(ROW(A1855),48)+8</f>
        <v>40_39</v>
      </c>
    </row>
    <row r="1856" spans="1:8" x14ac:dyDescent="0.2">
      <c r="A1856" s="9" t="s">
        <v>51</v>
      </c>
      <c r="C1856" t="str">
        <f>""""&amp;SUBSTITUTE(A1856,"zzz",H1856)&amp;""""&amp;","</f>
        <v>"https://www.zeldadungeon.net/maps/totk/tiles/sky/6/40_40.jpg",</v>
      </c>
      <c r="H1856" t="str">
        <f>QUOTIENT(ROW(A1856),48)+2&amp;"_"&amp;MOD(ROW(A1856),48)+8</f>
        <v>40_40</v>
      </c>
    </row>
    <row r="1857" spans="1:8" x14ac:dyDescent="0.2">
      <c r="A1857" s="9" t="s">
        <v>51</v>
      </c>
      <c r="C1857" t="str">
        <f>""""&amp;SUBSTITUTE(A1857,"zzz",H1857)&amp;""""&amp;","</f>
        <v>"https://www.zeldadungeon.net/maps/totk/tiles/sky/6/40_41.jpg",</v>
      </c>
      <c r="H1857" t="str">
        <f>QUOTIENT(ROW(A1857),48)+2&amp;"_"&amp;MOD(ROW(A1857),48)+8</f>
        <v>40_41</v>
      </c>
    </row>
    <row r="1858" spans="1:8" x14ac:dyDescent="0.2">
      <c r="A1858" s="9" t="s">
        <v>51</v>
      </c>
      <c r="C1858" t="str">
        <f>""""&amp;SUBSTITUTE(A1858,"zzz",H1858)&amp;""""&amp;","</f>
        <v>"https://www.zeldadungeon.net/maps/totk/tiles/sky/6/40_42.jpg",</v>
      </c>
      <c r="H1858" t="str">
        <f>QUOTIENT(ROW(A1858),48)+2&amp;"_"&amp;MOD(ROW(A1858),48)+8</f>
        <v>40_42</v>
      </c>
    </row>
    <row r="1859" spans="1:8" x14ac:dyDescent="0.2">
      <c r="A1859" s="9" t="s">
        <v>51</v>
      </c>
      <c r="C1859" t="str">
        <f>""""&amp;SUBSTITUTE(A1859,"zzz",H1859)&amp;""""&amp;","</f>
        <v>"https://www.zeldadungeon.net/maps/totk/tiles/sky/6/40_43.jpg",</v>
      </c>
      <c r="H1859" t="str">
        <f>QUOTIENT(ROW(A1859),48)+2&amp;"_"&amp;MOD(ROW(A1859),48)+8</f>
        <v>40_43</v>
      </c>
    </row>
    <row r="1860" spans="1:8" x14ac:dyDescent="0.2">
      <c r="A1860" s="9" t="s">
        <v>51</v>
      </c>
      <c r="C1860" t="str">
        <f>""""&amp;SUBSTITUTE(A1860,"zzz",H1860)&amp;""""&amp;","</f>
        <v>"https://www.zeldadungeon.net/maps/totk/tiles/sky/6/40_44.jpg",</v>
      </c>
      <c r="H1860" t="str">
        <f>QUOTIENT(ROW(A1860),48)+2&amp;"_"&amp;MOD(ROW(A1860),48)+8</f>
        <v>40_44</v>
      </c>
    </row>
    <row r="1861" spans="1:8" x14ac:dyDescent="0.2">
      <c r="A1861" s="9" t="s">
        <v>51</v>
      </c>
      <c r="C1861" t="str">
        <f>""""&amp;SUBSTITUTE(A1861,"zzz",H1861)&amp;""""&amp;","</f>
        <v>"https://www.zeldadungeon.net/maps/totk/tiles/sky/6/40_45.jpg",</v>
      </c>
      <c r="H1861" t="str">
        <f>QUOTIENT(ROW(A1861),48)+2&amp;"_"&amp;MOD(ROW(A1861),48)+8</f>
        <v>40_45</v>
      </c>
    </row>
    <row r="1862" spans="1:8" x14ac:dyDescent="0.2">
      <c r="A1862" s="9" t="s">
        <v>51</v>
      </c>
      <c r="C1862" t="str">
        <f>""""&amp;SUBSTITUTE(A1862,"zzz",H1862)&amp;""""&amp;","</f>
        <v>"https://www.zeldadungeon.net/maps/totk/tiles/sky/6/40_46.jpg",</v>
      </c>
      <c r="H1862" t="str">
        <f>QUOTIENT(ROW(A1862),48)+2&amp;"_"&amp;MOD(ROW(A1862),48)+8</f>
        <v>40_46</v>
      </c>
    </row>
    <row r="1863" spans="1:8" x14ac:dyDescent="0.2">
      <c r="A1863" s="9" t="s">
        <v>51</v>
      </c>
      <c r="C1863" t="str">
        <f>""""&amp;SUBSTITUTE(A1863,"zzz",H1863)&amp;""""&amp;","</f>
        <v>"https://www.zeldadungeon.net/maps/totk/tiles/sky/6/40_47.jpg",</v>
      </c>
      <c r="H1863" t="str">
        <f>QUOTIENT(ROW(A1863),48)+2&amp;"_"&amp;MOD(ROW(A1863),48)+8</f>
        <v>40_47</v>
      </c>
    </row>
    <row r="1864" spans="1:8" x14ac:dyDescent="0.2">
      <c r="A1864" s="9" t="s">
        <v>51</v>
      </c>
      <c r="C1864" t="str">
        <f>""""&amp;SUBSTITUTE(A1864,"zzz",H1864)&amp;""""&amp;","</f>
        <v>"https://www.zeldadungeon.net/maps/totk/tiles/sky/6/40_48.jpg",</v>
      </c>
      <c r="H1864" t="str">
        <f>QUOTIENT(ROW(A1864),48)+2&amp;"_"&amp;MOD(ROW(A1864),48)+8</f>
        <v>40_48</v>
      </c>
    </row>
    <row r="1865" spans="1:8" x14ac:dyDescent="0.2">
      <c r="A1865" s="9" t="s">
        <v>51</v>
      </c>
      <c r="C1865" t="str">
        <f>""""&amp;SUBSTITUTE(A1865,"zzz",H1865)&amp;""""&amp;","</f>
        <v>"https://www.zeldadungeon.net/maps/totk/tiles/sky/6/40_49.jpg",</v>
      </c>
      <c r="H1865" t="str">
        <f>QUOTIENT(ROW(A1865),48)+2&amp;"_"&amp;MOD(ROW(A1865),48)+8</f>
        <v>40_49</v>
      </c>
    </row>
    <row r="1866" spans="1:8" x14ac:dyDescent="0.2">
      <c r="A1866" s="9" t="s">
        <v>51</v>
      </c>
      <c r="C1866" t="str">
        <f>""""&amp;SUBSTITUTE(A1866,"zzz",H1866)&amp;""""&amp;","</f>
        <v>"https://www.zeldadungeon.net/maps/totk/tiles/sky/6/40_50.jpg",</v>
      </c>
      <c r="H1866" t="str">
        <f>QUOTIENT(ROW(A1866),48)+2&amp;"_"&amp;MOD(ROW(A1866),48)+8</f>
        <v>40_50</v>
      </c>
    </row>
    <row r="1867" spans="1:8" x14ac:dyDescent="0.2">
      <c r="A1867" s="9" t="s">
        <v>51</v>
      </c>
      <c r="C1867" t="str">
        <f>""""&amp;SUBSTITUTE(A1867,"zzz",H1867)&amp;""""&amp;","</f>
        <v>"https://www.zeldadungeon.net/maps/totk/tiles/sky/6/40_51.jpg",</v>
      </c>
      <c r="H1867" t="str">
        <f>QUOTIENT(ROW(A1867),48)+2&amp;"_"&amp;MOD(ROW(A1867),48)+8</f>
        <v>40_51</v>
      </c>
    </row>
    <row r="1868" spans="1:8" x14ac:dyDescent="0.2">
      <c r="A1868" s="9" t="s">
        <v>51</v>
      </c>
      <c r="C1868" t="str">
        <f>""""&amp;SUBSTITUTE(A1868,"zzz",H1868)&amp;""""&amp;","</f>
        <v>"https://www.zeldadungeon.net/maps/totk/tiles/sky/6/40_52.jpg",</v>
      </c>
      <c r="H1868" t="str">
        <f>QUOTIENT(ROW(A1868),48)+2&amp;"_"&amp;MOD(ROW(A1868),48)+8</f>
        <v>40_52</v>
      </c>
    </row>
    <row r="1869" spans="1:8" x14ac:dyDescent="0.2">
      <c r="A1869" s="9" t="s">
        <v>51</v>
      </c>
      <c r="C1869" t="str">
        <f>""""&amp;SUBSTITUTE(A1869,"zzz",H1869)&amp;""""&amp;","</f>
        <v>"https://www.zeldadungeon.net/maps/totk/tiles/sky/6/40_53.jpg",</v>
      </c>
      <c r="H1869" t="str">
        <f>QUOTIENT(ROW(A1869),48)+2&amp;"_"&amp;MOD(ROW(A1869),48)+8</f>
        <v>40_53</v>
      </c>
    </row>
    <row r="1870" spans="1:8" x14ac:dyDescent="0.2">
      <c r="A1870" s="9" t="s">
        <v>51</v>
      </c>
      <c r="C1870" t="str">
        <f>""""&amp;SUBSTITUTE(A1870,"zzz",H1870)&amp;""""&amp;","</f>
        <v>"https://www.zeldadungeon.net/maps/totk/tiles/sky/6/40_54.jpg",</v>
      </c>
      <c r="H1870" t="str">
        <f>QUOTIENT(ROW(A1870),48)+2&amp;"_"&amp;MOD(ROW(A1870),48)+8</f>
        <v>40_54</v>
      </c>
    </row>
    <row r="1871" spans="1:8" x14ac:dyDescent="0.2">
      <c r="A1871" s="9" t="s">
        <v>51</v>
      </c>
      <c r="C1871" t="str">
        <f>""""&amp;SUBSTITUTE(A1871,"zzz",H1871)&amp;""""&amp;","</f>
        <v>"https://www.zeldadungeon.net/maps/totk/tiles/sky/6/40_55.jpg",</v>
      </c>
      <c r="H1871" t="str">
        <f>QUOTIENT(ROW(A1871),48)+2&amp;"_"&amp;MOD(ROW(A1871),48)+8</f>
        <v>40_55</v>
      </c>
    </row>
    <row r="1872" spans="1:8" x14ac:dyDescent="0.2">
      <c r="A1872" s="9" t="s">
        <v>51</v>
      </c>
      <c r="C1872" t="str">
        <f>""""&amp;SUBSTITUTE(A1872,"zzz",H1872)&amp;""""&amp;","</f>
        <v>"https://www.zeldadungeon.net/maps/totk/tiles/sky/6/41_8.jpg",</v>
      </c>
      <c r="H1872" t="str">
        <f>QUOTIENT(ROW(A1872),48)+2&amp;"_"&amp;MOD(ROW(A1872),48)+8</f>
        <v>41_8</v>
      </c>
    </row>
    <row r="1873" spans="1:8" x14ac:dyDescent="0.2">
      <c r="A1873" s="9" t="s">
        <v>51</v>
      </c>
      <c r="C1873" t="str">
        <f>""""&amp;SUBSTITUTE(A1873,"zzz",H1873)&amp;""""&amp;","</f>
        <v>"https://www.zeldadungeon.net/maps/totk/tiles/sky/6/41_9.jpg",</v>
      </c>
      <c r="H1873" t="str">
        <f>QUOTIENT(ROW(A1873),48)+2&amp;"_"&amp;MOD(ROW(A1873),48)+8</f>
        <v>41_9</v>
      </c>
    </row>
    <row r="1874" spans="1:8" x14ac:dyDescent="0.2">
      <c r="A1874" s="9" t="s">
        <v>51</v>
      </c>
      <c r="C1874" t="str">
        <f>""""&amp;SUBSTITUTE(A1874,"zzz",H1874)&amp;""""&amp;","</f>
        <v>"https://www.zeldadungeon.net/maps/totk/tiles/sky/6/41_10.jpg",</v>
      </c>
      <c r="H1874" t="str">
        <f>QUOTIENT(ROW(A1874),48)+2&amp;"_"&amp;MOD(ROW(A1874),48)+8</f>
        <v>41_10</v>
      </c>
    </row>
    <row r="1875" spans="1:8" x14ac:dyDescent="0.2">
      <c r="A1875" s="9" t="s">
        <v>51</v>
      </c>
      <c r="C1875" t="str">
        <f>""""&amp;SUBSTITUTE(A1875,"zzz",H1875)&amp;""""&amp;","</f>
        <v>"https://www.zeldadungeon.net/maps/totk/tiles/sky/6/41_11.jpg",</v>
      </c>
      <c r="H1875" t="str">
        <f>QUOTIENT(ROW(A1875),48)+2&amp;"_"&amp;MOD(ROW(A1875),48)+8</f>
        <v>41_11</v>
      </c>
    </row>
    <row r="1876" spans="1:8" x14ac:dyDescent="0.2">
      <c r="A1876" s="9" t="s">
        <v>51</v>
      </c>
      <c r="C1876" t="str">
        <f>""""&amp;SUBSTITUTE(A1876,"zzz",H1876)&amp;""""&amp;","</f>
        <v>"https://www.zeldadungeon.net/maps/totk/tiles/sky/6/41_12.jpg",</v>
      </c>
      <c r="H1876" t="str">
        <f>QUOTIENT(ROW(A1876),48)+2&amp;"_"&amp;MOD(ROW(A1876),48)+8</f>
        <v>41_12</v>
      </c>
    </row>
    <row r="1877" spans="1:8" x14ac:dyDescent="0.2">
      <c r="A1877" s="9" t="s">
        <v>51</v>
      </c>
      <c r="C1877" t="str">
        <f>""""&amp;SUBSTITUTE(A1877,"zzz",H1877)&amp;""""&amp;","</f>
        <v>"https://www.zeldadungeon.net/maps/totk/tiles/sky/6/41_13.jpg",</v>
      </c>
      <c r="H1877" t="str">
        <f>QUOTIENT(ROW(A1877),48)+2&amp;"_"&amp;MOD(ROW(A1877),48)+8</f>
        <v>41_13</v>
      </c>
    </row>
    <row r="1878" spans="1:8" x14ac:dyDescent="0.2">
      <c r="A1878" s="9" t="s">
        <v>51</v>
      </c>
      <c r="C1878" t="str">
        <f>""""&amp;SUBSTITUTE(A1878,"zzz",H1878)&amp;""""&amp;","</f>
        <v>"https://www.zeldadungeon.net/maps/totk/tiles/sky/6/41_14.jpg",</v>
      </c>
      <c r="H1878" t="str">
        <f>QUOTIENT(ROW(A1878),48)+2&amp;"_"&amp;MOD(ROW(A1878),48)+8</f>
        <v>41_14</v>
      </c>
    </row>
    <row r="1879" spans="1:8" x14ac:dyDescent="0.2">
      <c r="A1879" s="9" t="s">
        <v>51</v>
      </c>
      <c r="C1879" t="str">
        <f>""""&amp;SUBSTITUTE(A1879,"zzz",H1879)&amp;""""&amp;","</f>
        <v>"https://www.zeldadungeon.net/maps/totk/tiles/sky/6/41_15.jpg",</v>
      </c>
      <c r="H1879" t="str">
        <f>QUOTIENT(ROW(A1879),48)+2&amp;"_"&amp;MOD(ROW(A1879),48)+8</f>
        <v>41_15</v>
      </c>
    </row>
    <row r="1880" spans="1:8" x14ac:dyDescent="0.2">
      <c r="A1880" s="9" t="s">
        <v>51</v>
      </c>
      <c r="C1880" t="str">
        <f>""""&amp;SUBSTITUTE(A1880,"zzz",H1880)&amp;""""&amp;","</f>
        <v>"https://www.zeldadungeon.net/maps/totk/tiles/sky/6/41_16.jpg",</v>
      </c>
      <c r="H1880" t="str">
        <f>QUOTIENT(ROW(A1880),48)+2&amp;"_"&amp;MOD(ROW(A1880),48)+8</f>
        <v>41_16</v>
      </c>
    </row>
    <row r="1881" spans="1:8" x14ac:dyDescent="0.2">
      <c r="A1881" s="9" t="s">
        <v>51</v>
      </c>
      <c r="C1881" t="str">
        <f>""""&amp;SUBSTITUTE(A1881,"zzz",H1881)&amp;""""&amp;","</f>
        <v>"https://www.zeldadungeon.net/maps/totk/tiles/sky/6/41_17.jpg",</v>
      </c>
      <c r="H1881" t="str">
        <f>QUOTIENT(ROW(A1881),48)+2&amp;"_"&amp;MOD(ROW(A1881),48)+8</f>
        <v>41_17</v>
      </c>
    </row>
    <row r="1882" spans="1:8" x14ac:dyDescent="0.2">
      <c r="A1882" s="9" t="s">
        <v>51</v>
      </c>
      <c r="C1882" t="str">
        <f>""""&amp;SUBSTITUTE(A1882,"zzz",H1882)&amp;""""&amp;","</f>
        <v>"https://www.zeldadungeon.net/maps/totk/tiles/sky/6/41_18.jpg",</v>
      </c>
      <c r="H1882" t="str">
        <f>QUOTIENT(ROW(A1882),48)+2&amp;"_"&amp;MOD(ROW(A1882),48)+8</f>
        <v>41_18</v>
      </c>
    </row>
    <row r="1883" spans="1:8" x14ac:dyDescent="0.2">
      <c r="A1883" s="9" t="s">
        <v>51</v>
      </c>
      <c r="C1883" t="str">
        <f>""""&amp;SUBSTITUTE(A1883,"zzz",H1883)&amp;""""&amp;","</f>
        <v>"https://www.zeldadungeon.net/maps/totk/tiles/sky/6/41_19.jpg",</v>
      </c>
      <c r="H1883" t="str">
        <f>QUOTIENT(ROW(A1883),48)+2&amp;"_"&amp;MOD(ROW(A1883),48)+8</f>
        <v>41_19</v>
      </c>
    </row>
    <row r="1884" spans="1:8" x14ac:dyDescent="0.2">
      <c r="A1884" s="9" t="s">
        <v>51</v>
      </c>
      <c r="C1884" t="str">
        <f>""""&amp;SUBSTITUTE(A1884,"zzz",H1884)&amp;""""&amp;","</f>
        <v>"https://www.zeldadungeon.net/maps/totk/tiles/sky/6/41_20.jpg",</v>
      </c>
      <c r="H1884" t="str">
        <f>QUOTIENT(ROW(A1884),48)+2&amp;"_"&amp;MOD(ROW(A1884),48)+8</f>
        <v>41_20</v>
      </c>
    </row>
    <row r="1885" spans="1:8" x14ac:dyDescent="0.2">
      <c r="A1885" s="9" t="s">
        <v>51</v>
      </c>
      <c r="C1885" t="str">
        <f>""""&amp;SUBSTITUTE(A1885,"zzz",H1885)&amp;""""&amp;","</f>
        <v>"https://www.zeldadungeon.net/maps/totk/tiles/sky/6/41_21.jpg",</v>
      </c>
      <c r="H1885" t="str">
        <f>QUOTIENT(ROW(A1885),48)+2&amp;"_"&amp;MOD(ROW(A1885),48)+8</f>
        <v>41_21</v>
      </c>
    </row>
    <row r="1886" spans="1:8" x14ac:dyDescent="0.2">
      <c r="A1886" s="9" t="s">
        <v>51</v>
      </c>
      <c r="C1886" t="str">
        <f>""""&amp;SUBSTITUTE(A1886,"zzz",H1886)&amp;""""&amp;","</f>
        <v>"https://www.zeldadungeon.net/maps/totk/tiles/sky/6/41_22.jpg",</v>
      </c>
      <c r="H1886" t="str">
        <f>QUOTIENT(ROW(A1886),48)+2&amp;"_"&amp;MOD(ROW(A1886),48)+8</f>
        <v>41_22</v>
      </c>
    </row>
    <row r="1887" spans="1:8" x14ac:dyDescent="0.2">
      <c r="A1887" s="9" t="s">
        <v>51</v>
      </c>
      <c r="C1887" t="str">
        <f>""""&amp;SUBSTITUTE(A1887,"zzz",H1887)&amp;""""&amp;","</f>
        <v>"https://www.zeldadungeon.net/maps/totk/tiles/sky/6/41_23.jpg",</v>
      </c>
      <c r="H1887" t="str">
        <f>QUOTIENT(ROW(A1887),48)+2&amp;"_"&amp;MOD(ROW(A1887),48)+8</f>
        <v>41_23</v>
      </c>
    </row>
    <row r="1888" spans="1:8" x14ac:dyDescent="0.2">
      <c r="A1888" s="9" t="s">
        <v>51</v>
      </c>
      <c r="C1888" t="str">
        <f>""""&amp;SUBSTITUTE(A1888,"zzz",H1888)&amp;""""&amp;","</f>
        <v>"https://www.zeldadungeon.net/maps/totk/tiles/sky/6/41_24.jpg",</v>
      </c>
      <c r="H1888" t="str">
        <f>QUOTIENT(ROW(A1888),48)+2&amp;"_"&amp;MOD(ROW(A1888),48)+8</f>
        <v>41_24</v>
      </c>
    </row>
    <row r="1889" spans="1:8" x14ac:dyDescent="0.2">
      <c r="A1889" s="9" t="s">
        <v>51</v>
      </c>
      <c r="C1889" t="str">
        <f>""""&amp;SUBSTITUTE(A1889,"zzz",H1889)&amp;""""&amp;","</f>
        <v>"https://www.zeldadungeon.net/maps/totk/tiles/sky/6/41_25.jpg",</v>
      </c>
      <c r="H1889" t="str">
        <f>QUOTIENT(ROW(A1889),48)+2&amp;"_"&amp;MOD(ROW(A1889),48)+8</f>
        <v>41_25</v>
      </c>
    </row>
    <row r="1890" spans="1:8" x14ac:dyDescent="0.2">
      <c r="A1890" s="9" t="s">
        <v>51</v>
      </c>
      <c r="C1890" t="str">
        <f>""""&amp;SUBSTITUTE(A1890,"zzz",H1890)&amp;""""&amp;","</f>
        <v>"https://www.zeldadungeon.net/maps/totk/tiles/sky/6/41_26.jpg",</v>
      </c>
      <c r="H1890" t="str">
        <f>QUOTIENT(ROW(A1890),48)+2&amp;"_"&amp;MOD(ROW(A1890),48)+8</f>
        <v>41_26</v>
      </c>
    </row>
    <row r="1891" spans="1:8" x14ac:dyDescent="0.2">
      <c r="A1891" s="9" t="s">
        <v>51</v>
      </c>
      <c r="C1891" t="str">
        <f>""""&amp;SUBSTITUTE(A1891,"zzz",H1891)&amp;""""&amp;","</f>
        <v>"https://www.zeldadungeon.net/maps/totk/tiles/sky/6/41_27.jpg",</v>
      </c>
      <c r="H1891" t="str">
        <f>QUOTIENT(ROW(A1891),48)+2&amp;"_"&amp;MOD(ROW(A1891),48)+8</f>
        <v>41_27</v>
      </c>
    </row>
    <row r="1892" spans="1:8" x14ac:dyDescent="0.2">
      <c r="A1892" s="9" t="s">
        <v>51</v>
      </c>
      <c r="C1892" t="str">
        <f>""""&amp;SUBSTITUTE(A1892,"zzz",H1892)&amp;""""&amp;","</f>
        <v>"https://www.zeldadungeon.net/maps/totk/tiles/sky/6/41_28.jpg",</v>
      </c>
      <c r="H1892" t="str">
        <f>QUOTIENT(ROW(A1892),48)+2&amp;"_"&amp;MOD(ROW(A1892),48)+8</f>
        <v>41_28</v>
      </c>
    </row>
    <row r="1893" spans="1:8" x14ac:dyDescent="0.2">
      <c r="A1893" s="9" t="s">
        <v>51</v>
      </c>
      <c r="C1893" t="str">
        <f>""""&amp;SUBSTITUTE(A1893,"zzz",H1893)&amp;""""&amp;","</f>
        <v>"https://www.zeldadungeon.net/maps/totk/tiles/sky/6/41_29.jpg",</v>
      </c>
      <c r="H1893" t="str">
        <f>QUOTIENT(ROW(A1893),48)+2&amp;"_"&amp;MOD(ROW(A1893),48)+8</f>
        <v>41_29</v>
      </c>
    </row>
    <row r="1894" spans="1:8" x14ac:dyDescent="0.2">
      <c r="A1894" s="9" t="s">
        <v>51</v>
      </c>
      <c r="C1894" t="str">
        <f>""""&amp;SUBSTITUTE(A1894,"zzz",H1894)&amp;""""&amp;","</f>
        <v>"https://www.zeldadungeon.net/maps/totk/tiles/sky/6/41_30.jpg",</v>
      </c>
      <c r="H1894" t="str">
        <f>QUOTIENT(ROW(A1894),48)+2&amp;"_"&amp;MOD(ROW(A1894),48)+8</f>
        <v>41_30</v>
      </c>
    </row>
    <row r="1895" spans="1:8" x14ac:dyDescent="0.2">
      <c r="A1895" s="9" t="s">
        <v>51</v>
      </c>
      <c r="C1895" t="str">
        <f>""""&amp;SUBSTITUTE(A1895,"zzz",H1895)&amp;""""&amp;","</f>
        <v>"https://www.zeldadungeon.net/maps/totk/tiles/sky/6/41_31.jpg",</v>
      </c>
      <c r="H1895" t="str">
        <f>QUOTIENT(ROW(A1895),48)+2&amp;"_"&amp;MOD(ROW(A1895),48)+8</f>
        <v>41_31</v>
      </c>
    </row>
    <row r="1896" spans="1:8" x14ac:dyDescent="0.2">
      <c r="A1896" s="9" t="s">
        <v>51</v>
      </c>
      <c r="C1896" t="str">
        <f>""""&amp;SUBSTITUTE(A1896,"zzz",H1896)&amp;""""&amp;","</f>
        <v>"https://www.zeldadungeon.net/maps/totk/tiles/sky/6/41_32.jpg",</v>
      </c>
      <c r="H1896" t="str">
        <f>QUOTIENT(ROW(A1896),48)+2&amp;"_"&amp;MOD(ROW(A1896),48)+8</f>
        <v>41_32</v>
      </c>
    </row>
    <row r="1897" spans="1:8" x14ac:dyDescent="0.2">
      <c r="A1897" s="9" t="s">
        <v>51</v>
      </c>
      <c r="C1897" t="str">
        <f>""""&amp;SUBSTITUTE(A1897,"zzz",H1897)&amp;""""&amp;","</f>
        <v>"https://www.zeldadungeon.net/maps/totk/tiles/sky/6/41_33.jpg",</v>
      </c>
      <c r="H1897" t="str">
        <f>QUOTIENT(ROW(A1897),48)+2&amp;"_"&amp;MOD(ROW(A1897),48)+8</f>
        <v>41_33</v>
      </c>
    </row>
    <row r="1898" spans="1:8" x14ac:dyDescent="0.2">
      <c r="A1898" s="9" t="s">
        <v>51</v>
      </c>
      <c r="C1898" t="str">
        <f>""""&amp;SUBSTITUTE(A1898,"zzz",H1898)&amp;""""&amp;","</f>
        <v>"https://www.zeldadungeon.net/maps/totk/tiles/sky/6/41_34.jpg",</v>
      </c>
      <c r="H1898" t="str">
        <f>QUOTIENT(ROW(A1898),48)+2&amp;"_"&amp;MOD(ROW(A1898),48)+8</f>
        <v>41_34</v>
      </c>
    </row>
    <row r="1899" spans="1:8" x14ac:dyDescent="0.2">
      <c r="A1899" s="9" t="s">
        <v>51</v>
      </c>
      <c r="C1899" t="str">
        <f>""""&amp;SUBSTITUTE(A1899,"zzz",H1899)&amp;""""&amp;","</f>
        <v>"https://www.zeldadungeon.net/maps/totk/tiles/sky/6/41_35.jpg",</v>
      </c>
      <c r="H1899" t="str">
        <f>QUOTIENT(ROW(A1899),48)+2&amp;"_"&amp;MOD(ROW(A1899),48)+8</f>
        <v>41_35</v>
      </c>
    </row>
    <row r="1900" spans="1:8" x14ac:dyDescent="0.2">
      <c r="A1900" s="9" t="s">
        <v>51</v>
      </c>
      <c r="C1900" t="str">
        <f>""""&amp;SUBSTITUTE(A1900,"zzz",H1900)&amp;""""&amp;","</f>
        <v>"https://www.zeldadungeon.net/maps/totk/tiles/sky/6/41_36.jpg",</v>
      </c>
      <c r="H1900" t="str">
        <f>QUOTIENT(ROW(A1900),48)+2&amp;"_"&amp;MOD(ROW(A1900),48)+8</f>
        <v>41_36</v>
      </c>
    </row>
    <row r="1901" spans="1:8" x14ac:dyDescent="0.2">
      <c r="A1901" s="9" t="s">
        <v>51</v>
      </c>
      <c r="C1901" t="str">
        <f>""""&amp;SUBSTITUTE(A1901,"zzz",H1901)&amp;""""&amp;","</f>
        <v>"https://www.zeldadungeon.net/maps/totk/tiles/sky/6/41_37.jpg",</v>
      </c>
      <c r="H1901" t="str">
        <f>QUOTIENT(ROW(A1901),48)+2&amp;"_"&amp;MOD(ROW(A1901),48)+8</f>
        <v>41_37</v>
      </c>
    </row>
    <row r="1902" spans="1:8" x14ac:dyDescent="0.2">
      <c r="A1902" s="9" t="s">
        <v>51</v>
      </c>
      <c r="C1902" t="str">
        <f>""""&amp;SUBSTITUTE(A1902,"zzz",H1902)&amp;""""&amp;","</f>
        <v>"https://www.zeldadungeon.net/maps/totk/tiles/sky/6/41_38.jpg",</v>
      </c>
      <c r="H1902" t="str">
        <f>QUOTIENT(ROW(A1902),48)+2&amp;"_"&amp;MOD(ROW(A1902),48)+8</f>
        <v>41_38</v>
      </c>
    </row>
    <row r="1903" spans="1:8" x14ac:dyDescent="0.2">
      <c r="A1903" s="9" t="s">
        <v>51</v>
      </c>
      <c r="C1903" t="str">
        <f>""""&amp;SUBSTITUTE(A1903,"zzz",H1903)&amp;""""&amp;","</f>
        <v>"https://www.zeldadungeon.net/maps/totk/tiles/sky/6/41_39.jpg",</v>
      </c>
      <c r="H1903" t="str">
        <f>QUOTIENT(ROW(A1903),48)+2&amp;"_"&amp;MOD(ROW(A1903),48)+8</f>
        <v>41_39</v>
      </c>
    </row>
    <row r="1904" spans="1:8" x14ac:dyDescent="0.2">
      <c r="A1904" s="9" t="s">
        <v>51</v>
      </c>
      <c r="C1904" t="str">
        <f>""""&amp;SUBSTITUTE(A1904,"zzz",H1904)&amp;""""&amp;","</f>
        <v>"https://www.zeldadungeon.net/maps/totk/tiles/sky/6/41_40.jpg",</v>
      </c>
      <c r="H1904" t="str">
        <f>QUOTIENT(ROW(A1904),48)+2&amp;"_"&amp;MOD(ROW(A1904),48)+8</f>
        <v>41_40</v>
      </c>
    </row>
    <row r="1905" spans="1:8" x14ac:dyDescent="0.2">
      <c r="A1905" s="9" t="s">
        <v>51</v>
      </c>
      <c r="C1905" t="str">
        <f>""""&amp;SUBSTITUTE(A1905,"zzz",H1905)&amp;""""&amp;","</f>
        <v>"https://www.zeldadungeon.net/maps/totk/tiles/sky/6/41_41.jpg",</v>
      </c>
      <c r="H1905" t="str">
        <f>QUOTIENT(ROW(A1905),48)+2&amp;"_"&amp;MOD(ROW(A1905),48)+8</f>
        <v>41_41</v>
      </c>
    </row>
    <row r="1906" spans="1:8" x14ac:dyDescent="0.2">
      <c r="A1906" s="9" t="s">
        <v>51</v>
      </c>
      <c r="C1906" t="str">
        <f>""""&amp;SUBSTITUTE(A1906,"zzz",H1906)&amp;""""&amp;","</f>
        <v>"https://www.zeldadungeon.net/maps/totk/tiles/sky/6/41_42.jpg",</v>
      </c>
      <c r="H1906" t="str">
        <f>QUOTIENT(ROW(A1906),48)+2&amp;"_"&amp;MOD(ROW(A1906),48)+8</f>
        <v>41_42</v>
      </c>
    </row>
    <row r="1907" spans="1:8" x14ac:dyDescent="0.2">
      <c r="A1907" s="9" t="s">
        <v>51</v>
      </c>
      <c r="C1907" t="str">
        <f>""""&amp;SUBSTITUTE(A1907,"zzz",H1907)&amp;""""&amp;","</f>
        <v>"https://www.zeldadungeon.net/maps/totk/tiles/sky/6/41_43.jpg",</v>
      </c>
      <c r="H1907" t="str">
        <f>QUOTIENT(ROW(A1907),48)+2&amp;"_"&amp;MOD(ROW(A1907),48)+8</f>
        <v>41_43</v>
      </c>
    </row>
    <row r="1908" spans="1:8" x14ac:dyDescent="0.2">
      <c r="A1908" s="9" t="s">
        <v>51</v>
      </c>
      <c r="C1908" t="str">
        <f>""""&amp;SUBSTITUTE(A1908,"zzz",H1908)&amp;""""&amp;","</f>
        <v>"https://www.zeldadungeon.net/maps/totk/tiles/sky/6/41_44.jpg",</v>
      </c>
      <c r="H1908" t="str">
        <f>QUOTIENT(ROW(A1908),48)+2&amp;"_"&amp;MOD(ROW(A1908),48)+8</f>
        <v>41_44</v>
      </c>
    </row>
    <row r="1909" spans="1:8" x14ac:dyDescent="0.2">
      <c r="A1909" s="9" t="s">
        <v>51</v>
      </c>
      <c r="C1909" t="str">
        <f>""""&amp;SUBSTITUTE(A1909,"zzz",H1909)&amp;""""&amp;","</f>
        <v>"https://www.zeldadungeon.net/maps/totk/tiles/sky/6/41_45.jpg",</v>
      </c>
      <c r="H1909" t="str">
        <f>QUOTIENT(ROW(A1909),48)+2&amp;"_"&amp;MOD(ROW(A1909),48)+8</f>
        <v>41_45</v>
      </c>
    </row>
    <row r="1910" spans="1:8" x14ac:dyDescent="0.2">
      <c r="A1910" s="9" t="s">
        <v>51</v>
      </c>
      <c r="C1910" t="str">
        <f>""""&amp;SUBSTITUTE(A1910,"zzz",H1910)&amp;""""&amp;","</f>
        <v>"https://www.zeldadungeon.net/maps/totk/tiles/sky/6/41_46.jpg",</v>
      </c>
      <c r="H1910" t="str">
        <f>QUOTIENT(ROW(A1910),48)+2&amp;"_"&amp;MOD(ROW(A1910),48)+8</f>
        <v>41_46</v>
      </c>
    </row>
    <row r="1911" spans="1:8" x14ac:dyDescent="0.2">
      <c r="A1911" s="9" t="s">
        <v>51</v>
      </c>
      <c r="C1911" t="str">
        <f>""""&amp;SUBSTITUTE(A1911,"zzz",H1911)&amp;""""&amp;","</f>
        <v>"https://www.zeldadungeon.net/maps/totk/tiles/sky/6/41_47.jpg",</v>
      </c>
      <c r="H1911" t="str">
        <f>QUOTIENT(ROW(A1911),48)+2&amp;"_"&amp;MOD(ROW(A1911),48)+8</f>
        <v>41_47</v>
      </c>
    </row>
    <row r="1912" spans="1:8" x14ac:dyDescent="0.2">
      <c r="A1912" s="9" t="s">
        <v>51</v>
      </c>
      <c r="C1912" t="str">
        <f>""""&amp;SUBSTITUTE(A1912,"zzz",H1912)&amp;""""&amp;","</f>
        <v>"https://www.zeldadungeon.net/maps/totk/tiles/sky/6/41_48.jpg",</v>
      </c>
      <c r="H1912" t="str">
        <f>QUOTIENT(ROW(A1912),48)+2&amp;"_"&amp;MOD(ROW(A1912),48)+8</f>
        <v>41_48</v>
      </c>
    </row>
    <row r="1913" spans="1:8" x14ac:dyDescent="0.2">
      <c r="A1913" s="9" t="s">
        <v>51</v>
      </c>
      <c r="C1913" t="str">
        <f>""""&amp;SUBSTITUTE(A1913,"zzz",H1913)&amp;""""&amp;","</f>
        <v>"https://www.zeldadungeon.net/maps/totk/tiles/sky/6/41_49.jpg",</v>
      </c>
      <c r="H1913" t="str">
        <f>QUOTIENT(ROW(A1913),48)+2&amp;"_"&amp;MOD(ROW(A1913),48)+8</f>
        <v>41_49</v>
      </c>
    </row>
    <row r="1914" spans="1:8" x14ac:dyDescent="0.2">
      <c r="A1914" s="9" t="s">
        <v>51</v>
      </c>
      <c r="C1914" t="str">
        <f>""""&amp;SUBSTITUTE(A1914,"zzz",H1914)&amp;""""&amp;","</f>
        <v>"https://www.zeldadungeon.net/maps/totk/tiles/sky/6/41_50.jpg",</v>
      </c>
      <c r="H1914" t="str">
        <f>QUOTIENT(ROW(A1914),48)+2&amp;"_"&amp;MOD(ROW(A1914),48)+8</f>
        <v>41_50</v>
      </c>
    </row>
    <row r="1915" spans="1:8" x14ac:dyDescent="0.2">
      <c r="A1915" s="9" t="s">
        <v>51</v>
      </c>
      <c r="C1915" t="str">
        <f>""""&amp;SUBSTITUTE(A1915,"zzz",H1915)&amp;""""&amp;","</f>
        <v>"https://www.zeldadungeon.net/maps/totk/tiles/sky/6/41_51.jpg",</v>
      </c>
      <c r="H1915" t="str">
        <f>QUOTIENT(ROW(A1915),48)+2&amp;"_"&amp;MOD(ROW(A1915),48)+8</f>
        <v>41_51</v>
      </c>
    </row>
    <row r="1916" spans="1:8" x14ac:dyDescent="0.2">
      <c r="A1916" s="9" t="s">
        <v>51</v>
      </c>
      <c r="C1916" t="str">
        <f>""""&amp;SUBSTITUTE(A1916,"zzz",H1916)&amp;""""&amp;","</f>
        <v>"https://www.zeldadungeon.net/maps/totk/tiles/sky/6/41_52.jpg",</v>
      </c>
      <c r="H1916" t="str">
        <f>QUOTIENT(ROW(A1916),48)+2&amp;"_"&amp;MOD(ROW(A1916),48)+8</f>
        <v>41_52</v>
      </c>
    </row>
    <row r="1917" spans="1:8" x14ac:dyDescent="0.2">
      <c r="A1917" s="9" t="s">
        <v>51</v>
      </c>
      <c r="C1917" t="str">
        <f>""""&amp;SUBSTITUTE(A1917,"zzz",H1917)&amp;""""&amp;","</f>
        <v>"https://www.zeldadungeon.net/maps/totk/tiles/sky/6/41_53.jpg",</v>
      </c>
      <c r="H1917" t="str">
        <f>QUOTIENT(ROW(A1917),48)+2&amp;"_"&amp;MOD(ROW(A1917),48)+8</f>
        <v>41_53</v>
      </c>
    </row>
    <row r="1918" spans="1:8" x14ac:dyDescent="0.2">
      <c r="A1918" s="9" t="s">
        <v>51</v>
      </c>
      <c r="C1918" t="str">
        <f>""""&amp;SUBSTITUTE(A1918,"zzz",H1918)&amp;""""&amp;","</f>
        <v>"https://www.zeldadungeon.net/maps/totk/tiles/sky/6/41_54.jpg",</v>
      </c>
      <c r="H1918" t="str">
        <f>QUOTIENT(ROW(A1918),48)+2&amp;"_"&amp;MOD(ROW(A1918),48)+8</f>
        <v>41_54</v>
      </c>
    </row>
    <row r="1919" spans="1:8" x14ac:dyDescent="0.2">
      <c r="A1919" s="9" t="s">
        <v>51</v>
      </c>
      <c r="C1919" t="str">
        <f>""""&amp;SUBSTITUTE(A1919,"zzz",H1919)&amp;""""&amp;","</f>
        <v>"https://www.zeldadungeon.net/maps/totk/tiles/sky/6/41_55.jpg",</v>
      </c>
      <c r="H1919" t="str">
        <f>QUOTIENT(ROW(A1919),48)+2&amp;"_"&amp;MOD(ROW(A1919),48)+8</f>
        <v>41_55</v>
      </c>
    </row>
    <row r="1920" spans="1:8" x14ac:dyDescent="0.2">
      <c r="A1920" s="9" t="s">
        <v>51</v>
      </c>
      <c r="C1920" t="str">
        <f>""""&amp;SUBSTITUTE(A1920,"zzz",H1920)&amp;""""&amp;","</f>
        <v>"https://www.zeldadungeon.net/maps/totk/tiles/sky/6/42_8.jpg",</v>
      </c>
      <c r="H1920" t="str">
        <f>QUOTIENT(ROW(A1920),48)+2&amp;"_"&amp;MOD(ROW(A1920),48)+8</f>
        <v>42_8</v>
      </c>
    </row>
    <row r="1921" spans="1:8" x14ac:dyDescent="0.2">
      <c r="A1921" s="9" t="s">
        <v>51</v>
      </c>
      <c r="C1921" t="str">
        <f>""""&amp;SUBSTITUTE(A1921,"zzz",H1921)&amp;""""&amp;","</f>
        <v>"https://www.zeldadungeon.net/maps/totk/tiles/sky/6/42_9.jpg",</v>
      </c>
      <c r="H1921" t="str">
        <f>QUOTIENT(ROW(A1921),48)+2&amp;"_"&amp;MOD(ROW(A1921),48)+8</f>
        <v>42_9</v>
      </c>
    </row>
    <row r="1922" spans="1:8" x14ac:dyDescent="0.2">
      <c r="A1922" s="9" t="s">
        <v>51</v>
      </c>
      <c r="C1922" t="str">
        <f>""""&amp;SUBSTITUTE(A1922,"zzz",H1922)&amp;""""&amp;","</f>
        <v>"https://www.zeldadungeon.net/maps/totk/tiles/sky/6/42_10.jpg",</v>
      </c>
      <c r="H1922" t="str">
        <f>QUOTIENT(ROW(A1922),48)+2&amp;"_"&amp;MOD(ROW(A1922),48)+8</f>
        <v>42_10</v>
      </c>
    </row>
    <row r="1923" spans="1:8" x14ac:dyDescent="0.2">
      <c r="A1923" s="9" t="s">
        <v>51</v>
      </c>
      <c r="C1923" t="str">
        <f>""""&amp;SUBSTITUTE(A1923,"zzz",H1923)&amp;""""&amp;","</f>
        <v>"https://www.zeldadungeon.net/maps/totk/tiles/sky/6/42_11.jpg",</v>
      </c>
      <c r="H1923" t="str">
        <f>QUOTIENT(ROW(A1923),48)+2&amp;"_"&amp;MOD(ROW(A1923),48)+8</f>
        <v>42_11</v>
      </c>
    </row>
    <row r="1924" spans="1:8" x14ac:dyDescent="0.2">
      <c r="A1924" s="9" t="s">
        <v>51</v>
      </c>
      <c r="C1924" t="str">
        <f>""""&amp;SUBSTITUTE(A1924,"zzz",H1924)&amp;""""&amp;","</f>
        <v>"https://www.zeldadungeon.net/maps/totk/tiles/sky/6/42_12.jpg",</v>
      </c>
      <c r="H1924" t="str">
        <f>QUOTIENT(ROW(A1924),48)+2&amp;"_"&amp;MOD(ROW(A1924),48)+8</f>
        <v>42_12</v>
      </c>
    </row>
    <row r="1925" spans="1:8" x14ac:dyDescent="0.2">
      <c r="A1925" s="9" t="s">
        <v>51</v>
      </c>
      <c r="C1925" t="str">
        <f>""""&amp;SUBSTITUTE(A1925,"zzz",H1925)&amp;""""&amp;","</f>
        <v>"https://www.zeldadungeon.net/maps/totk/tiles/sky/6/42_13.jpg",</v>
      </c>
      <c r="H1925" t="str">
        <f>QUOTIENT(ROW(A1925),48)+2&amp;"_"&amp;MOD(ROW(A1925),48)+8</f>
        <v>42_13</v>
      </c>
    </row>
    <row r="1926" spans="1:8" x14ac:dyDescent="0.2">
      <c r="A1926" s="9" t="s">
        <v>51</v>
      </c>
      <c r="C1926" t="str">
        <f>""""&amp;SUBSTITUTE(A1926,"zzz",H1926)&amp;""""&amp;","</f>
        <v>"https://www.zeldadungeon.net/maps/totk/tiles/sky/6/42_14.jpg",</v>
      </c>
      <c r="H1926" t="str">
        <f>QUOTIENT(ROW(A1926),48)+2&amp;"_"&amp;MOD(ROW(A1926),48)+8</f>
        <v>42_14</v>
      </c>
    </row>
    <row r="1927" spans="1:8" x14ac:dyDescent="0.2">
      <c r="A1927" s="9" t="s">
        <v>51</v>
      </c>
      <c r="C1927" t="str">
        <f>""""&amp;SUBSTITUTE(A1927,"zzz",H1927)&amp;""""&amp;","</f>
        <v>"https://www.zeldadungeon.net/maps/totk/tiles/sky/6/42_15.jpg",</v>
      </c>
      <c r="H1927" t="str">
        <f>QUOTIENT(ROW(A1927),48)+2&amp;"_"&amp;MOD(ROW(A1927),48)+8</f>
        <v>42_15</v>
      </c>
    </row>
    <row r="1928" spans="1:8" x14ac:dyDescent="0.2">
      <c r="A1928" s="9" t="s">
        <v>51</v>
      </c>
      <c r="C1928" t="str">
        <f>""""&amp;SUBSTITUTE(A1928,"zzz",H1928)&amp;""""&amp;","</f>
        <v>"https://www.zeldadungeon.net/maps/totk/tiles/sky/6/42_16.jpg",</v>
      </c>
      <c r="H1928" t="str">
        <f>QUOTIENT(ROW(A1928),48)+2&amp;"_"&amp;MOD(ROW(A1928),48)+8</f>
        <v>42_16</v>
      </c>
    </row>
    <row r="1929" spans="1:8" x14ac:dyDescent="0.2">
      <c r="A1929" s="9" t="s">
        <v>51</v>
      </c>
      <c r="C1929" t="str">
        <f>""""&amp;SUBSTITUTE(A1929,"zzz",H1929)&amp;""""&amp;","</f>
        <v>"https://www.zeldadungeon.net/maps/totk/tiles/sky/6/42_17.jpg",</v>
      </c>
      <c r="H1929" t="str">
        <f>QUOTIENT(ROW(A1929),48)+2&amp;"_"&amp;MOD(ROW(A1929),48)+8</f>
        <v>42_17</v>
      </c>
    </row>
    <row r="1930" spans="1:8" x14ac:dyDescent="0.2">
      <c r="A1930" s="9" t="s">
        <v>51</v>
      </c>
      <c r="C1930" t="str">
        <f>""""&amp;SUBSTITUTE(A1930,"zzz",H1930)&amp;""""&amp;","</f>
        <v>"https://www.zeldadungeon.net/maps/totk/tiles/sky/6/42_18.jpg",</v>
      </c>
      <c r="H1930" t="str">
        <f>QUOTIENT(ROW(A1930),48)+2&amp;"_"&amp;MOD(ROW(A1930),48)+8</f>
        <v>42_18</v>
      </c>
    </row>
    <row r="1931" spans="1:8" x14ac:dyDescent="0.2">
      <c r="A1931" s="9" t="s">
        <v>51</v>
      </c>
      <c r="C1931" t="str">
        <f>""""&amp;SUBSTITUTE(A1931,"zzz",H1931)&amp;""""&amp;","</f>
        <v>"https://www.zeldadungeon.net/maps/totk/tiles/sky/6/42_19.jpg",</v>
      </c>
      <c r="H1931" t="str">
        <f>QUOTIENT(ROW(A1931),48)+2&amp;"_"&amp;MOD(ROW(A1931),48)+8</f>
        <v>42_19</v>
      </c>
    </row>
    <row r="1932" spans="1:8" x14ac:dyDescent="0.2">
      <c r="A1932" s="9" t="s">
        <v>51</v>
      </c>
      <c r="C1932" t="str">
        <f>""""&amp;SUBSTITUTE(A1932,"zzz",H1932)&amp;""""&amp;","</f>
        <v>"https://www.zeldadungeon.net/maps/totk/tiles/sky/6/42_20.jpg",</v>
      </c>
      <c r="H1932" t="str">
        <f>QUOTIENT(ROW(A1932),48)+2&amp;"_"&amp;MOD(ROW(A1932),48)+8</f>
        <v>42_20</v>
      </c>
    </row>
    <row r="1933" spans="1:8" x14ac:dyDescent="0.2">
      <c r="A1933" s="9" t="s">
        <v>51</v>
      </c>
      <c r="C1933" t="str">
        <f>""""&amp;SUBSTITUTE(A1933,"zzz",H1933)&amp;""""&amp;","</f>
        <v>"https://www.zeldadungeon.net/maps/totk/tiles/sky/6/42_21.jpg",</v>
      </c>
      <c r="H1933" t="str">
        <f>QUOTIENT(ROW(A1933),48)+2&amp;"_"&amp;MOD(ROW(A1933),48)+8</f>
        <v>42_21</v>
      </c>
    </row>
    <row r="1934" spans="1:8" x14ac:dyDescent="0.2">
      <c r="A1934" s="9" t="s">
        <v>51</v>
      </c>
      <c r="C1934" t="str">
        <f>""""&amp;SUBSTITUTE(A1934,"zzz",H1934)&amp;""""&amp;","</f>
        <v>"https://www.zeldadungeon.net/maps/totk/tiles/sky/6/42_22.jpg",</v>
      </c>
      <c r="H1934" t="str">
        <f>QUOTIENT(ROW(A1934),48)+2&amp;"_"&amp;MOD(ROW(A1934),48)+8</f>
        <v>42_22</v>
      </c>
    </row>
    <row r="1935" spans="1:8" x14ac:dyDescent="0.2">
      <c r="A1935" s="9" t="s">
        <v>51</v>
      </c>
      <c r="C1935" t="str">
        <f>""""&amp;SUBSTITUTE(A1935,"zzz",H1935)&amp;""""&amp;","</f>
        <v>"https://www.zeldadungeon.net/maps/totk/tiles/sky/6/42_23.jpg",</v>
      </c>
      <c r="H1935" t="str">
        <f>QUOTIENT(ROW(A1935),48)+2&amp;"_"&amp;MOD(ROW(A1935),48)+8</f>
        <v>42_23</v>
      </c>
    </row>
    <row r="1936" spans="1:8" x14ac:dyDescent="0.2">
      <c r="A1936" s="9" t="s">
        <v>51</v>
      </c>
      <c r="C1936" t="str">
        <f>""""&amp;SUBSTITUTE(A1936,"zzz",H1936)&amp;""""&amp;","</f>
        <v>"https://www.zeldadungeon.net/maps/totk/tiles/sky/6/42_24.jpg",</v>
      </c>
      <c r="H1936" t="str">
        <f>QUOTIENT(ROW(A1936),48)+2&amp;"_"&amp;MOD(ROW(A1936),48)+8</f>
        <v>42_24</v>
      </c>
    </row>
    <row r="1937" spans="1:8" x14ac:dyDescent="0.2">
      <c r="A1937" s="9" t="s">
        <v>51</v>
      </c>
      <c r="C1937" t="str">
        <f>""""&amp;SUBSTITUTE(A1937,"zzz",H1937)&amp;""""&amp;","</f>
        <v>"https://www.zeldadungeon.net/maps/totk/tiles/sky/6/42_25.jpg",</v>
      </c>
      <c r="H1937" t="str">
        <f>QUOTIENT(ROW(A1937),48)+2&amp;"_"&amp;MOD(ROW(A1937),48)+8</f>
        <v>42_25</v>
      </c>
    </row>
    <row r="1938" spans="1:8" x14ac:dyDescent="0.2">
      <c r="A1938" s="9" t="s">
        <v>51</v>
      </c>
      <c r="C1938" t="str">
        <f>""""&amp;SUBSTITUTE(A1938,"zzz",H1938)&amp;""""&amp;","</f>
        <v>"https://www.zeldadungeon.net/maps/totk/tiles/sky/6/42_26.jpg",</v>
      </c>
      <c r="H1938" t="str">
        <f>QUOTIENT(ROW(A1938),48)+2&amp;"_"&amp;MOD(ROW(A1938),48)+8</f>
        <v>42_26</v>
      </c>
    </row>
    <row r="1939" spans="1:8" x14ac:dyDescent="0.2">
      <c r="A1939" s="9" t="s">
        <v>51</v>
      </c>
      <c r="C1939" t="str">
        <f>""""&amp;SUBSTITUTE(A1939,"zzz",H1939)&amp;""""&amp;","</f>
        <v>"https://www.zeldadungeon.net/maps/totk/tiles/sky/6/42_27.jpg",</v>
      </c>
      <c r="H1939" t="str">
        <f>QUOTIENT(ROW(A1939),48)+2&amp;"_"&amp;MOD(ROW(A1939),48)+8</f>
        <v>42_27</v>
      </c>
    </row>
    <row r="1940" spans="1:8" x14ac:dyDescent="0.2">
      <c r="A1940" s="9" t="s">
        <v>51</v>
      </c>
      <c r="C1940" t="str">
        <f>""""&amp;SUBSTITUTE(A1940,"zzz",H1940)&amp;""""&amp;","</f>
        <v>"https://www.zeldadungeon.net/maps/totk/tiles/sky/6/42_28.jpg",</v>
      </c>
      <c r="H1940" t="str">
        <f>QUOTIENT(ROW(A1940),48)+2&amp;"_"&amp;MOD(ROW(A1940),48)+8</f>
        <v>42_28</v>
      </c>
    </row>
    <row r="1941" spans="1:8" x14ac:dyDescent="0.2">
      <c r="A1941" s="9" t="s">
        <v>51</v>
      </c>
      <c r="C1941" t="str">
        <f>""""&amp;SUBSTITUTE(A1941,"zzz",H1941)&amp;""""&amp;","</f>
        <v>"https://www.zeldadungeon.net/maps/totk/tiles/sky/6/42_29.jpg",</v>
      </c>
      <c r="H1941" t="str">
        <f>QUOTIENT(ROW(A1941),48)+2&amp;"_"&amp;MOD(ROW(A1941),48)+8</f>
        <v>42_29</v>
      </c>
    </row>
    <row r="1942" spans="1:8" x14ac:dyDescent="0.2">
      <c r="A1942" s="9" t="s">
        <v>51</v>
      </c>
      <c r="C1942" t="str">
        <f>""""&amp;SUBSTITUTE(A1942,"zzz",H1942)&amp;""""&amp;","</f>
        <v>"https://www.zeldadungeon.net/maps/totk/tiles/sky/6/42_30.jpg",</v>
      </c>
      <c r="H1942" t="str">
        <f>QUOTIENT(ROW(A1942),48)+2&amp;"_"&amp;MOD(ROW(A1942),48)+8</f>
        <v>42_30</v>
      </c>
    </row>
    <row r="1943" spans="1:8" x14ac:dyDescent="0.2">
      <c r="A1943" s="9" t="s">
        <v>51</v>
      </c>
      <c r="C1943" t="str">
        <f>""""&amp;SUBSTITUTE(A1943,"zzz",H1943)&amp;""""&amp;","</f>
        <v>"https://www.zeldadungeon.net/maps/totk/tiles/sky/6/42_31.jpg",</v>
      </c>
      <c r="H1943" t="str">
        <f>QUOTIENT(ROW(A1943),48)+2&amp;"_"&amp;MOD(ROW(A1943),48)+8</f>
        <v>42_31</v>
      </c>
    </row>
    <row r="1944" spans="1:8" x14ac:dyDescent="0.2">
      <c r="A1944" s="9" t="s">
        <v>51</v>
      </c>
      <c r="C1944" t="str">
        <f>""""&amp;SUBSTITUTE(A1944,"zzz",H1944)&amp;""""&amp;","</f>
        <v>"https://www.zeldadungeon.net/maps/totk/tiles/sky/6/42_32.jpg",</v>
      </c>
      <c r="H1944" t="str">
        <f>QUOTIENT(ROW(A1944),48)+2&amp;"_"&amp;MOD(ROW(A1944),48)+8</f>
        <v>42_32</v>
      </c>
    </row>
    <row r="1945" spans="1:8" x14ac:dyDescent="0.2">
      <c r="A1945" s="9" t="s">
        <v>51</v>
      </c>
      <c r="C1945" t="str">
        <f>""""&amp;SUBSTITUTE(A1945,"zzz",H1945)&amp;""""&amp;","</f>
        <v>"https://www.zeldadungeon.net/maps/totk/tiles/sky/6/42_33.jpg",</v>
      </c>
      <c r="H1945" t="str">
        <f>QUOTIENT(ROW(A1945),48)+2&amp;"_"&amp;MOD(ROW(A1945),48)+8</f>
        <v>42_33</v>
      </c>
    </row>
    <row r="1946" spans="1:8" x14ac:dyDescent="0.2">
      <c r="A1946" s="9" t="s">
        <v>51</v>
      </c>
      <c r="C1946" t="str">
        <f>""""&amp;SUBSTITUTE(A1946,"zzz",H1946)&amp;""""&amp;","</f>
        <v>"https://www.zeldadungeon.net/maps/totk/tiles/sky/6/42_34.jpg",</v>
      </c>
      <c r="H1946" t="str">
        <f>QUOTIENT(ROW(A1946),48)+2&amp;"_"&amp;MOD(ROW(A1946),48)+8</f>
        <v>42_34</v>
      </c>
    </row>
    <row r="1947" spans="1:8" x14ac:dyDescent="0.2">
      <c r="A1947" s="9" t="s">
        <v>51</v>
      </c>
      <c r="C1947" t="str">
        <f>""""&amp;SUBSTITUTE(A1947,"zzz",H1947)&amp;""""&amp;","</f>
        <v>"https://www.zeldadungeon.net/maps/totk/tiles/sky/6/42_35.jpg",</v>
      </c>
      <c r="H1947" t="str">
        <f>QUOTIENT(ROW(A1947),48)+2&amp;"_"&amp;MOD(ROW(A1947),48)+8</f>
        <v>42_35</v>
      </c>
    </row>
    <row r="1948" spans="1:8" x14ac:dyDescent="0.2">
      <c r="A1948" s="9" t="s">
        <v>51</v>
      </c>
      <c r="C1948" t="str">
        <f>""""&amp;SUBSTITUTE(A1948,"zzz",H1948)&amp;""""&amp;","</f>
        <v>"https://www.zeldadungeon.net/maps/totk/tiles/sky/6/42_36.jpg",</v>
      </c>
      <c r="H1948" t="str">
        <f>QUOTIENT(ROW(A1948),48)+2&amp;"_"&amp;MOD(ROW(A1948),48)+8</f>
        <v>42_36</v>
      </c>
    </row>
    <row r="1949" spans="1:8" x14ac:dyDescent="0.2">
      <c r="A1949" s="9" t="s">
        <v>51</v>
      </c>
      <c r="C1949" t="str">
        <f>""""&amp;SUBSTITUTE(A1949,"zzz",H1949)&amp;""""&amp;","</f>
        <v>"https://www.zeldadungeon.net/maps/totk/tiles/sky/6/42_37.jpg",</v>
      </c>
      <c r="H1949" t="str">
        <f>QUOTIENT(ROW(A1949),48)+2&amp;"_"&amp;MOD(ROW(A1949),48)+8</f>
        <v>42_37</v>
      </c>
    </row>
    <row r="1950" spans="1:8" x14ac:dyDescent="0.2">
      <c r="A1950" s="9" t="s">
        <v>51</v>
      </c>
      <c r="C1950" t="str">
        <f>""""&amp;SUBSTITUTE(A1950,"zzz",H1950)&amp;""""&amp;","</f>
        <v>"https://www.zeldadungeon.net/maps/totk/tiles/sky/6/42_38.jpg",</v>
      </c>
      <c r="H1950" t="str">
        <f>QUOTIENT(ROW(A1950),48)+2&amp;"_"&amp;MOD(ROW(A1950),48)+8</f>
        <v>42_38</v>
      </c>
    </row>
    <row r="1951" spans="1:8" x14ac:dyDescent="0.2">
      <c r="A1951" s="9" t="s">
        <v>51</v>
      </c>
      <c r="C1951" t="str">
        <f>""""&amp;SUBSTITUTE(A1951,"zzz",H1951)&amp;""""&amp;","</f>
        <v>"https://www.zeldadungeon.net/maps/totk/tiles/sky/6/42_39.jpg",</v>
      </c>
      <c r="H1951" t="str">
        <f>QUOTIENT(ROW(A1951),48)+2&amp;"_"&amp;MOD(ROW(A1951),48)+8</f>
        <v>42_39</v>
      </c>
    </row>
    <row r="1952" spans="1:8" x14ac:dyDescent="0.2">
      <c r="A1952" s="9" t="s">
        <v>51</v>
      </c>
      <c r="C1952" t="str">
        <f>""""&amp;SUBSTITUTE(A1952,"zzz",H1952)&amp;""""&amp;","</f>
        <v>"https://www.zeldadungeon.net/maps/totk/tiles/sky/6/42_40.jpg",</v>
      </c>
      <c r="H1952" t="str">
        <f>QUOTIENT(ROW(A1952),48)+2&amp;"_"&amp;MOD(ROW(A1952),48)+8</f>
        <v>42_40</v>
      </c>
    </row>
    <row r="1953" spans="1:8" x14ac:dyDescent="0.2">
      <c r="A1953" s="9" t="s">
        <v>51</v>
      </c>
      <c r="C1953" t="str">
        <f>""""&amp;SUBSTITUTE(A1953,"zzz",H1953)&amp;""""&amp;","</f>
        <v>"https://www.zeldadungeon.net/maps/totk/tiles/sky/6/42_41.jpg",</v>
      </c>
      <c r="H1953" t="str">
        <f>QUOTIENT(ROW(A1953),48)+2&amp;"_"&amp;MOD(ROW(A1953),48)+8</f>
        <v>42_41</v>
      </c>
    </row>
    <row r="1954" spans="1:8" x14ac:dyDescent="0.2">
      <c r="A1954" s="9" t="s">
        <v>51</v>
      </c>
      <c r="C1954" t="str">
        <f>""""&amp;SUBSTITUTE(A1954,"zzz",H1954)&amp;""""&amp;","</f>
        <v>"https://www.zeldadungeon.net/maps/totk/tiles/sky/6/42_42.jpg",</v>
      </c>
      <c r="H1954" t="str">
        <f>QUOTIENT(ROW(A1954),48)+2&amp;"_"&amp;MOD(ROW(A1954),48)+8</f>
        <v>42_42</v>
      </c>
    </row>
    <row r="1955" spans="1:8" x14ac:dyDescent="0.2">
      <c r="A1955" s="9" t="s">
        <v>51</v>
      </c>
      <c r="C1955" t="str">
        <f>""""&amp;SUBSTITUTE(A1955,"zzz",H1955)&amp;""""&amp;","</f>
        <v>"https://www.zeldadungeon.net/maps/totk/tiles/sky/6/42_43.jpg",</v>
      </c>
      <c r="H1955" t="str">
        <f>QUOTIENT(ROW(A1955),48)+2&amp;"_"&amp;MOD(ROW(A1955),48)+8</f>
        <v>42_43</v>
      </c>
    </row>
    <row r="1956" spans="1:8" x14ac:dyDescent="0.2">
      <c r="A1956" s="9" t="s">
        <v>51</v>
      </c>
      <c r="C1956" t="str">
        <f>""""&amp;SUBSTITUTE(A1956,"zzz",H1956)&amp;""""&amp;","</f>
        <v>"https://www.zeldadungeon.net/maps/totk/tiles/sky/6/42_44.jpg",</v>
      </c>
      <c r="H1956" t="str">
        <f>QUOTIENT(ROW(A1956),48)+2&amp;"_"&amp;MOD(ROW(A1956),48)+8</f>
        <v>42_44</v>
      </c>
    </row>
    <row r="1957" spans="1:8" x14ac:dyDescent="0.2">
      <c r="A1957" s="9" t="s">
        <v>51</v>
      </c>
      <c r="C1957" t="str">
        <f>""""&amp;SUBSTITUTE(A1957,"zzz",H1957)&amp;""""&amp;","</f>
        <v>"https://www.zeldadungeon.net/maps/totk/tiles/sky/6/42_45.jpg",</v>
      </c>
      <c r="H1957" t="str">
        <f>QUOTIENT(ROW(A1957),48)+2&amp;"_"&amp;MOD(ROW(A1957),48)+8</f>
        <v>42_45</v>
      </c>
    </row>
    <row r="1958" spans="1:8" x14ac:dyDescent="0.2">
      <c r="A1958" s="9" t="s">
        <v>51</v>
      </c>
      <c r="C1958" t="str">
        <f>""""&amp;SUBSTITUTE(A1958,"zzz",H1958)&amp;""""&amp;","</f>
        <v>"https://www.zeldadungeon.net/maps/totk/tiles/sky/6/42_46.jpg",</v>
      </c>
      <c r="H1958" t="str">
        <f>QUOTIENT(ROW(A1958),48)+2&amp;"_"&amp;MOD(ROW(A1958),48)+8</f>
        <v>42_46</v>
      </c>
    </row>
    <row r="1959" spans="1:8" x14ac:dyDescent="0.2">
      <c r="A1959" s="9" t="s">
        <v>51</v>
      </c>
      <c r="C1959" t="str">
        <f>""""&amp;SUBSTITUTE(A1959,"zzz",H1959)&amp;""""&amp;","</f>
        <v>"https://www.zeldadungeon.net/maps/totk/tiles/sky/6/42_47.jpg",</v>
      </c>
      <c r="H1959" t="str">
        <f>QUOTIENT(ROW(A1959),48)+2&amp;"_"&amp;MOD(ROW(A1959),48)+8</f>
        <v>42_47</v>
      </c>
    </row>
    <row r="1960" spans="1:8" x14ac:dyDescent="0.2">
      <c r="A1960" s="9" t="s">
        <v>51</v>
      </c>
      <c r="C1960" t="str">
        <f>""""&amp;SUBSTITUTE(A1960,"zzz",H1960)&amp;""""&amp;","</f>
        <v>"https://www.zeldadungeon.net/maps/totk/tiles/sky/6/42_48.jpg",</v>
      </c>
      <c r="H1960" t="str">
        <f>QUOTIENT(ROW(A1960),48)+2&amp;"_"&amp;MOD(ROW(A1960),48)+8</f>
        <v>42_48</v>
      </c>
    </row>
    <row r="1961" spans="1:8" x14ac:dyDescent="0.2">
      <c r="A1961" s="9" t="s">
        <v>51</v>
      </c>
      <c r="C1961" t="str">
        <f>""""&amp;SUBSTITUTE(A1961,"zzz",H1961)&amp;""""&amp;","</f>
        <v>"https://www.zeldadungeon.net/maps/totk/tiles/sky/6/42_49.jpg",</v>
      </c>
      <c r="H1961" t="str">
        <f>QUOTIENT(ROW(A1961),48)+2&amp;"_"&amp;MOD(ROW(A1961),48)+8</f>
        <v>42_49</v>
      </c>
    </row>
    <row r="1962" spans="1:8" x14ac:dyDescent="0.2">
      <c r="A1962" s="9" t="s">
        <v>51</v>
      </c>
      <c r="C1962" t="str">
        <f>""""&amp;SUBSTITUTE(A1962,"zzz",H1962)&amp;""""&amp;","</f>
        <v>"https://www.zeldadungeon.net/maps/totk/tiles/sky/6/42_50.jpg",</v>
      </c>
      <c r="H1962" t="str">
        <f>QUOTIENT(ROW(A1962),48)+2&amp;"_"&amp;MOD(ROW(A1962),48)+8</f>
        <v>42_50</v>
      </c>
    </row>
    <row r="1963" spans="1:8" x14ac:dyDescent="0.2">
      <c r="A1963" s="9" t="s">
        <v>51</v>
      </c>
      <c r="C1963" t="str">
        <f>""""&amp;SUBSTITUTE(A1963,"zzz",H1963)&amp;""""&amp;","</f>
        <v>"https://www.zeldadungeon.net/maps/totk/tiles/sky/6/42_51.jpg",</v>
      </c>
      <c r="H1963" t="str">
        <f>QUOTIENT(ROW(A1963),48)+2&amp;"_"&amp;MOD(ROW(A1963),48)+8</f>
        <v>42_51</v>
      </c>
    </row>
    <row r="1964" spans="1:8" x14ac:dyDescent="0.2">
      <c r="A1964" s="9" t="s">
        <v>51</v>
      </c>
      <c r="C1964" t="str">
        <f>""""&amp;SUBSTITUTE(A1964,"zzz",H1964)&amp;""""&amp;","</f>
        <v>"https://www.zeldadungeon.net/maps/totk/tiles/sky/6/42_52.jpg",</v>
      </c>
      <c r="H1964" t="str">
        <f>QUOTIENT(ROW(A1964),48)+2&amp;"_"&amp;MOD(ROW(A1964),48)+8</f>
        <v>42_52</v>
      </c>
    </row>
    <row r="1965" spans="1:8" x14ac:dyDescent="0.2">
      <c r="A1965" s="9" t="s">
        <v>51</v>
      </c>
      <c r="C1965" t="str">
        <f>""""&amp;SUBSTITUTE(A1965,"zzz",H1965)&amp;""""&amp;","</f>
        <v>"https://www.zeldadungeon.net/maps/totk/tiles/sky/6/42_53.jpg",</v>
      </c>
      <c r="H1965" t="str">
        <f>QUOTIENT(ROW(A1965),48)+2&amp;"_"&amp;MOD(ROW(A1965),48)+8</f>
        <v>42_53</v>
      </c>
    </row>
    <row r="1966" spans="1:8" x14ac:dyDescent="0.2">
      <c r="A1966" s="9" t="s">
        <v>51</v>
      </c>
      <c r="C1966" t="str">
        <f>""""&amp;SUBSTITUTE(A1966,"zzz",H1966)&amp;""""&amp;","</f>
        <v>"https://www.zeldadungeon.net/maps/totk/tiles/sky/6/42_54.jpg",</v>
      </c>
      <c r="H1966" t="str">
        <f>QUOTIENT(ROW(A1966),48)+2&amp;"_"&amp;MOD(ROW(A1966),48)+8</f>
        <v>42_54</v>
      </c>
    </row>
    <row r="1967" spans="1:8" x14ac:dyDescent="0.2">
      <c r="A1967" s="9" t="s">
        <v>51</v>
      </c>
      <c r="C1967" t="str">
        <f>""""&amp;SUBSTITUTE(A1967,"zzz",H1967)&amp;""""&amp;","</f>
        <v>"https://www.zeldadungeon.net/maps/totk/tiles/sky/6/42_55.jpg",</v>
      </c>
      <c r="H1967" t="str">
        <f>QUOTIENT(ROW(A1967),48)+2&amp;"_"&amp;MOD(ROW(A1967),48)+8</f>
        <v>42_55</v>
      </c>
    </row>
    <row r="1968" spans="1:8" x14ac:dyDescent="0.2">
      <c r="A1968" s="9" t="s">
        <v>51</v>
      </c>
      <c r="C1968" t="str">
        <f>""""&amp;SUBSTITUTE(A1968,"zzz",H1968)&amp;""""&amp;","</f>
        <v>"https://www.zeldadungeon.net/maps/totk/tiles/sky/6/43_8.jpg",</v>
      </c>
      <c r="H1968" t="str">
        <f>QUOTIENT(ROW(A1968),48)+2&amp;"_"&amp;MOD(ROW(A1968),48)+8</f>
        <v>43_8</v>
      </c>
    </row>
    <row r="1969" spans="1:8" x14ac:dyDescent="0.2">
      <c r="A1969" s="9" t="s">
        <v>51</v>
      </c>
      <c r="C1969" t="str">
        <f>""""&amp;SUBSTITUTE(A1969,"zzz",H1969)&amp;""""&amp;","</f>
        <v>"https://www.zeldadungeon.net/maps/totk/tiles/sky/6/43_9.jpg",</v>
      </c>
      <c r="H1969" t="str">
        <f>QUOTIENT(ROW(A1969),48)+2&amp;"_"&amp;MOD(ROW(A1969),48)+8</f>
        <v>43_9</v>
      </c>
    </row>
    <row r="1970" spans="1:8" x14ac:dyDescent="0.2">
      <c r="A1970" s="9" t="s">
        <v>51</v>
      </c>
      <c r="C1970" t="str">
        <f>""""&amp;SUBSTITUTE(A1970,"zzz",H1970)&amp;""""&amp;","</f>
        <v>"https://www.zeldadungeon.net/maps/totk/tiles/sky/6/43_10.jpg",</v>
      </c>
      <c r="H1970" t="str">
        <f>QUOTIENT(ROW(A1970),48)+2&amp;"_"&amp;MOD(ROW(A1970),48)+8</f>
        <v>43_10</v>
      </c>
    </row>
    <row r="1971" spans="1:8" x14ac:dyDescent="0.2">
      <c r="A1971" s="9" t="s">
        <v>51</v>
      </c>
      <c r="C1971" t="str">
        <f>""""&amp;SUBSTITUTE(A1971,"zzz",H1971)&amp;""""&amp;","</f>
        <v>"https://www.zeldadungeon.net/maps/totk/tiles/sky/6/43_11.jpg",</v>
      </c>
      <c r="H1971" t="str">
        <f>QUOTIENT(ROW(A1971),48)+2&amp;"_"&amp;MOD(ROW(A1971),48)+8</f>
        <v>43_11</v>
      </c>
    </row>
    <row r="1972" spans="1:8" x14ac:dyDescent="0.2">
      <c r="A1972" s="9" t="s">
        <v>51</v>
      </c>
      <c r="C1972" t="str">
        <f>""""&amp;SUBSTITUTE(A1972,"zzz",H1972)&amp;""""&amp;","</f>
        <v>"https://www.zeldadungeon.net/maps/totk/tiles/sky/6/43_12.jpg",</v>
      </c>
      <c r="H1972" t="str">
        <f>QUOTIENT(ROW(A1972),48)+2&amp;"_"&amp;MOD(ROW(A1972),48)+8</f>
        <v>43_12</v>
      </c>
    </row>
    <row r="1973" spans="1:8" x14ac:dyDescent="0.2">
      <c r="A1973" s="9" t="s">
        <v>51</v>
      </c>
      <c r="C1973" t="str">
        <f>""""&amp;SUBSTITUTE(A1973,"zzz",H1973)&amp;""""&amp;","</f>
        <v>"https://www.zeldadungeon.net/maps/totk/tiles/sky/6/43_13.jpg",</v>
      </c>
      <c r="H1973" t="str">
        <f>QUOTIENT(ROW(A1973),48)+2&amp;"_"&amp;MOD(ROW(A1973),48)+8</f>
        <v>43_13</v>
      </c>
    </row>
    <row r="1974" spans="1:8" x14ac:dyDescent="0.2">
      <c r="A1974" s="9" t="s">
        <v>51</v>
      </c>
      <c r="C1974" t="str">
        <f>""""&amp;SUBSTITUTE(A1974,"zzz",H1974)&amp;""""&amp;","</f>
        <v>"https://www.zeldadungeon.net/maps/totk/tiles/sky/6/43_14.jpg",</v>
      </c>
      <c r="H1974" t="str">
        <f>QUOTIENT(ROW(A1974),48)+2&amp;"_"&amp;MOD(ROW(A1974),48)+8</f>
        <v>43_14</v>
      </c>
    </row>
    <row r="1975" spans="1:8" x14ac:dyDescent="0.2">
      <c r="A1975" s="9" t="s">
        <v>51</v>
      </c>
      <c r="C1975" t="str">
        <f>""""&amp;SUBSTITUTE(A1975,"zzz",H1975)&amp;""""&amp;","</f>
        <v>"https://www.zeldadungeon.net/maps/totk/tiles/sky/6/43_15.jpg",</v>
      </c>
      <c r="H1975" t="str">
        <f>QUOTIENT(ROW(A1975),48)+2&amp;"_"&amp;MOD(ROW(A1975),48)+8</f>
        <v>43_15</v>
      </c>
    </row>
    <row r="1976" spans="1:8" x14ac:dyDescent="0.2">
      <c r="A1976" s="9" t="s">
        <v>51</v>
      </c>
      <c r="C1976" t="str">
        <f>""""&amp;SUBSTITUTE(A1976,"zzz",H1976)&amp;""""&amp;","</f>
        <v>"https://www.zeldadungeon.net/maps/totk/tiles/sky/6/43_16.jpg",</v>
      </c>
      <c r="H1976" t="str">
        <f>QUOTIENT(ROW(A1976),48)+2&amp;"_"&amp;MOD(ROW(A1976),48)+8</f>
        <v>43_16</v>
      </c>
    </row>
    <row r="1977" spans="1:8" x14ac:dyDescent="0.2">
      <c r="A1977" s="9" t="s">
        <v>51</v>
      </c>
      <c r="C1977" t="str">
        <f>""""&amp;SUBSTITUTE(A1977,"zzz",H1977)&amp;""""&amp;","</f>
        <v>"https://www.zeldadungeon.net/maps/totk/tiles/sky/6/43_17.jpg",</v>
      </c>
      <c r="H1977" t="str">
        <f>QUOTIENT(ROW(A1977),48)+2&amp;"_"&amp;MOD(ROW(A1977),48)+8</f>
        <v>43_17</v>
      </c>
    </row>
    <row r="1978" spans="1:8" x14ac:dyDescent="0.2">
      <c r="A1978" s="9" t="s">
        <v>51</v>
      </c>
      <c r="C1978" t="str">
        <f>""""&amp;SUBSTITUTE(A1978,"zzz",H1978)&amp;""""&amp;","</f>
        <v>"https://www.zeldadungeon.net/maps/totk/tiles/sky/6/43_18.jpg",</v>
      </c>
      <c r="H1978" t="str">
        <f>QUOTIENT(ROW(A1978),48)+2&amp;"_"&amp;MOD(ROW(A1978),48)+8</f>
        <v>43_18</v>
      </c>
    </row>
    <row r="1979" spans="1:8" x14ac:dyDescent="0.2">
      <c r="A1979" s="9" t="s">
        <v>51</v>
      </c>
      <c r="C1979" t="str">
        <f>""""&amp;SUBSTITUTE(A1979,"zzz",H1979)&amp;""""&amp;","</f>
        <v>"https://www.zeldadungeon.net/maps/totk/tiles/sky/6/43_19.jpg",</v>
      </c>
      <c r="H1979" t="str">
        <f>QUOTIENT(ROW(A1979),48)+2&amp;"_"&amp;MOD(ROW(A1979),48)+8</f>
        <v>43_19</v>
      </c>
    </row>
    <row r="1980" spans="1:8" x14ac:dyDescent="0.2">
      <c r="A1980" s="9" t="s">
        <v>51</v>
      </c>
      <c r="C1980" t="str">
        <f>""""&amp;SUBSTITUTE(A1980,"zzz",H1980)&amp;""""&amp;","</f>
        <v>"https://www.zeldadungeon.net/maps/totk/tiles/sky/6/43_20.jpg",</v>
      </c>
      <c r="H1980" t="str">
        <f>QUOTIENT(ROW(A1980),48)+2&amp;"_"&amp;MOD(ROW(A1980),48)+8</f>
        <v>43_20</v>
      </c>
    </row>
    <row r="1981" spans="1:8" x14ac:dyDescent="0.2">
      <c r="A1981" s="9" t="s">
        <v>51</v>
      </c>
      <c r="C1981" t="str">
        <f>""""&amp;SUBSTITUTE(A1981,"zzz",H1981)&amp;""""&amp;","</f>
        <v>"https://www.zeldadungeon.net/maps/totk/tiles/sky/6/43_21.jpg",</v>
      </c>
      <c r="H1981" t="str">
        <f>QUOTIENT(ROW(A1981),48)+2&amp;"_"&amp;MOD(ROW(A1981),48)+8</f>
        <v>43_21</v>
      </c>
    </row>
    <row r="1982" spans="1:8" x14ac:dyDescent="0.2">
      <c r="A1982" s="9" t="s">
        <v>51</v>
      </c>
      <c r="C1982" t="str">
        <f>""""&amp;SUBSTITUTE(A1982,"zzz",H1982)&amp;""""&amp;","</f>
        <v>"https://www.zeldadungeon.net/maps/totk/tiles/sky/6/43_22.jpg",</v>
      </c>
      <c r="H1982" t="str">
        <f>QUOTIENT(ROW(A1982),48)+2&amp;"_"&amp;MOD(ROW(A1982),48)+8</f>
        <v>43_22</v>
      </c>
    </row>
    <row r="1983" spans="1:8" x14ac:dyDescent="0.2">
      <c r="A1983" s="9" t="s">
        <v>51</v>
      </c>
      <c r="C1983" t="str">
        <f>""""&amp;SUBSTITUTE(A1983,"zzz",H1983)&amp;""""&amp;","</f>
        <v>"https://www.zeldadungeon.net/maps/totk/tiles/sky/6/43_23.jpg",</v>
      </c>
      <c r="H1983" t="str">
        <f>QUOTIENT(ROW(A1983),48)+2&amp;"_"&amp;MOD(ROW(A1983),48)+8</f>
        <v>43_23</v>
      </c>
    </row>
    <row r="1984" spans="1:8" x14ac:dyDescent="0.2">
      <c r="A1984" s="9" t="s">
        <v>51</v>
      </c>
      <c r="C1984" t="str">
        <f>""""&amp;SUBSTITUTE(A1984,"zzz",H1984)&amp;""""&amp;","</f>
        <v>"https://www.zeldadungeon.net/maps/totk/tiles/sky/6/43_24.jpg",</v>
      </c>
      <c r="H1984" t="str">
        <f>QUOTIENT(ROW(A1984),48)+2&amp;"_"&amp;MOD(ROW(A1984),48)+8</f>
        <v>43_24</v>
      </c>
    </row>
    <row r="1985" spans="1:8" x14ac:dyDescent="0.2">
      <c r="A1985" s="9" t="s">
        <v>51</v>
      </c>
      <c r="C1985" t="str">
        <f>""""&amp;SUBSTITUTE(A1985,"zzz",H1985)&amp;""""&amp;","</f>
        <v>"https://www.zeldadungeon.net/maps/totk/tiles/sky/6/43_25.jpg",</v>
      </c>
      <c r="H1985" t="str">
        <f>QUOTIENT(ROW(A1985),48)+2&amp;"_"&amp;MOD(ROW(A1985),48)+8</f>
        <v>43_25</v>
      </c>
    </row>
    <row r="1986" spans="1:8" x14ac:dyDescent="0.2">
      <c r="A1986" s="9" t="s">
        <v>51</v>
      </c>
      <c r="C1986" t="str">
        <f>""""&amp;SUBSTITUTE(A1986,"zzz",H1986)&amp;""""&amp;","</f>
        <v>"https://www.zeldadungeon.net/maps/totk/tiles/sky/6/43_26.jpg",</v>
      </c>
      <c r="H1986" t="str">
        <f>QUOTIENT(ROW(A1986),48)+2&amp;"_"&amp;MOD(ROW(A1986),48)+8</f>
        <v>43_26</v>
      </c>
    </row>
    <row r="1987" spans="1:8" x14ac:dyDescent="0.2">
      <c r="A1987" s="9" t="s">
        <v>51</v>
      </c>
      <c r="C1987" t="str">
        <f>""""&amp;SUBSTITUTE(A1987,"zzz",H1987)&amp;""""&amp;","</f>
        <v>"https://www.zeldadungeon.net/maps/totk/tiles/sky/6/43_27.jpg",</v>
      </c>
      <c r="H1987" t="str">
        <f>QUOTIENT(ROW(A1987),48)+2&amp;"_"&amp;MOD(ROW(A1987),48)+8</f>
        <v>43_27</v>
      </c>
    </row>
    <row r="1988" spans="1:8" x14ac:dyDescent="0.2">
      <c r="A1988" s="9" t="s">
        <v>51</v>
      </c>
      <c r="C1988" t="str">
        <f>""""&amp;SUBSTITUTE(A1988,"zzz",H1988)&amp;""""&amp;","</f>
        <v>"https://www.zeldadungeon.net/maps/totk/tiles/sky/6/43_28.jpg",</v>
      </c>
      <c r="H1988" t="str">
        <f>QUOTIENT(ROW(A1988),48)+2&amp;"_"&amp;MOD(ROW(A1988),48)+8</f>
        <v>43_28</v>
      </c>
    </row>
    <row r="1989" spans="1:8" x14ac:dyDescent="0.2">
      <c r="A1989" s="9" t="s">
        <v>51</v>
      </c>
      <c r="C1989" t="str">
        <f>""""&amp;SUBSTITUTE(A1989,"zzz",H1989)&amp;""""&amp;","</f>
        <v>"https://www.zeldadungeon.net/maps/totk/tiles/sky/6/43_29.jpg",</v>
      </c>
      <c r="H1989" t="str">
        <f>QUOTIENT(ROW(A1989),48)+2&amp;"_"&amp;MOD(ROW(A1989),48)+8</f>
        <v>43_29</v>
      </c>
    </row>
    <row r="1990" spans="1:8" x14ac:dyDescent="0.2">
      <c r="A1990" s="9" t="s">
        <v>51</v>
      </c>
      <c r="C1990" t="str">
        <f>""""&amp;SUBSTITUTE(A1990,"zzz",H1990)&amp;""""&amp;","</f>
        <v>"https://www.zeldadungeon.net/maps/totk/tiles/sky/6/43_30.jpg",</v>
      </c>
      <c r="H1990" t="str">
        <f>QUOTIENT(ROW(A1990),48)+2&amp;"_"&amp;MOD(ROW(A1990),48)+8</f>
        <v>43_30</v>
      </c>
    </row>
    <row r="1991" spans="1:8" x14ac:dyDescent="0.2">
      <c r="A1991" s="9" t="s">
        <v>51</v>
      </c>
      <c r="C1991" t="str">
        <f>""""&amp;SUBSTITUTE(A1991,"zzz",H1991)&amp;""""&amp;","</f>
        <v>"https://www.zeldadungeon.net/maps/totk/tiles/sky/6/43_31.jpg",</v>
      </c>
      <c r="H1991" t="str">
        <f>QUOTIENT(ROW(A1991),48)+2&amp;"_"&amp;MOD(ROW(A1991),48)+8</f>
        <v>43_31</v>
      </c>
    </row>
    <row r="1992" spans="1:8" x14ac:dyDescent="0.2">
      <c r="A1992" s="9" t="s">
        <v>51</v>
      </c>
      <c r="C1992" t="str">
        <f>""""&amp;SUBSTITUTE(A1992,"zzz",H1992)&amp;""""&amp;","</f>
        <v>"https://www.zeldadungeon.net/maps/totk/tiles/sky/6/43_32.jpg",</v>
      </c>
      <c r="H1992" t="str">
        <f>QUOTIENT(ROW(A1992),48)+2&amp;"_"&amp;MOD(ROW(A1992),48)+8</f>
        <v>43_32</v>
      </c>
    </row>
    <row r="1993" spans="1:8" x14ac:dyDescent="0.2">
      <c r="A1993" s="9" t="s">
        <v>51</v>
      </c>
      <c r="C1993" t="str">
        <f>""""&amp;SUBSTITUTE(A1993,"zzz",H1993)&amp;""""&amp;","</f>
        <v>"https://www.zeldadungeon.net/maps/totk/tiles/sky/6/43_33.jpg",</v>
      </c>
      <c r="H1993" t="str">
        <f>QUOTIENT(ROW(A1993),48)+2&amp;"_"&amp;MOD(ROW(A1993),48)+8</f>
        <v>43_33</v>
      </c>
    </row>
    <row r="1994" spans="1:8" x14ac:dyDescent="0.2">
      <c r="A1994" s="9" t="s">
        <v>51</v>
      </c>
      <c r="C1994" t="str">
        <f>""""&amp;SUBSTITUTE(A1994,"zzz",H1994)&amp;""""&amp;","</f>
        <v>"https://www.zeldadungeon.net/maps/totk/tiles/sky/6/43_34.jpg",</v>
      </c>
      <c r="H1994" t="str">
        <f>QUOTIENT(ROW(A1994),48)+2&amp;"_"&amp;MOD(ROW(A1994),48)+8</f>
        <v>43_34</v>
      </c>
    </row>
    <row r="1995" spans="1:8" x14ac:dyDescent="0.2">
      <c r="A1995" s="9" t="s">
        <v>51</v>
      </c>
      <c r="C1995" t="str">
        <f>""""&amp;SUBSTITUTE(A1995,"zzz",H1995)&amp;""""&amp;","</f>
        <v>"https://www.zeldadungeon.net/maps/totk/tiles/sky/6/43_35.jpg",</v>
      </c>
      <c r="H1995" t="str">
        <f>QUOTIENT(ROW(A1995),48)+2&amp;"_"&amp;MOD(ROW(A1995),48)+8</f>
        <v>43_35</v>
      </c>
    </row>
    <row r="1996" spans="1:8" x14ac:dyDescent="0.2">
      <c r="A1996" s="9" t="s">
        <v>51</v>
      </c>
      <c r="C1996" t="str">
        <f>""""&amp;SUBSTITUTE(A1996,"zzz",H1996)&amp;""""&amp;","</f>
        <v>"https://www.zeldadungeon.net/maps/totk/tiles/sky/6/43_36.jpg",</v>
      </c>
      <c r="H1996" t="str">
        <f>QUOTIENT(ROW(A1996),48)+2&amp;"_"&amp;MOD(ROW(A1996),48)+8</f>
        <v>43_36</v>
      </c>
    </row>
    <row r="1997" spans="1:8" x14ac:dyDescent="0.2">
      <c r="A1997" s="9" t="s">
        <v>51</v>
      </c>
      <c r="C1997" t="str">
        <f>""""&amp;SUBSTITUTE(A1997,"zzz",H1997)&amp;""""&amp;","</f>
        <v>"https://www.zeldadungeon.net/maps/totk/tiles/sky/6/43_37.jpg",</v>
      </c>
      <c r="H1997" t="str">
        <f>QUOTIENT(ROW(A1997),48)+2&amp;"_"&amp;MOD(ROW(A1997),48)+8</f>
        <v>43_37</v>
      </c>
    </row>
    <row r="1998" spans="1:8" x14ac:dyDescent="0.2">
      <c r="A1998" s="9" t="s">
        <v>51</v>
      </c>
      <c r="C1998" t="str">
        <f>""""&amp;SUBSTITUTE(A1998,"zzz",H1998)&amp;""""&amp;","</f>
        <v>"https://www.zeldadungeon.net/maps/totk/tiles/sky/6/43_38.jpg",</v>
      </c>
      <c r="H1998" t="str">
        <f>QUOTIENT(ROW(A1998),48)+2&amp;"_"&amp;MOD(ROW(A1998),48)+8</f>
        <v>43_38</v>
      </c>
    </row>
    <row r="1999" spans="1:8" x14ac:dyDescent="0.2">
      <c r="A1999" s="9" t="s">
        <v>51</v>
      </c>
      <c r="C1999" t="str">
        <f>""""&amp;SUBSTITUTE(A1999,"zzz",H1999)&amp;""""&amp;","</f>
        <v>"https://www.zeldadungeon.net/maps/totk/tiles/sky/6/43_39.jpg",</v>
      </c>
      <c r="H1999" t="str">
        <f>QUOTIENT(ROW(A1999),48)+2&amp;"_"&amp;MOD(ROW(A1999),48)+8</f>
        <v>43_39</v>
      </c>
    </row>
    <row r="2000" spans="1:8" x14ac:dyDescent="0.2">
      <c r="A2000" s="9" t="s">
        <v>51</v>
      </c>
      <c r="C2000" t="str">
        <f>""""&amp;SUBSTITUTE(A2000,"zzz",H2000)&amp;""""&amp;","</f>
        <v>"https://www.zeldadungeon.net/maps/totk/tiles/sky/6/43_40.jpg",</v>
      </c>
      <c r="H2000" t="str">
        <f>QUOTIENT(ROW(A2000),48)+2&amp;"_"&amp;MOD(ROW(A2000),48)+8</f>
        <v>43_40</v>
      </c>
    </row>
    <row r="2001" spans="1:8" x14ac:dyDescent="0.2">
      <c r="A2001" s="9" t="s">
        <v>51</v>
      </c>
      <c r="C2001" t="str">
        <f>""""&amp;SUBSTITUTE(A2001,"zzz",H2001)&amp;""""&amp;","</f>
        <v>"https://www.zeldadungeon.net/maps/totk/tiles/sky/6/43_41.jpg",</v>
      </c>
      <c r="H2001" t="str">
        <f>QUOTIENT(ROW(A2001),48)+2&amp;"_"&amp;MOD(ROW(A2001),48)+8</f>
        <v>43_41</v>
      </c>
    </row>
    <row r="2002" spans="1:8" x14ac:dyDescent="0.2">
      <c r="A2002" s="9" t="s">
        <v>51</v>
      </c>
      <c r="C2002" t="str">
        <f>""""&amp;SUBSTITUTE(A2002,"zzz",H2002)&amp;""""&amp;","</f>
        <v>"https://www.zeldadungeon.net/maps/totk/tiles/sky/6/43_42.jpg",</v>
      </c>
      <c r="H2002" t="str">
        <f>QUOTIENT(ROW(A2002),48)+2&amp;"_"&amp;MOD(ROW(A2002),48)+8</f>
        <v>43_42</v>
      </c>
    </row>
    <row r="2003" spans="1:8" x14ac:dyDescent="0.2">
      <c r="A2003" s="9" t="s">
        <v>51</v>
      </c>
      <c r="C2003" t="str">
        <f>""""&amp;SUBSTITUTE(A2003,"zzz",H2003)&amp;""""&amp;","</f>
        <v>"https://www.zeldadungeon.net/maps/totk/tiles/sky/6/43_43.jpg",</v>
      </c>
      <c r="H2003" t="str">
        <f>QUOTIENT(ROW(A2003),48)+2&amp;"_"&amp;MOD(ROW(A2003),48)+8</f>
        <v>43_43</v>
      </c>
    </row>
    <row r="2004" spans="1:8" x14ac:dyDescent="0.2">
      <c r="A2004" s="9" t="s">
        <v>51</v>
      </c>
      <c r="C2004" t="str">
        <f>""""&amp;SUBSTITUTE(A2004,"zzz",H2004)&amp;""""&amp;","</f>
        <v>"https://www.zeldadungeon.net/maps/totk/tiles/sky/6/43_44.jpg",</v>
      </c>
      <c r="H2004" t="str">
        <f>QUOTIENT(ROW(A2004),48)+2&amp;"_"&amp;MOD(ROW(A2004),48)+8</f>
        <v>43_44</v>
      </c>
    </row>
    <row r="2005" spans="1:8" x14ac:dyDescent="0.2">
      <c r="A2005" s="9" t="s">
        <v>51</v>
      </c>
      <c r="C2005" t="str">
        <f>""""&amp;SUBSTITUTE(A2005,"zzz",H2005)&amp;""""&amp;","</f>
        <v>"https://www.zeldadungeon.net/maps/totk/tiles/sky/6/43_45.jpg",</v>
      </c>
      <c r="H2005" t="str">
        <f>QUOTIENT(ROW(A2005),48)+2&amp;"_"&amp;MOD(ROW(A2005),48)+8</f>
        <v>43_45</v>
      </c>
    </row>
    <row r="2006" spans="1:8" x14ac:dyDescent="0.2">
      <c r="A2006" s="9" t="s">
        <v>51</v>
      </c>
      <c r="C2006" t="str">
        <f>""""&amp;SUBSTITUTE(A2006,"zzz",H2006)&amp;""""&amp;","</f>
        <v>"https://www.zeldadungeon.net/maps/totk/tiles/sky/6/43_46.jpg",</v>
      </c>
      <c r="H2006" t="str">
        <f>QUOTIENT(ROW(A2006),48)+2&amp;"_"&amp;MOD(ROW(A2006),48)+8</f>
        <v>43_46</v>
      </c>
    </row>
    <row r="2007" spans="1:8" x14ac:dyDescent="0.2">
      <c r="A2007" s="9" t="s">
        <v>51</v>
      </c>
      <c r="C2007" t="str">
        <f>""""&amp;SUBSTITUTE(A2007,"zzz",H2007)&amp;""""&amp;","</f>
        <v>"https://www.zeldadungeon.net/maps/totk/tiles/sky/6/43_47.jpg",</v>
      </c>
      <c r="H2007" t="str">
        <f>QUOTIENT(ROW(A2007),48)+2&amp;"_"&amp;MOD(ROW(A2007),48)+8</f>
        <v>43_47</v>
      </c>
    </row>
    <row r="2008" spans="1:8" x14ac:dyDescent="0.2">
      <c r="A2008" s="9" t="s">
        <v>51</v>
      </c>
      <c r="C2008" t="str">
        <f>""""&amp;SUBSTITUTE(A2008,"zzz",H2008)&amp;""""&amp;","</f>
        <v>"https://www.zeldadungeon.net/maps/totk/tiles/sky/6/43_48.jpg",</v>
      </c>
      <c r="H2008" t="str">
        <f>QUOTIENT(ROW(A2008),48)+2&amp;"_"&amp;MOD(ROW(A2008),48)+8</f>
        <v>43_48</v>
      </c>
    </row>
    <row r="2009" spans="1:8" x14ac:dyDescent="0.2">
      <c r="A2009" s="9" t="s">
        <v>51</v>
      </c>
      <c r="C2009" t="str">
        <f>""""&amp;SUBSTITUTE(A2009,"zzz",H2009)&amp;""""&amp;","</f>
        <v>"https://www.zeldadungeon.net/maps/totk/tiles/sky/6/43_49.jpg",</v>
      </c>
      <c r="H2009" t="str">
        <f>QUOTIENT(ROW(A2009),48)+2&amp;"_"&amp;MOD(ROW(A2009),48)+8</f>
        <v>43_49</v>
      </c>
    </row>
    <row r="2010" spans="1:8" x14ac:dyDescent="0.2">
      <c r="A2010" s="9" t="s">
        <v>51</v>
      </c>
      <c r="C2010" t="str">
        <f>""""&amp;SUBSTITUTE(A2010,"zzz",H2010)&amp;""""&amp;","</f>
        <v>"https://www.zeldadungeon.net/maps/totk/tiles/sky/6/43_50.jpg",</v>
      </c>
      <c r="H2010" t="str">
        <f>QUOTIENT(ROW(A2010),48)+2&amp;"_"&amp;MOD(ROW(A2010),48)+8</f>
        <v>43_50</v>
      </c>
    </row>
    <row r="2011" spans="1:8" x14ac:dyDescent="0.2">
      <c r="A2011" s="9" t="s">
        <v>51</v>
      </c>
      <c r="C2011" t="str">
        <f>""""&amp;SUBSTITUTE(A2011,"zzz",H2011)&amp;""""&amp;","</f>
        <v>"https://www.zeldadungeon.net/maps/totk/tiles/sky/6/43_51.jpg",</v>
      </c>
      <c r="H2011" t="str">
        <f>QUOTIENT(ROW(A2011),48)+2&amp;"_"&amp;MOD(ROW(A2011),48)+8</f>
        <v>43_51</v>
      </c>
    </row>
    <row r="2012" spans="1:8" x14ac:dyDescent="0.2">
      <c r="A2012" s="9" t="s">
        <v>51</v>
      </c>
      <c r="C2012" t="str">
        <f>""""&amp;SUBSTITUTE(A2012,"zzz",H2012)&amp;""""&amp;","</f>
        <v>"https://www.zeldadungeon.net/maps/totk/tiles/sky/6/43_52.jpg",</v>
      </c>
      <c r="H2012" t="str">
        <f>QUOTIENT(ROW(A2012),48)+2&amp;"_"&amp;MOD(ROW(A2012),48)+8</f>
        <v>43_52</v>
      </c>
    </row>
    <row r="2013" spans="1:8" x14ac:dyDescent="0.2">
      <c r="A2013" s="9" t="s">
        <v>51</v>
      </c>
      <c r="C2013" t="str">
        <f>""""&amp;SUBSTITUTE(A2013,"zzz",H2013)&amp;""""&amp;","</f>
        <v>"https://www.zeldadungeon.net/maps/totk/tiles/sky/6/43_53.jpg",</v>
      </c>
      <c r="H2013" t="str">
        <f>QUOTIENT(ROW(A2013),48)+2&amp;"_"&amp;MOD(ROW(A2013),48)+8</f>
        <v>43_53</v>
      </c>
    </row>
    <row r="2014" spans="1:8" x14ac:dyDescent="0.2">
      <c r="A2014" s="9" t="s">
        <v>51</v>
      </c>
      <c r="C2014" t="str">
        <f>""""&amp;SUBSTITUTE(A2014,"zzz",H2014)&amp;""""&amp;","</f>
        <v>"https://www.zeldadungeon.net/maps/totk/tiles/sky/6/43_54.jpg",</v>
      </c>
      <c r="H2014" t="str">
        <f>QUOTIENT(ROW(A2014),48)+2&amp;"_"&amp;MOD(ROW(A2014),48)+8</f>
        <v>43_54</v>
      </c>
    </row>
    <row r="2015" spans="1:8" x14ac:dyDescent="0.2">
      <c r="A2015" s="9" t="s">
        <v>51</v>
      </c>
      <c r="C2015" t="str">
        <f>""""&amp;SUBSTITUTE(A2015,"zzz",H2015)&amp;""""&amp;","</f>
        <v>"https://www.zeldadungeon.net/maps/totk/tiles/sky/6/43_55.jpg",</v>
      </c>
      <c r="H2015" t="str">
        <f>QUOTIENT(ROW(A2015),48)+2&amp;"_"&amp;MOD(ROW(A2015),48)+8</f>
        <v>43_55</v>
      </c>
    </row>
    <row r="2016" spans="1:8" x14ac:dyDescent="0.2">
      <c r="A2016" s="9" t="s">
        <v>51</v>
      </c>
      <c r="C2016" t="str">
        <f>""""&amp;SUBSTITUTE(A2016,"zzz",H2016)&amp;""""&amp;","</f>
        <v>"https://www.zeldadungeon.net/maps/totk/tiles/sky/6/44_8.jpg",</v>
      </c>
      <c r="H2016" t="str">
        <f>QUOTIENT(ROW(A2016),48)+2&amp;"_"&amp;MOD(ROW(A2016),48)+8</f>
        <v>44_8</v>
      </c>
    </row>
    <row r="2017" spans="1:8" x14ac:dyDescent="0.2">
      <c r="A2017" s="9" t="s">
        <v>51</v>
      </c>
      <c r="C2017" t="str">
        <f>""""&amp;SUBSTITUTE(A2017,"zzz",H2017)&amp;""""&amp;","</f>
        <v>"https://www.zeldadungeon.net/maps/totk/tiles/sky/6/44_9.jpg",</v>
      </c>
      <c r="H2017" t="str">
        <f>QUOTIENT(ROW(A2017),48)+2&amp;"_"&amp;MOD(ROW(A2017),48)+8</f>
        <v>44_9</v>
      </c>
    </row>
    <row r="2018" spans="1:8" x14ac:dyDescent="0.2">
      <c r="A2018" s="9" t="s">
        <v>51</v>
      </c>
      <c r="C2018" t="str">
        <f>""""&amp;SUBSTITUTE(A2018,"zzz",H2018)&amp;""""&amp;","</f>
        <v>"https://www.zeldadungeon.net/maps/totk/tiles/sky/6/44_10.jpg",</v>
      </c>
      <c r="H2018" t="str">
        <f>QUOTIENT(ROW(A2018),48)+2&amp;"_"&amp;MOD(ROW(A2018),48)+8</f>
        <v>44_10</v>
      </c>
    </row>
    <row r="2019" spans="1:8" x14ac:dyDescent="0.2">
      <c r="A2019" s="9" t="s">
        <v>51</v>
      </c>
      <c r="C2019" t="str">
        <f>""""&amp;SUBSTITUTE(A2019,"zzz",H2019)&amp;""""&amp;","</f>
        <v>"https://www.zeldadungeon.net/maps/totk/tiles/sky/6/44_11.jpg",</v>
      </c>
      <c r="H2019" t="str">
        <f>QUOTIENT(ROW(A2019),48)+2&amp;"_"&amp;MOD(ROW(A2019),48)+8</f>
        <v>44_11</v>
      </c>
    </row>
    <row r="2020" spans="1:8" x14ac:dyDescent="0.2">
      <c r="A2020" s="9" t="s">
        <v>51</v>
      </c>
      <c r="C2020" t="str">
        <f>""""&amp;SUBSTITUTE(A2020,"zzz",H2020)&amp;""""&amp;","</f>
        <v>"https://www.zeldadungeon.net/maps/totk/tiles/sky/6/44_12.jpg",</v>
      </c>
      <c r="H2020" t="str">
        <f>QUOTIENT(ROW(A2020),48)+2&amp;"_"&amp;MOD(ROW(A2020),48)+8</f>
        <v>44_12</v>
      </c>
    </row>
    <row r="2021" spans="1:8" x14ac:dyDescent="0.2">
      <c r="A2021" s="9" t="s">
        <v>51</v>
      </c>
      <c r="C2021" t="str">
        <f>""""&amp;SUBSTITUTE(A2021,"zzz",H2021)&amp;""""&amp;","</f>
        <v>"https://www.zeldadungeon.net/maps/totk/tiles/sky/6/44_13.jpg",</v>
      </c>
      <c r="H2021" t="str">
        <f>QUOTIENT(ROW(A2021),48)+2&amp;"_"&amp;MOD(ROW(A2021),48)+8</f>
        <v>44_13</v>
      </c>
    </row>
    <row r="2022" spans="1:8" x14ac:dyDescent="0.2">
      <c r="A2022" s="9" t="s">
        <v>51</v>
      </c>
      <c r="C2022" t="str">
        <f>""""&amp;SUBSTITUTE(A2022,"zzz",H2022)&amp;""""&amp;","</f>
        <v>"https://www.zeldadungeon.net/maps/totk/tiles/sky/6/44_14.jpg",</v>
      </c>
      <c r="H2022" t="str">
        <f>QUOTIENT(ROW(A2022),48)+2&amp;"_"&amp;MOD(ROW(A2022),48)+8</f>
        <v>44_14</v>
      </c>
    </row>
    <row r="2023" spans="1:8" x14ac:dyDescent="0.2">
      <c r="A2023" s="9" t="s">
        <v>51</v>
      </c>
      <c r="C2023" t="str">
        <f>""""&amp;SUBSTITUTE(A2023,"zzz",H2023)&amp;""""&amp;","</f>
        <v>"https://www.zeldadungeon.net/maps/totk/tiles/sky/6/44_15.jpg",</v>
      </c>
      <c r="H2023" t="str">
        <f>QUOTIENT(ROW(A2023),48)+2&amp;"_"&amp;MOD(ROW(A2023),48)+8</f>
        <v>44_15</v>
      </c>
    </row>
    <row r="2024" spans="1:8" x14ac:dyDescent="0.2">
      <c r="A2024" s="9" t="s">
        <v>51</v>
      </c>
      <c r="C2024" t="str">
        <f>""""&amp;SUBSTITUTE(A2024,"zzz",H2024)&amp;""""&amp;","</f>
        <v>"https://www.zeldadungeon.net/maps/totk/tiles/sky/6/44_16.jpg",</v>
      </c>
      <c r="H2024" t="str">
        <f>QUOTIENT(ROW(A2024),48)+2&amp;"_"&amp;MOD(ROW(A2024),48)+8</f>
        <v>44_16</v>
      </c>
    </row>
    <row r="2025" spans="1:8" x14ac:dyDescent="0.2">
      <c r="A2025" s="9" t="s">
        <v>51</v>
      </c>
      <c r="C2025" t="str">
        <f>""""&amp;SUBSTITUTE(A2025,"zzz",H2025)&amp;""""&amp;","</f>
        <v>"https://www.zeldadungeon.net/maps/totk/tiles/sky/6/44_17.jpg",</v>
      </c>
      <c r="H2025" t="str">
        <f>QUOTIENT(ROW(A2025),48)+2&amp;"_"&amp;MOD(ROW(A2025),48)+8</f>
        <v>44_17</v>
      </c>
    </row>
    <row r="2026" spans="1:8" x14ac:dyDescent="0.2">
      <c r="A2026" s="9" t="s">
        <v>51</v>
      </c>
      <c r="C2026" t="str">
        <f>""""&amp;SUBSTITUTE(A2026,"zzz",H2026)&amp;""""&amp;","</f>
        <v>"https://www.zeldadungeon.net/maps/totk/tiles/sky/6/44_18.jpg",</v>
      </c>
      <c r="H2026" t="str">
        <f>QUOTIENT(ROW(A2026),48)+2&amp;"_"&amp;MOD(ROW(A2026),48)+8</f>
        <v>44_18</v>
      </c>
    </row>
    <row r="2027" spans="1:8" x14ac:dyDescent="0.2">
      <c r="A2027" s="9" t="s">
        <v>51</v>
      </c>
      <c r="C2027" t="str">
        <f>""""&amp;SUBSTITUTE(A2027,"zzz",H2027)&amp;""""&amp;","</f>
        <v>"https://www.zeldadungeon.net/maps/totk/tiles/sky/6/44_19.jpg",</v>
      </c>
      <c r="H2027" t="str">
        <f>QUOTIENT(ROW(A2027),48)+2&amp;"_"&amp;MOD(ROW(A2027),48)+8</f>
        <v>44_19</v>
      </c>
    </row>
    <row r="2028" spans="1:8" x14ac:dyDescent="0.2">
      <c r="A2028" s="9" t="s">
        <v>51</v>
      </c>
      <c r="C2028" t="str">
        <f>""""&amp;SUBSTITUTE(A2028,"zzz",H2028)&amp;""""&amp;","</f>
        <v>"https://www.zeldadungeon.net/maps/totk/tiles/sky/6/44_20.jpg",</v>
      </c>
      <c r="H2028" t="str">
        <f>QUOTIENT(ROW(A2028),48)+2&amp;"_"&amp;MOD(ROW(A2028),48)+8</f>
        <v>44_20</v>
      </c>
    </row>
    <row r="2029" spans="1:8" x14ac:dyDescent="0.2">
      <c r="A2029" s="9" t="s">
        <v>51</v>
      </c>
      <c r="C2029" t="str">
        <f>""""&amp;SUBSTITUTE(A2029,"zzz",H2029)&amp;""""&amp;","</f>
        <v>"https://www.zeldadungeon.net/maps/totk/tiles/sky/6/44_21.jpg",</v>
      </c>
      <c r="H2029" t="str">
        <f>QUOTIENT(ROW(A2029),48)+2&amp;"_"&amp;MOD(ROW(A2029),48)+8</f>
        <v>44_21</v>
      </c>
    </row>
    <row r="2030" spans="1:8" x14ac:dyDescent="0.2">
      <c r="A2030" s="9" t="s">
        <v>51</v>
      </c>
      <c r="C2030" t="str">
        <f>""""&amp;SUBSTITUTE(A2030,"zzz",H2030)&amp;""""&amp;","</f>
        <v>"https://www.zeldadungeon.net/maps/totk/tiles/sky/6/44_22.jpg",</v>
      </c>
      <c r="H2030" t="str">
        <f>QUOTIENT(ROW(A2030),48)+2&amp;"_"&amp;MOD(ROW(A2030),48)+8</f>
        <v>44_22</v>
      </c>
    </row>
    <row r="2031" spans="1:8" x14ac:dyDescent="0.2">
      <c r="A2031" s="9" t="s">
        <v>51</v>
      </c>
      <c r="C2031" t="str">
        <f>""""&amp;SUBSTITUTE(A2031,"zzz",H2031)&amp;""""&amp;","</f>
        <v>"https://www.zeldadungeon.net/maps/totk/tiles/sky/6/44_23.jpg",</v>
      </c>
      <c r="H2031" t="str">
        <f>QUOTIENT(ROW(A2031),48)+2&amp;"_"&amp;MOD(ROW(A2031),48)+8</f>
        <v>44_23</v>
      </c>
    </row>
    <row r="2032" spans="1:8" x14ac:dyDescent="0.2">
      <c r="A2032" s="9" t="s">
        <v>51</v>
      </c>
      <c r="C2032" t="str">
        <f>""""&amp;SUBSTITUTE(A2032,"zzz",H2032)&amp;""""&amp;","</f>
        <v>"https://www.zeldadungeon.net/maps/totk/tiles/sky/6/44_24.jpg",</v>
      </c>
      <c r="H2032" t="str">
        <f>QUOTIENT(ROW(A2032),48)+2&amp;"_"&amp;MOD(ROW(A2032),48)+8</f>
        <v>44_24</v>
      </c>
    </row>
    <row r="2033" spans="1:8" x14ac:dyDescent="0.2">
      <c r="A2033" s="9" t="s">
        <v>51</v>
      </c>
      <c r="C2033" t="str">
        <f>""""&amp;SUBSTITUTE(A2033,"zzz",H2033)&amp;""""&amp;","</f>
        <v>"https://www.zeldadungeon.net/maps/totk/tiles/sky/6/44_25.jpg",</v>
      </c>
      <c r="H2033" t="str">
        <f>QUOTIENT(ROW(A2033),48)+2&amp;"_"&amp;MOD(ROW(A2033),48)+8</f>
        <v>44_25</v>
      </c>
    </row>
    <row r="2034" spans="1:8" x14ac:dyDescent="0.2">
      <c r="A2034" s="9" t="s">
        <v>51</v>
      </c>
      <c r="C2034" t="str">
        <f>""""&amp;SUBSTITUTE(A2034,"zzz",H2034)&amp;""""&amp;","</f>
        <v>"https://www.zeldadungeon.net/maps/totk/tiles/sky/6/44_26.jpg",</v>
      </c>
      <c r="H2034" t="str">
        <f>QUOTIENT(ROW(A2034),48)+2&amp;"_"&amp;MOD(ROW(A2034),48)+8</f>
        <v>44_26</v>
      </c>
    </row>
    <row r="2035" spans="1:8" x14ac:dyDescent="0.2">
      <c r="A2035" s="9" t="s">
        <v>51</v>
      </c>
      <c r="C2035" t="str">
        <f>""""&amp;SUBSTITUTE(A2035,"zzz",H2035)&amp;""""&amp;","</f>
        <v>"https://www.zeldadungeon.net/maps/totk/tiles/sky/6/44_27.jpg",</v>
      </c>
      <c r="H2035" t="str">
        <f>QUOTIENT(ROW(A2035),48)+2&amp;"_"&amp;MOD(ROW(A2035),48)+8</f>
        <v>44_27</v>
      </c>
    </row>
    <row r="2036" spans="1:8" x14ac:dyDescent="0.2">
      <c r="A2036" s="9" t="s">
        <v>51</v>
      </c>
      <c r="C2036" t="str">
        <f>""""&amp;SUBSTITUTE(A2036,"zzz",H2036)&amp;""""&amp;","</f>
        <v>"https://www.zeldadungeon.net/maps/totk/tiles/sky/6/44_28.jpg",</v>
      </c>
      <c r="H2036" t="str">
        <f>QUOTIENT(ROW(A2036),48)+2&amp;"_"&amp;MOD(ROW(A2036),48)+8</f>
        <v>44_28</v>
      </c>
    </row>
    <row r="2037" spans="1:8" x14ac:dyDescent="0.2">
      <c r="A2037" s="9" t="s">
        <v>51</v>
      </c>
      <c r="C2037" t="str">
        <f>""""&amp;SUBSTITUTE(A2037,"zzz",H2037)&amp;""""&amp;","</f>
        <v>"https://www.zeldadungeon.net/maps/totk/tiles/sky/6/44_29.jpg",</v>
      </c>
      <c r="H2037" t="str">
        <f>QUOTIENT(ROW(A2037),48)+2&amp;"_"&amp;MOD(ROW(A2037),48)+8</f>
        <v>44_29</v>
      </c>
    </row>
    <row r="2038" spans="1:8" x14ac:dyDescent="0.2">
      <c r="A2038" s="9" t="s">
        <v>51</v>
      </c>
      <c r="C2038" t="str">
        <f>""""&amp;SUBSTITUTE(A2038,"zzz",H2038)&amp;""""&amp;","</f>
        <v>"https://www.zeldadungeon.net/maps/totk/tiles/sky/6/44_30.jpg",</v>
      </c>
      <c r="H2038" t="str">
        <f>QUOTIENT(ROW(A2038),48)+2&amp;"_"&amp;MOD(ROW(A2038),48)+8</f>
        <v>44_30</v>
      </c>
    </row>
    <row r="2039" spans="1:8" x14ac:dyDescent="0.2">
      <c r="A2039" s="9" t="s">
        <v>51</v>
      </c>
      <c r="C2039" t="str">
        <f>""""&amp;SUBSTITUTE(A2039,"zzz",H2039)&amp;""""&amp;","</f>
        <v>"https://www.zeldadungeon.net/maps/totk/tiles/sky/6/44_31.jpg",</v>
      </c>
      <c r="H2039" t="str">
        <f>QUOTIENT(ROW(A2039),48)+2&amp;"_"&amp;MOD(ROW(A2039),48)+8</f>
        <v>44_31</v>
      </c>
    </row>
    <row r="2040" spans="1:8" x14ac:dyDescent="0.2">
      <c r="A2040" s="9" t="s">
        <v>51</v>
      </c>
      <c r="C2040" t="str">
        <f>""""&amp;SUBSTITUTE(A2040,"zzz",H2040)&amp;""""&amp;","</f>
        <v>"https://www.zeldadungeon.net/maps/totk/tiles/sky/6/44_32.jpg",</v>
      </c>
      <c r="H2040" t="str">
        <f>QUOTIENT(ROW(A2040),48)+2&amp;"_"&amp;MOD(ROW(A2040),48)+8</f>
        <v>44_32</v>
      </c>
    </row>
    <row r="2041" spans="1:8" x14ac:dyDescent="0.2">
      <c r="A2041" s="9" t="s">
        <v>51</v>
      </c>
      <c r="C2041" t="str">
        <f>""""&amp;SUBSTITUTE(A2041,"zzz",H2041)&amp;""""&amp;","</f>
        <v>"https://www.zeldadungeon.net/maps/totk/tiles/sky/6/44_33.jpg",</v>
      </c>
      <c r="H2041" t="str">
        <f>QUOTIENT(ROW(A2041),48)+2&amp;"_"&amp;MOD(ROW(A2041),48)+8</f>
        <v>44_33</v>
      </c>
    </row>
    <row r="2042" spans="1:8" x14ac:dyDescent="0.2">
      <c r="A2042" s="9" t="s">
        <v>51</v>
      </c>
      <c r="C2042" t="str">
        <f>""""&amp;SUBSTITUTE(A2042,"zzz",H2042)&amp;""""&amp;","</f>
        <v>"https://www.zeldadungeon.net/maps/totk/tiles/sky/6/44_34.jpg",</v>
      </c>
      <c r="H2042" t="str">
        <f>QUOTIENT(ROW(A2042),48)+2&amp;"_"&amp;MOD(ROW(A2042),48)+8</f>
        <v>44_34</v>
      </c>
    </row>
    <row r="2043" spans="1:8" x14ac:dyDescent="0.2">
      <c r="A2043" s="9" t="s">
        <v>51</v>
      </c>
      <c r="C2043" t="str">
        <f>""""&amp;SUBSTITUTE(A2043,"zzz",H2043)&amp;""""&amp;","</f>
        <v>"https://www.zeldadungeon.net/maps/totk/tiles/sky/6/44_35.jpg",</v>
      </c>
      <c r="H2043" t="str">
        <f>QUOTIENT(ROW(A2043),48)+2&amp;"_"&amp;MOD(ROW(A2043),48)+8</f>
        <v>44_35</v>
      </c>
    </row>
    <row r="2044" spans="1:8" x14ac:dyDescent="0.2">
      <c r="A2044" s="9" t="s">
        <v>51</v>
      </c>
      <c r="C2044" t="str">
        <f>""""&amp;SUBSTITUTE(A2044,"zzz",H2044)&amp;""""&amp;","</f>
        <v>"https://www.zeldadungeon.net/maps/totk/tiles/sky/6/44_36.jpg",</v>
      </c>
      <c r="H2044" t="str">
        <f>QUOTIENT(ROW(A2044),48)+2&amp;"_"&amp;MOD(ROW(A2044),48)+8</f>
        <v>44_36</v>
      </c>
    </row>
    <row r="2045" spans="1:8" x14ac:dyDescent="0.2">
      <c r="A2045" s="9" t="s">
        <v>51</v>
      </c>
      <c r="C2045" t="str">
        <f>""""&amp;SUBSTITUTE(A2045,"zzz",H2045)&amp;""""&amp;","</f>
        <v>"https://www.zeldadungeon.net/maps/totk/tiles/sky/6/44_37.jpg",</v>
      </c>
      <c r="H2045" t="str">
        <f>QUOTIENT(ROW(A2045),48)+2&amp;"_"&amp;MOD(ROW(A2045),48)+8</f>
        <v>44_37</v>
      </c>
    </row>
    <row r="2046" spans="1:8" x14ac:dyDescent="0.2">
      <c r="A2046" s="9" t="s">
        <v>51</v>
      </c>
      <c r="C2046" t="str">
        <f>""""&amp;SUBSTITUTE(A2046,"zzz",H2046)&amp;""""&amp;","</f>
        <v>"https://www.zeldadungeon.net/maps/totk/tiles/sky/6/44_38.jpg",</v>
      </c>
      <c r="H2046" t="str">
        <f>QUOTIENT(ROW(A2046),48)+2&amp;"_"&amp;MOD(ROW(A2046),48)+8</f>
        <v>44_38</v>
      </c>
    </row>
    <row r="2047" spans="1:8" x14ac:dyDescent="0.2">
      <c r="A2047" s="9" t="s">
        <v>51</v>
      </c>
      <c r="C2047" t="str">
        <f>""""&amp;SUBSTITUTE(A2047,"zzz",H2047)&amp;""""&amp;","</f>
        <v>"https://www.zeldadungeon.net/maps/totk/tiles/sky/6/44_39.jpg",</v>
      </c>
      <c r="H2047" t="str">
        <f>QUOTIENT(ROW(A2047),48)+2&amp;"_"&amp;MOD(ROW(A2047),48)+8</f>
        <v>44_39</v>
      </c>
    </row>
    <row r="2048" spans="1:8" x14ac:dyDescent="0.2">
      <c r="A2048" s="9" t="s">
        <v>51</v>
      </c>
      <c r="C2048" t="str">
        <f>""""&amp;SUBSTITUTE(A2048,"zzz",H2048)&amp;""""&amp;","</f>
        <v>"https://www.zeldadungeon.net/maps/totk/tiles/sky/6/44_40.jpg",</v>
      </c>
      <c r="H2048" t="str">
        <f>QUOTIENT(ROW(A2048),48)+2&amp;"_"&amp;MOD(ROW(A2048),48)+8</f>
        <v>44_40</v>
      </c>
    </row>
    <row r="2049" spans="1:8" x14ac:dyDescent="0.2">
      <c r="A2049" s="9" t="s">
        <v>51</v>
      </c>
      <c r="C2049" t="str">
        <f>""""&amp;SUBSTITUTE(A2049,"zzz",H2049)&amp;""""&amp;","</f>
        <v>"https://www.zeldadungeon.net/maps/totk/tiles/sky/6/44_41.jpg",</v>
      </c>
      <c r="H2049" t="str">
        <f>QUOTIENT(ROW(A2049),48)+2&amp;"_"&amp;MOD(ROW(A2049),48)+8</f>
        <v>44_41</v>
      </c>
    </row>
    <row r="2050" spans="1:8" x14ac:dyDescent="0.2">
      <c r="A2050" s="9" t="s">
        <v>51</v>
      </c>
      <c r="C2050" t="str">
        <f>""""&amp;SUBSTITUTE(A2050,"zzz",H2050)&amp;""""&amp;","</f>
        <v>"https://www.zeldadungeon.net/maps/totk/tiles/sky/6/44_42.jpg",</v>
      </c>
      <c r="H2050" t="str">
        <f>QUOTIENT(ROW(A2050),48)+2&amp;"_"&amp;MOD(ROW(A2050),48)+8</f>
        <v>44_42</v>
      </c>
    </row>
    <row r="2051" spans="1:8" x14ac:dyDescent="0.2">
      <c r="A2051" s="9" t="s">
        <v>51</v>
      </c>
      <c r="C2051" t="str">
        <f>""""&amp;SUBSTITUTE(A2051,"zzz",H2051)&amp;""""&amp;","</f>
        <v>"https://www.zeldadungeon.net/maps/totk/tiles/sky/6/44_43.jpg",</v>
      </c>
      <c r="H2051" t="str">
        <f>QUOTIENT(ROW(A2051),48)+2&amp;"_"&amp;MOD(ROW(A2051),48)+8</f>
        <v>44_43</v>
      </c>
    </row>
    <row r="2052" spans="1:8" x14ac:dyDescent="0.2">
      <c r="A2052" s="9" t="s">
        <v>51</v>
      </c>
      <c r="C2052" t="str">
        <f>""""&amp;SUBSTITUTE(A2052,"zzz",H2052)&amp;""""&amp;","</f>
        <v>"https://www.zeldadungeon.net/maps/totk/tiles/sky/6/44_44.jpg",</v>
      </c>
      <c r="H2052" t="str">
        <f>QUOTIENT(ROW(A2052),48)+2&amp;"_"&amp;MOD(ROW(A2052),48)+8</f>
        <v>44_44</v>
      </c>
    </row>
    <row r="2053" spans="1:8" x14ac:dyDescent="0.2">
      <c r="A2053" s="9" t="s">
        <v>51</v>
      </c>
      <c r="C2053" t="str">
        <f>""""&amp;SUBSTITUTE(A2053,"zzz",H2053)&amp;""""&amp;","</f>
        <v>"https://www.zeldadungeon.net/maps/totk/tiles/sky/6/44_45.jpg",</v>
      </c>
      <c r="H2053" t="str">
        <f>QUOTIENT(ROW(A2053),48)+2&amp;"_"&amp;MOD(ROW(A2053),48)+8</f>
        <v>44_45</v>
      </c>
    </row>
    <row r="2054" spans="1:8" x14ac:dyDescent="0.2">
      <c r="A2054" s="9" t="s">
        <v>51</v>
      </c>
      <c r="C2054" t="str">
        <f>""""&amp;SUBSTITUTE(A2054,"zzz",H2054)&amp;""""&amp;","</f>
        <v>"https://www.zeldadungeon.net/maps/totk/tiles/sky/6/44_46.jpg",</v>
      </c>
      <c r="H2054" t="str">
        <f>QUOTIENT(ROW(A2054),48)+2&amp;"_"&amp;MOD(ROW(A2054),48)+8</f>
        <v>44_46</v>
      </c>
    </row>
    <row r="2055" spans="1:8" x14ac:dyDescent="0.2">
      <c r="A2055" s="9" t="s">
        <v>51</v>
      </c>
      <c r="C2055" t="str">
        <f>""""&amp;SUBSTITUTE(A2055,"zzz",H2055)&amp;""""&amp;","</f>
        <v>"https://www.zeldadungeon.net/maps/totk/tiles/sky/6/44_47.jpg",</v>
      </c>
      <c r="H2055" t="str">
        <f>QUOTIENT(ROW(A2055),48)+2&amp;"_"&amp;MOD(ROW(A2055),48)+8</f>
        <v>44_47</v>
      </c>
    </row>
    <row r="2056" spans="1:8" x14ac:dyDescent="0.2">
      <c r="A2056" s="9" t="s">
        <v>51</v>
      </c>
      <c r="C2056" t="str">
        <f>""""&amp;SUBSTITUTE(A2056,"zzz",H2056)&amp;""""&amp;","</f>
        <v>"https://www.zeldadungeon.net/maps/totk/tiles/sky/6/44_48.jpg",</v>
      </c>
      <c r="H2056" t="str">
        <f>QUOTIENT(ROW(A2056),48)+2&amp;"_"&amp;MOD(ROW(A2056),48)+8</f>
        <v>44_48</v>
      </c>
    </row>
    <row r="2057" spans="1:8" x14ac:dyDescent="0.2">
      <c r="A2057" s="9" t="s">
        <v>51</v>
      </c>
      <c r="C2057" t="str">
        <f>""""&amp;SUBSTITUTE(A2057,"zzz",H2057)&amp;""""&amp;","</f>
        <v>"https://www.zeldadungeon.net/maps/totk/tiles/sky/6/44_49.jpg",</v>
      </c>
      <c r="H2057" t="str">
        <f>QUOTIENT(ROW(A2057),48)+2&amp;"_"&amp;MOD(ROW(A2057),48)+8</f>
        <v>44_49</v>
      </c>
    </row>
    <row r="2058" spans="1:8" x14ac:dyDescent="0.2">
      <c r="A2058" s="9" t="s">
        <v>51</v>
      </c>
      <c r="C2058" t="str">
        <f>""""&amp;SUBSTITUTE(A2058,"zzz",H2058)&amp;""""&amp;","</f>
        <v>"https://www.zeldadungeon.net/maps/totk/tiles/sky/6/44_50.jpg",</v>
      </c>
      <c r="H2058" t="str">
        <f>QUOTIENT(ROW(A2058),48)+2&amp;"_"&amp;MOD(ROW(A2058),48)+8</f>
        <v>44_50</v>
      </c>
    </row>
    <row r="2059" spans="1:8" x14ac:dyDescent="0.2">
      <c r="A2059" s="9" t="s">
        <v>51</v>
      </c>
      <c r="C2059" t="str">
        <f>""""&amp;SUBSTITUTE(A2059,"zzz",H2059)&amp;""""&amp;","</f>
        <v>"https://www.zeldadungeon.net/maps/totk/tiles/sky/6/44_51.jpg",</v>
      </c>
      <c r="H2059" t="str">
        <f>QUOTIENT(ROW(A2059),48)+2&amp;"_"&amp;MOD(ROW(A2059),48)+8</f>
        <v>44_51</v>
      </c>
    </row>
    <row r="2060" spans="1:8" x14ac:dyDescent="0.2">
      <c r="A2060" s="9" t="s">
        <v>51</v>
      </c>
      <c r="C2060" t="str">
        <f>""""&amp;SUBSTITUTE(A2060,"zzz",H2060)&amp;""""&amp;","</f>
        <v>"https://www.zeldadungeon.net/maps/totk/tiles/sky/6/44_52.jpg",</v>
      </c>
      <c r="H2060" t="str">
        <f>QUOTIENT(ROW(A2060),48)+2&amp;"_"&amp;MOD(ROW(A2060),48)+8</f>
        <v>44_52</v>
      </c>
    </row>
    <row r="2061" spans="1:8" x14ac:dyDescent="0.2">
      <c r="A2061" s="9" t="s">
        <v>51</v>
      </c>
      <c r="C2061" t="str">
        <f>""""&amp;SUBSTITUTE(A2061,"zzz",H2061)&amp;""""&amp;","</f>
        <v>"https://www.zeldadungeon.net/maps/totk/tiles/sky/6/44_53.jpg",</v>
      </c>
      <c r="H2061" t="str">
        <f>QUOTIENT(ROW(A2061),48)+2&amp;"_"&amp;MOD(ROW(A2061),48)+8</f>
        <v>44_53</v>
      </c>
    </row>
    <row r="2062" spans="1:8" x14ac:dyDescent="0.2">
      <c r="A2062" s="9" t="s">
        <v>51</v>
      </c>
      <c r="C2062" t="str">
        <f>""""&amp;SUBSTITUTE(A2062,"zzz",H2062)&amp;""""&amp;","</f>
        <v>"https://www.zeldadungeon.net/maps/totk/tiles/sky/6/44_54.jpg",</v>
      </c>
      <c r="H2062" t="str">
        <f>QUOTIENT(ROW(A2062),48)+2&amp;"_"&amp;MOD(ROW(A2062),48)+8</f>
        <v>44_54</v>
      </c>
    </row>
    <row r="2063" spans="1:8" x14ac:dyDescent="0.2">
      <c r="A2063" s="9" t="s">
        <v>51</v>
      </c>
      <c r="C2063" t="str">
        <f>""""&amp;SUBSTITUTE(A2063,"zzz",H2063)&amp;""""&amp;","</f>
        <v>"https://www.zeldadungeon.net/maps/totk/tiles/sky/6/44_55.jpg",</v>
      </c>
      <c r="H2063" t="str">
        <f>QUOTIENT(ROW(A2063),48)+2&amp;"_"&amp;MOD(ROW(A2063),48)+8</f>
        <v>44_55</v>
      </c>
    </row>
    <row r="2064" spans="1:8" x14ac:dyDescent="0.2">
      <c r="A2064" s="9" t="s">
        <v>51</v>
      </c>
      <c r="C2064" t="str">
        <f>""""&amp;SUBSTITUTE(A2064,"zzz",H2064)&amp;""""&amp;","</f>
        <v>"https://www.zeldadungeon.net/maps/totk/tiles/sky/6/45_8.jpg",</v>
      </c>
      <c r="H2064" t="str">
        <f>QUOTIENT(ROW(A2064),48)+2&amp;"_"&amp;MOD(ROW(A2064),48)+8</f>
        <v>45_8</v>
      </c>
    </row>
    <row r="2065" spans="1:8" x14ac:dyDescent="0.2">
      <c r="A2065" s="9" t="s">
        <v>51</v>
      </c>
      <c r="C2065" t="str">
        <f>""""&amp;SUBSTITUTE(A2065,"zzz",H2065)&amp;""""&amp;","</f>
        <v>"https://www.zeldadungeon.net/maps/totk/tiles/sky/6/45_9.jpg",</v>
      </c>
      <c r="H2065" t="str">
        <f>QUOTIENT(ROW(A2065),48)+2&amp;"_"&amp;MOD(ROW(A2065),48)+8</f>
        <v>45_9</v>
      </c>
    </row>
    <row r="2066" spans="1:8" x14ac:dyDescent="0.2">
      <c r="A2066" s="9" t="s">
        <v>51</v>
      </c>
      <c r="C2066" t="str">
        <f>""""&amp;SUBSTITUTE(A2066,"zzz",H2066)&amp;""""&amp;","</f>
        <v>"https://www.zeldadungeon.net/maps/totk/tiles/sky/6/45_10.jpg",</v>
      </c>
      <c r="H2066" t="str">
        <f>QUOTIENT(ROW(A2066),48)+2&amp;"_"&amp;MOD(ROW(A2066),48)+8</f>
        <v>45_10</v>
      </c>
    </row>
    <row r="2067" spans="1:8" x14ac:dyDescent="0.2">
      <c r="A2067" s="9" t="s">
        <v>51</v>
      </c>
      <c r="C2067" t="str">
        <f>""""&amp;SUBSTITUTE(A2067,"zzz",H2067)&amp;""""&amp;","</f>
        <v>"https://www.zeldadungeon.net/maps/totk/tiles/sky/6/45_11.jpg",</v>
      </c>
      <c r="H2067" t="str">
        <f>QUOTIENT(ROW(A2067),48)+2&amp;"_"&amp;MOD(ROW(A2067),48)+8</f>
        <v>45_11</v>
      </c>
    </row>
    <row r="2068" spans="1:8" x14ac:dyDescent="0.2">
      <c r="A2068" s="9" t="s">
        <v>51</v>
      </c>
      <c r="C2068" t="str">
        <f>""""&amp;SUBSTITUTE(A2068,"zzz",H2068)&amp;""""&amp;","</f>
        <v>"https://www.zeldadungeon.net/maps/totk/tiles/sky/6/45_12.jpg",</v>
      </c>
      <c r="H2068" t="str">
        <f>QUOTIENT(ROW(A2068),48)+2&amp;"_"&amp;MOD(ROW(A2068),48)+8</f>
        <v>45_12</v>
      </c>
    </row>
    <row r="2069" spans="1:8" x14ac:dyDescent="0.2">
      <c r="A2069" s="9" t="s">
        <v>51</v>
      </c>
      <c r="C2069" t="str">
        <f>""""&amp;SUBSTITUTE(A2069,"zzz",H2069)&amp;""""&amp;","</f>
        <v>"https://www.zeldadungeon.net/maps/totk/tiles/sky/6/45_13.jpg",</v>
      </c>
      <c r="H2069" t="str">
        <f>QUOTIENT(ROW(A2069),48)+2&amp;"_"&amp;MOD(ROW(A2069),48)+8</f>
        <v>45_13</v>
      </c>
    </row>
    <row r="2070" spans="1:8" x14ac:dyDescent="0.2">
      <c r="A2070" s="9" t="s">
        <v>51</v>
      </c>
      <c r="C2070" t="str">
        <f>""""&amp;SUBSTITUTE(A2070,"zzz",H2070)&amp;""""&amp;","</f>
        <v>"https://www.zeldadungeon.net/maps/totk/tiles/sky/6/45_14.jpg",</v>
      </c>
      <c r="H2070" t="str">
        <f>QUOTIENT(ROW(A2070),48)+2&amp;"_"&amp;MOD(ROW(A2070),48)+8</f>
        <v>45_14</v>
      </c>
    </row>
    <row r="2071" spans="1:8" x14ac:dyDescent="0.2">
      <c r="A2071" s="9" t="s">
        <v>51</v>
      </c>
      <c r="C2071" t="str">
        <f>""""&amp;SUBSTITUTE(A2071,"zzz",H2071)&amp;""""&amp;","</f>
        <v>"https://www.zeldadungeon.net/maps/totk/tiles/sky/6/45_15.jpg",</v>
      </c>
      <c r="H2071" t="str">
        <f>QUOTIENT(ROW(A2071),48)+2&amp;"_"&amp;MOD(ROW(A2071),48)+8</f>
        <v>45_15</v>
      </c>
    </row>
    <row r="2072" spans="1:8" x14ac:dyDescent="0.2">
      <c r="A2072" s="9" t="s">
        <v>51</v>
      </c>
      <c r="C2072" t="str">
        <f>""""&amp;SUBSTITUTE(A2072,"zzz",H2072)&amp;""""&amp;","</f>
        <v>"https://www.zeldadungeon.net/maps/totk/tiles/sky/6/45_16.jpg",</v>
      </c>
      <c r="H2072" t="str">
        <f>QUOTIENT(ROW(A2072),48)+2&amp;"_"&amp;MOD(ROW(A2072),48)+8</f>
        <v>45_16</v>
      </c>
    </row>
    <row r="2073" spans="1:8" x14ac:dyDescent="0.2">
      <c r="A2073" s="9" t="s">
        <v>51</v>
      </c>
      <c r="C2073" t="str">
        <f>""""&amp;SUBSTITUTE(A2073,"zzz",H2073)&amp;""""&amp;","</f>
        <v>"https://www.zeldadungeon.net/maps/totk/tiles/sky/6/45_17.jpg",</v>
      </c>
      <c r="H2073" t="str">
        <f>QUOTIENT(ROW(A2073),48)+2&amp;"_"&amp;MOD(ROW(A2073),48)+8</f>
        <v>45_17</v>
      </c>
    </row>
    <row r="2074" spans="1:8" x14ac:dyDescent="0.2">
      <c r="A2074" s="9" t="s">
        <v>51</v>
      </c>
      <c r="C2074" t="str">
        <f>""""&amp;SUBSTITUTE(A2074,"zzz",H2074)&amp;""""&amp;","</f>
        <v>"https://www.zeldadungeon.net/maps/totk/tiles/sky/6/45_18.jpg",</v>
      </c>
      <c r="H2074" t="str">
        <f>QUOTIENT(ROW(A2074),48)+2&amp;"_"&amp;MOD(ROW(A2074),48)+8</f>
        <v>45_18</v>
      </c>
    </row>
    <row r="2075" spans="1:8" x14ac:dyDescent="0.2">
      <c r="A2075" s="9" t="s">
        <v>51</v>
      </c>
      <c r="C2075" t="str">
        <f>""""&amp;SUBSTITUTE(A2075,"zzz",H2075)&amp;""""&amp;","</f>
        <v>"https://www.zeldadungeon.net/maps/totk/tiles/sky/6/45_19.jpg",</v>
      </c>
      <c r="H2075" t="str">
        <f>QUOTIENT(ROW(A2075),48)+2&amp;"_"&amp;MOD(ROW(A2075),48)+8</f>
        <v>45_19</v>
      </c>
    </row>
    <row r="2076" spans="1:8" x14ac:dyDescent="0.2">
      <c r="A2076" s="9" t="s">
        <v>51</v>
      </c>
      <c r="C2076" t="str">
        <f>""""&amp;SUBSTITUTE(A2076,"zzz",H2076)&amp;""""&amp;","</f>
        <v>"https://www.zeldadungeon.net/maps/totk/tiles/sky/6/45_20.jpg",</v>
      </c>
      <c r="H2076" t="str">
        <f>QUOTIENT(ROW(A2076),48)+2&amp;"_"&amp;MOD(ROW(A2076),48)+8</f>
        <v>45_20</v>
      </c>
    </row>
    <row r="2077" spans="1:8" x14ac:dyDescent="0.2">
      <c r="A2077" s="9" t="s">
        <v>51</v>
      </c>
      <c r="C2077" t="str">
        <f>""""&amp;SUBSTITUTE(A2077,"zzz",H2077)&amp;""""&amp;","</f>
        <v>"https://www.zeldadungeon.net/maps/totk/tiles/sky/6/45_21.jpg",</v>
      </c>
      <c r="H2077" t="str">
        <f>QUOTIENT(ROW(A2077),48)+2&amp;"_"&amp;MOD(ROW(A2077),48)+8</f>
        <v>45_21</v>
      </c>
    </row>
    <row r="2078" spans="1:8" x14ac:dyDescent="0.2">
      <c r="A2078" s="9" t="s">
        <v>51</v>
      </c>
      <c r="C2078" t="str">
        <f>""""&amp;SUBSTITUTE(A2078,"zzz",H2078)&amp;""""&amp;","</f>
        <v>"https://www.zeldadungeon.net/maps/totk/tiles/sky/6/45_22.jpg",</v>
      </c>
      <c r="H2078" t="str">
        <f>QUOTIENT(ROW(A2078),48)+2&amp;"_"&amp;MOD(ROW(A2078),48)+8</f>
        <v>45_22</v>
      </c>
    </row>
    <row r="2079" spans="1:8" x14ac:dyDescent="0.2">
      <c r="A2079" s="9" t="s">
        <v>51</v>
      </c>
      <c r="C2079" t="str">
        <f>""""&amp;SUBSTITUTE(A2079,"zzz",H2079)&amp;""""&amp;","</f>
        <v>"https://www.zeldadungeon.net/maps/totk/tiles/sky/6/45_23.jpg",</v>
      </c>
      <c r="H2079" t="str">
        <f>QUOTIENT(ROW(A2079),48)+2&amp;"_"&amp;MOD(ROW(A2079),48)+8</f>
        <v>45_23</v>
      </c>
    </row>
    <row r="2080" spans="1:8" x14ac:dyDescent="0.2">
      <c r="A2080" s="9" t="s">
        <v>51</v>
      </c>
      <c r="C2080" t="str">
        <f>""""&amp;SUBSTITUTE(A2080,"zzz",H2080)&amp;""""&amp;","</f>
        <v>"https://www.zeldadungeon.net/maps/totk/tiles/sky/6/45_24.jpg",</v>
      </c>
      <c r="H2080" t="str">
        <f>QUOTIENT(ROW(A2080),48)+2&amp;"_"&amp;MOD(ROW(A2080),48)+8</f>
        <v>45_24</v>
      </c>
    </row>
    <row r="2081" spans="1:8" x14ac:dyDescent="0.2">
      <c r="A2081" s="9" t="s">
        <v>51</v>
      </c>
      <c r="C2081" t="str">
        <f>""""&amp;SUBSTITUTE(A2081,"zzz",H2081)&amp;""""&amp;","</f>
        <v>"https://www.zeldadungeon.net/maps/totk/tiles/sky/6/45_25.jpg",</v>
      </c>
      <c r="H2081" t="str">
        <f>QUOTIENT(ROW(A2081),48)+2&amp;"_"&amp;MOD(ROW(A2081),48)+8</f>
        <v>45_25</v>
      </c>
    </row>
    <row r="2082" spans="1:8" x14ac:dyDescent="0.2">
      <c r="A2082" s="9" t="s">
        <v>51</v>
      </c>
      <c r="C2082" t="str">
        <f>""""&amp;SUBSTITUTE(A2082,"zzz",H2082)&amp;""""&amp;","</f>
        <v>"https://www.zeldadungeon.net/maps/totk/tiles/sky/6/45_26.jpg",</v>
      </c>
      <c r="H2082" t="str">
        <f>QUOTIENT(ROW(A2082),48)+2&amp;"_"&amp;MOD(ROW(A2082),48)+8</f>
        <v>45_26</v>
      </c>
    </row>
    <row r="2083" spans="1:8" x14ac:dyDescent="0.2">
      <c r="A2083" s="9" t="s">
        <v>51</v>
      </c>
      <c r="C2083" t="str">
        <f>""""&amp;SUBSTITUTE(A2083,"zzz",H2083)&amp;""""&amp;","</f>
        <v>"https://www.zeldadungeon.net/maps/totk/tiles/sky/6/45_27.jpg",</v>
      </c>
      <c r="H2083" t="str">
        <f>QUOTIENT(ROW(A2083),48)+2&amp;"_"&amp;MOD(ROW(A2083),48)+8</f>
        <v>45_27</v>
      </c>
    </row>
    <row r="2084" spans="1:8" x14ac:dyDescent="0.2">
      <c r="A2084" s="9" t="s">
        <v>51</v>
      </c>
      <c r="C2084" t="str">
        <f>""""&amp;SUBSTITUTE(A2084,"zzz",H2084)&amp;""""&amp;","</f>
        <v>"https://www.zeldadungeon.net/maps/totk/tiles/sky/6/45_28.jpg",</v>
      </c>
      <c r="H2084" t="str">
        <f>QUOTIENT(ROW(A2084),48)+2&amp;"_"&amp;MOD(ROW(A2084),48)+8</f>
        <v>45_28</v>
      </c>
    </row>
    <row r="2085" spans="1:8" x14ac:dyDescent="0.2">
      <c r="A2085" s="9" t="s">
        <v>51</v>
      </c>
      <c r="C2085" t="str">
        <f>""""&amp;SUBSTITUTE(A2085,"zzz",H2085)&amp;""""&amp;","</f>
        <v>"https://www.zeldadungeon.net/maps/totk/tiles/sky/6/45_29.jpg",</v>
      </c>
      <c r="H2085" t="str">
        <f>QUOTIENT(ROW(A2085),48)+2&amp;"_"&amp;MOD(ROW(A2085),48)+8</f>
        <v>45_29</v>
      </c>
    </row>
    <row r="2086" spans="1:8" x14ac:dyDescent="0.2">
      <c r="A2086" s="9" t="s">
        <v>51</v>
      </c>
      <c r="C2086" t="str">
        <f>""""&amp;SUBSTITUTE(A2086,"zzz",H2086)&amp;""""&amp;","</f>
        <v>"https://www.zeldadungeon.net/maps/totk/tiles/sky/6/45_30.jpg",</v>
      </c>
      <c r="H2086" t="str">
        <f>QUOTIENT(ROW(A2086),48)+2&amp;"_"&amp;MOD(ROW(A2086),48)+8</f>
        <v>45_30</v>
      </c>
    </row>
    <row r="2087" spans="1:8" x14ac:dyDescent="0.2">
      <c r="A2087" s="9" t="s">
        <v>51</v>
      </c>
      <c r="C2087" t="str">
        <f>""""&amp;SUBSTITUTE(A2087,"zzz",H2087)&amp;""""&amp;","</f>
        <v>"https://www.zeldadungeon.net/maps/totk/tiles/sky/6/45_31.jpg",</v>
      </c>
      <c r="H2087" t="str">
        <f>QUOTIENT(ROW(A2087),48)+2&amp;"_"&amp;MOD(ROW(A2087),48)+8</f>
        <v>45_31</v>
      </c>
    </row>
    <row r="2088" spans="1:8" x14ac:dyDescent="0.2">
      <c r="A2088" s="9" t="s">
        <v>51</v>
      </c>
      <c r="C2088" t="str">
        <f>""""&amp;SUBSTITUTE(A2088,"zzz",H2088)&amp;""""&amp;","</f>
        <v>"https://www.zeldadungeon.net/maps/totk/tiles/sky/6/45_32.jpg",</v>
      </c>
      <c r="H2088" t="str">
        <f>QUOTIENT(ROW(A2088),48)+2&amp;"_"&amp;MOD(ROW(A2088),48)+8</f>
        <v>45_32</v>
      </c>
    </row>
    <row r="2089" spans="1:8" x14ac:dyDescent="0.2">
      <c r="A2089" s="9" t="s">
        <v>51</v>
      </c>
      <c r="C2089" t="str">
        <f>""""&amp;SUBSTITUTE(A2089,"zzz",H2089)&amp;""""&amp;","</f>
        <v>"https://www.zeldadungeon.net/maps/totk/tiles/sky/6/45_33.jpg",</v>
      </c>
      <c r="H2089" t="str">
        <f>QUOTIENT(ROW(A2089),48)+2&amp;"_"&amp;MOD(ROW(A2089),48)+8</f>
        <v>45_33</v>
      </c>
    </row>
    <row r="2090" spans="1:8" x14ac:dyDescent="0.2">
      <c r="A2090" s="9" t="s">
        <v>51</v>
      </c>
      <c r="C2090" t="str">
        <f>""""&amp;SUBSTITUTE(A2090,"zzz",H2090)&amp;""""&amp;","</f>
        <v>"https://www.zeldadungeon.net/maps/totk/tiles/sky/6/45_34.jpg",</v>
      </c>
      <c r="H2090" t="str">
        <f>QUOTIENT(ROW(A2090),48)+2&amp;"_"&amp;MOD(ROW(A2090),48)+8</f>
        <v>45_34</v>
      </c>
    </row>
    <row r="2091" spans="1:8" x14ac:dyDescent="0.2">
      <c r="A2091" s="9" t="s">
        <v>51</v>
      </c>
      <c r="C2091" t="str">
        <f>""""&amp;SUBSTITUTE(A2091,"zzz",H2091)&amp;""""&amp;","</f>
        <v>"https://www.zeldadungeon.net/maps/totk/tiles/sky/6/45_35.jpg",</v>
      </c>
      <c r="H2091" t="str">
        <f>QUOTIENT(ROW(A2091),48)+2&amp;"_"&amp;MOD(ROW(A2091),48)+8</f>
        <v>45_35</v>
      </c>
    </row>
    <row r="2092" spans="1:8" x14ac:dyDescent="0.2">
      <c r="A2092" s="9" t="s">
        <v>51</v>
      </c>
      <c r="C2092" t="str">
        <f>""""&amp;SUBSTITUTE(A2092,"zzz",H2092)&amp;""""&amp;","</f>
        <v>"https://www.zeldadungeon.net/maps/totk/tiles/sky/6/45_36.jpg",</v>
      </c>
      <c r="H2092" t="str">
        <f>QUOTIENT(ROW(A2092),48)+2&amp;"_"&amp;MOD(ROW(A2092),48)+8</f>
        <v>45_36</v>
      </c>
    </row>
    <row r="2093" spans="1:8" x14ac:dyDescent="0.2">
      <c r="A2093" s="9" t="s">
        <v>51</v>
      </c>
      <c r="C2093" t="str">
        <f>""""&amp;SUBSTITUTE(A2093,"zzz",H2093)&amp;""""&amp;","</f>
        <v>"https://www.zeldadungeon.net/maps/totk/tiles/sky/6/45_37.jpg",</v>
      </c>
      <c r="H2093" t="str">
        <f>QUOTIENT(ROW(A2093),48)+2&amp;"_"&amp;MOD(ROW(A2093),48)+8</f>
        <v>45_37</v>
      </c>
    </row>
    <row r="2094" spans="1:8" x14ac:dyDescent="0.2">
      <c r="A2094" s="9" t="s">
        <v>51</v>
      </c>
      <c r="C2094" t="str">
        <f>""""&amp;SUBSTITUTE(A2094,"zzz",H2094)&amp;""""&amp;","</f>
        <v>"https://www.zeldadungeon.net/maps/totk/tiles/sky/6/45_38.jpg",</v>
      </c>
      <c r="H2094" t="str">
        <f>QUOTIENT(ROW(A2094),48)+2&amp;"_"&amp;MOD(ROW(A2094),48)+8</f>
        <v>45_38</v>
      </c>
    </row>
    <row r="2095" spans="1:8" x14ac:dyDescent="0.2">
      <c r="A2095" s="9" t="s">
        <v>51</v>
      </c>
      <c r="C2095" t="str">
        <f>""""&amp;SUBSTITUTE(A2095,"zzz",H2095)&amp;""""&amp;","</f>
        <v>"https://www.zeldadungeon.net/maps/totk/tiles/sky/6/45_39.jpg",</v>
      </c>
      <c r="H2095" t="str">
        <f>QUOTIENT(ROW(A2095),48)+2&amp;"_"&amp;MOD(ROW(A2095),48)+8</f>
        <v>45_39</v>
      </c>
    </row>
    <row r="2096" spans="1:8" x14ac:dyDescent="0.2">
      <c r="A2096" s="9" t="s">
        <v>51</v>
      </c>
      <c r="C2096" t="str">
        <f>""""&amp;SUBSTITUTE(A2096,"zzz",H2096)&amp;""""&amp;","</f>
        <v>"https://www.zeldadungeon.net/maps/totk/tiles/sky/6/45_40.jpg",</v>
      </c>
      <c r="H2096" t="str">
        <f>QUOTIENT(ROW(A2096),48)+2&amp;"_"&amp;MOD(ROW(A2096),48)+8</f>
        <v>45_40</v>
      </c>
    </row>
    <row r="2097" spans="1:8" x14ac:dyDescent="0.2">
      <c r="A2097" s="9" t="s">
        <v>51</v>
      </c>
      <c r="C2097" t="str">
        <f>""""&amp;SUBSTITUTE(A2097,"zzz",H2097)&amp;""""&amp;","</f>
        <v>"https://www.zeldadungeon.net/maps/totk/tiles/sky/6/45_41.jpg",</v>
      </c>
      <c r="H2097" t="str">
        <f>QUOTIENT(ROW(A2097),48)+2&amp;"_"&amp;MOD(ROW(A2097),48)+8</f>
        <v>45_41</v>
      </c>
    </row>
    <row r="2098" spans="1:8" x14ac:dyDescent="0.2">
      <c r="A2098" s="9" t="s">
        <v>51</v>
      </c>
      <c r="C2098" t="str">
        <f>""""&amp;SUBSTITUTE(A2098,"zzz",H2098)&amp;""""&amp;","</f>
        <v>"https://www.zeldadungeon.net/maps/totk/tiles/sky/6/45_42.jpg",</v>
      </c>
      <c r="H2098" t="str">
        <f>QUOTIENT(ROW(A2098),48)+2&amp;"_"&amp;MOD(ROW(A2098),48)+8</f>
        <v>45_42</v>
      </c>
    </row>
    <row r="2099" spans="1:8" x14ac:dyDescent="0.2">
      <c r="A2099" s="9" t="s">
        <v>51</v>
      </c>
      <c r="C2099" t="str">
        <f>""""&amp;SUBSTITUTE(A2099,"zzz",H2099)&amp;""""&amp;","</f>
        <v>"https://www.zeldadungeon.net/maps/totk/tiles/sky/6/45_43.jpg",</v>
      </c>
      <c r="H2099" t="str">
        <f>QUOTIENT(ROW(A2099),48)+2&amp;"_"&amp;MOD(ROW(A2099),48)+8</f>
        <v>45_43</v>
      </c>
    </row>
    <row r="2100" spans="1:8" x14ac:dyDescent="0.2">
      <c r="A2100" s="9" t="s">
        <v>51</v>
      </c>
      <c r="C2100" t="str">
        <f>""""&amp;SUBSTITUTE(A2100,"zzz",H2100)&amp;""""&amp;","</f>
        <v>"https://www.zeldadungeon.net/maps/totk/tiles/sky/6/45_44.jpg",</v>
      </c>
      <c r="H2100" t="str">
        <f>QUOTIENT(ROW(A2100),48)+2&amp;"_"&amp;MOD(ROW(A2100),48)+8</f>
        <v>45_44</v>
      </c>
    </row>
    <row r="2101" spans="1:8" x14ac:dyDescent="0.2">
      <c r="A2101" s="9" t="s">
        <v>51</v>
      </c>
      <c r="C2101" t="str">
        <f>""""&amp;SUBSTITUTE(A2101,"zzz",H2101)&amp;""""&amp;","</f>
        <v>"https://www.zeldadungeon.net/maps/totk/tiles/sky/6/45_45.jpg",</v>
      </c>
      <c r="H2101" t="str">
        <f>QUOTIENT(ROW(A2101),48)+2&amp;"_"&amp;MOD(ROW(A2101),48)+8</f>
        <v>45_45</v>
      </c>
    </row>
    <row r="2102" spans="1:8" x14ac:dyDescent="0.2">
      <c r="A2102" s="9" t="s">
        <v>51</v>
      </c>
      <c r="C2102" t="str">
        <f>""""&amp;SUBSTITUTE(A2102,"zzz",H2102)&amp;""""&amp;","</f>
        <v>"https://www.zeldadungeon.net/maps/totk/tiles/sky/6/45_46.jpg",</v>
      </c>
      <c r="H2102" t="str">
        <f>QUOTIENT(ROW(A2102),48)+2&amp;"_"&amp;MOD(ROW(A2102),48)+8</f>
        <v>45_46</v>
      </c>
    </row>
    <row r="2103" spans="1:8" x14ac:dyDescent="0.2">
      <c r="A2103" s="9" t="s">
        <v>51</v>
      </c>
      <c r="C2103" t="str">
        <f>""""&amp;SUBSTITUTE(A2103,"zzz",H2103)&amp;""""&amp;","</f>
        <v>"https://www.zeldadungeon.net/maps/totk/tiles/sky/6/45_47.jpg",</v>
      </c>
      <c r="H2103" t="str">
        <f>QUOTIENT(ROW(A2103),48)+2&amp;"_"&amp;MOD(ROW(A2103),48)+8</f>
        <v>45_47</v>
      </c>
    </row>
    <row r="2104" spans="1:8" x14ac:dyDescent="0.2">
      <c r="A2104" s="9" t="s">
        <v>51</v>
      </c>
      <c r="C2104" t="str">
        <f>""""&amp;SUBSTITUTE(A2104,"zzz",H2104)&amp;""""&amp;","</f>
        <v>"https://www.zeldadungeon.net/maps/totk/tiles/sky/6/45_48.jpg",</v>
      </c>
      <c r="H2104" t="str">
        <f>QUOTIENT(ROW(A2104),48)+2&amp;"_"&amp;MOD(ROW(A2104),48)+8</f>
        <v>45_48</v>
      </c>
    </row>
    <row r="2105" spans="1:8" x14ac:dyDescent="0.2">
      <c r="A2105" s="9" t="s">
        <v>51</v>
      </c>
      <c r="C2105" t="str">
        <f>""""&amp;SUBSTITUTE(A2105,"zzz",H2105)&amp;""""&amp;","</f>
        <v>"https://www.zeldadungeon.net/maps/totk/tiles/sky/6/45_49.jpg",</v>
      </c>
      <c r="H2105" t="str">
        <f>QUOTIENT(ROW(A2105),48)+2&amp;"_"&amp;MOD(ROW(A2105),48)+8</f>
        <v>45_49</v>
      </c>
    </row>
    <row r="2106" spans="1:8" x14ac:dyDescent="0.2">
      <c r="A2106" s="9" t="s">
        <v>51</v>
      </c>
      <c r="C2106" t="str">
        <f>""""&amp;SUBSTITUTE(A2106,"zzz",H2106)&amp;""""&amp;","</f>
        <v>"https://www.zeldadungeon.net/maps/totk/tiles/sky/6/45_50.jpg",</v>
      </c>
      <c r="H2106" t="str">
        <f>QUOTIENT(ROW(A2106),48)+2&amp;"_"&amp;MOD(ROW(A2106),48)+8</f>
        <v>45_50</v>
      </c>
    </row>
    <row r="2107" spans="1:8" x14ac:dyDescent="0.2">
      <c r="A2107" s="9" t="s">
        <v>51</v>
      </c>
      <c r="C2107" t="str">
        <f>""""&amp;SUBSTITUTE(A2107,"zzz",H2107)&amp;""""&amp;","</f>
        <v>"https://www.zeldadungeon.net/maps/totk/tiles/sky/6/45_51.jpg",</v>
      </c>
      <c r="H2107" t="str">
        <f>QUOTIENT(ROW(A2107),48)+2&amp;"_"&amp;MOD(ROW(A2107),48)+8</f>
        <v>45_51</v>
      </c>
    </row>
    <row r="2108" spans="1:8" x14ac:dyDescent="0.2">
      <c r="A2108" s="9" t="s">
        <v>51</v>
      </c>
      <c r="C2108" t="str">
        <f>""""&amp;SUBSTITUTE(A2108,"zzz",H2108)&amp;""""&amp;","</f>
        <v>"https://www.zeldadungeon.net/maps/totk/tiles/sky/6/45_52.jpg",</v>
      </c>
      <c r="H2108" t="str">
        <f>QUOTIENT(ROW(A2108),48)+2&amp;"_"&amp;MOD(ROW(A2108),48)+8</f>
        <v>45_52</v>
      </c>
    </row>
    <row r="2109" spans="1:8" x14ac:dyDescent="0.2">
      <c r="A2109" s="9" t="s">
        <v>51</v>
      </c>
      <c r="C2109" t="str">
        <f>""""&amp;SUBSTITUTE(A2109,"zzz",H2109)&amp;""""&amp;","</f>
        <v>"https://www.zeldadungeon.net/maps/totk/tiles/sky/6/45_53.jpg",</v>
      </c>
      <c r="H2109" t="str">
        <f>QUOTIENT(ROW(A2109),48)+2&amp;"_"&amp;MOD(ROW(A2109),48)+8</f>
        <v>45_53</v>
      </c>
    </row>
    <row r="2110" spans="1:8" x14ac:dyDescent="0.2">
      <c r="A2110" s="9" t="s">
        <v>51</v>
      </c>
      <c r="C2110" t="str">
        <f>""""&amp;SUBSTITUTE(A2110,"zzz",H2110)&amp;""""&amp;","</f>
        <v>"https://www.zeldadungeon.net/maps/totk/tiles/sky/6/45_54.jpg",</v>
      </c>
      <c r="H2110" t="str">
        <f>QUOTIENT(ROW(A2110),48)+2&amp;"_"&amp;MOD(ROW(A2110),48)+8</f>
        <v>45_54</v>
      </c>
    </row>
    <row r="2111" spans="1:8" x14ac:dyDescent="0.2">
      <c r="A2111" s="9" t="s">
        <v>51</v>
      </c>
      <c r="C2111" t="str">
        <f>""""&amp;SUBSTITUTE(A2111,"zzz",H2111)&amp;""""&amp;","</f>
        <v>"https://www.zeldadungeon.net/maps/totk/tiles/sky/6/45_55.jpg",</v>
      </c>
      <c r="H2111" t="str">
        <f>QUOTIENT(ROW(A2111),48)+2&amp;"_"&amp;MOD(ROW(A2111),48)+8</f>
        <v>45_55</v>
      </c>
    </row>
    <row r="2112" spans="1:8" x14ac:dyDescent="0.2">
      <c r="A2112" s="9" t="s">
        <v>51</v>
      </c>
      <c r="C2112" t="str">
        <f>""""&amp;SUBSTITUTE(A2112,"zzz",H2112)&amp;""""&amp;","</f>
        <v>"https://www.zeldadungeon.net/maps/totk/tiles/sky/6/46_8.jpg",</v>
      </c>
      <c r="H2112" t="str">
        <f>QUOTIENT(ROW(A2112),48)+2&amp;"_"&amp;MOD(ROW(A2112),48)+8</f>
        <v>46_8</v>
      </c>
    </row>
    <row r="2113" spans="1:8" x14ac:dyDescent="0.2">
      <c r="A2113" s="9" t="s">
        <v>51</v>
      </c>
      <c r="C2113" t="str">
        <f>""""&amp;SUBSTITUTE(A2113,"zzz",H2113)&amp;""""&amp;","</f>
        <v>"https://www.zeldadungeon.net/maps/totk/tiles/sky/6/46_9.jpg",</v>
      </c>
      <c r="H2113" t="str">
        <f>QUOTIENT(ROW(A2113),48)+2&amp;"_"&amp;MOD(ROW(A2113),48)+8</f>
        <v>46_9</v>
      </c>
    </row>
    <row r="2114" spans="1:8" x14ac:dyDescent="0.2">
      <c r="A2114" s="9" t="s">
        <v>51</v>
      </c>
      <c r="C2114" t="str">
        <f>""""&amp;SUBSTITUTE(A2114,"zzz",H2114)&amp;""""&amp;","</f>
        <v>"https://www.zeldadungeon.net/maps/totk/tiles/sky/6/46_10.jpg",</v>
      </c>
      <c r="H2114" t="str">
        <f>QUOTIENT(ROW(A2114),48)+2&amp;"_"&amp;MOD(ROW(A2114),48)+8</f>
        <v>46_10</v>
      </c>
    </row>
    <row r="2115" spans="1:8" x14ac:dyDescent="0.2">
      <c r="A2115" s="9" t="s">
        <v>51</v>
      </c>
      <c r="C2115" t="str">
        <f>""""&amp;SUBSTITUTE(A2115,"zzz",H2115)&amp;""""&amp;","</f>
        <v>"https://www.zeldadungeon.net/maps/totk/tiles/sky/6/46_11.jpg",</v>
      </c>
      <c r="H2115" t="str">
        <f>QUOTIENT(ROW(A2115),48)+2&amp;"_"&amp;MOD(ROW(A2115),48)+8</f>
        <v>46_11</v>
      </c>
    </row>
    <row r="2116" spans="1:8" x14ac:dyDescent="0.2">
      <c r="A2116" s="9" t="s">
        <v>51</v>
      </c>
      <c r="C2116" t="str">
        <f>""""&amp;SUBSTITUTE(A2116,"zzz",H2116)&amp;""""&amp;","</f>
        <v>"https://www.zeldadungeon.net/maps/totk/tiles/sky/6/46_12.jpg",</v>
      </c>
      <c r="H2116" t="str">
        <f>QUOTIENT(ROW(A2116),48)+2&amp;"_"&amp;MOD(ROW(A2116),48)+8</f>
        <v>46_12</v>
      </c>
    </row>
    <row r="2117" spans="1:8" x14ac:dyDescent="0.2">
      <c r="A2117" s="9" t="s">
        <v>51</v>
      </c>
      <c r="C2117" t="str">
        <f>""""&amp;SUBSTITUTE(A2117,"zzz",H2117)&amp;""""&amp;","</f>
        <v>"https://www.zeldadungeon.net/maps/totk/tiles/sky/6/46_13.jpg",</v>
      </c>
      <c r="H2117" t="str">
        <f>QUOTIENT(ROW(A2117),48)+2&amp;"_"&amp;MOD(ROW(A2117),48)+8</f>
        <v>46_13</v>
      </c>
    </row>
    <row r="2118" spans="1:8" x14ac:dyDescent="0.2">
      <c r="A2118" s="9" t="s">
        <v>51</v>
      </c>
      <c r="C2118" t="str">
        <f>""""&amp;SUBSTITUTE(A2118,"zzz",H2118)&amp;""""&amp;","</f>
        <v>"https://www.zeldadungeon.net/maps/totk/tiles/sky/6/46_14.jpg",</v>
      </c>
      <c r="H2118" t="str">
        <f>QUOTIENT(ROW(A2118),48)+2&amp;"_"&amp;MOD(ROW(A2118),48)+8</f>
        <v>46_14</v>
      </c>
    </row>
    <row r="2119" spans="1:8" x14ac:dyDescent="0.2">
      <c r="A2119" s="9" t="s">
        <v>51</v>
      </c>
      <c r="C2119" t="str">
        <f>""""&amp;SUBSTITUTE(A2119,"zzz",H2119)&amp;""""&amp;","</f>
        <v>"https://www.zeldadungeon.net/maps/totk/tiles/sky/6/46_15.jpg",</v>
      </c>
      <c r="H2119" t="str">
        <f>QUOTIENT(ROW(A2119),48)+2&amp;"_"&amp;MOD(ROW(A2119),48)+8</f>
        <v>46_15</v>
      </c>
    </row>
    <row r="2120" spans="1:8" x14ac:dyDescent="0.2">
      <c r="A2120" s="9" t="s">
        <v>51</v>
      </c>
      <c r="C2120" t="str">
        <f>""""&amp;SUBSTITUTE(A2120,"zzz",H2120)&amp;""""&amp;","</f>
        <v>"https://www.zeldadungeon.net/maps/totk/tiles/sky/6/46_16.jpg",</v>
      </c>
      <c r="H2120" t="str">
        <f>QUOTIENT(ROW(A2120),48)+2&amp;"_"&amp;MOD(ROW(A2120),48)+8</f>
        <v>46_16</v>
      </c>
    </row>
    <row r="2121" spans="1:8" x14ac:dyDescent="0.2">
      <c r="A2121" s="9" t="s">
        <v>51</v>
      </c>
      <c r="C2121" t="str">
        <f>""""&amp;SUBSTITUTE(A2121,"zzz",H2121)&amp;""""&amp;","</f>
        <v>"https://www.zeldadungeon.net/maps/totk/tiles/sky/6/46_17.jpg",</v>
      </c>
      <c r="H2121" t="str">
        <f>QUOTIENT(ROW(A2121),48)+2&amp;"_"&amp;MOD(ROW(A2121),48)+8</f>
        <v>46_17</v>
      </c>
    </row>
    <row r="2122" spans="1:8" x14ac:dyDescent="0.2">
      <c r="A2122" s="9" t="s">
        <v>51</v>
      </c>
      <c r="C2122" t="str">
        <f>""""&amp;SUBSTITUTE(A2122,"zzz",H2122)&amp;""""&amp;","</f>
        <v>"https://www.zeldadungeon.net/maps/totk/tiles/sky/6/46_18.jpg",</v>
      </c>
      <c r="H2122" t="str">
        <f>QUOTIENT(ROW(A2122),48)+2&amp;"_"&amp;MOD(ROW(A2122),48)+8</f>
        <v>46_18</v>
      </c>
    </row>
    <row r="2123" spans="1:8" x14ac:dyDescent="0.2">
      <c r="A2123" s="9" t="s">
        <v>51</v>
      </c>
      <c r="C2123" t="str">
        <f>""""&amp;SUBSTITUTE(A2123,"zzz",H2123)&amp;""""&amp;","</f>
        <v>"https://www.zeldadungeon.net/maps/totk/tiles/sky/6/46_19.jpg",</v>
      </c>
      <c r="H2123" t="str">
        <f>QUOTIENT(ROW(A2123),48)+2&amp;"_"&amp;MOD(ROW(A2123),48)+8</f>
        <v>46_19</v>
      </c>
    </row>
    <row r="2124" spans="1:8" x14ac:dyDescent="0.2">
      <c r="A2124" s="9" t="s">
        <v>51</v>
      </c>
      <c r="C2124" t="str">
        <f>""""&amp;SUBSTITUTE(A2124,"zzz",H2124)&amp;""""&amp;","</f>
        <v>"https://www.zeldadungeon.net/maps/totk/tiles/sky/6/46_20.jpg",</v>
      </c>
      <c r="H2124" t="str">
        <f>QUOTIENT(ROW(A2124),48)+2&amp;"_"&amp;MOD(ROW(A2124),48)+8</f>
        <v>46_20</v>
      </c>
    </row>
    <row r="2125" spans="1:8" x14ac:dyDescent="0.2">
      <c r="A2125" s="9" t="s">
        <v>51</v>
      </c>
      <c r="C2125" t="str">
        <f>""""&amp;SUBSTITUTE(A2125,"zzz",H2125)&amp;""""&amp;","</f>
        <v>"https://www.zeldadungeon.net/maps/totk/tiles/sky/6/46_21.jpg",</v>
      </c>
      <c r="H2125" t="str">
        <f>QUOTIENT(ROW(A2125),48)+2&amp;"_"&amp;MOD(ROW(A2125),48)+8</f>
        <v>46_21</v>
      </c>
    </row>
    <row r="2126" spans="1:8" x14ac:dyDescent="0.2">
      <c r="A2126" s="9" t="s">
        <v>51</v>
      </c>
      <c r="C2126" t="str">
        <f>""""&amp;SUBSTITUTE(A2126,"zzz",H2126)&amp;""""&amp;","</f>
        <v>"https://www.zeldadungeon.net/maps/totk/tiles/sky/6/46_22.jpg",</v>
      </c>
      <c r="H2126" t="str">
        <f>QUOTIENT(ROW(A2126),48)+2&amp;"_"&amp;MOD(ROW(A2126),48)+8</f>
        <v>46_22</v>
      </c>
    </row>
    <row r="2127" spans="1:8" x14ac:dyDescent="0.2">
      <c r="A2127" s="9" t="s">
        <v>51</v>
      </c>
      <c r="C2127" t="str">
        <f>""""&amp;SUBSTITUTE(A2127,"zzz",H2127)&amp;""""&amp;","</f>
        <v>"https://www.zeldadungeon.net/maps/totk/tiles/sky/6/46_23.jpg",</v>
      </c>
      <c r="H2127" t="str">
        <f>QUOTIENT(ROW(A2127),48)+2&amp;"_"&amp;MOD(ROW(A2127),48)+8</f>
        <v>46_23</v>
      </c>
    </row>
    <row r="2128" spans="1:8" x14ac:dyDescent="0.2">
      <c r="A2128" s="9" t="s">
        <v>51</v>
      </c>
      <c r="C2128" t="str">
        <f>""""&amp;SUBSTITUTE(A2128,"zzz",H2128)&amp;""""&amp;","</f>
        <v>"https://www.zeldadungeon.net/maps/totk/tiles/sky/6/46_24.jpg",</v>
      </c>
      <c r="H2128" t="str">
        <f>QUOTIENT(ROW(A2128),48)+2&amp;"_"&amp;MOD(ROW(A2128),48)+8</f>
        <v>46_24</v>
      </c>
    </row>
    <row r="2129" spans="1:8" x14ac:dyDescent="0.2">
      <c r="A2129" s="9" t="s">
        <v>51</v>
      </c>
      <c r="C2129" t="str">
        <f>""""&amp;SUBSTITUTE(A2129,"zzz",H2129)&amp;""""&amp;","</f>
        <v>"https://www.zeldadungeon.net/maps/totk/tiles/sky/6/46_25.jpg",</v>
      </c>
      <c r="H2129" t="str">
        <f>QUOTIENT(ROW(A2129),48)+2&amp;"_"&amp;MOD(ROW(A2129),48)+8</f>
        <v>46_25</v>
      </c>
    </row>
    <row r="2130" spans="1:8" x14ac:dyDescent="0.2">
      <c r="A2130" s="9" t="s">
        <v>51</v>
      </c>
      <c r="C2130" t="str">
        <f>""""&amp;SUBSTITUTE(A2130,"zzz",H2130)&amp;""""&amp;","</f>
        <v>"https://www.zeldadungeon.net/maps/totk/tiles/sky/6/46_26.jpg",</v>
      </c>
      <c r="H2130" t="str">
        <f>QUOTIENT(ROW(A2130),48)+2&amp;"_"&amp;MOD(ROW(A2130),48)+8</f>
        <v>46_26</v>
      </c>
    </row>
    <row r="2131" spans="1:8" x14ac:dyDescent="0.2">
      <c r="A2131" s="9" t="s">
        <v>51</v>
      </c>
      <c r="C2131" t="str">
        <f>""""&amp;SUBSTITUTE(A2131,"zzz",H2131)&amp;""""&amp;","</f>
        <v>"https://www.zeldadungeon.net/maps/totk/tiles/sky/6/46_27.jpg",</v>
      </c>
      <c r="H2131" t="str">
        <f>QUOTIENT(ROW(A2131),48)+2&amp;"_"&amp;MOD(ROW(A2131),48)+8</f>
        <v>46_27</v>
      </c>
    </row>
    <row r="2132" spans="1:8" x14ac:dyDescent="0.2">
      <c r="A2132" s="9" t="s">
        <v>51</v>
      </c>
      <c r="C2132" t="str">
        <f>""""&amp;SUBSTITUTE(A2132,"zzz",H2132)&amp;""""&amp;","</f>
        <v>"https://www.zeldadungeon.net/maps/totk/tiles/sky/6/46_28.jpg",</v>
      </c>
      <c r="H2132" t="str">
        <f>QUOTIENT(ROW(A2132),48)+2&amp;"_"&amp;MOD(ROW(A2132),48)+8</f>
        <v>46_28</v>
      </c>
    </row>
    <row r="2133" spans="1:8" x14ac:dyDescent="0.2">
      <c r="A2133" s="9" t="s">
        <v>51</v>
      </c>
      <c r="C2133" t="str">
        <f>""""&amp;SUBSTITUTE(A2133,"zzz",H2133)&amp;""""&amp;","</f>
        <v>"https://www.zeldadungeon.net/maps/totk/tiles/sky/6/46_29.jpg",</v>
      </c>
      <c r="H2133" t="str">
        <f>QUOTIENT(ROW(A2133),48)+2&amp;"_"&amp;MOD(ROW(A2133),48)+8</f>
        <v>46_29</v>
      </c>
    </row>
    <row r="2134" spans="1:8" x14ac:dyDescent="0.2">
      <c r="A2134" s="9" t="s">
        <v>51</v>
      </c>
      <c r="C2134" t="str">
        <f>""""&amp;SUBSTITUTE(A2134,"zzz",H2134)&amp;""""&amp;","</f>
        <v>"https://www.zeldadungeon.net/maps/totk/tiles/sky/6/46_30.jpg",</v>
      </c>
      <c r="H2134" t="str">
        <f>QUOTIENT(ROW(A2134),48)+2&amp;"_"&amp;MOD(ROW(A2134),48)+8</f>
        <v>46_30</v>
      </c>
    </row>
    <row r="2135" spans="1:8" x14ac:dyDescent="0.2">
      <c r="A2135" s="9" t="s">
        <v>51</v>
      </c>
      <c r="C2135" t="str">
        <f>""""&amp;SUBSTITUTE(A2135,"zzz",H2135)&amp;""""&amp;","</f>
        <v>"https://www.zeldadungeon.net/maps/totk/tiles/sky/6/46_31.jpg",</v>
      </c>
      <c r="H2135" t="str">
        <f>QUOTIENT(ROW(A2135),48)+2&amp;"_"&amp;MOD(ROW(A2135),48)+8</f>
        <v>46_31</v>
      </c>
    </row>
    <row r="2136" spans="1:8" x14ac:dyDescent="0.2">
      <c r="A2136" s="9" t="s">
        <v>51</v>
      </c>
      <c r="C2136" t="str">
        <f>""""&amp;SUBSTITUTE(A2136,"zzz",H2136)&amp;""""&amp;","</f>
        <v>"https://www.zeldadungeon.net/maps/totk/tiles/sky/6/46_32.jpg",</v>
      </c>
      <c r="H2136" t="str">
        <f>QUOTIENT(ROW(A2136),48)+2&amp;"_"&amp;MOD(ROW(A2136),48)+8</f>
        <v>46_32</v>
      </c>
    </row>
    <row r="2137" spans="1:8" x14ac:dyDescent="0.2">
      <c r="A2137" s="9" t="s">
        <v>51</v>
      </c>
      <c r="C2137" t="str">
        <f>""""&amp;SUBSTITUTE(A2137,"zzz",H2137)&amp;""""&amp;","</f>
        <v>"https://www.zeldadungeon.net/maps/totk/tiles/sky/6/46_33.jpg",</v>
      </c>
      <c r="H2137" t="str">
        <f>QUOTIENT(ROW(A2137),48)+2&amp;"_"&amp;MOD(ROW(A2137),48)+8</f>
        <v>46_33</v>
      </c>
    </row>
    <row r="2138" spans="1:8" x14ac:dyDescent="0.2">
      <c r="A2138" s="9" t="s">
        <v>51</v>
      </c>
      <c r="C2138" t="str">
        <f>""""&amp;SUBSTITUTE(A2138,"zzz",H2138)&amp;""""&amp;","</f>
        <v>"https://www.zeldadungeon.net/maps/totk/tiles/sky/6/46_34.jpg",</v>
      </c>
      <c r="H2138" t="str">
        <f>QUOTIENT(ROW(A2138),48)+2&amp;"_"&amp;MOD(ROW(A2138),48)+8</f>
        <v>46_34</v>
      </c>
    </row>
    <row r="2139" spans="1:8" x14ac:dyDescent="0.2">
      <c r="A2139" s="9" t="s">
        <v>51</v>
      </c>
      <c r="C2139" t="str">
        <f>""""&amp;SUBSTITUTE(A2139,"zzz",H2139)&amp;""""&amp;","</f>
        <v>"https://www.zeldadungeon.net/maps/totk/tiles/sky/6/46_35.jpg",</v>
      </c>
      <c r="H2139" t="str">
        <f>QUOTIENT(ROW(A2139),48)+2&amp;"_"&amp;MOD(ROW(A2139),48)+8</f>
        <v>46_35</v>
      </c>
    </row>
    <row r="2140" spans="1:8" x14ac:dyDescent="0.2">
      <c r="A2140" s="9" t="s">
        <v>51</v>
      </c>
      <c r="C2140" t="str">
        <f>""""&amp;SUBSTITUTE(A2140,"zzz",H2140)&amp;""""&amp;","</f>
        <v>"https://www.zeldadungeon.net/maps/totk/tiles/sky/6/46_36.jpg",</v>
      </c>
      <c r="H2140" t="str">
        <f>QUOTIENT(ROW(A2140),48)+2&amp;"_"&amp;MOD(ROW(A2140),48)+8</f>
        <v>46_36</v>
      </c>
    </row>
    <row r="2141" spans="1:8" x14ac:dyDescent="0.2">
      <c r="A2141" s="9" t="s">
        <v>51</v>
      </c>
      <c r="C2141" t="str">
        <f>""""&amp;SUBSTITUTE(A2141,"zzz",H2141)&amp;""""&amp;","</f>
        <v>"https://www.zeldadungeon.net/maps/totk/tiles/sky/6/46_37.jpg",</v>
      </c>
      <c r="H2141" t="str">
        <f>QUOTIENT(ROW(A2141),48)+2&amp;"_"&amp;MOD(ROW(A2141),48)+8</f>
        <v>46_37</v>
      </c>
    </row>
    <row r="2142" spans="1:8" x14ac:dyDescent="0.2">
      <c r="A2142" s="9" t="s">
        <v>51</v>
      </c>
      <c r="C2142" t="str">
        <f>""""&amp;SUBSTITUTE(A2142,"zzz",H2142)&amp;""""&amp;","</f>
        <v>"https://www.zeldadungeon.net/maps/totk/tiles/sky/6/46_38.jpg",</v>
      </c>
      <c r="H2142" t="str">
        <f>QUOTIENT(ROW(A2142),48)+2&amp;"_"&amp;MOD(ROW(A2142),48)+8</f>
        <v>46_38</v>
      </c>
    </row>
    <row r="2143" spans="1:8" x14ac:dyDescent="0.2">
      <c r="A2143" s="9" t="s">
        <v>51</v>
      </c>
      <c r="C2143" t="str">
        <f>""""&amp;SUBSTITUTE(A2143,"zzz",H2143)&amp;""""&amp;","</f>
        <v>"https://www.zeldadungeon.net/maps/totk/tiles/sky/6/46_39.jpg",</v>
      </c>
      <c r="H2143" t="str">
        <f>QUOTIENT(ROW(A2143),48)+2&amp;"_"&amp;MOD(ROW(A2143),48)+8</f>
        <v>46_39</v>
      </c>
    </row>
    <row r="2144" spans="1:8" x14ac:dyDescent="0.2">
      <c r="A2144" s="9" t="s">
        <v>51</v>
      </c>
      <c r="C2144" t="str">
        <f>""""&amp;SUBSTITUTE(A2144,"zzz",H2144)&amp;""""&amp;","</f>
        <v>"https://www.zeldadungeon.net/maps/totk/tiles/sky/6/46_40.jpg",</v>
      </c>
      <c r="H2144" t="str">
        <f>QUOTIENT(ROW(A2144),48)+2&amp;"_"&amp;MOD(ROW(A2144),48)+8</f>
        <v>46_40</v>
      </c>
    </row>
    <row r="2145" spans="1:8" x14ac:dyDescent="0.2">
      <c r="A2145" s="9" t="s">
        <v>51</v>
      </c>
      <c r="C2145" t="str">
        <f>""""&amp;SUBSTITUTE(A2145,"zzz",H2145)&amp;""""&amp;","</f>
        <v>"https://www.zeldadungeon.net/maps/totk/tiles/sky/6/46_41.jpg",</v>
      </c>
      <c r="H2145" t="str">
        <f>QUOTIENT(ROW(A2145),48)+2&amp;"_"&amp;MOD(ROW(A2145),48)+8</f>
        <v>46_41</v>
      </c>
    </row>
    <row r="2146" spans="1:8" x14ac:dyDescent="0.2">
      <c r="A2146" s="9" t="s">
        <v>51</v>
      </c>
      <c r="C2146" t="str">
        <f>""""&amp;SUBSTITUTE(A2146,"zzz",H2146)&amp;""""&amp;","</f>
        <v>"https://www.zeldadungeon.net/maps/totk/tiles/sky/6/46_42.jpg",</v>
      </c>
      <c r="H2146" t="str">
        <f>QUOTIENT(ROW(A2146),48)+2&amp;"_"&amp;MOD(ROW(A2146),48)+8</f>
        <v>46_42</v>
      </c>
    </row>
    <row r="2147" spans="1:8" x14ac:dyDescent="0.2">
      <c r="A2147" s="9" t="s">
        <v>51</v>
      </c>
      <c r="C2147" t="str">
        <f>""""&amp;SUBSTITUTE(A2147,"zzz",H2147)&amp;""""&amp;","</f>
        <v>"https://www.zeldadungeon.net/maps/totk/tiles/sky/6/46_43.jpg",</v>
      </c>
      <c r="H2147" t="str">
        <f>QUOTIENT(ROW(A2147),48)+2&amp;"_"&amp;MOD(ROW(A2147),48)+8</f>
        <v>46_43</v>
      </c>
    </row>
    <row r="2148" spans="1:8" x14ac:dyDescent="0.2">
      <c r="A2148" s="9" t="s">
        <v>51</v>
      </c>
      <c r="C2148" t="str">
        <f>""""&amp;SUBSTITUTE(A2148,"zzz",H2148)&amp;""""&amp;","</f>
        <v>"https://www.zeldadungeon.net/maps/totk/tiles/sky/6/46_44.jpg",</v>
      </c>
      <c r="H2148" t="str">
        <f>QUOTIENT(ROW(A2148),48)+2&amp;"_"&amp;MOD(ROW(A2148),48)+8</f>
        <v>46_44</v>
      </c>
    </row>
    <row r="2149" spans="1:8" x14ac:dyDescent="0.2">
      <c r="A2149" s="9" t="s">
        <v>51</v>
      </c>
      <c r="C2149" t="str">
        <f>""""&amp;SUBSTITUTE(A2149,"zzz",H2149)&amp;""""&amp;","</f>
        <v>"https://www.zeldadungeon.net/maps/totk/tiles/sky/6/46_45.jpg",</v>
      </c>
      <c r="H2149" t="str">
        <f>QUOTIENT(ROW(A2149),48)+2&amp;"_"&amp;MOD(ROW(A2149),48)+8</f>
        <v>46_45</v>
      </c>
    </row>
    <row r="2150" spans="1:8" x14ac:dyDescent="0.2">
      <c r="A2150" s="9" t="s">
        <v>51</v>
      </c>
      <c r="C2150" t="str">
        <f>""""&amp;SUBSTITUTE(A2150,"zzz",H2150)&amp;""""&amp;","</f>
        <v>"https://www.zeldadungeon.net/maps/totk/tiles/sky/6/46_46.jpg",</v>
      </c>
      <c r="H2150" t="str">
        <f>QUOTIENT(ROW(A2150),48)+2&amp;"_"&amp;MOD(ROW(A2150),48)+8</f>
        <v>46_46</v>
      </c>
    </row>
    <row r="2151" spans="1:8" x14ac:dyDescent="0.2">
      <c r="A2151" s="9" t="s">
        <v>51</v>
      </c>
      <c r="C2151" t="str">
        <f>""""&amp;SUBSTITUTE(A2151,"zzz",H2151)&amp;""""&amp;","</f>
        <v>"https://www.zeldadungeon.net/maps/totk/tiles/sky/6/46_47.jpg",</v>
      </c>
      <c r="H2151" t="str">
        <f>QUOTIENT(ROW(A2151),48)+2&amp;"_"&amp;MOD(ROW(A2151),48)+8</f>
        <v>46_47</v>
      </c>
    </row>
    <row r="2152" spans="1:8" x14ac:dyDescent="0.2">
      <c r="A2152" s="9" t="s">
        <v>51</v>
      </c>
      <c r="C2152" t="str">
        <f>""""&amp;SUBSTITUTE(A2152,"zzz",H2152)&amp;""""&amp;","</f>
        <v>"https://www.zeldadungeon.net/maps/totk/tiles/sky/6/46_48.jpg",</v>
      </c>
      <c r="H2152" t="str">
        <f>QUOTIENT(ROW(A2152),48)+2&amp;"_"&amp;MOD(ROW(A2152),48)+8</f>
        <v>46_48</v>
      </c>
    </row>
    <row r="2153" spans="1:8" x14ac:dyDescent="0.2">
      <c r="A2153" s="9" t="s">
        <v>51</v>
      </c>
      <c r="C2153" t="str">
        <f>""""&amp;SUBSTITUTE(A2153,"zzz",H2153)&amp;""""&amp;","</f>
        <v>"https://www.zeldadungeon.net/maps/totk/tiles/sky/6/46_49.jpg",</v>
      </c>
      <c r="H2153" t="str">
        <f>QUOTIENT(ROW(A2153),48)+2&amp;"_"&amp;MOD(ROW(A2153),48)+8</f>
        <v>46_49</v>
      </c>
    </row>
    <row r="2154" spans="1:8" x14ac:dyDescent="0.2">
      <c r="A2154" s="9" t="s">
        <v>51</v>
      </c>
      <c r="C2154" t="str">
        <f>""""&amp;SUBSTITUTE(A2154,"zzz",H2154)&amp;""""&amp;","</f>
        <v>"https://www.zeldadungeon.net/maps/totk/tiles/sky/6/46_50.jpg",</v>
      </c>
      <c r="H2154" t="str">
        <f>QUOTIENT(ROW(A2154),48)+2&amp;"_"&amp;MOD(ROW(A2154),48)+8</f>
        <v>46_50</v>
      </c>
    </row>
    <row r="2155" spans="1:8" x14ac:dyDescent="0.2">
      <c r="A2155" s="9" t="s">
        <v>51</v>
      </c>
      <c r="C2155" t="str">
        <f>""""&amp;SUBSTITUTE(A2155,"zzz",H2155)&amp;""""&amp;","</f>
        <v>"https://www.zeldadungeon.net/maps/totk/tiles/sky/6/46_51.jpg",</v>
      </c>
      <c r="H2155" t="str">
        <f>QUOTIENT(ROW(A2155),48)+2&amp;"_"&amp;MOD(ROW(A2155),48)+8</f>
        <v>46_51</v>
      </c>
    </row>
    <row r="2156" spans="1:8" x14ac:dyDescent="0.2">
      <c r="A2156" s="9" t="s">
        <v>51</v>
      </c>
      <c r="C2156" t="str">
        <f>""""&amp;SUBSTITUTE(A2156,"zzz",H2156)&amp;""""&amp;","</f>
        <v>"https://www.zeldadungeon.net/maps/totk/tiles/sky/6/46_52.jpg",</v>
      </c>
      <c r="H2156" t="str">
        <f>QUOTIENT(ROW(A2156),48)+2&amp;"_"&amp;MOD(ROW(A2156),48)+8</f>
        <v>46_52</v>
      </c>
    </row>
    <row r="2157" spans="1:8" x14ac:dyDescent="0.2">
      <c r="A2157" s="9" t="s">
        <v>51</v>
      </c>
      <c r="C2157" t="str">
        <f>""""&amp;SUBSTITUTE(A2157,"zzz",H2157)&amp;""""&amp;","</f>
        <v>"https://www.zeldadungeon.net/maps/totk/tiles/sky/6/46_53.jpg",</v>
      </c>
      <c r="H2157" t="str">
        <f>QUOTIENT(ROW(A2157),48)+2&amp;"_"&amp;MOD(ROW(A2157),48)+8</f>
        <v>46_53</v>
      </c>
    </row>
    <row r="2158" spans="1:8" x14ac:dyDescent="0.2">
      <c r="A2158" s="9" t="s">
        <v>51</v>
      </c>
      <c r="C2158" t="str">
        <f>""""&amp;SUBSTITUTE(A2158,"zzz",H2158)&amp;""""&amp;","</f>
        <v>"https://www.zeldadungeon.net/maps/totk/tiles/sky/6/46_54.jpg",</v>
      </c>
      <c r="H2158" t="str">
        <f>QUOTIENT(ROW(A2158),48)+2&amp;"_"&amp;MOD(ROW(A2158),48)+8</f>
        <v>46_54</v>
      </c>
    </row>
    <row r="2159" spans="1:8" x14ac:dyDescent="0.2">
      <c r="A2159" s="9" t="s">
        <v>51</v>
      </c>
      <c r="C2159" t="str">
        <f>""""&amp;SUBSTITUTE(A2159,"zzz",H2159)&amp;""""&amp;","</f>
        <v>"https://www.zeldadungeon.net/maps/totk/tiles/sky/6/46_55.jpg",</v>
      </c>
      <c r="H2159" t="str">
        <f>QUOTIENT(ROW(A2159),48)+2&amp;"_"&amp;MOD(ROW(A2159),48)+8</f>
        <v>46_55</v>
      </c>
    </row>
    <row r="2160" spans="1:8" x14ac:dyDescent="0.2">
      <c r="A2160" s="9" t="s">
        <v>51</v>
      </c>
      <c r="C2160" t="str">
        <f>""""&amp;SUBSTITUTE(A2160,"zzz",H2160)&amp;""""&amp;","</f>
        <v>"https://www.zeldadungeon.net/maps/totk/tiles/sky/6/47_8.jpg",</v>
      </c>
      <c r="H2160" t="str">
        <f>QUOTIENT(ROW(A2160),48)+2&amp;"_"&amp;MOD(ROW(A2160),48)+8</f>
        <v>47_8</v>
      </c>
    </row>
    <row r="2161" spans="1:8" x14ac:dyDescent="0.2">
      <c r="A2161" s="9" t="s">
        <v>51</v>
      </c>
      <c r="C2161" t="str">
        <f>""""&amp;SUBSTITUTE(A2161,"zzz",H2161)&amp;""""&amp;","</f>
        <v>"https://www.zeldadungeon.net/maps/totk/tiles/sky/6/47_9.jpg",</v>
      </c>
      <c r="H2161" t="str">
        <f>QUOTIENT(ROW(A2161),48)+2&amp;"_"&amp;MOD(ROW(A2161),48)+8</f>
        <v>47_9</v>
      </c>
    </row>
    <row r="2162" spans="1:8" x14ac:dyDescent="0.2">
      <c r="A2162" s="9" t="s">
        <v>51</v>
      </c>
      <c r="C2162" t="str">
        <f>""""&amp;SUBSTITUTE(A2162,"zzz",H2162)&amp;""""&amp;","</f>
        <v>"https://www.zeldadungeon.net/maps/totk/tiles/sky/6/47_10.jpg",</v>
      </c>
      <c r="H2162" t="str">
        <f>QUOTIENT(ROW(A2162),48)+2&amp;"_"&amp;MOD(ROW(A2162),48)+8</f>
        <v>47_10</v>
      </c>
    </row>
    <row r="2163" spans="1:8" x14ac:dyDescent="0.2">
      <c r="A2163" s="9" t="s">
        <v>51</v>
      </c>
      <c r="C2163" t="str">
        <f>""""&amp;SUBSTITUTE(A2163,"zzz",H2163)&amp;""""&amp;","</f>
        <v>"https://www.zeldadungeon.net/maps/totk/tiles/sky/6/47_11.jpg",</v>
      </c>
      <c r="H2163" t="str">
        <f>QUOTIENT(ROW(A2163),48)+2&amp;"_"&amp;MOD(ROW(A2163),48)+8</f>
        <v>47_11</v>
      </c>
    </row>
    <row r="2164" spans="1:8" x14ac:dyDescent="0.2">
      <c r="A2164" s="9" t="s">
        <v>51</v>
      </c>
      <c r="C2164" t="str">
        <f>""""&amp;SUBSTITUTE(A2164,"zzz",H2164)&amp;""""&amp;","</f>
        <v>"https://www.zeldadungeon.net/maps/totk/tiles/sky/6/47_12.jpg",</v>
      </c>
      <c r="H2164" t="str">
        <f>QUOTIENT(ROW(A2164),48)+2&amp;"_"&amp;MOD(ROW(A2164),48)+8</f>
        <v>47_12</v>
      </c>
    </row>
    <row r="2165" spans="1:8" x14ac:dyDescent="0.2">
      <c r="A2165" s="9" t="s">
        <v>51</v>
      </c>
      <c r="C2165" t="str">
        <f>""""&amp;SUBSTITUTE(A2165,"zzz",H2165)&amp;""""&amp;","</f>
        <v>"https://www.zeldadungeon.net/maps/totk/tiles/sky/6/47_13.jpg",</v>
      </c>
      <c r="H2165" t="str">
        <f>QUOTIENT(ROW(A2165),48)+2&amp;"_"&amp;MOD(ROW(A2165),48)+8</f>
        <v>47_13</v>
      </c>
    </row>
    <row r="2166" spans="1:8" x14ac:dyDescent="0.2">
      <c r="A2166" s="9" t="s">
        <v>51</v>
      </c>
      <c r="C2166" t="str">
        <f>""""&amp;SUBSTITUTE(A2166,"zzz",H2166)&amp;""""&amp;","</f>
        <v>"https://www.zeldadungeon.net/maps/totk/tiles/sky/6/47_14.jpg",</v>
      </c>
      <c r="H2166" t="str">
        <f>QUOTIENT(ROW(A2166),48)+2&amp;"_"&amp;MOD(ROW(A2166),48)+8</f>
        <v>47_14</v>
      </c>
    </row>
    <row r="2167" spans="1:8" x14ac:dyDescent="0.2">
      <c r="A2167" s="9" t="s">
        <v>51</v>
      </c>
      <c r="C2167" t="str">
        <f>""""&amp;SUBSTITUTE(A2167,"zzz",H2167)&amp;""""&amp;","</f>
        <v>"https://www.zeldadungeon.net/maps/totk/tiles/sky/6/47_15.jpg",</v>
      </c>
      <c r="H2167" t="str">
        <f>QUOTIENT(ROW(A2167),48)+2&amp;"_"&amp;MOD(ROW(A2167),48)+8</f>
        <v>47_15</v>
      </c>
    </row>
    <row r="2168" spans="1:8" x14ac:dyDescent="0.2">
      <c r="A2168" s="9" t="s">
        <v>51</v>
      </c>
      <c r="C2168" t="str">
        <f>""""&amp;SUBSTITUTE(A2168,"zzz",H2168)&amp;""""&amp;","</f>
        <v>"https://www.zeldadungeon.net/maps/totk/tiles/sky/6/47_16.jpg",</v>
      </c>
      <c r="H2168" t="str">
        <f>QUOTIENT(ROW(A2168),48)+2&amp;"_"&amp;MOD(ROW(A2168),48)+8</f>
        <v>47_16</v>
      </c>
    </row>
    <row r="2169" spans="1:8" x14ac:dyDescent="0.2">
      <c r="A2169" s="9" t="s">
        <v>51</v>
      </c>
      <c r="C2169" t="str">
        <f>""""&amp;SUBSTITUTE(A2169,"zzz",H2169)&amp;""""&amp;","</f>
        <v>"https://www.zeldadungeon.net/maps/totk/tiles/sky/6/47_17.jpg",</v>
      </c>
      <c r="H2169" t="str">
        <f>QUOTIENT(ROW(A2169),48)+2&amp;"_"&amp;MOD(ROW(A2169),48)+8</f>
        <v>47_17</v>
      </c>
    </row>
    <row r="2170" spans="1:8" x14ac:dyDescent="0.2">
      <c r="A2170" s="9" t="s">
        <v>51</v>
      </c>
      <c r="C2170" t="str">
        <f>""""&amp;SUBSTITUTE(A2170,"zzz",H2170)&amp;""""&amp;","</f>
        <v>"https://www.zeldadungeon.net/maps/totk/tiles/sky/6/47_18.jpg",</v>
      </c>
      <c r="H2170" t="str">
        <f>QUOTIENT(ROW(A2170),48)+2&amp;"_"&amp;MOD(ROW(A2170),48)+8</f>
        <v>47_18</v>
      </c>
    </row>
    <row r="2171" spans="1:8" x14ac:dyDescent="0.2">
      <c r="A2171" s="9" t="s">
        <v>51</v>
      </c>
      <c r="C2171" t="str">
        <f>""""&amp;SUBSTITUTE(A2171,"zzz",H2171)&amp;""""&amp;","</f>
        <v>"https://www.zeldadungeon.net/maps/totk/tiles/sky/6/47_19.jpg",</v>
      </c>
      <c r="H2171" t="str">
        <f>QUOTIENT(ROW(A2171),48)+2&amp;"_"&amp;MOD(ROW(A2171),48)+8</f>
        <v>47_19</v>
      </c>
    </row>
    <row r="2172" spans="1:8" x14ac:dyDescent="0.2">
      <c r="A2172" s="9" t="s">
        <v>51</v>
      </c>
      <c r="C2172" t="str">
        <f>""""&amp;SUBSTITUTE(A2172,"zzz",H2172)&amp;""""&amp;","</f>
        <v>"https://www.zeldadungeon.net/maps/totk/tiles/sky/6/47_20.jpg",</v>
      </c>
      <c r="H2172" t="str">
        <f>QUOTIENT(ROW(A2172),48)+2&amp;"_"&amp;MOD(ROW(A2172),48)+8</f>
        <v>47_20</v>
      </c>
    </row>
    <row r="2173" spans="1:8" x14ac:dyDescent="0.2">
      <c r="A2173" s="9" t="s">
        <v>51</v>
      </c>
      <c r="C2173" t="str">
        <f>""""&amp;SUBSTITUTE(A2173,"zzz",H2173)&amp;""""&amp;","</f>
        <v>"https://www.zeldadungeon.net/maps/totk/tiles/sky/6/47_21.jpg",</v>
      </c>
      <c r="H2173" t="str">
        <f>QUOTIENT(ROW(A2173),48)+2&amp;"_"&amp;MOD(ROW(A2173),48)+8</f>
        <v>47_21</v>
      </c>
    </row>
    <row r="2174" spans="1:8" x14ac:dyDescent="0.2">
      <c r="A2174" s="9" t="s">
        <v>51</v>
      </c>
      <c r="C2174" t="str">
        <f>""""&amp;SUBSTITUTE(A2174,"zzz",H2174)&amp;""""&amp;","</f>
        <v>"https://www.zeldadungeon.net/maps/totk/tiles/sky/6/47_22.jpg",</v>
      </c>
      <c r="H2174" t="str">
        <f>QUOTIENT(ROW(A2174),48)+2&amp;"_"&amp;MOD(ROW(A2174),48)+8</f>
        <v>47_22</v>
      </c>
    </row>
    <row r="2175" spans="1:8" x14ac:dyDescent="0.2">
      <c r="A2175" s="9" t="s">
        <v>51</v>
      </c>
      <c r="C2175" t="str">
        <f>""""&amp;SUBSTITUTE(A2175,"zzz",H2175)&amp;""""&amp;","</f>
        <v>"https://www.zeldadungeon.net/maps/totk/tiles/sky/6/47_23.jpg",</v>
      </c>
      <c r="H2175" t="str">
        <f>QUOTIENT(ROW(A2175),48)+2&amp;"_"&amp;MOD(ROW(A2175),48)+8</f>
        <v>47_23</v>
      </c>
    </row>
    <row r="2176" spans="1:8" x14ac:dyDescent="0.2">
      <c r="A2176" s="9" t="s">
        <v>51</v>
      </c>
      <c r="C2176" t="str">
        <f>""""&amp;SUBSTITUTE(A2176,"zzz",H2176)&amp;""""&amp;","</f>
        <v>"https://www.zeldadungeon.net/maps/totk/tiles/sky/6/47_24.jpg",</v>
      </c>
      <c r="H2176" t="str">
        <f>QUOTIENT(ROW(A2176),48)+2&amp;"_"&amp;MOD(ROW(A2176),48)+8</f>
        <v>47_24</v>
      </c>
    </row>
    <row r="2177" spans="1:8" x14ac:dyDescent="0.2">
      <c r="A2177" s="9" t="s">
        <v>51</v>
      </c>
      <c r="C2177" t="str">
        <f>""""&amp;SUBSTITUTE(A2177,"zzz",H2177)&amp;""""&amp;","</f>
        <v>"https://www.zeldadungeon.net/maps/totk/tiles/sky/6/47_25.jpg",</v>
      </c>
      <c r="H2177" t="str">
        <f>QUOTIENT(ROW(A2177),48)+2&amp;"_"&amp;MOD(ROW(A2177),48)+8</f>
        <v>47_25</v>
      </c>
    </row>
    <row r="2178" spans="1:8" x14ac:dyDescent="0.2">
      <c r="A2178" s="9" t="s">
        <v>51</v>
      </c>
      <c r="C2178" t="str">
        <f>""""&amp;SUBSTITUTE(A2178,"zzz",H2178)&amp;""""&amp;","</f>
        <v>"https://www.zeldadungeon.net/maps/totk/tiles/sky/6/47_26.jpg",</v>
      </c>
      <c r="H2178" t="str">
        <f>QUOTIENT(ROW(A2178),48)+2&amp;"_"&amp;MOD(ROW(A2178),48)+8</f>
        <v>47_26</v>
      </c>
    </row>
    <row r="2179" spans="1:8" x14ac:dyDescent="0.2">
      <c r="A2179" s="9" t="s">
        <v>51</v>
      </c>
      <c r="C2179" t="str">
        <f>""""&amp;SUBSTITUTE(A2179,"zzz",H2179)&amp;""""&amp;","</f>
        <v>"https://www.zeldadungeon.net/maps/totk/tiles/sky/6/47_27.jpg",</v>
      </c>
      <c r="H2179" t="str">
        <f>QUOTIENT(ROW(A2179),48)+2&amp;"_"&amp;MOD(ROW(A2179),48)+8</f>
        <v>47_27</v>
      </c>
    </row>
    <row r="2180" spans="1:8" x14ac:dyDescent="0.2">
      <c r="A2180" s="9" t="s">
        <v>51</v>
      </c>
      <c r="C2180" t="str">
        <f>""""&amp;SUBSTITUTE(A2180,"zzz",H2180)&amp;""""&amp;","</f>
        <v>"https://www.zeldadungeon.net/maps/totk/tiles/sky/6/47_28.jpg",</v>
      </c>
      <c r="H2180" t="str">
        <f>QUOTIENT(ROW(A2180),48)+2&amp;"_"&amp;MOD(ROW(A2180),48)+8</f>
        <v>47_28</v>
      </c>
    </row>
    <row r="2181" spans="1:8" x14ac:dyDescent="0.2">
      <c r="A2181" s="9" t="s">
        <v>51</v>
      </c>
      <c r="C2181" t="str">
        <f>""""&amp;SUBSTITUTE(A2181,"zzz",H2181)&amp;""""&amp;","</f>
        <v>"https://www.zeldadungeon.net/maps/totk/tiles/sky/6/47_29.jpg",</v>
      </c>
      <c r="H2181" t="str">
        <f>QUOTIENT(ROW(A2181),48)+2&amp;"_"&amp;MOD(ROW(A2181),48)+8</f>
        <v>47_29</v>
      </c>
    </row>
    <row r="2182" spans="1:8" x14ac:dyDescent="0.2">
      <c r="A2182" s="9" t="s">
        <v>51</v>
      </c>
      <c r="C2182" t="str">
        <f>""""&amp;SUBSTITUTE(A2182,"zzz",H2182)&amp;""""&amp;","</f>
        <v>"https://www.zeldadungeon.net/maps/totk/tiles/sky/6/47_30.jpg",</v>
      </c>
      <c r="H2182" t="str">
        <f>QUOTIENT(ROW(A2182),48)+2&amp;"_"&amp;MOD(ROW(A2182),48)+8</f>
        <v>47_30</v>
      </c>
    </row>
    <row r="2183" spans="1:8" x14ac:dyDescent="0.2">
      <c r="A2183" s="9" t="s">
        <v>51</v>
      </c>
      <c r="C2183" t="str">
        <f>""""&amp;SUBSTITUTE(A2183,"zzz",H2183)&amp;""""&amp;","</f>
        <v>"https://www.zeldadungeon.net/maps/totk/tiles/sky/6/47_31.jpg",</v>
      </c>
      <c r="H2183" t="str">
        <f>QUOTIENT(ROW(A2183),48)+2&amp;"_"&amp;MOD(ROW(A2183),48)+8</f>
        <v>47_31</v>
      </c>
    </row>
    <row r="2184" spans="1:8" x14ac:dyDescent="0.2">
      <c r="A2184" s="9" t="s">
        <v>51</v>
      </c>
      <c r="C2184" t="str">
        <f>""""&amp;SUBSTITUTE(A2184,"zzz",H2184)&amp;""""&amp;","</f>
        <v>"https://www.zeldadungeon.net/maps/totk/tiles/sky/6/47_32.jpg",</v>
      </c>
      <c r="H2184" t="str">
        <f>QUOTIENT(ROW(A2184),48)+2&amp;"_"&amp;MOD(ROW(A2184),48)+8</f>
        <v>47_32</v>
      </c>
    </row>
    <row r="2185" spans="1:8" x14ac:dyDescent="0.2">
      <c r="A2185" s="9" t="s">
        <v>51</v>
      </c>
      <c r="C2185" t="str">
        <f>""""&amp;SUBSTITUTE(A2185,"zzz",H2185)&amp;""""&amp;","</f>
        <v>"https://www.zeldadungeon.net/maps/totk/tiles/sky/6/47_33.jpg",</v>
      </c>
      <c r="H2185" t="str">
        <f>QUOTIENT(ROW(A2185),48)+2&amp;"_"&amp;MOD(ROW(A2185),48)+8</f>
        <v>47_33</v>
      </c>
    </row>
    <row r="2186" spans="1:8" x14ac:dyDescent="0.2">
      <c r="A2186" s="9" t="s">
        <v>51</v>
      </c>
      <c r="C2186" t="str">
        <f>""""&amp;SUBSTITUTE(A2186,"zzz",H2186)&amp;""""&amp;","</f>
        <v>"https://www.zeldadungeon.net/maps/totk/tiles/sky/6/47_34.jpg",</v>
      </c>
      <c r="H2186" t="str">
        <f>QUOTIENT(ROW(A2186),48)+2&amp;"_"&amp;MOD(ROW(A2186),48)+8</f>
        <v>47_34</v>
      </c>
    </row>
    <row r="2187" spans="1:8" x14ac:dyDescent="0.2">
      <c r="A2187" s="9" t="s">
        <v>51</v>
      </c>
      <c r="C2187" t="str">
        <f>""""&amp;SUBSTITUTE(A2187,"zzz",H2187)&amp;""""&amp;","</f>
        <v>"https://www.zeldadungeon.net/maps/totk/tiles/sky/6/47_35.jpg",</v>
      </c>
      <c r="H2187" t="str">
        <f>QUOTIENT(ROW(A2187),48)+2&amp;"_"&amp;MOD(ROW(A2187),48)+8</f>
        <v>47_35</v>
      </c>
    </row>
    <row r="2188" spans="1:8" x14ac:dyDescent="0.2">
      <c r="A2188" s="9" t="s">
        <v>51</v>
      </c>
      <c r="C2188" t="str">
        <f>""""&amp;SUBSTITUTE(A2188,"zzz",H2188)&amp;""""&amp;","</f>
        <v>"https://www.zeldadungeon.net/maps/totk/tiles/sky/6/47_36.jpg",</v>
      </c>
      <c r="H2188" t="str">
        <f>QUOTIENT(ROW(A2188),48)+2&amp;"_"&amp;MOD(ROW(A2188),48)+8</f>
        <v>47_36</v>
      </c>
    </row>
    <row r="2189" spans="1:8" x14ac:dyDescent="0.2">
      <c r="A2189" s="9" t="s">
        <v>51</v>
      </c>
      <c r="C2189" t="str">
        <f>""""&amp;SUBSTITUTE(A2189,"zzz",H2189)&amp;""""&amp;","</f>
        <v>"https://www.zeldadungeon.net/maps/totk/tiles/sky/6/47_37.jpg",</v>
      </c>
      <c r="H2189" t="str">
        <f>QUOTIENT(ROW(A2189),48)+2&amp;"_"&amp;MOD(ROW(A2189),48)+8</f>
        <v>47_37</v>
      </c>
    </row>
    <row r="2190" spans="1:8" x14ac:dyDescent="0.2">
      <c r="A2190" s="9" t="s">
        <v>51</v>
      </c>
      <c r="C2190" t="str">
        <f>""""&amp;SUBSTITUTE(A2190,"zzz",H2190)&amp;""""&amp;","</f>
        <v>"https://www.zeldadungeon.net/maps/totk/tiles/sky/6/47_38.jpg",</v>
      </c>
      <c r="H2190" t="str">
        <f>QUOTIENT(ROW(A2190),48)+2&amp;"_"&amp;MOD(ROW(A2190),48)+8</f>
        <v>47_38</v>
      </c>
    </row>
    <row r="2191" spans="1:8" x14ac:dyDescent="0.2">
      <c r="A2191" s="9" t="s">
        <v>51</v>
      </c>
      <c r="C2191" t="str">
        <f>""""&amp;SUBSTITUTE(A2191,"zzz",H2191)&amp;""""&amp;","</f>
        <v>"https://www.zeldadungeon.net/maps/totk/tiles/sky/6/47_39.jpg",</v>
      </c>
      <c r="H2191" t="str">
        <f>QUOTIENT(ROW(A2191),48)+2&amp;"_"&amp;MOD(ROW(A2191),48)+8</f>
        <v>47_39</v>
      </c>
    </row>
    <row r="2192" spans="1:8" x14ac:dyDescent="0.2">
      <c r="A2192" s="9" t="s">
        <v>51</v>
      </c>
      <c r="C2192" t="str">
        <f>""""&amp;SUBSTITUTE(A2192,"zzz",H2192)&amp;""""&amp;","</f>
        <v>"https://www.zeldadungeon.net/maps/totk/tiles/sky/6/47_40.jpg",</v>
      </c>
      <c r="H2192" t="str">
        <f>QUOTIENT(ROW(A2192),48)+2&amp;"_"&amp;MOD(ROW(A2192),48)+8</f>
        <v>47_40</v>
      </c>
    </row>
    <row r="2193" spans="1:8" x14ac:dyDescent="0.2">
      <c r="A2193" s="9" t="s">
        <v>51</v>
      </c>
      <c r="C2193" t="str">
        <f>""""&amp;SUBSTITUTE(A2193,"zzz",H2193)&amp;""""&amp;","</f>
        <v>"https://www.zeldadungeon.net/maps/totk/tiles/sky/6/47_41.jpg",</v>
      </c>
      <c r="H2193" t="str">
        <f>QUOTIENT(ROW(A2193),48)+2&amp;"_"&amp;MOD(ROW(A2193),48)+8</f>
        <v>47_41</v>
      </c>
    </row>
    <row r="2194" spans="1:8" x14ac:dyDescent="0.2">
      <c r="A2194" s="9" t="s">
        <v>51</v>
      </c>
      <c r="C2194" t="str">
        <f>""""&amp;SUBSTITUTE(A2194,"zzz",H2194)&amp;""""&amp;","</f>
        <v>"https://www.zeldadungeon.net/maps/totk/tiles/sky/6/47_42.jpg",</v>
      </c>
      <c r="H2194" t="str">
        <f>QUOTIENT(ROW(A2194),48)+2&amp;"_"&amp;MOD(ROW(A2194),48)+8</f>
        <v>47_42</v>
      </c>
    </row>
    <row r="2195" spans="1:8" x14ac:dyDescent="0.2">
      <c r="A2195" s="9" t="s">
        <v>51</v>
      </c>
      <c r="C2195" t="str">
        <f>""""&amp;SUBSTITUTE(A2195,"zzz",H2195)&amp;""""&amp;","</f>
        <v>"https://www.zeldadungeon.net/maps/totk/tiles/sky/6/47_43.jpg",</v>
      </c>
      <c r="H2195" t="str">
        <f>QUOTIENT(ROW(A2195),48)+2&amp;"_"&amp;MOD(ROW(A2195),48)+8</f>
        <v>47_43</v>
      </c>
    </row>
    <row r="2196" spans="1:8" x14ac:dyDescent="0.2">
      <c r="A2196" s="9" t="s">
        <v>51</v>
      </c>
      <c r="C2196" t="str">
        <f>""""&amp;SUBSTITUTE(A2196,"zzz",H2196)&amp;""""&amp;","</f>
        <v>"https://www.zeldadungeon.net/maps/totk/tiles/sky/6/47_44.jpg",</v>
      </c>
      <c r="H2196" t="str">
        <f>QUOTIENT(ROW(A2196),48)+2&amp;"_"&amp;MOD(ROW(A2196),48)+8</f>
        <v>47_44</v>
      </c>
    </row>
    <row r="2197" spans="1:8" x14ac:dyDescent="0.2">
      <c r="A2197" s="9" t="s">
        <v>51</v>
      </c>
      <c r="C2197" t="str">
        <f>""""&amp;SUBSTITUTE(A2197,"zzz",H2197)&amp;""""&amp;","</f>
        <v>"https://www.zeldadungeon.net/maps/totk/tiles/sky/6/47_45.jpg",</v>
      </c>
      <c r="H2197" t="str">
        <f>QUOTIENT(ROW(A2197),48)+2&amp;"_"&amp;MOD(ROW(A2197),48)+8</f>
        <v>47_45</v>
      </c>
    </row>
    <row r="2198" spans="1:8" x14ac:dyDescent="0.2">
      <c r="A2198" s="9" t="s">
        <v>51</v>
      </c>
      <c r="C2198" t="str">
        <f>""""&amp;SUBSTITUTE(A2198,"zzz",H2198)&amp;""""&amp;","</f>
        <v>"https://www.zeldadungeon.net/maps/totk/tiles/sky/6/47_46.jpg",</v>
      </c>
      <c r="H2198" t="str">
        <f>QUOTIENT(ROW(A2198),48)+2&amp;"_"&amp;MOD(ROW(A2198),48)+8</f>
        <v>47_46</v>
      </c>
    </row>
    <row r="2199" spans="1:8" x14ac:dyDescent="0.2">
      <c r="A2199" s="9" t="s">
        <v>51</v>
      </c>
      <c r="C2199" t="str">
        <f>""""&amp;SUBSTITUTE(A2199,"zzz",H2199)&amp;""""&amp;","</f>
        <v>"https://www.zeldadungeon.net/maps/totk/tiles/sky/6/47_47.jpg",</v>
      </c>
      <c r="H2199" t="str">
        <f>QUOTIENT(ROW(A2199),48)+2&amp;"_"&amp;MOD(ROW(A2199),48)+8</f>
        <v>47_47</v>
      </c>
    </row>
    <row r="2200" spans="1:8" x14ac:dyDescent="0.2">
      <c r="A2200" s="9" t="s">
        <v>51</v>
      </c>
      <c r="C2200" t="str">
        <f>""""&amp;SUBSTITUTE(A2200,"zzz",H2200)&amp;""""&amp;","</f>
        <v>"https://www.zeldadungeon.net/maps/totk/tiles/sky/6/47_48.jpg",</v>
      </c>
      <c r="H2200" t="str">
        <f>QUOTIENT(ROW(A2200),48)+2&amp;"_"&amp;MOD(ROW(A2200),48)+8</f>
        <v>47_48</v>
      </c>
    </row>
    <row r="2201" spans="1:8" x14ac:dyDescent="0.2">
      <c r="A2201" s="9" t="s">
        <v>51</v>
      </c>
      <c r="C2201" t="str">
        <f>""""&amp;SUBSTITUTE(A2201,"zzz",H2201)&amp;""""&amp;","</f>
        <v>"https://www.zeldadungeon.net/maps/totk/tiles/sky/6/47_49.jpg",</v>
      </c>
      <c r="H2201" t="str">
        <f>QUOTIENT(ROW(A2201),48)+2&amp;"_"&amp;MOD(ROW(A2201),48)+8</f>
        <v>47_49</v>
      </c>
    </row>
    <row r="2202" spans="1:8" x14ac:dyDescent="0.2">
      <c r="A2202" s="9" t="s">
        <v>51</v>
      </c>
      <c r="C2202" t="str">
        <f>""""&amp;SUBSTITUTE(A2202,"zzz",H2202)&amp;""""&amp;","</f>
        <v>"https://www.zeldadungeon.net/maps/totk/tiles/sky/6/47_50.jpg",</v>
      </c>
      <c r="H2202" t="str">
        <f>QUOTIENT(ROW(A2202),48)+2&amp;"_"&amp;MOD(ROW(A2202),48)+8</f>
        <v>47_50</v>
      </c>
    </row>
    <row r="2203" spans="1:8" x14ac:dyDescent="0.2">
      <c r="A2203" s="9" t="s">
        <v>51</v>
      </c>
      <c r="C2203" t="str">
        <f>""""&amp;SUBSTITUTE(A2203,"zzz",H2203)&amp;""""&amp;","</f>
        <v>"https://www.zeldadungeon.net/maps/totk/tiles/sky/6/47_51.jpg",</v>
      </c>
      <c r="H2203" t="str">
        <f>QUOTIENT(ROW(A2203),48)+2&amp;"_"&amp;MOD(ROW(A2203),48)+8</f>
        <v>47_51</v>
      </c>
    </row>
    <row r="2204" spans="1:8" x14ac:dyDescent="0.2">
      <c r="A2204" s="9" t="s">
        <v>51</v>
      </c>
      <c r="C2204" t="str">
        <f>""""&amp;SUBSTITUTE(A2204,"zzz",H2204)&amp;""""&amp;","</f>
        <v>"https://www.zeldadungeon.net/maps/totk/tiles/sky/6/47_52.jpg",</v>
      </c>
      <c r="H2204" t="str">
        <f>QUOTIENT(ROW(A2204),48)+2&amp;"_"&amp;MOD(ROW(A2204),48)+8</f>
        <v>47_52</v>
      </c>
    </row>
    <row r="2205" spans="1:8" x14ac:dyDescent="0.2">
      <c r="A2205" s="9" t="s">
        <v>51</v>
      </c>
      <c r="C2205" t="str">
        <f>""""&amp;SUBSTITUTE(A2205,"zzz",H2205)&amp;""""&amp;","</f>
        <v>"https://www.zeldadungeon.net/maps/totk/tiles/sky/6/47_53.jpg",</v>
      </c>
      <c r="H2205" t="str">
        <f>QUOTIENT(ROW(A2205),48)+2&amp;"_"&amp;MOD(ROW(A2205),48)+8</f>
        <v>47_53</v>
      </c>
    </row>
    <row r="2206" spans="1:8" x14ac:dyDescent="0.2">
      <c r="A2206" s="9" t="s">
        <v>51</v>
      </c>
      <c r="C2206" t="str">
        <f>""""&amp;SUBSTITUTE(A2206,"zzz",H2206)&amp;""""&amp;","</f>
        <v>"https://www.zeldadungeon.net/maps/totk/tiles/sky/6/47_54.jpg",</v>
      </c>
      <c r="H2206" t="str">
        <f>QUOTIENT(ROW(A2206),48)+2&amp;"_"&amp;MOD(ROW(A2206),48)+8</f>
        <v>47_54</v>
      </c>
    </row>
    <row r="2207" spans="1:8" x14ac:dyDescent="0.2">
      <c r="A2207" s="9" t="s">
        <v>51</v>
      </c>
      <c r="C2207" t="str">
        <f>""""&amp;SUBSTITUTE(A2207,"zzz",H2207)&amp;""""&amp;","</f>
        <v>"https://www.zeldadungeon.net/maps/totk/tiles/sky/6/47_55.jpg",</v>
      </c>
      <c r="H2207" t="str">
        <f>QUOTIENT(ROW(A2207),48)+2&amp;"_"&amp;MOD(ROW(A2207),48)+8</f>
        <v>47_55</v>
      </c>
    </row>
    <row r="2208" spans="1:8" x14ac:dyDescent="0.2">
      <c r="A2208" s="9" t="s">
        <v>51</v>
      </c>
      <c r="C2208" t="str">
        <f>""""&amp;SUBSTITUTE(A2208,"zzz",H2208)&amp;""""&amp;","</f>
        <v>"https://www.zeldadungeon.net/maps/totk/tiles/sky/6/48_8.jpg",</v>
      </c>
      <c r="H2208" t="str">
        <f>QUOTIENT(ROW(A2208),48)+2&amp;"_"&amp;MOD(ROW(A2208),48)+8</f>
        <v>48_8</v>
      </c>
    </row>
    <row r="2209" spans="1:8" x14ac:dyDescent="0.2">
      <c r="A2209" s="9" t="s">
        <v>51</v>
      </c>
      <c r="C2209" t="str">
        <f>""""&amp;SUBSTITUTE(A2209,"zzz",H2209)&amp;""""&amp;","</f>
        <v>"https://www.zeldadungeon.net/maps/totk/tiles/sky/6/48_9.jpg",</v>
      </c>
      <c r="H2209" t="str">
        <f>QUOTIENT(ROW(A2209),48)+2&amp;"_"&amp;MOD(ROW(A2209),48)+8</f>
        <v>48_9</v>
      </c>
    </row>
    <row r="2210" spans="1:8" x14ac:dyDescent="0.2">
      <c r="A2210" s="9" t="s">
        <v>51</v>
      </c>
      <c r="C2210" t="str">
        <f>""""&amp;SUBSTITUTE(A2210,"zzz",H2210)&amp;""""&amp;","</f>
        <v>"https://www.zeldadungeon.net/maps/totk/tiles/sky/6/48_10.jpg",</v>
      </c>
      <c r="H2210" t="str">
        <f>QUOTIENT(ROW(A2210),48)+2&amp;"_"&amp;MOD(ROW(A2210),48)+8</f>
        <v>48_10</v>
      </c>
    </row>
    <row r="2211" spans="1:8" x14ac:dyDescent="0.2">
      <c r="A2211" s="9" t="s">
        <v>51</v>
      </c>
      <c r="C2211" t="str">
        <f>""""&amp;SUBSTITUTE(A2211,"zzz",H2211)&amp;""""&amp;","</f>
        <v>"https://www.zeldadungeon.net/maps/totk/tiles/sky/6/48_11.jpg",</v>
      </c>
      <c r="H2211" t="str">
        <f>QUOTIENT(ROW(A2211),48)+2&amp;"_"&amp;MOD(ROW(A2211),48)+8</f>
        <v>48_11</v>
      </c>
    </row>
    <row r="2212" spans="1:8" x14ac:dyDescent="0.2">
      <c r="A2212" s="9" t="s">
        <v>51</v>
      </c>
      <c r="C2212" t="str">
        <f>""""&amp;SUBSTITUTE(A2212,"zzz",H2212)&amp;""""&amp;","</f>
        <v>"https://www.zeldadungeon.net/maps/totk/tiles/sky/6/48_12.jpg",</v>
      </c>
      <c r="H2212" t="str">
        <f>QUOTIENT(ROW(A2212),48)+2&amp;"_"&amp;MOD(ROW(A2212),48)+8</f>
        <v>48_12</v>
      </c>
    </row>
    <row r="2213" spans="1:8" x14ac:dyDescent="0.2">
      <c r="A2213" s="9" t="s">
        <v>51</v>
      </c>
      <c r="C2213" t="str">
        <f>""""&amp;SUBSTITUTE(A2213,"zzz",H2213)&amp;""""&amp;","</f>
        <v>"https://www.zeldadungeon.net/maps/totk/tiles/sky/6/48_13.jpg",</v>
      </c>
      <c r="H2213" t="str">
        <f>QUOTIENT(ROW(A2213),48)+2&amp;"_"&amp;MOD(ROW(A2213),48)+8</f>
        <v>48_13</v>
      </c>
    </row>
    <row r="2214" spans="1:8" x14ac:dyDescent="0.2">
      <c r="A2214" s="9" t="s">
        <v>51</v>
      </c>
      <c r="C2214" t="str">
        <f>""""&amp;SUBSTITUTE(A2214,"zzz",H2214)&amp;""""&amp;","</f>
        <v>"https://www.zeldadungeon.net/maps/totk/tiles/sky/6/48_14.jpg",</v>
      </c>
      <c r="H2214" t="str">
        <f>QUOTIENT(ROW(A2214),48)+2&amp;"_"&amp;MOD(ROW(A2214),48)+8</f>
        <v>48_14</v>
      </c>
    </row>
    <row r="2215" spans="1:8" x14ac:dyDescent="0.2">
      <c r="A2215" s="9" t="s">
        <v>51</v>
      </c>
      <c r="C2215" t="str">
        <f>""""&amp;SUBSTITUTE(A2215,"zzz",H2215)&amp;""""&amp;","</f>
        <v>"https://www.zeldadungeon.net/maps/totk/tiles/sky/6/48_15.jpg",</v>
      </c>
      <c r="H2215" t="str">
        <f>QUOTIENT(ROW(A2215),48)+2&amp;"_"&amp;MOD(ROW(A2215),48)+8</f>
        <v>48_15</v>
      </c>
    </row>
    <row r="2216" spans="1:8" x14ac:dyDescent="0.2">
      <c r="A2216" s="9" t="s">
        <v>51</v>
      </c>
      <c r="C2216" t="str">
        <f>""""&amp;SUBSTITUTE(A2216,"zzz",H2216)&amp;""""&amp;","</f>
        <v>"https://www.zeldadungeon.net/maps/totk/tiles/sky/6/48_16.jpg",</v>
      </c>
      <c r="H2216" t="str">
        <f>QUOTIENT(ROW(A2216),48)+2&amp;"_"&amp;MOD(ROW(A2216),48)+8</f>
        <v>48_16</v>
      </c>
    </row>
    <row r="2217" spans="1:8" x14ac:dyDescent="0.2">
      <c r="A2217" s="9" t="s">
        <v>51</v>
      </c>
      <c r="C2217" t="str">
        <f>""""&amp;SUBSTITUTE(A2217,"zzz",H2217)&amp;""""&amp;","</f>
        <v>"https://www.zeldadungeon.net/maps/totk/tiles/sky/6/48_17.jpg",</v>
      </c>
      <c r="H2217" t="str">
        <f>QUOTIENT(ROW(A2217),48)+2&amp;"_"&amp;MOD(ROW(A2217),48)+8</f>
        <v>48_17</v>
      </c>
    </row>
    <row r="2218" spans="1:8" x14ac:dyDescent="0.2">
      <c r="A2218" s="9" t="s">
        <v>51</v>
      </c>
      <c r="C2218" t="str">
        <f>""""&amp;SUBSTITUTE(A2218,"zzz",H2218)&amp;""""&amp;","</f>
        <v>"https://www.zeldadungeon.net/maps/totk/tiles/sky/6/48_18.jpg",</v>
      </c>
      <c r="H2218" t="str">
        <f>QUOTIENT(ROW(A2218),48)+2&amp;"_"&amp;MOD(ROW(A2218),48)+8</f>
        <v>48_18</v>
      </c>
    </row>
    <row r="2219" spans="1:8" x14ac:dyDescent="0.2">
      <c r="A2219" s="9" t="s">
        <v>51</v>
      </c>
      <c r="C2219" t="str">
        <f>""""&amp;SUBSTITUTE(A2219,"zzz",H2219)&amp;""""&amp;","</f>
        <v>"https://www.zeldadungeon.net/maps/totk/tiles/sky/6/48_19.jpg",</v>
      </c>
      <c r="H2219" t="str">
        <f>QUOTIENT(ROW(A2219),48)+2&amp;"_"&amp;MOD(ROW(A2219),48)+8</f>
        <v>48_19</v>
      </c>
    </row>
    <row r="2220" spans="1:8" x14ac:dyDescent="0.2">
      <c r="A2220" s="9" t="s">
        <v>51</v>
      </c>
      <c r="C2220" t="str">
        <f>""""&amp;SUBSTITUTE(A2220,"zzz",H2220)&amp;""""&amp;","</f>
        <v>"https://www.zeldadungeon.net/maps/totk/tiles/sky/6/48_20.jpg",</v>
      </c>
      <c r="H2220" t="str">
        <f>QUOTIENT(ROW(A2220),48)+2&amp;"_"&amp;MOD(ROW(A2220),48)+8</f>
        <v>48_20</v>
      </c>
    </row>
    <row r="2221" spans="1:8" x14ac:dyDescent="0.2">
      <c r="A2221" s="9" t="s">
        <v>51</v>
      </c>
      <c r="C2221" t="str">
        <f>""""&amp;SUBSTITUTE(A2221,"zzz",H2221)&amp;""""&amp;","</f>
        <v>"https://www.zeldadungeon.net/maps/totk/tiles/sky/6/48_21.jpg",</v>
      </c>
      <c r="H2221" t="str">
        <f>QUOTIENT(ROW(A2221),48)+2&amp;"_"&amp;MOD(ROW(A2221),48)+8</f>
        <v>48_21</v>
      </c>
    </row>
    <row r="2222" spans="1:8" x14ac:dyDescent="0.2">
      <c r="A2222" s="9" t="s">
        <v>51</v>
      </c>
      <c r="C2222" t="str">
        <f>""""&amp;SUBSTITUTE(A2222,"zzz",H2222)&amp;""""&amp;","</f>
        <v>"https://www.zeldadungeon.net/maps/totk/tiles/sky/6/48_22.jpg",</v>
      </c>
      <c r="H2222" t="str">
        <f>QUOTIENT(ROW(A2222),48)+2&amp;"_"&amp;MOD(ROW(A2222),48)+8</f>
        <v>48_22</v>
      </c>
    </row>
    <row r="2223" spans="1:8" x14ac:dyDescent="0.2">
      <c r="A2223" s="9" t="s">
        <v>51</v>
      </c>
      <c r="C2223" t="str">
        <f>""""&amp;SUBSTITUTE(A2223,"zzz",H2223)&amp;""""&amp;","</f>
        <v>"https://www.zeldadungeon.net/maps/totk/tiles/sky/6/48_23.jpg",</v>
      </c>
      <c r="H2223" t="str">
        <f>QUOTIENT(ROW(A2223),48)+2&amp;"_"&amp;MOD(ROW(A2223),48)+8</f>
        <v>48_23</v>
      </c>
    </row>
    <row r="2224" spans="1:8" x14ac:dyDescent="0.2">
      <c r="A2224" s="9" t="s">
        <v>51</v>
      </c>
      <c r="C2224" t="str">
        <f>""""&amp;SUBSTITUTE(A2224,"zzz",H2224)&amp;""""&amp;","</f>
        <v>"https://www.zeldadungeon.net/maps/totk/tiles/sky/6/48_24.jpg",</v>
      </c>
      <c r="H2224" t="str">
        <f>QUOTIENT(ROW(A2224),48)+2&amp;"_"&amp;MOD(ROW(A2224),48)+8</f>
        <v>48_24</v>
      </c>
    </row>
    <row r="2225" spans="1:8" x14ac:dyDescent="0.2">
      <c r="A2225" s="9" t="s">
        <v>51</v>
      </c>
      <c r="C2225" t="str">
        <f>""""&amp;SUBSTITUTE(A2225,"zzz",H2225)&amp;""""&amp;","</f>
        <v>"https://www.zeldadungeon.net/maps/totk/tiles/sky/6/48_25.jpg",</v>
      </c>
      <c r="H2225" t="str">
        <f>QUOTIENT(ROW(A2225),48)+2&amp;"_"&amp;MOD(ROW(A2225),48)+8</f>
        <v>48_25</v>
      </c>
    </row>
    <row r="2226" spans="1:8" x14ac:dyDescent="0.2">
      <c r="A2226" s="9" t="s">
        <v>51</v>
      </c>
      <c r="C2226" t="str">
        <f>""""&amp;SUBSTITUTE(A2226,"zzz",H2226)&amp;""""&amp;","</f>
        <v>"https://www.zeldadungeon.net/maps/totk/tiles/sky/6/48_26.jpg",</v>
      </c>
      <c r="H2226" t="str">
        <f>QUOTIENT(ROW(A2226),48)+2&amp;"_"&amp;MOD(ROW(A2226),48)+8</f>
        <v>48_26</v>
      </c>
    </row>
    <row r="2227" spans="1:8" x14ac:dyDescent="0.2">
      <c r="A2227" s="9" t="s">
        <v>51</v>
      </c>
      <c r="C2227" t="str">
        <f>""""&amp;SUBSTITUTE(A2227,"zzz",H2227)&amp;""""&amp;","</f>
        <v>"https://www.zeldadungeon.net/maps/totk/tiles/sky/6/48_27.jpg",</v>
      </c>
      <c r="H2227" t="str">
        <f>QUOTIENT(ROW(A2227),48)+2&amp;"_"&amp;MOD(ROW(A2227),48)+8</f>
        <v>48_27</v>
      </c>
    </row>
    <row r="2228" spans="1:8" x14ac:dyDescent="0.2">
      <c r="A2228" s="9" t="s">
        <v>51</v>
      </c>
      <c r="C2228" t="str">
        <f>""""&amp;SUBSTITUTE(A2228,"zzz",H2228)&amp;""""&amp;","</f>
        <v>"https://www.zeldadungeon.net/maps/totk/tiles/sky/6/48_28.jpg",</v>
      </c>
      <c r="H2228" t="str">
        <f>QUOTIENT(ROW(A2228),48)+2&amp;"_"&amp;MOD(ROW(A2228),48)+8</f>
        <v>48_28</v>
      </c>
    </row>
    <row r="2229" spans="1:8" x14ac:dyDescent="0.2">
      <c r="A2229" s="9" t="s">
        <v>51</v>
      </c>
      <c r="C2229" t="str">
        <f>""""&amp;SUBSTITUTE(A2229,"zzz",H2229)&amp;""""&amp;","</f>
        <v>"https://www.zeldadungeon.net/maps/totk/tiles/sky/6/48_29.jpg",</v>
      </c>
      <c r="H2229" t="str">
        <f>QUOTIENT(ROW(A2229),48)+2&amp;"_"&amp;MOD(ROW(A2229),48)+8</f>
        <v>48_29</v>
      </c>
    </row>
    <row r="2230" spans="1:8" x14ac:dyDescent="0.2">
      <c r="A2230" s="9" t="s">
        <v>51</v>
      </c>
      <c r="C2230" t="str">
        <f>""""&amp;SUBSTITUTE(A2230,"zzz",H2230)&amp;""""&amp;","</f>
        <v>"https://www.zeldadungeon.net/maps/totk/tiles/sky/6/48_30.jpg",</v>
      </c>
      <c r="H2230" t="str">
        <f>QUOTIENT(ROW(A2230),48)+2&amp;"_"&amp;MOD(ROW(A2230),48)+8</f>
        <v>48_30</v>
      </c>
    </row>
    <row r="2231" spans="1:8" x14ac:dyDescent="0.2">
      <c r="A2231" s="9" t="s">
        <v>51</v>
      </c>
      <c r="C2231" t="str">
        <f>""""&amp;SUBSTITUTE(A2231,"zzz",H2231)&amp;""""&amp;","</f>
        <v>"https://www.zeldadungeon.net/maps/totk/tiles/sky/6/48_31.jpg",</v>
      </c>
      <c r="H2231" t="str">
        <f>QUOTIENT(ROW(A2231),48)+2&amp;"_"&amp;MOD(ROW(A2231),48)+8</f>
        <v>48_31</v>
      </c>
    </row>
    <row r="2232" spans="1:8" x14ac:dyDescent="0.2">
      <c r="A2232" s="9" t="s">
        <v>51</v>
      </c>
      <c r="C2232" t="str">
        <f>""""&amp;SUBSTITUTE(A2232,"zzz",H2232)&amp;""""&amp;","</f>
        <v>"https://www.zeldadungeon.net/maps/totk/tiles/sky/6/48_32.jpg",</v>
      </c>
      <c r="H2232" t="str">
        <f>QUOTIENT(ROW(A2232),48)+2&amp;"_"&amp;MOD(ROW(A2232),48)+8</f>
        <v>48_32</v>
      </c>
    </row>
    <row r="2233" spans="1:8" x14ac:dyDescent="0.2">
      <c r="A2233" s="9" t="s">
        <v>51</v>
      </c>
      <c r="C2233" t="str">
        <f>""""&amp;SUBSTITUTE(A2233,"zzz",H2233)&amp;""""&amp;","</f>
        <v>"https://www.zeldadungeon.net/maps/totk/tiles/sky/6/48_33.jpg",</v>
      </c>
      <c r="H2233" t="str">
        <f>QUOTIENT(ROW(A2233),48)+2&amp;"_"&amp;MOD(ROW(A2233),48)+8</f>
        <v>48_33</v>
      </c>
    </row>
    <row r="2234" spans="1:8" x14ac:dyDescent="0.2">
      <c r="A2234" s="9" t="s">
        <v>51</v>
      </c>
      <c r="C2234" t="str">
        <f>""""&amp;SUBSTITUTE(A2234,"zzz",H2234)&amp;""""&amp;","</f>
        <v>"https://www.zeldadungeon.net/maps/totk/tiles/sky/6/48_34.jpg",</v>
      </c>
      <c r="H2234" t="str">
        <f>QUOTIENT(ROW(A2234),48)+2&amp;"_"&amp;MOD(ROW(A2234),48)+8</f>
        <v>48_34</v>
      </c>
    </row>
    <row r="2235" spans="1:8" x14ac:dyDescent="0.2">
      <c r="A2235" s="9" t="s">
        <v>51</v>
      </c>
      <c r="C2235" t="str">
        <f>""""&amp;SUBSTITUTE(A2235,"zzz",H2235)&amp;""""&amp;","</f>
        <v>"https://www.zeldadungeon.net/maps/totk/tiles/sky/6/48_35.jpg",</v>
      </c>
      <c r="H2235" t="str">
        <f>QUOTIENT(ROW(A2235),48)+2&amp;"_"&amp;MOD(ROW(A2235),48)+8</f>
        <v>48_35</v>
      </c>
    </row>
    <row r="2236" spans="1:8" x14ac:dyDescent="0.2">
      <c r="A2236" s="9" t="s">
        <v>51</v>
      </c>
      <c r="C2236" t="str">
        <f>""""&amp;SUBSTITUTE(A2236,"zzz",H2236)&amp;""""&amp;","</f>
        <v>"https://www.zeldadungeon.net/maps/totk/tiles/sky/6/48_36.jpg",</v>
      </c>
      <c r="H2236" t="str">
        <f>QUOTIENT(ROW(A2236),48)+2&amp;"_"&amp;MOD(ROW(A2236),48)+8</f>
        <v>48_36</v>
      </c>
    </row>
    <row r="2237" spans="1:8" x14ac:dyDescent="0.2">
      <c r="A2237" s="9" t="s">
        <v>51</v>
      </c>
      <c r="C2237" t="str">
        <f>""""&amp;SUBSTITUTE(A2237,"zzz",H2237)&amp;""""&amp;","</f>
        <v>"https://www.zeldadungeon.net/maps/totk/tiles/sky/6/48_37.jpg",</v>
      </c>
      <c r="H2237" t="str">
        <f>QUOTIENT(ROW(A2237),48)+2&amp;"_"&amp;MOD(ROW(A2237),48)+8</f>
        <v>48_37</v>
      </c>
    </row>
    <row r="2238" spans="1:8" x14ac:dyDescent="0.2">
      <c r="A2238" s="9" t="s">
        <v>51</v>
      </c>
      <c r="C2238" t="str">
        <f>""""&amp;SUBSTITUTE(A2238,"zzz",H2238)&amp;""""&amp;","</f>
        <v>"https://www.zeldadungeon.net/maps/totk/tiles/sky/6/48_38.jpg",</v>
      </c>
      <c r="H2238" t="str">
        <f>QUOTIENT(ROW(A2238),48)+2&amp;"_"&amp;MOD(ROW(A2238),48)+8</f>
        <v>48_38</v>
      </c>
    </row>
    <row r="2239" spans="1:8" x14ac:dyDescent="0.2">
      <c r="A2239" s="9" t="s">
        <v>51</v>
      </c>
      <c r="C2239" t="str">
        <f>""""&amp;SUBSTITUTE(A2239,"zzz",H2239)&amp;""""&amp;","</f>
        <v>"https://www.zeldadungeon.net/maps/totk/tiles/sky/6/48_39.jpg",</v>
      </c>
      <c r="H2239" t="str">
        <f>QUOTIENT(ROW(A2239),48)+2&amp;"_"&amp;MOD(ROW(A2239),48)+8</f>
        <v>48_39</v>
      </c>
    </row>
    <row r="2240" spans="1:8" x14ac:dyDescent="0.2">
      <c r="A2240" s="9" t="s">
        <v>51</v>
      </c>
      <c r="C2240" t="str">
        <f>""""&amp;SUBSTITUTE(A2240,"zzz",H2240)&amp;""""&amp;","</f>
        <v>"https://www.zeldadungeon.net/maps/totk/tiles/sky/6/48_40.jpg",</v>
      </c>
      <c r="H2240" t="str">
        <f>QUOTIENT(ROW(A2240),48)+2&amp;"_"&amp;MOD(ROW(A2240),48)+8</f>
        <v>48_40</v>
      </c>
    </row>
    <row r="2241" spans="1:8" x14ac:dyDescent="0.2">
      <c r="A2241" s="9" t="s">
        <v>51</v>
      </c>
      <c r="C2241" t="str">
        <f>""""&amp;SUBSTITUTE(A2241,"zzz",H2241)&amp;""""&amp;","</f>
        <v>"https://www.zeldadungeon.net/maps/totk/tiles/sky/6/48_41.jpg",</v>
      </c>
      <c r="H2241" t="str">
        <f>QUOTIENT(ROW(A2241),48)+2&amp;"_"&amp;MOD(ROW(A2241),48)+8</f>
        <v>48_41</v>
      </c>
    </row>
    <row r="2242" spans="1:8" x14ac:dyDescent="0.2">
      <c r="A2242" s="9" t="s">
        <v>51</v>
      </c>
      <c r="C2242" t="str">
        <f>""""&amp;SUBSTITUTE(A2242,"zzz",H2242)&amp;""""&amp;","</f>
        <v>"https://www.zeldadungeon.net/maps/totk/tiles/sky/6/48_42.jpg",</v>
      </c>
      <c r="H2242" t="str">
        <f>QUOTIENT(ROW(A2242),48)+2&amp;"_"&amp;MOD(ROW(A2242),48)+8</f>
        <v>48_42</v>
      </c>
    </row>
    <row r="2243" spans="1:8" x14ac:dyDescent="0.2">
      <c r="A2243" s="9" t="s">
        <v>51</v>
      </c>
      <c r="C2243" t="str">
        <f>""""&amp;SUBSTITUTE(A2243,"zzz",H2243)&amp;""""&amp;","</f>
        <v>"https://www.zeldadungeon.net/maps/totk/tiles/sky/6/48_43.jpg",</v>
      </c>
      <c r="H2243" t="str">
        <f>QUOTIENT(ROW(A2243),48)+2&amp;"_"&amp;MOD(ROW(A2243),48)+8</f>
        <v>48_43</v>
      </c>
    </row>
    <row r="2244" spans="1:8" x14ac:dyDescent="0.2">
      <c r="A2244" s="9" t="s">
        <v>51</v>
      </c>
      <c r="C2244" t="str">
        <f>""""&amp;SUBSTITUTE(A2244,"zzz",H2244)&amp;""""&amp;","</f>
        <v>"https://www.zeldadungeon.net/maps/totk/tiles/sky/6/48_44.jpg",</v>
      </c>
      <c r="H2244" t="str">
        <f>QUOTIENT(ROW(A2244),48)+2&amp;"_"&amp;MOD(ROW(A2244),48)+8</f>
        <v>48_44</v>
      </c>
    </row>
    <row r="2245" spans="1:8" x14ac:dyDescent="0.2">
      <c r="A2245" s="9" t="s">
        <v>51</v>
      </c>
      <c r="C2245" t="str">
        <f>""""&amp;SUBSTITUTE(A2245,"zzz",H2245)&amp;""""&amp;","</f>
        <v>"https://www.zeldadungeon.net/maps/totk/tiles/sky/6/48_45.jpg",</v>
      </c>
      <c r="H2245" t="str">
        <f>QUOTIENT(ROW(A2245),48)+2&amp;"_"&amp;MOD(ROW(A2245),48)+8</f>
        <v>48_45</v>
      </c>
    </row>
    <row r="2246" spans="1:8" x14ac:dyDescent="0.2">
      <c r="A2246" s="9" t="s">
        <v>51</v>
      </c>
      <c r="C2246" t="str">
        <f>""""&amp;SUBSTITUTE(A2246,"zzz",H2246)&amp;""""&amp;","</f>
        <v>"https://www.zeldadungeon.net/maps/totk/tiles/sky/6/48_46.jpg",</v>
      </c>
      <c r="H2246" t="str">
        <f>QUOTIENT(ROW(A2246),48)+2&amp;"_"&amp;MOD(ROW(A2246),48)+8</f>
        <v>48_46</v>
      </c>
    </row>
    <row r="2247" spans="1:8" x14ac:dyDescent="0.2">
      <c r="A2247" s="9" t="s">
        <v>51</v>
      </c>
      <c r="C2247" t="str">
        <f>""""&amp;SUBSTITUTE(A2247,"zzz",H2247)&amp;""""&amp;","</f>
        <v>"https://www.zeldadungeon.net/maps/totk/tiles/sky/6/48_47.jpg",</v>
      </c>
      <c r="H2247" t="str">
        <f>QUOTIENT(ROW(A2247),48)+2&amp;"_"&amp;MOD(ROW(A2247),48)+8</f>
        <v>48_47</v>
      </c>
    </row>
    <row r="2248" spans="1:8" x14ac:dyDescent="0.2">
      <c r="A2248" s="9" t="s">
        <v>51</v>
      </c>
      <c r="C2248" t="str">
        <f>""""&amp;SUBSTITUTE(A2248,"zzz",H2248)&amp;""""&amp;","</f>
        <v>"https://www.zeldadungeon.net/maps/totk/tiles/sky/6/48_48.jpg",</v>
      </c>
      <c r="H2248" t="str">
        <f>QUOTIENT(ROW(A2248),48)+2&amp;"_"&amp;MOD(ROW(A2248),48)+8</f>
        <v>48_48</v>
      </c>
    </row>
    <row r="2249" spans="1:8" x14ac:dyDescent="0.2">
      <c r="A2249" s="9" t="s">
        <v>51</v>
      </c>
      <c r="C2249" t="str">
        <f>""""&amp;SUBSTITUTE(A2249,"zzz",H2249)&amp;""""&amp;","</f>
        <v>"https://www.zeldadungeon.net/maps/totk/tiles/sky/6/48_49.jpg",</v>
      </c>
      <c r="H2249" t="str">
        <f>QUOTIENT(ROW(A2249),48)+2&amp;"_"&amp;MOD(ROW(A2249),48)+8</f>
        <v>48_49</v>
      </c>
    </row>
    <row r="2250" spans="1:8" x14ac:dyDescent="0.2">
      <c r="A2250" s="9" t="s">
        <v>51</v>
      </c>
      <c r="C2250" t="str">
        <f>""""&amp;SUBSTITUTE(A2250,"zzz",H2250)&amp;""""&amp;","</f>
        <v>"https://www.zeldadungeon.net/maps/totk/tiles/sky/6/48_50.jpg",</v>
      </c>
      <c r="H2250" t="str">
        <f>QUOTIENT(ROW(A2250),48)+2&amp;"_"&amp;MOD(ROW(A2250),48)+8</f>
        <v>48_50</v>
      </c>
    </row>
    <row r="2251" spans="1:8" x14ac:dyDescent="0.2">
      <c r="A2251" s="9" t="s">
        <v>51</v>
      </c>
      <c r="C2251" t="str">
        <f>""""&amp;SUBSTITUTE(A2251,"zzz",H2251)&amp;""""&amp;","</f>
        <v>"https://www.zeldadungeon.net/maps/totk/tiles/sky/6/48_51.jpg",</v>
      </c>
      <c r="H2251" t="str">
        <f>QUOTIENT(ROW(A2251),48)+2&amp;"_"&amp;MOD(ROW(A2251),48)+8</f>
        <v>48_51</v>
      </c>
    </row>
    <row r="2252" spans="1:8" x14ac:dyDescent="0.2">
      <c r="A2252" s="9" t="s">
        <v>51</v>
      </c>
      <c r="C2252" t="str">
        <f>""""&amp;SUBSTITUTE(A2252,"zzz",H2252)&amp;""""&amp;","</f>
        <v>"https://www.zeldadungeon.net/maps/totk/tiles/sky/6/48_52.jpg",</v>
      </c>
      <c r="H2252" t="str">
        <f>QUOTIENT(ROW(A2252),48)+2&amp;"_"&amp;MOD(ROW(A2252),48)+8</f>
        <v>48_52</v>
      </c>
    </row>
    <row r="2253" spans="1:8" x14ac:dyDescent="0.2">
      <c r="A2253" s="9" t="s">
        <v>51</v>
      </c>
      <c r="C2253" t="str">
        <f>""""&amp;SUBSTITUTE(A2253,"zzz",H2253)&amp;""""&amp;","</f>
        <v>"https://www.zeldadungeon.net/maps/totk/tiles/sky/6/48_53.jpg",</v>
      </c>
      <c r="H2253" t="str">
        <f>QUOTIENT(ROW(A2253),48)+2&amp;"_"&amp;MOD(ROW(A2253),48)+8</f>
        <v>48_53</v>
      </c>
    </row>
    <row r="2254" spans="1:8" x14ac:dyDescent="0.2">
      <c r="A2254" s="9" t="s">
        <v>51</v>
      </c>
      <c r="C2254" t="str">
        <f>""""&amp;SUBSTITUTE(A2254,"zzz",H2254)&amp;""""&amp;","</f>
        <v>"https://www.zeldadungeon.net/maps/totk/tiles/sky/6/48_54.jpg",</v>
      </c>
      <c r="H2254" t="str">
        <f>QUOTIENT(ROW(A2254),48)+2&amp;"_"&amp;MOD(ROW(A2254),48)+8</f>
        <v>48_54</v>
      </c>
    </row>
    <row r="2255" spans="1:8" x14ac:dyDescent="0.2">
      <c r="A2255" s="9" t="s">
        <v>51</v>
      </c>
      <c r="C2255" t="str">
        <f>""""&amp;SUBSTITUTE(A2255,"zzz",H2255)&amp;""""&amp;","</f>
        <v>"https://www.zeldadungeon.net/maps/totk/tiles/sky/6/48_55.jpg",</v>
      </c>
      <c r="H2255" t="str">
        <f>QUOTIENT(ROW(A2255),48)+2&amp;"_"&amp;MOD(ROW(A2255),48)+8</f>
        <v>48_55</v>
      </c>
    </row>
    <row r="2256" spans="1:8" x14ac:dyDescent="0.2">
      <c r="A2256" s="9" t="s">
        <v>51</v>
      </c>
      <c r="C2256" t="str">
        <f>""""&amp;SUBSTITUTE(A2256,"zzz",H2256)&amp;""""&amp;","</f>
        <v>"https://www.zeldadungeon.net/maps/totk/tiles/sky/6/49_8.jpg",</v>
      </c>
      <c r="H2256" t="str">
        <f>QUOTIENT(ROW(A2256),48)+2&amp;"_"&amp;MOD(ROW(A2256),48)+8</f>
        <v>49_8</v>
      </c>
    </row>
    <row r="2257" spans="1:8" x14ac:dyDescent="0.2">
      <c r="A2257" s="9" t="s">
        <v>51</v>
      </c>
      <c r="C2257" t="str">
        <f>""""&amp;SUBSTITUTE(A2257,"zzz",H2257)&amp;""""&amp;","</f>
        <v>"https://www.zeldadungeon.net/maps/totk/tiles/sky/6/49_9.jpg",</v>
      </c>
      <c r="H2257" t="str">
        <f>QUOTIENT(ROW(A2257),48)+2&amp;"_"&amp;MOD(ROW(A2257),48)+8</f>
        <v>49_9</v>
      </c>
    </row>
    <row r="2258" spans="1:8" x14ac:dyDescent="0.2">
      <c r="A2258" s="9" t="s">
        <v>51</v>
      </c>
      <c r="C2258" t="str">
        <f>""""&amp;SUBSTITUTE(A2258,"zzz",H2258)&amp;""""&amp;","</f>
        <v>"https://www.zeldadungeon.net/maps/totk/tiles/sky/6/49_10.jpg",</v>
      </c>
      <c r="H2258" t="str">
        <f>QUOTIENT(ROW(A2258),48)+2&amp;"_"&amp;MOD(ROW(A2258),48)+8</f>
        <v>49_10</v>
      </c>
    </row>
    <row r="2259" spans="1:8" x14ac:dyDescent="0.2">
      <c r="A2259" s="9" t="s">
        <v>51</v>
      </c>
      <c r="C2259" t="str">
        <f>""""&amp;SUBSTITUTE(A2259,"zzz",H2259)&amp;""""&amp;","</f>
        <v>"https://www.zeldadungeon.net/maps/totk/tiles/sky/6/49_11.jpg",</v>
      </c>
      <c r="H2259" t="str">
        <f>QUOTIENT(ROW(A2259),48)+2&amp;"_"&amp;MOD(ROW(A2259),48)+8</f>
        <v>49_11</v>
      </c>
    </row>
    <row r="2260" spans="1:8" x14ac:dyDescent="0.2">
      <c r="A2260" s="9" t="s">
        <v>51</v>
      </c>
      <c r="C2260" t="str">
        <f>""""&amp;SUBSTITUTE(A2260,"zzz",H2260)&amp;""""&amp;","</f>
        <v>"https://www.zeldadungeon.net/maps/totk/tiles/sky/6/49_12.jpg",</v>
      </c>
      <c r="H2260" t="str">
        <f>QUOTIENT(ROW(A2260),48)+2&amp;"_"&amp;MOD(ROW(A2260),48)+8</f>
        <v>49_12</v>
      </c>
    </row>
    <row r="2261" spans="1:8" x14ac:dyDescent="0.2">
      <c r="A2261" s="9" t="s">
        <v>51</v>
      </c>
      <c r="C2261" t="str">
        <f>""""&amp;SUBSTITUTE(A2261,"zzz",H2261)&amp;""""&amp;","</f>
        <v>"https://www.zeldadungeon.net/maps/totk/tiles/sky/6/49_13.jpg",</v>
      </c>
      <c r="H2261" t="str">
        <f>QUOTIENT(ROW(A2261),48)+2&amp;"_"&amp;MOD(ROW(A2261),48)+8</f>
        <v>49_13</v>
      </c>
    </row>
    <row r="2262" spans="1:8" x14ac:dyDescent="0.2">
      <c r="A2262" s="9" t="s">
        <v>51</v>
      </c>
      <c r="C2262" t="str">
        <f>""""&amp;SUBSTITUTE(A2262,"zzz",H2262)&amp;""""&amp;","</f>
        <v>"https://www.zeldadungeon.net/maps/totk/tiles/sky/6/49_14.jpg",</v>
      </c>
      <c r="H2262" t="str">
        <f>QUOTIENT(ROW(A2262),48)+2&amp;"_"&amp;MOD(ROW(A2262),48)+8</f>
        <v>49_14</v>
      </c>
    </row>
    <row r="2263" spans="1:8" x14ac:dyDescent="0.2">
      <c r="A2263" s="9" t="s">
        <v>51</v>
      </c>
      <c r="C2263" t="str">
        <f>""""&amp;SUBSTITUTE(A2263,"zzz",H2263)&amp;""""&amp;","</f>
        <v>"https://www.zeldadungeon.net/maps/totk/tiles/sky/6/49_15.jpg",</v>
      </c>
      <c r="H2263" t="str">
        <f>QUOTIENT(ROW(A2263),48)+2&amp;"_"&amp;MOD(ROW(A2263),48)+8</f>
        <v>49_15</v>
      </c>
    </row>
    <row r="2264" spans="1:8" x14ac:dyDescent="0.2">
      <c r="A2264" s="9" t="s">
        <v>51</v>
      </c>
      <c r="C2264" t="str">
        <f>""""&amp;SUBSTITUTE(A2264,"zzz",H2264)&amp;""""&amp;","</f>
        <v>"https://www.zeldadungeon.net/maps/totk/tiles/sky/6/49_16.jpg",</v>
      </c>
      <c r="H2264" t="str">
        <f>QUOTIENT(ROW(A2264),48)+2&amp;"_"&amp;MOD(ROW(A2264),48)+8</f>
        <v>49_16</v>
      </c>
    </row>
    <row r="2265" spans="1:8" x14ac:dyDescent="0.2">
      <c r="A2265" s="9" t="s">
        <v>51</v>
      </c>
      <c r="C2265" t="str">
        <f>""""&amp;SUBSTITUTE(A2265,"zzz",H2265)&amp;""""&amp;","</f>
        <v>"https://www.zeldadungeon.net/maps/totk/tiles/sky/6/49_17.jpg",</v>
      </c>
      <c r="H2265" t="str">
        <f>QUOTIENT(ROW(A2265),48)+2&amp;"_"&amp;MOD(ROW(A2265),48)+8</f>
        <v>49_17</v>
      </c>
    </row>
    <row r="2266" spans="1:8" x14ac:dyDescent="0.2">
      <c r="A2266" s="9" t="s">
        <v>51</v>
      </c>
      <c r="C2266" t="str">
        <f>""""&amp;SUBSTITUTE(A2266,"zzz",H2266)&amp;""""&amp;","</f>
        <v>"https://www.zeldadungeon.net/maps/totk/tiles/sky/6/49_18.jpg",</v>
      </c>
      <c r="H2266" t="str">
        <f>QUOTIENT(ROW(A2266),48)+2&amp;"_"&amp;MOD(ROW(A2266),48)+8</f>
        <v>49_18</v>
      </c>
    </row>
    <row r="2267" spans="1:8" x14ac:dyDescent="0.2">
      <c r="A2267" s="9" t="s">
        <v>51</v>
      </c>
      <c r="C2267" t="str">
        <f>""""&amp;SUBSTITUTE(A2267,"zzz",H2267)&amp;""""&amp;","</f>
        <v>"https://www.zeldadungeon.net/maps/totk/tiles/sky/6/49_19.jpg",</v>
      </c>
      <c r="H2267" t="str">
        <f>QUOTIENT(ROW(A2267),48)+2&amp;"_"&amp;MOD(ROW(A2267),48)+8</f>
        <v>49_19</v>
      </c>
    </row>
    <row r="2268" spans="1:8" x14ac:dyDescent="0.2">
      <c r="A2268" s="9" t="s">
        <v>51</v>
      </c>
      <c r="C2268" t="str">
        <f>""""&amp;SUBSTITUTE(A2268,"zzz",H2268)&amp;""""&amp;","</f>
        <v>"https://www.zeldadungeon.net/maps/totk/tiles/sky/6/49_20.jpg",</v>
      </c>
      <c r="H2268" t="str">
        <f>QUOTIENT(ROW(A2268),48)+2&amp;"_"&amp;MOD(ROW(A2268),48)+8</f>
        <v>49_20</v>
      </c>
    </row>
    <row r="2269" spans="1:8" x14ac:dyDescent="0.2">
      <c r="A2269" s="9" t="s">
        <v>51</v>
      </c>
      <c r="C2269" t="str">
        <f>""""&amp;SUBSTITUTE(A2269,"zzz",H2269)&amp;""""&amp;","</f>
        <v>"https://www.zeldadungeon.net/maps/totk/tiles/sky/6/49_21.jpg",</v>
      </c>
      <c r="H2269" t="str">
        <f>QUOTIENT(ROW(A2269),48)+2&amp;"_"&amp;MOD(ROW(A2269),48)+8</f>
        <v>49_21</v>
      </c>
    </row>
    <row r="2270" spans="1:8" x14ac:dyDescent="0.2">
      <c r="A2270" s="9" t="s">
        <v>51</v>
      </c>
      <c r="C2270" t="str">
        <f>""""&amp;SUBSTITUTE(A2270,"zzz",H2270)&amp;""""&amp;","</f>
        <v>"https://www.zeldadungeon.net/maps/totk/tiles/sky/6/49_22.jpg",</v>
      </c>
      <c r="H2270" t="str">
        <f>QUOTIENT(ROW(A2270),48)+2&amp;"_"&amp;MOD(ROW(A2270),48)+8</f>
        <v>49_22</v>
      </c>
    </row>
    <row r="2271" spans="1:8" x14ac:dyDescent="0.2">
      <c r="A2271" s="9" t="s">
        <v>51</v>
      </c>
      <c r="C2271" t="str">
        <f>""""&amp;SUBSTITUTE(A2271,"zzz",H2271)&amp;""""&amp;","</f>
        <v>"https://www.zeldadungeon.net/maps/totk/tiles/sky/6/49_23.jpg",</v>
      </c>
      <c r="H2271" t="str">
        <f>QUOTIENT(ROW(A2271),48)+2&amp;"_"&amp;MOD(ROW(A2271),48)+8</f>
        <v>49_23</v>
      </c>
    </row>
    <row r="2272" spans="1:8" x14ac:dyDescent="0.2">
      <c r="A2272" s="9" t="s">
        <v>51</v>
      </c>
      <c r="C2272" t="str">
        <f>""""&amp;SUBSTITUTE(A2272,"zzz",H2272)&amp;""""&amp;","</f>
        <v>"https://www.zeldadungeon.net/maps/totk/tiles/sky/6/49_24.jpg",</v>
      </c>
      <c r="H2272" t="str">
        <f>QUOTIENT(ROW(A2272),48)+2&amp;"_"&amp;MOD(ROW(A2272),48)+8</f>
        <v>49_24</v>
      </c>
    </row>
    <row r="2273" spans="1:8" x14ac:dyDescent="0.2">
      <c r="A2273" s="9" t="s">
        <v>51</v>
      </c>
      <c r="C2273" t="str">
        <f>""""&amp;SUBSTITUTE(A2273,"zzz",H2273)&amp;""""&amp;","</f>
        <v>"https://www.zeldadungeon.net/maps/totk/tiles/sky/6/49_25.jpg",</v>
      </c>
      <c r="H2273" t="str">
        <f>QUOTIENT(ROW(A2273),48)+2&amp;"_"&amp;MOD(ROW(A2273),48)+8</f>
        <v>49_25</v>
      </c>
    </row>
    <row r="2274" spans="1:8" x14ac:dyDescent="0.2">
      <c r="A2274" s="9" t="s">
        <v>51</v>
      </c>
      <c r="C2274" t="str">
        <f>""""&amp;SUBSTITUTE(A2274,"zzz",H2274)&amp;""""&amp;","</f>
        <v>"https://www.zeldadungeon.net/maps/totk/tiles/sky/6/49_26.jpg",</v>
      </c>
      <c r="H2274" t="str">
        <f>QUOTIENT(ROW(A2274),48)+2&amp;"_"&amp;MOD(ROW(A2274),48)+8</f>
        <v>49_26</v>
      </c>
    </row>
    <row r="2275" spans="1:8" x14ac:dyDescent="0.2">
      <c r="A2275" s="9" t="s">
        <v>51</v>
      </c>
      <c r="C2275" t="str">
        <f>""""&amp;SUBSTITUTE(A2275,"zzz",H2275)&amp;""""&amp;","</f>
        <v>"https://www.zeldadungeon.net/maps/totk/tiles/sky/6/49_27.jpg",</v>
      </c>
      <c r="H2275" t="str">
        <f>QUOTIENT(ROW(A2275),48)+2&amp;"_"&amp;MOD(ROW(A2275),48)+8</f>
        <v>49_27</v>
      </c>
    </row>
    <row r="2276" spans="1:8" x14ac:dyDescent="0.2">
      <c r="A2276" s="9" t="s">
        <v>51</v>
      </c>
      <c r="C2276" t="str">
        <f>""""&amp;SUBSTITUTE(A2276,"zzz",H2276)&amp;""""&amp;","</f>
        <v>"https://www.zeldadungeon.net/maps/totk/tiles/sky/6/49_28.jpg",</v>
      </c>
      <c r="H2276" t="str">
        <f>QUOTIENT(ROW(A2276),48)+2&amp;"_"&amp;MOD(ROW(A2276),48)+8</f>
        <v>49_28</v>
      </c>
    </row>
    <row r="2277" spans="1:8" x14ac:dyDescent="0.2">
      <c r="A2277" s="9" t="s">
        <v>51</v>
      </c>
      <c r="C2277" t="str">
        <f>""""&amp;SUBSTITUTE(A2277,"zzz",H2277)&amp;""""&amp;","</f>
        <v>"https://www.zeldadungeon.net/maps/totk/tiles/sky/6/49_29.jpg",</v>
      </c>
      <c r="H2277" t="str">
        <f>QUOTIENT(ROW(A2277),48)+2&amp;"_"&amp;MOD(ROW(A2277),48)+8</f>
        <v>49_29</v>
      </c>
    </row>
    <row r="2278" spans="1:8" x14ac:dyDescent="0.2">
      <c r="A2278" s="9" t="s">
        <v>51</v>
      </c>
      <c r="C2278" t="str">
        <f>""""&amp;SUBSTITUTE(A2278,"zzz",H2278)&amp;""""&amp;","</f>
        <v>"https://www.zeldadungeon.net/maps/totk/tiles/sky/6/49_30.jpg",</v>
      </c>
      <c r="H2278" t="str">
        <f>QUOTIENT(ROW(A2278),48)+2&amp;"_"&amp;MOD(ROW(A2278),48)+8</f>
        <v>49_30</v>
      </c>
    </row>
    <row r="2279" spans="1:8" x14ac:dyDescent="0.2">
      <c r="A2279" s="9" t="s">
        <v>51</v>
      </c>
      <c r="C2279" t="str">
        <f>""""&amp;SUBSTITUTE(A2279,"zzz",H2279)&amp;""""&amp;","</f>
        <v>"https://www.zeldadungeon.net/maps/totk/tiles/sky/6/49_31.jpg",</v>
      </c>
      <c r="H2279" t="str">
        <f>QUOTIENT(ROW(A2279),48)+2&amp;"_"&amp;MOD(ROW(A2279),48)+8</f>
        <v>49_31</v>
      </c>
    </row>
    <row r="2280" spans="1:8" x14ac:dyDescent="0.2">
      <c r="A2280" s="9" t="s">
        <v>51</v>
      </c>
      <c r="C2280" t="str">
        <f>""""&amp;SUBSTITUTE(A2280,"zzz",H2280)&amp;""""&amp;","</f>
        <v>"https://www.zeldadungeon.net/maps/totk/tiles/sky/6/49_32.jpg",</v>
      </c>
      <c r="H2280" t="str">
        <f>QUOTIENT(ROW(A2280),48)+2&amp;"_"&amp;MOD(ROW(A2280),48)+8</f>
        <v>49_32</v>
      </c>
    </row>
    <row r="2281" spans="1:8" x14ac:dyDescent="0.2">
      <c r="A2281" s="9" t="s">
        <v>51</v>
      </c>
      <c r="C2281" t="str">
        <f>""""&amp;SUBSTITUTE(A2281,"zzz",H2281)&amp;""""&amp;","</f>
        <v>"https://www.zeldadungeon.net/maps/totk/tiles/sky/6/49_33.jpg",</v>
      </c>
      <c r="H2281" t="str">
        <f>QUOTIENT(ROW(A2281),48)+2&amp;"_"&amp;MOD(ROW(A2281),48)+8</f>
        <v>49_33</v>
      </c>
    </row>
    <row r="2282" spans="1:8" x14ac:dyDescent="0.2">
      <c r="A2282" s="9" t="s">
        <v>51</v>
      </c>
      <c r="C2282" t="str">
        <f>""""&amp;SUBSTITUTE(A2282,"zzz",H2282)&amp;""""&amp;","</f>
        <v>"https://www.zeldadungeon.net/maps/totk/tiles/sky/6/49_34.jpg",</v>
      </c>
      <c r="H2282" t="str">
        <f>QUOTIENT(ROW(A2282),48)+2&amp;"_"&amp;MOD(ROW(A2282),48)+8</f>
        <v>49_34</v>
      </c>
    </row>
    <row r="2283" spans="1:8" x14ac:dyDescent="0.2">
      <c r="A2283" s="9" t="s">
        <v>51</v>
      </c>
      <c r="C2283" t="str">
        <f>""""&amp;SUBSTITUTE(A2283,"zzz",H2283)&amp;""""&amp;","</f>
        <v>"https://www.zeldadungeon.net/maps/totk/tiles/sky/6/49_35.jpg",</v>
      </c>
      <c r="H2283" t="str">
        <f>QUOTIENT(ROW(A2283),48)+2&amp;"_"&amp;MOD(ROW(A2283),48)+8</f>
        <v>49_35</v>
      </c>
    </row>
    <row r="2284" spans="1:8" x14ac:dyDescent="0.2">
      <c r="A2284" s="9" t="s">
        <v>51</v>
      </c>
      <c r="C2284" t="str">
        <f>""""&amp;SUBSTITUTE(A2284,"zzz",H2284)&amp;""""&amp;","</f>
        <v>"https://www.zeldadungeon.net/maps/totk/tiles/sky/6/49_36.jpg",</v>
      </c>
      <c r="H2284" t="str">
        <f>QUOTIENT(ROW(A2284),48)+2&amp;"_"&amp;MOD(ROW(A2284),48)+8</f>
        <v>49_36</v>
      </c>
    </row>
    <row r="2285" spans="1:8" x14ac:dyDescent="0.2">
      <c r="A2285" s="9" t="s">
        <v>51</v>
      </c>
      <c r="C2285" t="str">
        <f>""""&amp;SUBSTITUTE(A2285,"zzz",H2285)&amp;""""&amp;","</f>
        <v>"https://www.zeldadungeon.net/maps/totk/tiles/sky/6/49_37.jpg",</v>
      </c>
      <c r="H2285" t="str">
        <f>QUOTIENT(ROW(A2285),48)+2&amp;"_"&amp;MOD(ROW(A2285),48)+8</f>
        <v>49_37</v>
      </c>
    </row>
    <row r="2286" spans="1:8" x14ac:dyDescent="0.2">
      <c r="A2286" s="9" t="s">
        <v>51</v>
      </c>
      <c r="C2286" t="str">
        <f>""""&amp;SUBSTITUTE(A2286,"zzz",H2286)&amp;""""&amp;","</f>
        <v>"https://www.zeldadungeon.net/maps/totk/tiles/sky/6/49_38.jpg",</v>
      </c>
      <c r="H2286" t="str">
        <f>QUOTIENT(ROW(A2286),48)+2&amp;"_"&amp;MOD(ROW(A2286),48)+8</f>
        <v>49_38</v>
      </c>
    </row>
    <row r="2287" spans="1:8" x14ac:dyDescent="0.2">
      <c r="A2287" s="9" t="s">
        <v>51</v>
      </c>
      <c r="C2287" t="str">
        <f>""""&amp;SUBSTITUTE(A2287,"zzz",H2287)&amp;""""&amp;","</f>
        <v>"https://www.zeldadungeon.net/maps/totk/tiles/sky/6/49_39.jpg",</v>
      </c>
      <c r="H2287" t="str">
        <f>QUOTIENT(ROW(A2287),48)+2&amp;"_"&amp;MOD(ROW(A2287),48)+8</f>
        <v>49_39</v>
      </c>
    </row>
    <row r="2288" spans="1:8" x14ac:dyDescent="0.2">
      <c r="A2288" s="9" t="s">
        <v>51</v>
      </c>
      <c r="C2288" t="str">
        <f>""""&amp;SUBSTITUTE(A2288,"zzz",H2288)&amp;""""&amp;","</f>
        <v>"https://www.zeldadungeon.net/maps/totk/tiles/sky/6/49_40.jpg",</v>
      </c>
      <c r="H2288" t="str">
        <f>QUOTIENT(ROW(A2288),48)+2&amp;"_"&amp;MOD(ROW(A2288),48)+8</f>
        <v>49_40</v>
      </c>
    </row>
    <row r="2289" spans="1:8" x14ac:dyDescent="0.2">
      <c r="A2289" s="9" t="s">
        <v>51</v>
      </c>
      <c r="C2289" t="str">
        <f>""""&amp;SUBSTITUTE(A2289,"zzz",H2289)&amp;""""&amp;","</f>
        <v>"https://www.zeldadungeon.net/maps/totk/tiles/sky/6/49_41.jpg",</v>
      </c>
      <c r="H2289" t="str">
        <f>QUOTIENT(ROW(A2289),48)+2&amp;"_"&amp;MOD(ROW(A2289),48)+8</f>
        <v>49_41</v>
      </c>
    </row>
    <row r="2290" spans="1:8" x14ac:dyDescent="0.2">
      <c r="A2290" s="9" t="s">
        <v>51</v>
      </c>
      <c r="C2290" t="str">
        <f>""""&amp;SUBSTITUTE(A2290,"zzz",H2290)&amp;""""&amp;","</f>
        <v>"https://www.zeldadungeon.net/maps/totk/tiles/sky/6/49_42.jpg",</v>
      </c>
      <c r="H2290" t="str">
        <f>QUOTIENT(ROW(A2290),48)+2&amp;"_"&amp;MOD(ROW(A2290),48)+8</f>
        <v>49_42</v>
      </c>
    </row>
    <row r="2291" spans="1:8" x14ac:dyDescent="0.2">
      <c r="A2291" s="9" t="s">
        <v>51</v>
      </c>
      <c r="C2291" t="str">
        <f>""""&amp;SUBSTITUTE(A2291,"zzz",H2291)&amp;""""&amp;","</f>
        <v>"https://www.zeldadungeon.net/maps/totk/tiles/sky/6/49_43.jpg",</v>
      </c>
      <c r="H2291" t="str">
        <f>QUOTIENT(ROW(A2291),48)+2&amp;"_"&amp;MOD(ROW(A2291),48)+8</f>
        <v>49_43</v>
      </c>
    </row>
    <row r="2292" spans="1:8" x14ac:dyDescent="0.2">
      <c r="A2292" s="9" t="s">
        <v>51</v>
      </c>
      <c r="C2292" t="str">
        <f>""""&amp;SUBSTITUTE(A2292,"zzz",H2292)&amp;""""&amp;","</f>
        <v>"https://www.zeldadungeon.net/maps/totk/tiles/sky/6/49_44.jpg",</v>
      </c>
      <c r="H2292" t="str">
        <f>QUOTIENT(ROW(A2292),48)+2&amp;"_"&amp;MOD(ROW(A2292),48)+8</f>
        <v>49_44</v>
      </c>
    </row>
    <row r="2293" spans="1:8" x14ac:dyDescent="0.2">
      <c r="A2293" s="9" t="s">
        <v>51</v>
      </c>
      <c r="C2293" t="str">
        <f>""""&amp;SUBSTITUTE(A2293,"zzz",H2293)&amp;""""&amp;","</f>
        <v>"https://www.zeldadungeon.net/maps/totk/tiles/sky/6/49_45.jpg",</v>
      </c>
      <c r="H2293" t="str">
        <f>QUOTIENT(ROW(A2293),48)+2&amp;"_"&amp;MOD(ROW(A2293),48)+8</f>
        <v>49_45</v>
      </c>
    </row>
    <row r="2294" spans="1:8" x14ac:dyDescent="0.2">
      <c r="A2294" s="9" t="s">
        <v>51</v>
      </c>
      <c r="C2294" t="str">
        <f>""""&amp;SUBSTITUTE(A2294,"zzz",H2294)&amp;""""&amp;","</f>
        <v>"https://www.zeldadungeon.net/maps/totk/tiles/sky/6/49_46.jpg",</v>
      </c>
      <c r="H2294" t="str">
        <f>QUOTIENT(ROW(A2294),48)+2&amp;"_"&amp;MOD(ROW(A2294),48)+8</f>
        <v>49_46</v>
      </c>
    </row>
    <row r="2295" spans="1:8" x14ac:dyDescent="0.2">
      <c r="A2295" s="9" t="s">
        <v>51</v>
      </c>
      <c r="C2295" t="str">
        <f>""""&amp;SUBSTITUTE(A2295,"zzz",H2295)&amp;""""&amp;","</f>
        <v>"https://www.zeldadungeon.net/maps/totk/tiles/sky/6/49_47.jpg",</v>
      </c>
      <c r="H2295" t="str">
        <f>QUOTIENT(ROW(A2295),48)+2&amp;"_"&amp;MOD(ROW(A2295),48)+8</f>
        <v>49_47</v>
      </c>
    </row>
    <row r="2296" spans="1:8" x14ac:dyDescent="0.2">
      <c r="A2296" s="9" t="s">
        <v>51</v>
      </c>
      <c r="C2296" t="str">
        <f>""""&amp;SUBSTITUTE(A2296,"zzz",H2296)&amp;""""&amp;","</f>
        <v>"https://www.zeldadungeon.net/maps/totk/tiles/sky/6/49_48.jpg",</v>
      </c>
      <c r="H2296" t="str">
        <f>QUOTIENT(ROW(A2296),48)+2&amp;"_"&amp;MOD(ROW(A2296),48)+8</f>
        <v>49_48</v>
      </c>
    </row>
    <row r="2297" spans="1:8" x14ac:dyDescent="0.2">
      <c r="A2297" s="9" t="s">
        <v>51</v>
      </c>
      <c r="C2297" t="str">
        <f>""""&amp;SUBSTITUTE(A2297,"zzz",H2297)&amp;""""&amp;","</f>
        <v>"https://www.zeldadungeon.net/maps/totk/tiles/sky/6/49_49.jpg",</v>
      </c>
      <c r="H2297" t="str">
        <f>QUOTIENT(ROW(A2297),48)+2&amp;"_"&amp;MOD(ROW(A2297),48)+8</f>
        <v>49_49</v>
      </c>
    </row>
    <row r="2298" spans="1:8" x14ac:dyDescent="0.2">
      <c r="A2298" s="9" t="s">
        <v>51</v>
      </c>
      <c r="C2298" t="str">
        <f>""""&amp;SUBSTITUTE(A2298,"zzz",H2298)&amp;""""&amp;","</f>
        <v>"https://www.zeldadungeon.net/maps/totk/tiles/sky/6/49_50.jpg",</v>
      </c>
      <c r="H2298" t="str">
        <f>QUOTIENT(ROW(A2298),48)+2&amp;"_"&amp;MOD(ROW(A2298),48)+8</f>
        <v>49_50</v>
      </c>
    </row>
    <row r="2299" spans="1:8" x14ac:dyDescent="0.2">
      <c r="A2299" s="9" t="s">
        <v>51</v>
      </c>
      <c r="C2299" t="str">
        <f>""""&amp;SUBSTITUTE(A2299,"zzz",H2299)&amp;""""&amp;","</f>
        <v>"https://www.zeldadungeon.net/maps/totk/tiles/sky/6/49_51.jpg",</v>
      </c>
      <c r="H2299" t="str">
        <f>QUOTIENT(ROW(A2299),48)+2&amp;"_"&amp;MOD(ROW(A2299),48)+8</f>
        <v>49_51</v>
      </c>
    </row>
    <row r="2300" spans="1:8" x14ac:dyDescent="0.2">
      <c r="A2300" s="9" t="s">
        <v>51</v>
      </c>
      <c r="C2300" t="str">
        <f>""""&amp;SUBSTITUTE(A2300,"zzz",H2300)&amp;""""&amp;","</f>
        <v>"https://www.zeldadungeon.net/maps/totk/tiles/sky/6/49_52.jpg",</v>
      </c>
      <c r="H2300" t="str">
        <f>QUOTIENT(ROW(A2300),48)+2&amp;"_"&amp;MOD(ROW(A2300),48)+8</f>
        <v>49_52</v>
      </c>
    </row>
    <row r="2301" spans="1:8" x14ac:dyDescent="0.2">
      <c r="A2301" s="9" t="s">
        <v>51</v>
      </c>
      <c r="C2301" t="str">
        <f>""""&amp;SUBSTITUTE(A2301,"zzz",H2301)&amp;""""&amp;","</f>
        <v>"https://www.zeldadungeon.net/maps/totk/tiles/sky/6/49_53.jpg",</v>
      </c>
      <c r="H2301" t="str">
        <f>QUOTIENT(ROW(A2301),48)+2&amp;"_"&amp;MOD(ROW(A2301),48)+8</f>
        <v>49_53</v>
      </c>
    </row>
    <row r="2302" spans="1:8" x14ac:dyDescent="0.2">
      <c r="A2302" s="9" t="s">
        <v>51</v>
      </c>
      <c r="C2302" t="str">
        <f>""""&amp;SUBSTITUTE(A2302,"zzz",H2302)&amp;""""&amp;","</f>
        <v>"https://www.zeldadungeon.net/maps/totk/tiles/sky/6/49_54.jpg",</v>
      </c>
      <c r="H2302" t="str">
        <f>QUOTIENT(ROW(A2302),48)+2&amp;"_"&amp;MOD(ROW(A2302),48)+8</f>
        <v>49_54</v>
      </c>
    </row>
    <row r="2303" spans="1:8" x14ac:dyDescent="0.2">
      <c r="A2303" s="9" t="s">
        <v>51</v>
      </c>
      <c r="C2303" t="str">
        <f>""""&amp;SUBSTITUTE(A2303,"zzz",H2303)&amp;""""&amp;","</f>
        <v>"https://www.zeldadungeon.net/maps/totk/tiles/sky/6/49_55.jpg",</v>
      </c>
      <c r="H2303" t="str">
        <f>QUOTIENT(ROW(A2303),48)+2&amp;"_"&amp;MOD(ROW(A2303),48)+8</f>
        <v>49_55</v>
      </c>
    </row>
    <row r="2304" spans="1:8" x14ac:dyDescent="0.2">
      <c r="A2304" s="9" t="s">
        <v>51</v>
      </c>
      <c r="C2304" t="str">
        <f>""""&amp;SUBSTITUTE(A2304,"zzz",H2304)&amp;""""&amp;","</f>
        <v>"https://www.zeldadungeon.net/maps/totk/tiles/sky/6/50_8.jpg",</v>
      </c>
      <c r="H2304" t="str">
        <f>QUOTIENT(ROW(A2304),48)+2&amp;"_"&amp;MOD(ROW(A2304),48)+8</f>
        <v>50_8</v>
      </c>
    </row>
    <row r="2305" spans="1:8" x14ac:dyDescent="0.2">
      <c r="A2305" s="9" t="s">
        <v>51</v>
      </c>
      <c r="C2305" t="str">
        <f>""""&amp;SUBSTITUTE(A2305,"zzz",H2305)&amp;""""&amp;","</f>
        <v>"https://www.zeldadungeon.net/maps/totk/tiles/sky/6/50_9.jpg",</v>
      </c>
      <c r="H2305" t="str">
        <f>QUOTIENT(ROW(A2305),48)+2&amp;"_"&amp;MOD(ROW(A2305),48)+8</f>
        <v>50_9</v>
      </c>
    </row>
    <row r="2306" spans="1:8" x14ac:dyDescent="0.2">
      <c r="A2306" s="9" t="s">
        <v>51</v>
      </c>
      <c r="C2306" t="str">
        <f>""""&amp;SUBSTITUTE(A2306,"zzz",H2306)&amp;""""&amp;","</f>
        <v>"https://www.zeldadungeon.net/maps/totk/tiles/sky/6/50_10.jpg",</v>
      </c>
      <c r="H2306" t="str">
        <f>QUOTIENT(ROW(A2306),48)+2&amp;"_"&amp;MOD(ROW(A2306),48)+8</f>
        <v>50_10</v>
      </c>
    </row>
    <row r="2307" spans="1:8" x14ac:dyDescent="0.2">
      <c r="A2307" s="9" t="s">
        <v>51</v>
      </c>
      <c r="C2307" t="str">
        <f>""""&amp;SUBSTITUTE(A2307,"zzz",H2307)&amp;""""&amp;","</f>
        <v>"https://www.zeldadungeon.net/maps/totk/tiles/sky/6/50_11.jpg",</v>
      </c>
      <c r="H2307" t="str">
        <f>QUOTIENT(ROW(A2307),48)+2&amp;"_"&amp;MOD(ROW(A2307),48)+8</f>
        <v>50_11</v>
      </c>
    </row>
    <row r="2308" spans="1:8" x14ac:dyDescent="0.2">
      <c r="A2308" s="9" t="s">
        <v>51</v>
      </c>
      <c r="C2308" t="str">
        <f>""""&amp;SUBSTITUTE(A2308,"zzz",H2308)&amp;""""&amp;","</f>
        <v>"https://www.zeldadungeon.net/maps/totk/tiles/sky/6/50_12.jpg",</v>
      </c>
      <c r="H2308" t="str">
        <f>QUOTIENT(ROW(A2308),48)+2&amp;"_"&amp;MOD(ROW(A2308),48)+8</f>
        <v>50_12</v>
      </c>
    </row>
    <row r="2309" spans="1:8" x14ac:dyDescent="0.2">
      <c r="A2309" s="9" t="s">
        <v>51</v>
      </c>
      <c r="C2309" t="str">
        <f>""""&amp;SUBSTITUTE(A2309,"zzz",H2309)&amp;""""&amp;","</f>
        <v>"https://www.zeldadungeon.net/maps/totk/tiles/sky/6/50_13.jpg",</v>
      </c>
      <c r="H2309" t="str">
        <f>QUOTIENT(ROW(A2309),48)+2&amp;"_"&amp;MOD(ROW(A2309),48)+8</f>
        <v>50_13</v>
      </c>
    </row>
    <row r="2310" spans="1:8" x14ac:dyDescent="0.2">
      <c r="A2310" s="9" t="s">
        <v>51</v>
      </c>
      <c r="C2310" t="str">
        <f>""""&amp;SUBSTITUTE(A2310,"zzz",H2310)&amp;""""&amp;","</f>
        <v>"https://www.zeldadungeon.net/maps/totk/tiles/sky/6/50_14.jpg",</v>
      </c>
      <c r="H2310" t="str">
        <f>QUOTIENT(ROW(A2310),48)+2&amp;"_"&amp;MOD(ROW(A2310),48)+8</f>
        <v>50_14</v>
      </c>
    </row>
    <row r="2311" spans="1:8" x14ac:dyDescent="0.2">
      <c r="A2311" s="9" t="s">
        <v>51</v>
      </c>
      <c r="C2311" t="str">
        <f>""""&amp;SUBSTITUTE(A2311,"zzz",H2311)&amp;""""&amp;","</f>
        <v>"https://www.zeldadungeon.net/maps/totk/tiles/sky/6/50_15.jpg",</v>
      </c>
      <c r="H2311" t="str">
        <f>QUOTIENT(ROW(A2311),48)+2&amp;"_"&amp;MOD(ROW(A2311),48)+8</f>
        <v>50_15</v>
      </c>
    </row>
    <row r="2312" spans="1:8" x14ac:dyDescent="0.2">
      <c r="A2312" s="9" t="s">
        <v>51</v>
      </c>
      <c r="C2312" t="str">
        <f>""""&amp;SUBSTITUTE(A2312,"zzz",H2312)&amp;""""&amp;","</f>
        <v>"https://www.zeldadungeon.net/maps/totk/tiles/sky/6/50_16.jpg",</v>
      </c>
      <c r="H2312" t="str">
        <f>QUOTIENT(ROW(A2312),48)+2&amp;"_"&amp;MOD(ROW(A2312),48)+8</f>
        <v>50_16</v>
      </c>
    </row>
    <row r="2313" spans="1:8" x14ac:dyDescent="0.2">
      <c r="A2313" s="9" t="s">
        <v>51</v>
      </c>
      <c r="C2313" t="str">
        <f>""""&amp;SUBSTITUTE(A2313,"zzz",H2313)&amp;""""&amp;","</f>
        <v>"https://www.zeldadungeon.net/maps/totk/tiles/sky/6/50_17.jpg",</v>
      </c>
      <c r="H2313" t="str">
        <f>QUOTIENT(ROW(A2313),48)+2&amp;"_"&amp;MOD(ROW(A2313),48)+8</f>
        <v>50_17</v>
      </c>
    </row>
    <row r="2314" spans="1:8" x14ac:dyDescent="0.2">
      <c r="A2314" s="9" t="s">
        <v>51</v>
      </c>
      <c r="C2314" t="str">
        <f>""""&amp;SUBSTITUTE(A2314,"zzz",H2314)&amp;""""&amp;","</f>
        <v>"https://www.zeldadungeon.net/maps/totk/tiles/sky/6/50_18.jpg",</v>
      </c>
      <c r="H2314" t="str">
        <f>QUOTIENT(ROW(A2314),48)+2&amp;"_"&amp;MOD(ROW(A2314),48)+8</f>
        <v>50_18</v>
      </c>
    </row>
    <row r="2315" spans="1:8" x14ac:dyDescent="0.2">
      <c r="A2315" s="9" t="s">
        <v>51</v>
      </c>
      <c r="C2315" t="str">
        <f>""""&amp;SUBSTITUTE(A2315,"zzz",H2315)&amp;""""&amp;","</f>
        <v>"https://www.zeldadungeon.net/maps/totk/tiles/sky/6/50_19.jpg",</v>
      </c>
      <c r="H2315" t="str">
        <f>QUOTIENT(ROW(A2315),48)+2&amp;"_"&amp;MOD(ROW(A2315),48)+8</f>
        <v>50_19</v>
      </c>
    </row>
    <row r="2316" spans="1:8" x14ac:dyDescent="0.2">
      <c r="A2316" s="9" t="s">
        <v>51</v>
      </c>
      <c r="C2316" t="str">
        <f>""""&amp;SUBSTITUTE(A2316,"zzz",H2316)&amp;""""&amp;","</f>
        <v>"https://www.zeldadungeon.net/maps/totk/tiles/sky/6/50_20.jpg",</v>
      </c>
      <c r="H2316" t="str">
        <f>QUOTIENT(ROW(A2316),48)+2&amp;"_"&amp;MOD(ROW(A2316),48)+8</f>
        <v>50_20</v>
      </c>
    </row>
    <row r="2317" spans="1:8" x14ac:dyDescent="0.2">
      <c r="A2317" s="9" t="s">
        <v>51</v>
      </c>
      <c r="C2317" t="str">
        <f>""""&amp;SUBSTITUTE(A2317,"zzz",H2317)&amp;""""&amp;","</f>
        <v>"https://www.zeldadungeon.net/maps/totk/tiles/sky/6/50_21.jpg",</v>
      </c>
      <c r="H2317" t="str">
        <f>QUOTIENT(ROW(A2317),48)+2&amp;"_"&amp;MOD(ROW(A2317),48)+8</f>
        <v>50_21</v>
      </c>
    </row>
    <row r="2318" spans="1:8" x14ac:dyDescent="0.2">
      <c r="A2318" s="9" t="s">
        <v>51</v>
      </c>
      <c r="C2318" t="str">
        <f>""""&amp;SUBSTITUTE(A2318,"zzz",H2318)&amp;""""&amp;","</f>
        <v>"https://www.zeldadungeon.net/maps/totk/tiles/sky/6/50_22.jpg",</v>
      </c>
      <c r="H2318" t="str">
        <f>QUOTIENT(ROW(A2318),48)+2&amp;"_"&amp;MOD(ROW(A2318),48)+8</f>
        <v>50_22</v>
      </c>
    </row>
    <row r="2319" spans="1:8" x14ac:dyDescent="0.2">
      <c r="A2319" s="9" t="s">
        <v>51</v>
      </c>
      <c r="C2319" t="str">
        <f>""""&amp;SUBSTITUTE(A2319,"zzz",H2319)&amp;""""&amp;","</f>
        <v>"https://www.zeldadungeon.net/maps/totk/tiles/sky/6/50_23.jpg",</v>
      </c>
      <c r="H2319" t="str">
        <f>QUOTIENT(ROW(A2319),48)+2&amp;"_"&amp;MOD(ROW(A2319),48)+8</f>
        <v>50_23</v>
      </c>
    </row>
    <row r="2320" spans="1:8" x14ac:dyDescent="0.2">
      <c r="A2320" s="9" t="s">
        <v>51</v>
      </c>
      <c r="C2320" t="str">
        <f>""""&amp;SUBSTITUTE(A2320,"zzz",H2320)&amp;""""&amp;","</f>
        <v>"https://www.zeldadungeon.net/maps/totk/tiles/sky/6/50_24.jpg",</v>
      </c>
      <c r="H2320" t="str">
        <f>QUOTIENT(ROW(A2320),48)+2&amp;"_"&amp;MOD(ROW(A2320),48)+8</f>
        <v>50_24</v>
      </c>
    </row>
    <row r="2321" spans="1:8" x14ac:dyDescent="0.2">
      <c r="A2321" s="9" t="s">
        <v>51</v>
      </c>
      <c r="C2321" t="str">
        <f>""""&amp;SUBSTITUTE(A2321,"zzz",H2321)&amp;""""&amp;","</f>
        <v>"https://www.zeldadungeon.net/maps/totk/tiles/sky/6/50_25.jpg",</v>
      </c>
      <c r="H2321" t="str">
        <f>QUOTIENT(ROW(A2321),48)+2&amp;"_"&amp;MOD(ROW(A2321),48)+8</f>
        <v>50_25</v>
      </c>
    </row>
    <row r="2322" spans="1:8" x14ac:dyDescent="0.2">
      <c r="A2322" s="9" t="s">
        <v>51</v>
      </c>
      <c r="C2322" t="str">
        <f>""""&amp;SUBSTITUTE(A2322,"zzz",H2322)&amp;""""&amp;","</f>
        <v>"https://www.zeldadungeon.net/maps/totk/tiles/sky/6/50_26.jpg",</v>
      </c>
      <c r="H2322" t="str">
        <f>QUOTIENT(ROW(A2322),48)+2&amp;"_"&amp;MOD(ROW(A2322),48)+8</f>
        <v>50_26</v>
      </c>
    </row>
    <row r="2323" spans="1:8" x14ac:dyDescent="0.2">
      <c r="A2323" s="9" t="s">
        <v>51</v>
      </c>
      <c r="C2323" t="str">
        <f>""""&amp;SUBSTITUTE(A2323,"zzz",H2323)&amp;""""&amp;","</f>
        <v>"https://www.zeldadungeon.net/maps/totk/tiles/sky/6/50_27.jpg",</v>
      </c>
      <c r="H2323" t="str">
        <f>QUOTIENT(ROW(A2323),48)+2&amp;"_"&amp;MOD(ROW(A2323),48)+8</f>
        <v>50_27</v>
      </c>
    </row>
    <row r="2324" spans="1:8" x14ac:dyDescent="0.2">
      <c r="A2324" s="9" t="s">
        <v>51</v>
      </c>
      <c r="C2324" t="str">
        <f>""""&amp;SUBSTITUTE(A2324,"zzz",H2324)&amp;""""&amp;","</f>
        <v>"https://www.zeldadungeon.net/maps/totk/tiles/sky/6/50_28.jpg",</v>
      </c>
      <c r="H2324" t="str">
        <f>QUOTIENT(ROW(A2324),48)+2&amp;"_"&amp;MOD(ROW(A2324),48)+8</f>
        <v>50_28</v>
      </c>
    </row>
    <row r="2325" spans="1:8" x14ac:dyDescent="0.2">
      <c r="A2325" s="9" t="s">
        <v>51</v>
      </c>
      <c r="C2325" t="str">
        <f>""""&amp;SUBSTITUTE(A2325,"zzz",H2325)&amp;""""&amp;","</f>
        <v>"https://www.zeldadungeon.net/maps/totk/tiles/sky/6/50_29.jpg",</v>
      </c>
      <c r="H2325" t="str">
        <f>QUOTIENT(ROW(A2325),48)+2&amp;"_"&amp;MOD(ROW(A2325),48)+8</f>
        <v>50_29</v>
      </c>
    </row>
    <row r="2326" spans="1:8" x14ac:dyDescent="0.2">
      <c r="A2326" s="9" t="s">
        <v>51</v>
      </c>
      <c r="C2326" t="str">
        <f>""""&amp;SUBSTITUTE(A2326,"zzz",H2326)&amp;""""&amp;","</f>
        <v>"https://www.zeldadungeon.net/maps/totk/tiles/sky/6/50_30.jpg",</v>
      </c>
      <c r="H2326" t="str">
        <f>QUOTIENT(ROW(A2326),48)+2&amp;"_"&amp;MOD(ROW(A2326),48)+8</f>
        <v>50_30</v>
      </c>
    </row>
    <row r="2327" spans="1:8" x14ac:dyDescent="0.2">
      <c r="A2327" s="9" t="s">
        <v>51</v>
      </c>
      <c r="C2327" t="str">
        <f>""""&amp;SUBSTITUTE(A2327,"zzz",H2327)&amp;""""&amp;","</f>
        <v>"https://www.zeldadungeon.net/maps/totk/tiles/sky/6/50_31.jpg",</v>
      </c>
      <c r="H2327" t="str">
        <f>QUOTIENT(ROW(A2327),48)+2&amp;"_"&amp;MOD(ROW(A2327),48)+8</f>
        <v>50_31</v>
      </c>
    </row>
    <row r="2328" spans="1:8" x14ac:dyDescent="0.2">
      <c r="A2328" s="9" t="s">
        <v>51</v>
      </c>
      <c r="C2328" t="str">
        <f>""""&amp;SUBSTITUTE(A2328,"zzz",H2328)&amp;""""&amp;","</f>
        <v>"https://www.zeldadungeon.net/maps/totk/tiles/sky/6/50_32.jpg",</v>
      </c>
      <c r="H2328" t="str">
        <f>QUOTIENT(ROW(A2328),48)+2&amp;"_"&amp;MOD(ROW(A2328),48)+8</f>
        <v>50_32</v>
      </c>
    </row>
    <row r="2329" spans="1:8" x14ac:dyDescent="0.2">
      <c r="A2329" s="9" t="s">
        <v>51</v>
      </c>
      <c r="C2329" t="str">
        <f>""""&amp;SUBSTITUTE(A2329,"zzz",H2329)&amp;""""&amp;","</f>
        <v>"https://www.zeldadungeon.net/maps/totk/tiles/sky/6/50_33.jpg",</v>
      </c>
      <c r="H2329" t="str">
        <f>QUOTIENT(ROW(A2329),48)+2&amp;"_"&amp;MOD(ROW(A2329),48)+8</f>
        <v>50_33</v>
      </c>
    </row>
    <row r="2330" spans="1:8" x14ac:dyDescent="0.2">
      <c r="A2330" s="9" t="s">
        <v>51</v>
      </c>
      <c r="C2330" t="str">
        <f>""""&amp;SUBSTITUTE(A2330,"zzz",H2330)&amp;""""&amp;","</f>
        <v>"https://www.zeldadungeon.net/maps/totk/tiles/sky/6/50_34.jpg",</v>
      </c>
      <c r="H2330" t="str">
        <f>QUOTIENT(ROW(A2330),48)+2&amp;"_"&amp;MOD(ROW(A2330),48)+8</f>
        <v>50_34</v>
      </c>
    </row>
    <row r="2331" spans="1:8" x14ac:dyDescent="0.2">
      <c r="A2331" s="9" t="s">
        <v>51</v>
      </c>
      <c r="C2331" t="str">
        <f>""""&amp;SUBSTITUTE(A2331,"zzz",H2331)&amp;""""&amp;","</f>
        <v>"https://www.zeldadungeon.net/maps/totk/tiles/sky/6/50_35.jpg",</v>
      </c>
      <c r="H2331" t="str">
        <f>QUOTIENT(ROW(A2331),48)+2&amp;"_"&amp;MOD(ROW(A2331),48)+8</f>
        <v>50_35</v>
      </c>
    </row>
    <row r="2332" spans="1:8" x14ac:dyDescent="0.2">
      <c r="A2332" s="9" t="s">
        <v>51</v>
      </c>
      <c r="C2332" t="str">
        <f>""""&amp;SUBSTITUTE(A2332,"zzz",H2332)&amp;""""&amp;","</f>
        <v>"https://www.zeldadungeon.net/maps/totk/tiles/sky/6/50_36.jpg",</v>
      </c>
      <c r="H2332" t="str">
        <f>QUOTIENT(ROW(A2332),48)+2&amp;"_"&amp;MOD(ROW(A2332),48)+8</f>
        <v>50_36</v>
      </c>
    </row>
    <row r="2333" spans="1:8" x14ac:dyDescent="0.2">
      <c r="A2333" s="9" t="s">
        <v>51</v>
      </c>
      <c r="C2333" t="str">
        <f>""""&amp;SUBSTITUTE(A2333,"zzz",H2333)&amp;""""&amp;","</f>
        <v>"https://www.zeldadungeon.net/maps/totk/tiles/sky/6/50_37.jpg",</v>
      </c>
      <c r="H2333" t="str">
        <f>QUOTIENT(ROW(A2333),48)+2&amp;"_"&amp;MOD(ROW(A2333),48)+8</f>
        <v>50_37</v>
      </c>
    </row>
    <row r="2334" spans="1:8" x14ac:dyDescent="0.2">
      <c r="A2334" s="9" t="s">
        <v>51</v>
      </c>
      <c r="C2334" t="str">
        <f>""""&amp;SUBSTITUTE(A2334,"zzz",H2334)&amp;""""&amp;","</f>
        <v>"https://www.zeldadungeon.net/maps/totk/tiles/sky/6/50_38.jpg",</v>
      </c>
      <c r="H2334" t="str">
        <f>QUOTIENT(ROW(A2334),48)+2&amp;"_"&amp;MOD(ROW(A2334),48)+8</f>
        <v>50_38</v>
      </c>
    </row>
    <row r="2335" spans="1:8" x14ac:dyDescent="0.2">
      <c r="A2335" s="9" t="s">
        <v>51</v>
      </c>
      <c r="C2335" t="str">
        <f>""""&amp;SUBSTITUTE(A2335,"zzz",H2335)&amp;""""&amp;","</f>
        <v>"https://www.zeldadungeon.net/maps/totk/tiles/sky/6/50_39.jpg",</v>
      </c>
      <c r="H2335" t="str">
        <f>QUOTIENT(ROW(A2335),48)+2&amp;"_"&amp;MOD(ROW(A2335),48)+8</f>
        <v>50_39</v>
      </c>
    </row>
    <row r="2336" spans="1:8" x14ac:dyDescent="0.2">
      <c r="A2336" s="9" t="s">
        <v>51</v>
      </c>
      <c r="C2336" t="str">
        <f>""""&amp;SUBSTITUTE(A2336,"zzz",H2336)&amp;""""&amp;","</f>
        <v>"https://www.zeldadungeon.net/maps/totk/tiles/sky/6/50_40.jpg",</v>
      </c>
      <c r="H2336" t="str">
        <f>QUOTIENT(ROW(A2336),48)+2&amp;"_"&amp;MOD(ROW(A2336),48)+8</f>
        <v>50_40</v>
      </c>
    </row>
    <row r="2337" spans="1:8" x14ac:dyDescent="0.2">
      <c r="A2337" s="9" t="s">
        <v>51</v>
      </c>
      <c r="C2337" t="str">
        <f>""""&amp;SUBSTITUTE(A2337,"zzz",H2337)&amp;""""&amp;","</f>
        <v>"https://www.zeldadungeon.net/maps/totk/tiles/sky/6/50_41.jpg",</v>
      </c>
      <c r="H2337" t="str">
        <f>QUOTIENT(ROW(A2337),48)+2&amp;"_"&amp;MOD(ROW(A2337),48)+8</f>
        <v>50_41</v>
      </c>
    </row>
    <row r="2338" spans="1:8" x14ac:dyDescent="0.2">
      <c r="A2338" s="9" t="s">
        <v>51</v>
      </c>
      <c r="C2338" t="str">
        <f>""""&amp;SUBSTITUTE(A2338,"zzz",H2338)&amp;""""&amp;","</f>
        <v>"https://www.zeldadungeon.net/maps/totk/tiles/sky/6/50_42.jpg",</v>
      </c>
      <c r="H2338" t="str">
        <f>QUOTIENT(ROW(A2338),48)+2&amp;"_"&amp;MOD(ROW(A2338),48)+8</f>
        <v>50_42</v>
      </c>
    </row>
    <row r="2339" spans="1:8" x14ac:dyDescent="0.2">
      <c r="A2339" s="9" t="s">
        <v>51</v>
      </c>
      <c r="C2339" t="str">
        <f>""""&amp;SUBSTITUTE(A2339,"zzz",H2339)&amp;""""&amp;","</f>
        <v>"https://www.zeldadungeon.net/maps/totk/tiles/sky/6/50_43.jpg",</v>
      </c>
      <c r="H2339" t="str">
        <f>QUOTIENT(ROW(A2339),48)+2&amp;"_"&amp;MOD(ROW(A2339),48)+8</f>
        <v>50_43</v>
      </c>
    </row>
    <row r="2340" spans="1:8" x14ac:dyDescent="0.2">
      <c r="A2340" s="9" t="s">
        <v>51</v>
      </c>
      <c r="C2340" t="str">
        <f>""""&amp;SUBSTITUTE(A2340,"zzz",H2340)&amp;""""&amp;","</f>
        <v>"https://www.zeldadungeon.net/maps/totk/tiles/sky/6/50_44.jpg",</v>
      </c>
      <c r="H2340" t="str">
        <f>QUOTIENT(ROW(A2340),48)+2&amp;"_"&amp;MOD(ROW(A2340),48)+8</f>
        <v>50_44</v>
      </c>
    </row>
    <row r="2341" spans="1:8" x14ac:dyDescent="0.2">
      <c r="A2341" s="9" t="s">
        <v>51</v>
      </c>
      <c r="C2341" t="str">
        <f>""""&amp;SUBSTITUTE(A2341,"zzz",H2341)&amp;""""&amp;","</f>
        <v>"https://www.zeldadungeon.net/maps/totk/tiles/sky/6/50_45.jpg",</v>
      </c>
      <c r="H2341" t="str">
        <f>QUOTIENT(ROW(A2341),48)+2&amp;"_"&amp;MOD(ROW(A2341),48)+8</f>
        <v>50_45</v>
      </c>
    </row>
    <row r="2342" spans="1:8" x14ac:dyDescent="0.2">
      <c r="A2342" s="9" t="s">
        <v>51</v>
      </c>
      <c r="C2342" t="str">
        <f>""""&amp;SUBSTITUTE(A2342,"zzz",H2342)&amp;""""&amp;","</f>
        <v>"https://www.zeldadungeon.net/maps/totk/tiles/sky/6/50_46.jpg",</v>
      </c>
      <c r="H2342" t="str">
        <f>QUOTIENT(ROW(A2342),48)+2&amp;"_"&amp;MOD(ROW(A2342),48)+8</f>
        <v>50_46</v>
      </c>
    </row>
    <row r="2343" spans="1:8" x14ac:dyDescent="0.2">
      <c r="A2343" s="9" t="s">
        <v>51</v>
      </c>
      <c r="C2343" t="str">
        <f>""""&amp;SUBSTITUTE(A2343,"zzz",H2343)&amp;""""&amp;","</f>
        <v>"https://www.zeldadungeon.net/maps/totk/tiles/sky/6/50_47.jpg",</v>
      </c>
      <c r="H2343" t="str">
        <f>QUOTIENT(ROW(A2343),48)+2&amp;"_"&amp;MOD(ROW(A2343),48)+8</f>
        <v>50_47</v>
      </c>
    </row>
    <row r="2344" spans="1:8" x14ac:dyDescent="0.2">
      <c r="A2344" s="9" t="s">
        <v>51</v>
      </c>
      <c r="C2344" t="str">
        <f>""""&amp;SUBSTITUTE(A2344,"zzz",H2344)&amp;""""&amp;","</f>
        <v>"https://www.zeldadungeon.net/maps/totk/tiles/sky/6/50_48.jpg",</v>
      </c>
      <c r="H2344" t="str">
        <f>QUOTIENT(ROW(A2344),48)+2&amp;"_"&amp;MOD(ROW(A2344),48)+8</f>
        <v>50_48</v>
      </c>
    </row>
    <row r="2345" spans="1:8" x14ac:dyDescent="0.2">
      <c r="A2345" s="9" t="s">
        <v>51</v>
      </c>
      <c r="C2345" t="str">
        <f>""""&amp;SUBSTITUTE(A2345,"zzz",H2345)&amp;""""&amp;","</f>
        <v>"https://www.zeldadungeon.net/maps/totk/tiles/sky/6/50_49.jpg",</v>
      </c>
      <c r="H2345" t="str">
        <f>QUOTIENT(ROW(A2345),48)+2&amp;"_"&amp;MOD(ROW(A2345),48)+8</f>
        <v>50_49</v>
      </c>
    </row>
    <row r="2346" spans="1:8" x14ac:dyDescent="0.2">
      <c r="A2346" s="9" t="s">
        <v>51</v>
      </c>
      <c r="C2346" t="str">
        <f>""""&amp;SUBSTITUTE(A2346,"zzz",H2346)&amp;""""&amp;","</f>
        <v>"https://www.zeldadungeon.net/maps/totk/tiles/sky/6/50_50.jpg",</v>
      </c>
      <c r="H2346" t="str">
        <f>QUOTIENT(ROW(A2346),48)+2&amp;"_"&amp;MOD(ROW(A2346),48)+8</f>
        <v>50_50</v>
      </c>
    </row>
    <row r="2347" spans="1:8" x14ac:dyDescent="0.2">
      <c r="A2347" s="9" t="s">
        <v>51</v>
      </c>
      <c r="C2347" t="str">
        <f>""""&amp;SUBSTITUTE(A2347,"zzz",H2347)&amp;""""&amp;","</f>
        <v>"https://www.zeldadungeon.net/maps/totk/tiles/sky/6/50_51.jpg",</v>
      </c>
      <c r="H2347" t="str">
        <f>QUOTIENT(ROW(A2347),48)+2&amp;"_"&amp;MOD(ROW(A2347),48)+8</f>
        <v>50_51</v>
      </c>
    </row>
    <row r="2348" spans="1:8" x14ac:dyDescent="0.2">
      <c r="A2348" s="9" t="s">
        <v>51</v>
      </c>
      <c r="C2348" t="str">
        <f>""""&amp;SUBSTITUTE(A2348,"zzz",H2348)&amp;""""&amp;","</f>
        <v>"https://www.zeldadungeon.net/maps/totk/tiles/sky/6/50_52.jpg",</v>
      </c>
      <c r="H2348" t="str">
        <f>QUOTIENT(ROW(A2348),48)+2&amp;"_"&amp;MOD(ROW(A2348),48)+8</f>
        <v>50_52</v>
      </c>
    </row>
    <row r="2349" spans="1:8" x14ac:dyDescent="0.2">
      <c r="A2349" s="9" t="s">
        <v>51</v>
      </c>
      <c r="C2349" t="str">
        <f>""""&amp;SUBSTITUTE(A2349,"zzz",H2349)&amp;""""&amp;","</f>
        <v>"https://www.zeldadungeon.net/maps/totk/tiles/sky/6/50_53.jpg",</v>
      </c>
      <c r="H2349" t="str">
        <f>QUOTIENT(ROW(A2349),48)+2&amp;"_"&amp;MOD(ROW(A2349),48)+8</f>
        <v>50_53</v>
      </c>
    </row>
    <row r="2350" spans="1:8" x14ac:dyDescent="0.2">
      <c r="A2350" s="9" t="s">
        <v>51</v>
      </c>
      <c r="C2350" t="str">
        <f>""""&amp;SUBSTITUTE(A2350,"zzz",H2350)&amp;""""&amp;","</f>
        <v>"https://www.zeldadungeon.net/maps/totk/tiles/sky/6/50_54.jpg",</v>
      </c>
      <c r="H2350" t="str">
        <f>QUOTIENT(ROW(A2350),48)+2&amp;"_"&amp;MOD(ROW(A2350),48)+8</f>
        <v>50_54</v>
      </c>
    </row>
    <row r="2351" spans="1:8" x14ac:dyDescent="0.2">
      <c r="A2351" s="9" t="s">
        <v>51</v>
      </c>
      <c r="C2351" t="str">
        <f>""""&amp;SUBSTITUTE(A2351,"zzz",H2351)&amp;""""&amp;","</f>
        <v>"https://www.zeldadungeon.net/maps/totk/tiles/sky/6/50_55.jpg",</v>
      </c>
      <c r="H2351" t="str">
        <f>QUOTIENT(ROW(A2351),48)+2&amp;"_"&amp;MOD(ROW(A2351),48)+8</f>
        <v>50_55</v>
      </c>
    </row>
    <row r="2352" spans="1:8" x14ac:dyDescent="0.2">
      <c r="A2352" s="9" t="s">
        <v>51</v>
      </c>
      <c r="C2352" t="str">
        <f>""""&amp;SUBSTITUTE(A2352,"zzz",H2352)&amp;""""&amp;","</f>
        <v>"https://www.zeldadungeon.net/maps/totk/tiles/sky/6/51_8.jpg",</v>
      </c>
      <c r="H2352" t="str">
        <f>QUOTIENT(ROW(A2352),48)+2&amp;"_"&amp;MOD(ROW(A2352),48)+8</f>
        <v>51_8</v>
      </c>
    </row>
    <row r="2353" spans="1:8" x14ac:dyDescent="0.2">
      <c r="A2353" s="9" t="s">
        <v>51</v>
      </c>
      <c r="C2353" t="str">
        <f>""""&amp;SUBSTITUTE(A2353,"zzz",H2353)&amp;""""&amp;","</f>
        <v>"https://www.zeldadungeon.net/maps/totk/tiles/sky/6/51_9.jpg",</v>
      </c>
      <c r="H2353" t="str">
        <f>QUOTIENT(ROW(A2353),48)+2&amp;"_"&amp;MOD(ROW(A2353),48)+8</f>
        <v>51_9</v>
      </c>
    </row>
    <row r="2354" spans="1:8" x14ac:dyDescent="0.2">
      <c r="A2354" s="9" t="s">
        <v>51</v>
      </c>
      <c r="C2354" t="str">
        <f>""""&amp;SUBSTITUTE(A2354,"zzz",H2354)&amp;""""&amp;","</f>
        <v>"https://www.zeldadungeon.net/maps/totk/tiles/sky/6/51_10.jpg",</v>
      </c>
      <c r="H2354" t="str">
        <f>QUOTIENT(ROW(A2354),48)+2&amp;"_"&amp;MOD(ROW(A2354),48)+8</f>
        <v>51_10</v>
      </c>
    </row>
    <row r="2355" spans="1:8" x14ac:dyDescent="0.2">
      <c r="A2355" s="9" t="s">
        <v>51</v>
      </c>
      <c r="C2355" t="str">
        <f>""""&amp;SUBSTITUTE(A2355,"zzz",H2355)&amp;""""&amp;","</f>
        <v>"https://www.zeldadungeon.net/maps/totk/tiles/sky/6/51_11.jpg",</v>
      </c>
      <c r="H2355" t="str">
        <f>QUOTIENT(ROW(A2355),48)+2&amp;"_"&amp;MOD(ROW(A2355),48)+8</f>
        <v>51_11</v>
      </c>
    </row>
    <row r="2356" spans="1:8" x14ac:dyDescent="0.2">
      <c r="A2356" s="9" t="s">
        <v>51</v>
      </c>
      <c r="C2356" t="str">
        <f>""""&amp;SUBSTITUTE(A2356,"zzz",H2356)&amp;""""&amp;","</f>
        <v>"https://www.zeldadungeon.net/maps/totk/tiles/sky/6/51_12.jpg",</v>
      </c>
      <c r="H2356" t="str">
        <f>QUOTIENT(ROW(A2356),48)+2&amp;"_"&amp;MOD(ROW(A2356),48)+8</f>
        <v>51_12</v>
      </c>
    </row>
    <row r="2357" spans="1:8" x14ac:dyDescent="0.2">
      <c r="A2357" s="9" t="s">
        <v>51</v>
      </c>
      <c r="C2357" t="str">
        <f>""""&amp;SUBSTITUTE(A2357,"zzz",H2357)&amp;""""&amp;","</f>
        <v>"https://www.zeldadungeon.net/maps/totk/tiles/sky/6/51_13.jpg",</v>
      </c>
      <c r="H2357" t="str">
        <f>QUOTIENT(ROW(A2357),48)+2&amp;"_"&amp;MOD(ROW(A2357),48)+8</f>
        <v>51_13</v>
      </c>
    </row>
    <row r="2358" spans="1:8" x14ac:dyDescent="0.2">
      <c r="A2358" s="9" t="s">
        <v>51</v>
      </c>
      <c r="C2358" t="str">
        <f>""""&amp;SUBSTITUTE(A2358,"zzz",H2358)&amp;""""&amp;","</f>
        <v>"https://www.zeldadungeon.net/maps/totk/tiles/sky/6/51_14.jpg",</v>
      </c>
      <c r="H2358" t="str">
        <f>QUOTIENT(ROW(A2358),48)+2&amp;"_"&amp;MOD(ROW(A2358),48)+8</f>
        <v>51_14</v>
      </c>
    </row>
    <row r="2359" spans="1:8" x14ac:dyDescent="0.2">
      <c r="A2359" s="9" t="s">
        <v>51</v>
      </c>
      <c r="C2359" t="str">
        <f>""""&amp;SUBSTITUTE(A2359,"zzz",H2359)&amp;""""&amp;","</f>
        <v>"https://www.zeldadungeon.net/maps/totk/tiles/sky/6/51_15.jpg",</v>
      </c>
      <c r="H2359" t="str">
        <f>QUOTIENT(ROW(A2359),48)+2&amp;"_"&amp;MOD(ROW(A2359),48)+8</f>
        <v>51_15</v>
      </c>
    </row>
    <row r="2360" spans="1:8" x14ac:dyDescent="0.2">
      <c r="A2360" s="9" t="s">
        <v>51</v>
      </c>
      <c r="C2360" t="str">
        <f>""""&amp;SUBSTITUTE(A2360,"zzz",H2360)&amp;""""&amp;","</f>
        <v>"https://www.zeldadungeon.net/maps/totk/tiles/sky/6/51_16.jpg",</v>
      </c>
      <c r="H2360" t="str">
        <f>QUOTIENT(ROW(A2360),48)+2&amp;"_"&amp;MOD(ROW(A2360),48)+8</f>
        <v>51_16</v>
      </c>
    </row>
    <row r="2361" spans="1:8" x14ac:dyDescent="0.2">
      <c r="A2361" s="9" t="s">
        <v>51</v>
      </c>
      <c r="C2361" t="str">
        <f>""""&amp;SUBSTITUTE(A2361,"zzz",H2361)&amp;""""&amp;","</f>
        <v>"https://www.zeldadungeon.net/maps/totk/tiles/sky/6/51_17.jpg",</v>
      </c>
      <c r="H2361" t="str">
        <f>QUOTIENT(ROW(A2361),48)+2&amp;"_"&amp;MOD(ROW(A2361),48)+8</f>
        <v>51_17</v>
      </c>
    </row>
    <row r="2362" spans="1:8" x14ac:dyDescent="0.2">
      <c r="A2362" s="9" t="s">
        <v>51</v>
      </c>
      <c r="C2362" t="str">
        <f>""""&amp;SUBSTITUTE(A2362,"zzz",H2362)&amp;""""&amp;","</f>
        <v>"https://www.zeldadungeon.net/maps/totk/tiles/sky/6/51_18.jpg",</v>
      </c>
      <c r="H2362" t="str">
        <f>QUOTIENT(ROW(A2362),48)+2&amp;"_"&amp;MOD(ROW(A2362),48)+8</f>
        <v>51_18</v>
      </c>
    </row>
    <row r="2363" spans="1:8" x14ac:dyDescent="0.2">
      <c r="A2363" s="9" t="s">
        <v>51</v>
      </c>
      <c r="C2363" t="str">
        <f>""""&amp;SUBSTITUTE(A2363,"zzz",H2363)&amp;""""&amp;","</f>
        <v>"https://www.zeldadungeon.net/maps/totk/tiles/sky/6/51_19.jpg",</v>
      </c>
      <c r="H2363" t="str">
        <f>QUOTIENT(ROW(A2363),48)+2&amp;"_"&amp;MOD(ROW(A2363),48)+8</f>
        <v>51_19</v>
      </c>
    </row>
    <row r="2364" spans="1:8" x14ac:dyDescent="0.2">
      <c r="A2364" s="9" t="s">
        <v>51</v>
      </c>
      <c r="C2364" t="str">
        <f>""""&amp;SUBSTITUTE(A2364,"zzz",H2364)&amp;""""&amp;","</f>
        <v>"https://www.zeldadungeon.net/maps/totk/tiles/sky/6/51_20.jpg",</v>
      </c>
      <c r="H2364" t="str">
        <f>QUOTIENT(ROW(A2364),48)+2&amp;"_"&amp;MOD(ROW(A2364),48)+8</f>
        <v>51_20</v>
      </c>
    </row>
    <row r="2365" spans="1:8" x14ac:dyDescent="0.2">
      <c r="A2365" s="9" t="s">
        <v>51</v>
      </c>
      <c r="C2365" t="str">
        <f>""""&amp;SUBSTITUTE(A2365,"zzz",H2365)&amp;""""&amp;","</f>
        <v>"https://www.zeldadungeon.net/maps/totk/tiles/sky/6/51_21.jpg",</v>
      </c>
      <c r="H2365" t="str">
        <f>QUOTIENT(ROW(A2365),48)+2&amp;"_"&amp;MOD(ROW(A2365),48)+8</f>
        <v>51_21</v>
      </c>
    </row>
    <row r="2366" spans="1:8" x14ac:dyDescent="0.2">
      <c r="A2366" s="9" t="s">
        <v>51</v>
      </c>
      <c r="C2366" t="str">
        <f>""""&amp;SUBSTITUTE(A2366,"zzz",H2366)&amp;""""&amp;","</f>
        <v>"https://www.zeldadungeon.net/maps/totk/tiles/sky/6/51_22.jpg",</v>
      </c>
      <c r="H2366" t="str">
        <f>QUOTIENT(ROW(A2366),48)+2&amp;"_"&amp;MOD(ROW(A2366),48)+8</f>
        <v>51_22</v>
      </c>
    </row>
    <row r="2367" spans="1:8" x14ac:dyDescent="0.2">
      <c r="A2367" s="9" t="s">
        <v>51</v>
      </c>
      <c r="C2367" t="str">
        <f>""""&amp;SUBSTITUTE(A2367,"zzz",H2367)&amp;""""&amp;","</f>
        <v>"https://www.zeldadungeon.net/maps/totk/tiles/sky/6/51_23.jpg",</v>
      </c>
      <c r="H2367" t="str">
        <f>QUOTIENT(ROW(A2367),48)+2&amp;"_"&amp;MOD(ROW(A2367),48)+8</f>
        <v>51_23</v>
      </c>
    </row>
    <row r="2368" spans="1:8" x14ac:dyDescent="0.2">
      <c r="A2368" s="9" t="s">
        <v>51</v>
      </c>
      <c r="C2368" t="str">
        <f>""""&amp;SUBSTITUTE(A2368,"zzz",H2368)&amp;""""&amp;","</f>
        <v>"https://www.zeldadungeon.net/maps/totk/tiles/sky/6/51_24.jpg",</v>
      </c>
      <c r="H2368" t="str">
        <f>QUOTIENT(ROW(A2368),48)+2&amp;"_"&amp;MOD(ROW(A2368),48)+8</f>
        <v>51_24</v>
      </c>
    </row>
    <row r="2369" spans="1:8" x14ac:dyDescent="0.2">
      <c r="A2369" s="9" t="s">
        <v>51</v>
      </c>
      <c r="C2369" t="str">
        <f>""""&amp;SUBSTITUTE(A2369,"zzz",H2369)&amp;""""&amp;","</f>
        <v>"https://www.zeldadungeon.net/maps/totk/tiles/sky/6/51_25.jpg",</v>
      </c>
      <c r="H2369" t="str">
        <f>QUOTIENT(ROW(A2369),48)+2&amp;"_"&amp;MOD(ROW(A2369),48)+8</f>
        <v>51_25</v>
      </c>
    </row>
    <row r="2370" spans="1:8" x14ac:dyDescent="0.2">
      <c r="A2370" s="9" t="s">
        <v>51</v>
      </c>
      <c r="C2370" t="str">
        <f>""""&amp;SUBSTITUTE(A2370,"zzz",H2370)&amp;""""&amp;","</f>
        <v>"https://www.zeldadungeon.net/maps/totk/tiles/sky/6/51_26.jpg",</v>
      </c>
      <c r="H2370" t="str">
        <f>QUOTIENT(ROW(A2370),48)+2&amp;"_"&amp;MOD(ROW(A2370),48)+8</f>
        <v>51_26</v>
      </c>
    </row>
    <row r="2371" spans="1:8" x14ac:dyDescent="0.2">
      <c r="A2371" s="9" t="s">
        <v>51</v>
      </c>
      <c r="C2371" t="str">
        <f>""""&amp;SUBSTITUTE(A2371,"zzz",H2371)&amp;""""&amp;","</f>
        <v>"https://www.zeldadungeon.net/maps/totk/tiles/sky/6/51_27.jpg",</v>
      </c>
      <c r="H2371" t="str">
        <f>QUOTIENT(ROW(A2371),48)+2&amp;"_"&amp;MOD(ROW(A2371),48)+8</f>
        <v>51_27</v>
      </c>
    </row>
    <row r="2372" spans="1:8" x14ac:dyDescent="0.2">
      <c r="A2372" s="9" t="s">
        <v>51</v>
      </c>
      <c r="C2372" t="str">
        <f>""""&amp;SUBSTITUTE(A2372,"zzz",H2372)&amp;""""&amp;","</f>
        <v>"https://www.zeldadungeon.net/maps/totk/tiles/sky/6/51_28.jpg",</v>
      </c>
      <c r="H2372" t="str">
        <f>QUOTIENT(ROW(A2372),48)+2&amp;"_"&amp;MOD(ROW(A2372),48)+8</f>
        <v>51_28</v>
      </c>
    </row>
    <row r="2373" spans="1:8" x14ac:dyDescent="0.2">
      <c r="A2373" s="9" t="s">
        <v>51</v>
      </c>
      <c r="C2373" t="str">
        <f>""""&amp;SUBSTITUTE(A2373,"zzz",H2373)&amp;""""&amp;","</f>
        <v>"https://www.zeldadungeon.net/maps/totk/tiles/sky/6/51_29.jpg",</v>
      </c>
      <c r="H2373" t="str">
        <f>QUOTIENT(ROW(A2373),48)+2&amp;"_"&amp;MOD(ROW(A2373),48)+8</f>
        <v>51_29</v>
      </c>
    </row>
    <row r="2374" spans="1:8" x14ac:dyDescent="0.2">
      <c r="A2374" s="9" t="s">
        <v>51</v>
      </c>
      <c r="C2374" t="str">
        <f>""""&amp;SUBSTITUTE(A2374,"zzz",H2374)&amp;""""&amp;","</f>
        <v>"https://www.zeldadungeon.net/maps/totk/tiles/sky/6/51_30.jpg",</v>
      </c>
      <c r="H2374" t="str">
        <f>QUOTIENT(ROW(A2374),48)+2&amp;"_"&amp;MOD(ROW(A2374),48)+8</f>
        <v>51_30</v>
      </c>
    </row>
    <row r="2375" spans="1:8" x14ac:dyDescent="0.2">
      <c r="A2375" s="9" t="s">
        <v>51</v>
      </c>
      <c r="C2375" t="str">
        <f>""""&amp;SUBSTITUTE(A2375,"zzz",H2375)&amp;""""&amp;","</f>
        <v>"https://www.zeldadungeon.net/maps/totk/tiles/sky/6/51_31.jpg",</v>
      </c>
      <c r="H2375" t="str">
        <f>QUOTIENT(ROW(A2375),48)+2&amp;"_"&amp;MOD(ROW(A2375),48)+8</f>
        <v>51_31</v>
      </c>
    </row>
    <row r="2376" spans="1:8" x14ac:dyDescent="0.2">
      <c r="A2376" s="9" t="s">
        <v>51</v>
      </c>
      <c r="C2376" t="str">
        <f>""""&amp;SUBSTITUTE(A2376,"zzz",H2376)&amp;""""&amp;","</f>
        <v>"https://www.zeldadungeon.net/maps/totk/tiles/sky/6/51_32.jpg",</v>
      </c>
      <c r="H2376" t="str">
        <f>QUOTIENT(ROW(A2376),48)+2&amp;"_"&amp;MOD(ROW(A2376),48)+8</f>
        <v>51_32</v>
      </c>
    </row>
    <row r="2377" spans="1:8" x14ac:dyDescent="0.2">
      <c r="A2377" s="9" t="s">
        <v>51</v>
      </c>
      <c r="C2377" t="str">
        <f>""""&amp;SUBSTITUTE(A2377,"zzz",H2377)&amp;""""&amp;","</f>
        <v>"https://www.zeldadungeon.net/maps/totk/tiles/sky/6/51_33.jpg",</v>
      </c>
      <c r="H2377" t="str">
        <f>QUOTIENT(ROW(A2377),48)+2&amp;"_"&amp;MOD(ROW(A2377),48)+8</f>
        <v>51_33</v>
      </c>
    </row>
    <row r="2378" spans="1:8" x14ac:dyDescent="0.2">
      <c r="A2378" s="9" t="s">
        <v>51</v>
      </c>
      <c r="C2378" t="str">
        <f>""""&amp;SUBSTITUTE(A2378,"zzz",H2378)&amp;""""&amp;","</f>
        <v>"https://www.zeldadungeon.net/maps/totk/tiles/sky/6/51_34.jpg",</v>
      </c>
      <c r="H2378" t="str">
        <f>QUOTIENT(ROW(A2378),48)+2&amp;"_"&amp;MOD(ROW(A2378),48)+8</f>
        <v>51_34</v>
      </c>
    </row>
    <row r="2379" spans="1:8" x14ac:dyDescent="0.2">
      <c r="A2379" s="9" t="s">
        <v>51</v>
      </c>
      <c r="C2379" t="str">
        <f>""""&amp;SUBSTITUTE(A2379,"zzz",H2379)&amp;""""&amp;","</f>
        <v>"https://www.zeldadungeon.net/maps/totk/tiles/sky/6/51_35.jpg",</v>
      </c>
      <c r="H2379" t="str">
        <f>QUOTIENT(ROW(A2379),48)+2&amp;"_"&amp;MOD(ROW(A2379),48)+8</f>
        <v>51_35</v>
      </c>
    </row>
    <row r="2380" spans="1:8" x14ac:dyDescent="0.2">
      <c r="A2380" s="9" t="s">
        <v>51</v>
      </c>
      <c r="C2380" t="str">
        <f>""""&amp;SUBSTITUTE(A2380,"zzz",H2380)&amp;""""&amp;","</f>
        <v>"https://www.zeldadungeon.net/maps/totk/tiles/sky/6/51_36.jpg",</v>
      </c>
      <c r="H2380" t="str">
        <f>QUOTIENT(ROW(A2380),48)+2&amp;"_"&amp;MOD(ROW(A2380),48)+8</f>
        <v>51_36</v>
      </c>
    </row>
    <row r="2381" spans="1:8" x14ac:dyDescent="0.2">
      <c r="A2381" s="9" t="s">
        <v>51</v>
      </c>
      <c r="C2381" t="str">
        <f>""""&amp;SUBSTITUTE(A2381,"zzz",H2381)&amp;""""&amp;","</f>
        <v>"https://www.zeldadungeon.net/maps/totk/tiles/sky/6/51_37.jpg",</v>
      </c>
      <c r="H2381" t="str">
        <f>QUOTIENT(ROW(A2381),48)+2&amp;"_"&amp;MOD(ROW(A2381),48)+8</f>
        <v>51_37</v>
      </c>
    </row>
    <row r="2382" spans="1:8" x14ac:dyDescent="0.2">
      <c r="A2382" s="9" t="s">
        <v>51</v>
      </c>
      <c r="C2382" t="str">
        <f>""""&amp;SUBSTITUTE(A2382,"zzz",H2382)&amp;""""&amp;","</f>
        <v>"https://www.zeldadungeon.net/maps/totk/tiles/sky/6/51_38.jpg",</v>
      </c>
      <c r="H2382" t="str">
        <f>QUOTIENT(ROW(A2382),48)+2&amp;"_"&amp;MOD(ROW(A2382),48)+8</f>
        <v>51_38</v>
      </c>
    </row>
    <row r="2383" spans="1:8" x14ac:dyDescent="0.2">
      <c r="A2383" s="9" t="s">
        <v>51</v>
      </c>
      <c r="C2383" t="str">
        <f>""""&amp;SUBSTITUTE(A2383,"zzz",H2383)&amp;""""&amp;","</f>
        <v>"https://www.zeldadungeon.net/maps/totk/tiles/sky/6/51_39.jpg",</v>
      </c>
      <c r="H2383" t="str">
        <f>QUOTIENT(ROW(A2383),48)+2&amp;"_"&amp;MOD(ROW(A2383),48)+8</f>
        <v>51_39</v>
      </c>
    </row>
    <row r="2384" spans="1:8" x14ac:dyDescent="0.2">
      <c r="A2384" s="9" t="s">
        <v>51</v>
      </c>
      <c r="C2384" t="str">
        <f>""""&amp;SUBSTITUTE(A2384,"zzz",H2384)&amp;""""&amp;","</f>
        <v>"https://www.zeldadungeon.net/maps/totk/tiles/sky/6/51_40.jpg",</v>
      </c>
      <c r="H2384" t="str">
        <f>QUOTIENT(ROW(A2384),48)+2&amp;"_"&amp;MOD(ROW(A2384),48)+8</f>
        <v>51_40</v>
      </c>
    </row>
    <row r="2385" spans="1:8" x14ac:dyDescent="0.2">
      <c r="A2385" s="9" t="s">
        <v>51</v>
      </c>
      <c r="C2385" t="str">
        <f>""""&amp;SUBSTITUTE(A2385,"zzz",H2385)&amp;""""&amp;","</f>
        <v>"https://www.zeldadungeon.net/maps/totk/tiles/sky/6/51_41.jpg",</v>
      </c>
      <c r="H2385" t="str">
        <f>QUOTIENT(ROW(A2385),48)+2&amp;"_"&amp;MOD(ROW(A2385),48)+8</f>
        <v>51_41</v>
      </c>
    </row>
    <row r="2386" spans="1:8" x14ac:dyDescent="0.2">
      <c r="A2386" s="9" t="s">
        <v>51</v>
      </c>
      <c r="C2386" t="str">
        <f>""""&amp;SUBSTITUTE(A2386,"zzz",H2386)&amp;""""&amp;","</f>
        <v>"https://www.zeldadungeon.net/maps/totk/tiles/sky/6/51_42.jpg",</v>
      </c>
      <c r="H2386" t="str">
        <f>QUOTIENT(ROW(A2386),48)+2&amp;"_"&amp;MOD(ROW(A2386),48)+8</f>
        <v>51_42</v>
      </c>
    </row>
    <row r="2387" spans="1:8" x14ac:dyDescent="0.2">
      <c r="A2387" s="9" t="s">
        <v>51</v>
      </c>
      <c r="C2387" t="str">
        <f>""""&amp;SUBSTITUTE(A2387,"zzz",H2387)&amp;""""&amp;","</f>
        <v>"https://www.zeldadungeon.net/maps/totk/tiles/sky/6/51_43.jpg",</v>
      </c>
      <c r="H2387" t="str">
        <f>QUOTIENT(ROW(A2387),48)+2&amp;"_"&amp;MOD(ROW(A2387),48)+8</f>
        <v>51_43</v>
      </c>
    </row>
    <row r="2388" spans="1:8" x14ac:dyDescent="0.2">
      <c r="A2388" s="9" t="s">
        <v>51</v>
      </c>
      <c r="C2388" t="str">
        <f>""""&amp;SUBSTITUTE(A2388,"zzz",H2388)&amp;""""&amp;","</f>
        <v>"https://www.zeldadungeon.net/maps/totk/tiles/sky/6/51_44.jpg",</v>
      </c>
      <c r="H2388" t="str">
        <f>QUOTIENT(ROW(A2388),48)+2&amp;"_"&amp;MOD(ROW(A2388),48)+8</f>
        <v>51_44</v>
      </c>
    </row>
    <row r="2389" spans="1:8" x14ac:dyDescent="0.2">
      <c r="A2389" s="9" t="s">
        <v>51</v>
      </c>
      <c r="C2389" t="str">
        <f>""""&amp;SUBSTITUTE(A2389,"zzz",H2389)&amp;""""&amp;","</f>
        <v>"https://www.zeldadungeon.net/maps/totk/tiles/sky/6/51_45.jpg",</v>
      </c>
      <c r="H2389" t="str">
        <f>QUOTIENT(ROW(A2389),48)+2&amp;"_"&amp;MOD(ROW(A2389),48)+8</f>
        <v>51_45</v>
      </c>
    </row>
    <row r="2390" spans="1:8" x14ac:dyDescent="0.2">
      <c r="A2390" s="9" t="s">
        <v>51</v>
      </c>
      <c r="C2390" t="str">
        <f>""""&amp;SUBSTITUTE(A2390,"zzz",H2390)&amp;""""&amp;","</f>
        <v>"https://www.zeldadungeon.net/maps/totk/tiles/sky/6/51_46.jpg",</v>
      </c>
      <c r="H2390" t="str">
        <f>QUOTIENT(ROW(A2390),48)+2&amp;"_"&amp;MOD(ROW(A2390),48)+8</f>
        <v>51_46</v>
      </c>
    </row>
    <row r="2391" spans="1:8" x14ac:dyDescent="0.2">
      <c r="A2391" s="9" t="s">
        <v>51</v>
      </c>
      <c r="C2391" t="str">
        <f>""""&amp;SUBSTITUTE(A2391,"zzz",H2391)&amp;""""&amp;","</f>
        <v>"https://www.zeldadungeon.net/maps/totk/tiles/sky/6/51_47.jpg",</v>
      </c>
      <c r="H2391" t="str">
        <f>QUOTIENT(ROW(A2391),48)+2&amp;"_"&amp;MOD(ROW(A2391),48)+8</f>
        <v>51_47</v>
      </c>
    </row>
    <row r="2392" spans="1:8" x14ac:dyDescent="0.2">
      <c r="A2392" s="9" t="s">
        <v>51</v>
      </c>
      <c r="C2392" t="str">
        <f>""""&amp;SUBSTITUTE(A2392,"zzz",H2392)&amp;""""&amp;","</f>
        <v>"https://www.zeldadungeon.net/maps/totk/tiles/sky/6/51_48.jpg",</v>
      </c>
      <c r="H2392" t="str">
        <f>QUOTIENT(ROW(A2392),48)+2&amp;"_"&amp;MOD(ROW(A2392),48)+8</f>
        <v>51_48</v>
      </c>
    </row>
    <row r="2393" spans="1:8" x14ac:dyDescent="0.2">
      <c r="A2393" s="9" t="s">
        <v>51</v>
      </c>
      <c r="C2393" t="str">
        <f>""""&amp;SUBSTITUTE(A2393,"zzz",H2393)&amp;""""&amp;","</f>
        <v>"https://www.zeldadungeon.net/maps/totk/tiles/sky/6/51_49.jpg",</v>
      </c>
      <c r="H2393" t="str">
        <f>QUOTIENT(ROW(A2393),48)+2&amp;"_"&amp;MOD(ROW(A2393),48)+8</f>
        <v>51_49</v>
      </c>
    </row>
    <row r="2394" spans="1:8" x14ac:dyDescent="0.2">
      <c r="A2394" s="9" t="s">
        <v>51</v>
      </c>
      <c r="C2394" t="str">
        <f>""""&amp;SUBSTITUTE(A2394,"zzz",H2394)&amp;""""&amp;","</f>
        <v>"https://www.zeldadungeon.net/maps/totk/tiles/sky/6/51_50.jpg",</v>
      </c>
      <c r="H2394" t="str">
        <f>QUOTIENT(ROW(A2394),48)+2&amp;"_"&amp;MOD(ROW(A2394),48)+8</f>
        <v>51_50</v>
      </c>
    </row>
    <row r="2395" spans="1:8" x14ac:dyDescent="0.2">
      <c r="A2395" s="9" t="s">
        <v>51</v>
      </c>
      <c r="C2395" t="str">
        <f>""""&amp;SUBSTITUTE(A2395,"zzz",H2395)&amp;""""&amp;","</f>
        <v>"https://www.zeldadungeon.net/maps/totk/tiles/sky/6/51_51.jpg",</v>
      </c>
      <c r="H2395" t="str">
        <f>QUOTIENT(ROW(A2395),48)+2&amp;"_"&amp;MOD(ROW(A2395),48)+8</f>
        <v>51_51</v>
      </c>
    </row>
    <row r="2396" spans="1:8" x14ac:dyDescent="0.2">
      <c r="A2396" s="9" t="s">
        <v>51</v>
      </c>
      <c r="C2396" t="str">
        <f>""""&amp;SUBSTITUTE(A2396,"zzz",H2396)&amp;""""&amp;","</f>
        <v>"https://www.zeldadungeon.net/maps/totk/tiles/sky/6/51_52.jpg",</v>
      </c>
      <c r="H2396" t="str">
        <f>QUOTIENT(ROW(A2396),48)+2&amp;"_"&amp;MOD(ROW(A2396),48)+8</f>
        <v>51_52</v>
      </c>
    </row>
    <row r="2397" spans="1:8" x14ac:dyDescent="0.2">
      <c r="A2397" s="9" t="s">
        <v>51</v>
      </c>
      <c r="C2397" t="str">
        <f>""""&amp;SUBSTITUTE(A2397,"zzz",H2397)&amp;""""&amp;","</f>
        <v>"https://www.zeldadungeon.net/maps/totk/tiles/sky/6/51_53.jpg",</v>
      </c>
      <c r="H2397" t="str">
        <f>QUOTIENT(ROW(A2397),48)+2&amp;"_"&amp;MOD(ROW(A2397),48)+8</f>
        <v>51_53</v>
      </c>
    </row>
    <row r="2398" spans="1:8" x14ac:dyDescent="0.2">
      <c r="A2398" s="9" t="s">
        <v>51</v>
      </c>
      <c r="C2398" t="str">
        <f>""""&amp;SUBSTITUTE(A2398,"zzz",H2398)&amp;""""&amp;","</f>
        <v>"https://www.zeldadungeon.net/maps/totk/tiles/sky/6/51_54.jpg",</v>
      </c>
      <c r="H2398" t="str">
        <f>QUOTIENT(ROW(A2398),48)+2&amp;"_"&amp;MOD(ROW(A2398),48)+8</f>
        <v>51_54</v>
      </c>
    </row>
    <row r="2399" spans="1:8" x14ac:dyDescent="0.2">
      <c r="A2399" s="9" t="s">
        <v>51</v>
      </c>
      <c r="C2399" t="str">
        <f>""""&amp;SUBSTITUTE(A2399,"zzz",H2399)&amp;""""&amp;","</f>
        <v>"https://www.zeldadungeon.net/maps/totk/tiles/sky/6/51_55.jpg",</v>
      </c>
      <c r="H2399" t="str">
        <f>QUOTIENT(ROW(A2399),48)+2&amp;"_"&amp;MOD(ROW(A2399),48)+8</f>
        <v>51_55</v>
      </c>
    </row>
    <row r="2400" spans="1:8" x14ac:dyDescent="0.2">
      <c r="A2400" s="9" t="s">
        <v>51</v>
      </c>
      <c r="C2400" t="str">
        <f>""""&amp;SUBSTITUTE(A2400,"zzz",H2400)&amp;""""&amp;","</f>
        <v>"https://www.zeldadungeon.net/maps/totk/tiles/sky/6/52_8.jpg",</v>
      </c>
      <c r="H2400" t="str">
        <f>QUOTIENT(ROW(A2400),48)+2&amp;"_"&amp;MOD(ROW(A2400),48)+8</f>
        <v>52_8</v>
      </c>
    </row>
    <row r="2401" spans="1:8" x14ac:dyDescent="0.2">
      <c r="A2401" s="9" t="s">
        <v>51</v>
      </c>
      <c r="C2401" t="str">
        <f>""""&amp;SUBSTITUTE(A2401,"zzz",H2401)&amp;""""&amp;","</f>
        <v>"https://www.zeldadungeon.net/maps/totk/tiles/sky/6/52_9.jpg",</v>
      </c>
      <c r="H2401" t="str">
        <f>QUOTIENT(ROW(A2401),48)+2&amp;"_"&amp;MOD(ROW(A2401),48)+8</f>
        <v>52_9</v>
      </c>
    </row>
    <row r="2402" spans="1:8" x14ac:dyDescent="0.2">
      <c r="A2402" s="9" t="s">
        <v>51</v>
      </c>
      <c r="C2402" t="str">
        <f>""""&amp;SUBSTITUTE(A2402,"zzz",H2402)&amp;""""&amp;","</f>
        <v>"https://www.zeldadungeon.net/maps/totk/tiles/sky/6/52_10.jpg",</v>
      </c>
      <c r="H2402" t="str">
        <f>QUOTIENT(ROW(A2402),48)+2&amp;"_"&amp;MOD(ROW(A2402),48)+8</f>
        <v>52_10</v>
      </c>
    </row>
    <row r="2403" spans="1:8" x14ac:dyDescent="0.2">
      <c r="A2403" s="9" t="s">
        <v>51</v>
      </c>
      <c r="C2403" t="str">
        <f>""""&amp;SUBSTITUTE(A2403,"zzz",H2403)&amp;""""&amp;","</f>
        <v>"https://www.zeldadungeon.net/maps/totk/tiles/sky/6/52_11.jpg",</v>
      </c>
      <c r="H2403" t="str">
        <f>QUOTIENT(ROW(A2403),48)+2&amp;"_"&amp;MOD(ROW(A2403),48)+8</f>
        <v>52_11</v>
      </c>
    </row>
    <row r="2404" spans="1:8" x14ac:dyDescent="0.2">
      <c r="A2404" s="9" t="s">
        <v>51</v>
      </c>
      <c r="C2404" t="str">
        <f>""""&amp;SUBSTITUTE(A2404,"zzz",H2404)&amp;""""&amp;","</f>
        <v>"https://www.zeldadungeon.net/maps/totk/tiles/sky/6/52_12.jpg",</v>
      </c>
      <c r="H2404" t="str">
        <f>QUOTIENT(ROW(A2404),48)+2&amp;"_"&amp;MOD(ROW(A2404),48)+8</f>
        <v>52_12</v>
      </c>
    </row>
    <row r="2405" spans="1:8" x14ac:dyDescent="0.2">
      <c r="A2405" s="9" t="s">
        <v>51</v>
      </c>
      <c r="C2405" t="str">
        <f>""""&amp;SUBSTITUTE(A2405,"zzz",H2405)&amp;""""&amp;","</f>
        <v>"https://www.zeldadungeon.net/maps/totk/tiles/sky/6/52_13.jpg",</v>
      </c>
      <c r="H2405" t="str">
        <f>QUOTIENT(ROW(A2405),48)+2&amp;"_"&amp;MOD(ROW(A2405),48)+8</f>
        <v>52_13</v>
      </c>
    </row>
    <row r="2406" spans="1:8" x14ac:dyDescent="0.2">
      <c r="A2406" s="9" t="s">
        <v>51</v>
      </c>
      <c r="C2406" t="str">
        <f>""""&amp;SUBSTITUTE(A2406,"zzz",H2406)&amp;""""&amp;","</f>
        <v>"https://www.zeldadungeon.net/maps/totk/tiles/sky/6/52_14.jpg",</v>
      </c>
      <c r="H2406" t="str">
        <f>QUOTIENT(ROW(A2406),48)+2&amp;"_"&amp;MOD(ROW(A2406),48)+8</f>
        <v>52_14</v>
      </c>
    </row>
    <row r="2407" spans="1:8" x14ac:dyDescent="0.2">
      <c r="A2407" s="9" t="s">
        <v>51</v>
      </c>
      <c r="C2407" t="str">
        <f>""""&amp;SUBSTITUTE(A2407,"zzz",H2407)&amp;""""&amp;","</f>
        <v>"https://www.zeldadungeon.net/maps/totk/tiles/sky/6/52_15.jpg",</v>
      </c>
      <c r="H2407" t="str">
        <f>QUOTIENT(ROW(A2407),48)+2&amp;"_"&amp;MOD(ROW(A2407),48)+8</f>
        <v>52_15</v>
      </c>
    </row>
    <row r="2408" spans="1:8" x14ac:dyDescent="0.2">
      <c r="A2408" s="9" t="s">
        <v>51</v>
      </c>
      <c r="C2408" t="str">
        <f>""""&amp;SUBSTITUTE(A2408,"zzz",H2408)&amp;""""&amp;","</f>
        <v>"https://www.zeldadungeon.net/maps/totk/tiles/sky/6/52_16.jpg",</v>
      </c>
      <c r="H2408" t="str">
        <f>QUOTIENT(ROW(A2408),48)+2&amp;"_"&amp;MOD(ROW(A2408),48)+8</f>
        <v>52_16</v>
      </c>
    </row>
    <row r="2409" spans="1:8" x14ac:dyDescent="0.2">
      <c r="A2409" s="9" t="s">
        <v>51</v>
      </c>
      <c r="C2409" t="str">
        <f>""""&amp;SUBSTITUTE(A2409,"zzz",H2409)&amp;""""&amp;","</f>
        <v>"https://www.zeldadungeon.net/maps/totk/tiles/sky/6/52_17.jpg",</v>
      </c>
      <c r="H2409" t="str">
        <f>QUOTIENT(ROW(A2409),48)+2&amp;"_"&amp;MOD(ROW(A2409),48)+8</f>
        <v>52_17</v>
      </c>
    </row>
    <row r="2410" spans="1:8" x14ac:dyDescent="0.2">
      <c r="A2410" s="9" t="s">
        <v>51</v>
      </c>
      <c r="C2410" t="str">
        <f>""""&amp;SUBSTITUTE(A2410,"zzz",H2410)&amp;""""&amp;","</f>
        <v>"https://www.zeldadungeon.net/maps/totk/tiles/sky/6/52_18.jpg",</v>
      </c>
      <c r="H2410" t="str">
        <f>QUOTIENT(ROW(A2410),48)+2&amp;"_"&amp;MOD(ROW(A2410),48)+8</f>
        <v>52_18</v>
      </c>
    </row>
    <row r="2411" spans="1:8" x14ac:dyDescent="0.2">
      <c r="A2411" s="9" t="s">
        <v>51</v>
      </c>
      <c r="C2411" t="str">
        <f>""""&amp;SUBSTITUTE(A2411,"zzz",H2411)&amp;""""&amp;","</f>
        <v>"https://www.zeldadungeon.net/maps/totk/tiles/sky/6/52_19.jpg",</v>
      </c>
      <c r="H2411" t="str">
        <f>QUOTIENT(ROW(A2411),48)+2&amp;"_"&amp;MOD(ROW(A2411),48)+8</f>
        <v>52_19</v>
      </c>
    </row>
    <row r="2412" spans="1:8" x14ac:dyDescent="0.2">
      <c r="A2412" s="9" t="s">
        <v>51</v>
      </c>
      <c r="C2412" t="str">
        <f>""""&amp;SUBSTITUTE(A2412,"zzz",H2412)&amp;""""&amp;","</f>
        <v>"https://www.zeldadungeon.net/maps/totk/tiles/sky/6/52_20.jpg",</v>
      </c>
      <c r="H2412" t="str">
        <f>QUOTIENT(ROW(A2412),48)+2&amp;"_"&amp;MOD(ROW(A2412),48)+8</f>
        <v>52_20</v>
      </c>
    </row>
    <row r="2413" spans="1:8" x14ac:dyDescent="0.2">
      <c r="A2413" s="9" t="s">
        <v>51</v>
      </c>
      <c r="C2413" t="str">
        <f>""""&amp;SUBSTITUTE(A2413,"zzz",H2413)&amp;""""&amp;","</f>
        <v>"https://www.zeldadungeon.net/maps/totk/tiles/sky/6/52_21.jpg",</v>
      </c>
      <c r="H2413" t="str">
        <f>QUOTIENT(ROW(A2413),48)+2&amp;"_"&amp;MOD(ROW(A2413),48)+8</f>
        <v>52_21</v>
      </c>
    </row>
    <row r="2414" spans="1:8" x14ac:dyDescent="0.2">
      <c r="A2414" s="9" t="s">
        <v>51</v>
      </c>
      <c r="C2414" t="str">
        <f>""""&amp;SUBSTITUTE(A2414,"zzz",H2414)&amp;""""&amp;","</f>
        <v>"https://www.zeldadungeon.net/maps/totk/tiles/sky/6/52_22.jpg",</v>
      </c>
      <c r="H2414" t="str">
        <f>QUOTIENT(ROW(A2414),48)+2&amp;"_"&amp;MOD(ROW(A2414),48)+8</f>
        <v>52_22</v>
      </c>
    </row>
    <row r="2415" spans="1:8" x14ac:dyDescent="0.2">
      <c r="A2415" s="9" t="s">
        <v>51</v>
      </c>
      <c r="C2415" t="str">
        <f>""""&amp;SUBSTITUTE(A2415,"zzz",H2415)&amp;""""&amp;","</f>
        <v>"https://www.zeldadungeon.net/maps/totk/tiles/sky/6/52_23.jpg",</v>
      </c>
      <c r="H2415" t="str">
        <f>QUOTIENT(ROW(A2415),48)+2&amp;"_"&amp;MOD(ROW(A2415),48)+8</f>
        <v>52_23</v>
      </c>
    </row>
    <row r="2416" spans="1:8" x14ac:dyDescent="0.2">
      <c r="A2416" s="9" t="s">
        <v>51</v>
      </c>
      <c r="C2416" t="str">
        <f>""""&amp;SUBSTITUTE(A2416,"zzz",H2416)&amp;""""&amp;","</f>
        <v>"https://www.zeldadungeon.net/maps/totk/tiles/sky/6/52_24.jpg",</v>
      </c>
      <c r="H2416" t="str">
        <f>QUOTIENT(ROW(A2416),48)+2&amp;"_"&amp;MOD(ROW(A2416),48)+8</f>
        <v>52_24</v>
      </c>
    </row>
    <row r="2417" spans="1:8" x14ac:dyDescent="0.2">
      <c r="A2417" s="9" t="s">
        <v>51</v>
      </c>
      <c r="C2417" t="str">
        <f>""""&amp;SUBSTITUTE(A2417,"zzz",H2417)&amp;""""&amp;","</f>
        <v>"https://www.zeldadungeon.net/maps/totk/tiles/sky/6/52_25.jpg",</v>
      </c>
      <c r="H2417" t="str">
        <f>QUOTIENT(ROW(A2417),48)+2&amp;"_"&amp;MOD(ROW(A2417),48)+8</f>
        <v>52_25</v>
      </c>
    </row>
    <row r="2418" spans="1:8" x14ac:dyDescent="0.2">
      <c r="A2418" s="9" t="s">
        <v>51</v>
      </c>
      <c r="C2418" t="str">
        <f>""""&amp;SUBSTITUTE(A2418,"zzz",H2418)&amp;""""&amp;","</f>
        <v>"https://www.zeldadungeon.net/maps/totk/tiles/sky/6/52_26.jpg",</v>
      </c>
      <c r="H2418" t="str">
        <f>QUOTIENT(ROW(A2418),48)+2&amp;"_"&amp;MOD(ROW(A2418),48)+8</f>
        <v>52_26</v>
      </c>
    </row>
    <row r="2419" spans="1:8" x14ac:dyDescent="0.2">
      <c r="A2419" s="9" t="s">
        <v>51</v>
      </c>
      <c r="C2419" t="str">
        <f>""""&amp;SUBSTITUTE(A2419,"zzz",H2419)&amp;""""&amp;","</f>
        <v>"https://www.zeldadungeon.net/maps/totk/tiles/sky/6/52_27.jpg",</v>
      </c>
      <c r="H2419" t="str">
        <f>QUOTIENT(ROW(A2419),48)+2&amp;"_"&amp;MOD(ROW(A2419),48)+8</f>
        <v>52_27</v>
      </c>
    </row>
    <row r="2420" spans="1:8" x14ac:dyDescent="0.2">
      <c r="A2420" s="9" t="s">
        <v>51</v>
      </c>
      <c r="C2420" t="str">
        <f>""""&amp;SUBSTITUTE(A2420,"zzz",H2420)&amp;""""&amp;","</f>
        <v>"https://www.zeldadungeon.net/maps/totk/tiles/sky/6/52_28.jpg",</v>
      </c>
      <c r="H2420" t="str">
        <f>QUOTIENT(ROW(A2420),48)+2&amp;"_"&amp;MOD(ROW(A2420),48)+8</f>
        <v>52_28</v>
      </c>
    </row>
    <row r="2421" spans="1:8" x14ac:dyDescent="0.2">
      <c r="A2421" s="9" t="s">
        <v>51</v>
      </c>
      <c r="C2421" t="str">
        <f>""""&amp;SUBSTITUTE(A2421,"zzz",H2421)&amp;""""&amp;","</f>
        <v>"https://www.zeldadungeon.net/maps/totk/tiles/sky/6/52_29.jpg",</v>
      </c>
      <c r="H2421" t="str">
        <f>QUOTIENT(ROW(A2421),48)+2&amp;"_"&amp;MOD(ROW(A2421),48)+8</f>
        <v>52_29</v>
      </c>
    </row>
    <row r="2422" spans="1:8" x14ac:dyDescent="0.2">
      <c r="A2422" s="9" t="s">
        <v>51</v>
      </c>
      <c r="C2422" t="str">
        <f>""""&amp;SUBSTITUTE(A2422,"zzz",H2422)&amp;""""&amp;","</f>
        <v>"https://www.zeldadungeon.net/maps/totk/tiles/sky/6/52_30.jpg",</v>
      </c>
      <c r="H2422" t="str">
        <f>QUOTIENT(ROW(A2422),48)+2&amp;"_"&amp;MOD(ROW(A2422),48)+8</f>
        <v>52_30</v>
      </c>
    </row>
    <row r="2423" spans="1:8" x14ac:dyDescent="0.2">
      <c r="A2423" s="9" t="s">
        <v>51</v>
      </c>
      <c r="C2423" t="str">
        <f>""""&amp;SUBSTITUTE(A2423,"zzz",H2423)&amp;""""&amp;","</f>
        <v>"https://www.zeldadungeon.net/maps/totk/tiles/sky/6/52_31.jpg",</v>
      </c>
      <c r="H2423" t="str">
        <f>QUOTIENT(ROW(A2423),48)+2&amp;"_"&amp;MOD(ROW(A2423),48)+8</f>
        <v>52_31</v>
      </c>
    </row>
    <row r="2424" spans="1:8" x14ac:dyDescent="0.2">
      <c r="A2424" s="9" t="s">
        <v>51</v>
      </c>
      <c r="C2424" t="str">
        <f>""""&amp;SUBSTITUTE(A2424,"zzz",H2424)&amp;""""&amp;","</f>
        <v>"https://www.zeldadungeon.net/maps/totk/tiles/sky/6/52_32.jpg",</v>
      </c>
      <c r="H2424" t="str">
        <f>QUOTIENT(ROW(A2424),48)+2&amp;"_"&amp;MOD(ROW(A2424),48)+8</f>
        <v>52_32</v>
      </c>
    </row>
    <row r="2425" spans="1:8" x14ac:dyDescent="0.2">
      <c r="A2425" s="9" t="s">
        <v>51</v>
      </c>
      <c r="C2425" t="str">
        <f>""""&amp;SUBSTITUTE(A2425,"zzz",H2425)&amp;""""&amp;","</f>
        <v>"https://www.zeldadungeon.net/maps/totk/tiles/sky/6/52_33.jpg",</v>
      </c>
      <c r="H2425" t="str">
        <f>QUOTIENT(ROW(A2425),48)+2&amp;"_"&amp;MOD(ROW(A2425),48)+8</f>
        <v>52_33</v>
      </c>
    </row>
    <row r="2426" spans="1:8" x14ac:dyDescent="0.2">
      <c r="A2426" s="9" t="s">
        <v>51</v>
      </c>
      <c r="C2426" t="str">
        <f>""""&amp;SUBSTITUTE(A2426,"zzz",H2426)&amp;""""&amp;","</f>
        <v>"https://www.zeldadungeon.net/maps/totk/tiles/sky/6/52_34.jpg",</v>
      </c>
      <c r="H2426" t="str">
        <f>QUOTIENT(ROW(A2426),48)+2&amp;"_"&amp;MOD(ROW(A2426),48)+8</f>
        <v>52_34</v>
      </c>
    </row>
    <row r="2427" spans="1:8" x14ac:dyDescent="0.2">
      <c r="A2427" s="9" t="s">
        <v>51</v>
      </c>
      <c r="C2427" t="str">
        <f>""""&amp;SUBSTITUTE(A2427,"zzz",H2427)&amp;""""&amp;","</f>
        <v>"https://www.zeldadungeon.net/maps/totk/tiles/sky/6/52_35.jpg",</v>
      </c>
      <c r="H2427" t="str">
        <f>QUOTIENT(ROW(A2427),48)+2&amp;"_"&amp;MOD(ROW(A2427),48)+8</f>
        <v>52_35</v>
      </c>
    </row>
    <row r="2428" spans="1:8" x14ac:dyDescent="0.2">
      <c r="A2428" s="9" t="s">
        <v>51</v>
      </c>
      <c r="C2428" t="str">
        <f>""""&amp;SUBSTITUTE(A2428,"zzz",H2428)&amp;""""&amp;","</f>
        <v>"https://www.zeldadungeon.net/maps/totk/tiles/sky/6/52_36.jpg",</v>
      </c>
      <c r="H2428" t="str">
        <f>QUOTIENT(ROW(A2428),48)+2&amp;"_"&amp;MOD(ROW(A2428),48)+8</f>
        <v>52_36</v>
      </c>
    </row>
    <row r="2429" spans="1:8" x14ac:dyDescent="0.2">
      <c r="A2429" s="9" t="s">
        <v>51</v>
      </c>
      <c r="C2429" t="str">
        <f>""""&amp;SUBSTITUTE(A2429,"zzz",H2429)&amp;""""&amp;","</f>
        <v>"https://www.zeldadungeon.net/maps/totk/tiles/sky/6/52_37.jpg",</v>
      </c>
      <c r="H2429" t="str">
        <f>QUOTIENT(ROW(A2429),48)+2&amp;"_"&amp;MOD(ROW(A2429),48)+8</f>
        <v>52_37</v>
      </c>
    </row>
    <row r="2430" spans="1:8" x14ac:dyDescent="0.2">
      <c r="A2430" s="9" t="s">
        <v>51</v>
      </c>
      <c r="C2430" t="str">
        <f>""""&amp;SUBSTITUTE(A2430,"zzz",H2430)&amp;""""&amp;","</f>
        <v>"https://www.zeldadungeon.net/maps/totk/tiles/sky/6/52_38.jpg",</v>
      </c>
      <c r="H2430" t="str">
        <f>QUOTIENT(ROW(A2430),48)+2&amp;"_"&amp;MOD(ROW(A2430),48)+8</f>
        <v>52_38</v>
      </c>
    </row>
    <row r="2431" spans="1:8" x14ac:dyDescent="0.2">
      <c r="A2431" s="9" t="s">
        <v>51</v>
      </c>
      <c r="C2431" t="str">
        <f>""""&amp;SUBSTITUTE(A2431,"zzz",H2431)&amp;""""&amp;","</f>
        <v>"https://www.zeldadungeon.net/maps/totk/tiles/sky/6/52_39.jpg",</v>
      </c>
      <c r="H2431" t="str">
        <f>QUOTIENT(ROW(A2431),48)+2&amp;"_"&amp;MOD(ROW(A2431),48)+8</f>
        <v>52_39</v>
      </c>
    </row>
    <row r="2432" spans="1:8" x14ac:dyDescent="0.2">
      <c r="A2432" s="9" t="s">
        <v>51</v>
      </c>
      <c r="C2432" t="str">
        <f>""""&amp;SUBSTITUTE(A2432,"zzz",H2432)&amp;""""&amp;","</f>
        <v>"https://www.zeldadungeon.net/maps/totk/tiles/sky/6/52_40.jpg",</v>
      </c>
      <c r="H2432" t="str">
        <f>QUOTIENT(ROW(A2432),48)+2&amp;"_"&amp;MOD(ROW(A2432),48)+8</f>
        <v>52_40</v>
      </c>
    </row>
    <row r="2433" spans="1:8" x14ac:dyDescent="0.2">
      <c r="A2433" s="9" t="s">
        <v>51</v>
      </c>
      <c r="C2433" t="str">
        <f>""""&amp;SUBSTITUTE(A2433,"zzz",H2433)&amp;""""&amp;","</f>
        <v>"https://www.zeldadungeon.net/maps/totk/tiles/sky/6/52_41.jpg",</v>
      </c>
      <c r="H2433" t="str">
        <f>QUOTIENT(ROW(A2433),48)+2&amp;"_"&amp;MOD(ROW(A2433),48)+8</f>
        <v>52_41</v>
      </c>
    </row>
    <row r="2434" spans="1:8" x14ac:dyDescent="0.2">
      <c r="A2434" s="9" t="s">
        <v>51</v>
      </c>
      <c r="C2434" t="str">
        <f>""""&amp;SUBSTITUTE(A2434,"zzz",H2434)&amp;""""&amp;","</f>
        <v>"https://www.zeldadungeon.net/maps/totk/tiles/sky/6/52_42.jpg",</v>
      </c>
      <c r="H2434" t="str">
        <f>QUOTIENT(ROW(A2434),48)+2&amp;"_"&amp;MOD(ROW(A2434),48)+8</f>
        <v>52_42</v>
      </c>
    </row>
    <row r="2435" spans="1:8" x14ac:dyDescent="0.2">
      <c r="A2435" s="9" t="s">
        <v>51</v>
      </c>
      <c r="C2435" t="str">
        <f>""""&amp;SUBSTITUTE(A2435,"zzz",H2435)&amp;""""&amp;","</f>
        <v>"https://www.zeldadungeon.net/maps/totk/tiles/sky/6/52_43.jpg",</v>
      </c>
      <c r="H2435" t="str">
        <f>QUOTIENT(ROW(A2435),48)+2&amp;"_"&amp;MOD(ROW(A2435),48)+8</f>
        <v>52_43</v>
      </c>
    </row>
    <row r="2436" spans="1:8" x14ac:dyDescent="0.2">
      <c r="A2436" s="9" t="s">
        <v>51</v>
      </c>
      <c r="C2436" t="str">
        <f>""""&amp;SUBSTITUTE(A2436,"zzz",H2436)&amp;""""&amp;","</f>
        <v>"https://www.zeldadungeon.net/maps/totk/tiles/sky/6/52_44.jpg",</v>
      </c>
      <c r="H2436" t="str">
        <f>QUOTIENT(ROW(A2436),48)+2&amp;"_"&amp;MOD(ROW(A2436),48)+8</f>
        <v>52_44</v>
      </c>
    </row>
    <row r="2437" spans="1:8" x14ac:dyDescent="0.2">
      <c r="A2437" s="9" t="s">
        <v>51</v>
      </c>
      <c r="C2437" t="str">
        <f>""""&amp;SUBSTITUTE(A2437,"zzz",H2437)&amp;""""&amp;","</f>
        <v>"https://www.zeldadungeon.net/maps/totk/tiles/sky/6/52_45.jpg",</v>
      </c>
      <c r="H2437" t="str">
        <f>QUOTIENT(ROW(A2437),48)+2&amp;"_"&amp;MOD(ROW(A2437),48)+8</f>
        <v>52_45</v>
      </c>
    </row>
    <row r="2438" spans="1:8" x14ac:dyDescent="0.2">
      <c r="A2438" s="9" t="s">
        <v>51</v>
      </c>
      <c r="C2438" t="str">
        <f>""""&amp;SUBSTITUTE(A2438,"zzz",H2438)&amp;""""&amp;","</f>
        <v>"https://www.zeldadungeon.net/maps/totk/tiles/sky/6/52_46.jpg",</v>
      </c>
      <c r="H2438" t="str">
        <f>QUOTIENT(ROW(A2438),48)+2&amp;"_"&amp;MOD(ROW(A2438),48)+8</f>
        <v>52_46</v>
      </c>
    </row>
    <row r="2439" spans="1:8" x14ac:dyDescent="0.2">
      <c r="A2439" s="9" t="s">
        <v>51</v>
      </c>
      <c r="C2439" t="str">
        <f>""""&amp;SUBSTITUTE(A2439,"zzz",H2439)&amp;""""&amp;","</f>
        <v>"https://www.zeldadungeon.net/maps/totk/tiles/sky/6/52_47.jpg",</v>
      </c>
      <c r="H2439" t="str">
        <f>QUOTIENT(ROW(A2439),48)+2&amp;"_"&amp;MOD(ROW(A2439),48)+8</f>
        <v>52_47</v>
      </c>
    </row>
    <row r="2440" spans="1:8" x14ac:dyDescent="0.2">
      <c r="A2440" s="9" t="s">
        <v>51</v>
      </c>
      <c r="C2440" t="str">
        <f>""""&amp;SUBSTITUTE(A2440,"zzz",H2440)&amp;""""&amp;","</f>
        <v>"https://www.zeldadungeon.net/maps/totk/tiles/sky/6/52_48.jpg",</v>
      </c>
      <c r="H2440" t="str">
        <f>QUOTIENT(ROW(A2440),48)+2&amp;"_"&amp;MOD(ROW(A2440),48)+8</f>
        <v>52_48</v>
      </c>
    </row>
    <row r="2441" spans="1:8" x14ac:dyDescent="0.2">
      <c r="A2441" s="9" t="s">
        <v>51</v>
      </c>
      <c r="C2441" t="str">
        <f>""""&amp;SUBSTITUTE(A2441,"zzz",H2441)&amp;""""&amp;","</f>
        <v>"https://www.zeldadungeon.net/maps/totk/tiles/sky/6/52_49.jpg",</v>
      </c>
      <c r="H2441" t="str">
        <f>QUOTIENT(ROW(A2441),48)+2&amp;"_"&amp;MOD(ROW(A2441),48)+8</f>
        <v>52_49</v>
      </c>
    </row>
    <row r="2442" spans="1:8" x14ac:dyDescent="0.2">
      <c r="A2442" s="9" t="s">
        <v>51</v>
      </c>
      <c r="C2442" t="str">
        <f>""""&amp;SUBSTITUTE(A2442,"zzz",H2442)&amp;""""&amp;","</f>
        <v>"https://www.zeldadungeon.net/maps/totk/tiles/sky/6/52_50.jpg",</v>
      </c>
      <c r="H2442" t="str">
        <f>QUOTIENT(ROW(A2442),48)+2&amp;"_"&amp;MOD(ROW(A2442),48)+8</f>
        <v>52_50</v>
      </c>
    </row>
    <row r="2443" spans="1:8" x14ac:dyDescent="0.2">
      <c r="A2443" s="9" t="s">
        <v>51</v>
      </c>
      <c r="C2443" t="str">
        <f>""""&amp;SUBSTITUTE(A2443,"zzz",H2443)&amp;""""&amp;","</f>
        <v>"https://www.zeldadungeon.net/maps/totk/tiles/sky/6/52_51.jpg",</v>
      </c>
      <c r="H2443" t="str">
        <f>QUOTIENT(ROW(A2443),48)+2&amp;"_"&amp;MOD(ROW(A2443),48)+8</f>
        <v>52_51</v>
      </c>
    </row>
    <row r="2444" spans="1:8" x14ac:dyDescent="0.2">
      <c r="A2444" s="9" t="s">
        <v>51</v>
      </c>
      <c r="C2444" t="str">
        <f>""""&amp;SUBSTITUTE(A2444,"zzz",H2444)&amp;""""&amp;","</f>
        <v>"https://www.zeldadungeon.net/maps/totk/tiles/sky/6/52_52.jpg",</v>
      </c>
      <c r="H2444" t="str">
        <f>QUOTIENT(ROW(A2444),48)+2&amp;"_"&amp;MOD(ROW(A2444),48)+8</f>
        <v>52_52</v>
      </c>
    </row>
    <row r="2445" spans="1:8" x14ac:dyDescent="0.2">
      <c r="A2445" s="9" t="s">
        <v>51</v>
      </c>
      <c r="C2445" t="str">
        <f>""""&amp;SUBSTITUTE(A2445,"zzz",H2445)&amp;""""&amp;","</f>
        <v>"https://www.zeldadungeon.net/maps/totk/tiles/sky/6/52_53.jpg",</v>
      </c>
      <c r="H2445" t="str">
        <f>QUOTIENT(ROW(A2445),48)+2&amp;"_"&amp;MOD(ROW(A2445),48)+8</f>
        <v>52_53</v>
      </c>
    </row>
    <row r="2446" spans="1:8" x14ac:dyDescent="0.2">
      <c r="A2446" s="9" t="s">
        <v>51</v>
      </c>
      <c r="C2446" t="str">
        <f>""""&amp;SUBSTITUTE(A2446,"zzz",H2446)&amp;""""&amp;","</f>
        <v>"https://www.zeldadungeon.net/maps/totk/tiles/sky/6/52_54.jpg",</v>
      </c>
      <c r="H2446" t="str">
        <f>QUOTIENT(ROW(A2446),48)+2&amp;"_"&amp;MOD(ROW(A2446),48)+8</f>
        <v>52_54</v>
      </c>
    </row>
    <row r="2447" spans="1:8" x14ac:dyDescent="0.2">
      <c r="A2447" s="9" t="s">
        <v>51</v>
      </c>
      <c r="C2447" t="str">
        <f>""""&amp;SUBSTITUTE(A2447,"zzz",H2447)&amp;""""&amp;","</f>
        <v>"https://www.zeldadungeon.net/maps/totk/tiles/sky/6/52_55.jpg",</v>
      </c>
      <c r="H2447" t="str">
        <f>QUOTIENT(ROW(A2447),48)+2&amp;"_"&amp;MOD(ROW(A2447),48)+8</f>
        <v>52_55</v>
      </c>
    </row>
    <row r="2448" spans="1:8" x14ac:dyDescent="0.2">
      <c r="A2448" s="9" t="s">
        <v>51</v>
      </c>
      <c r="C2448" t="str">
        <f>""""&amp;SUBSTITUTE(A2448,"zzz",H2448)&amp;""""&amp;","</f>
        <v>"https://www.zeldadungeon.net/maps/totk/tiles/sky/6/53_8.jpg",</v>
      </c>
      <c r="H2448" t="str">
        <f>QUOTIENT(ROW(A2448),48)+2&amp;"_"&amp;MOD(ROW(A2448),48)+8</f>
        <v>53_8</v>
      </c>
    </row>
    <row r="2449" spans="1:8" x14ac:dyDescent="0.2">
      <c r="A2449" s="9" t="s">
        <v>51</v>
      </c>
      <c r="C2449" t="str">
        <f>""""&amp;SUBSTITUTE(A2449,"zzz",H2449)&amp;""""&amp;","</f>
        <v>"https://www.zeldadungeon.net/maps/totk/tiles/sky/6/53_9.jpg",</v>
      </c>
      <c r="H2449" t="str">
        <f>QUOTIENT(ROW(A2449),48)+2&amp;"_"&amp;MOD(ROW(A2449),48)+8</f>
        <v>53_9</v>
      </c>
    </row>
    <row r="2450" spans="1:8" x14ac:dyDescent="0.2">
      <c r="A2450" s="9" t="s">
        <v>51</v>
      </c>
      <c r="C2450" t="str">
        <f>""""&amp;SUBSTITUTE(A2450,"zzz",H2450)&amp;""""&amp;","</f>
        <v>"https://www.zeldadungeon.net/maps/totk/tiles/sky/6/53_10.jpg",</v>
      </c>
      <c r="H2450" t="str">
        <f>QUOTIENT(ROW(A2450),48)+2&amp;"_"&amp;MOD(ROW(A2450),48)+8</f>
        <v>53_10</v>
      </c>
    </row>
    <row r="2451" spans="1:8" x14ac:dyDescent="0.2">
      <c r="A2451" s="9" t="s">
        <v>51</v>
      </c>
      <c r="C2451" t="str">
        <f>""""&amp;SUBSTITUTE(A2451,"zzz",H2451)&amp;""""&amp;","</f>
        <v>"https://www.zeldadungeon.net/maps/totk/tiles/sky/6/53_11.jpg",</v>
      </c>
      <c r="H2451" t="str">
        <f>QUOTIENT(ROW(A2451),48)+2&amp;"_"&amp;MOD(ROW(A2451),48)+8</f>
        <v>53_11</v>
      </c>
    </row>
    <row r="2452" spans="1:8" x14ac:dyDescent="0.2">
      <c r="A2452" s="9" t="s">
        <v>51</v>
      </c>
      <c r="C2452" t="str">
        <f>""""&amp;SUBSTITUTE(A2452,"zzz",H2452)&amp;""""&amp;","</f>
        <v>"https://www.zeldadungeon.net/maps/totk/tiles/sky/6/53_12.jpg",</v>
      </c>
      <c r="H2452" t="str">
        <f>QUOTIENT(ROW(A2452),48)+2&amp;"_"&amp;MOD(ROW(A2452),48)+8</f>
        <v>53_12</v>
      </c>
    </row>
    <row r="2453" spans="1:8" x14ac:dyDescent="0.2">
      <c r="A2453" s="9" t="s">
        <v>51</v>
      </c>
      <c r="C2453" t="str">
        <f>""""&amp;SUBSTITUTE(A2453,"zzz",H2453)&amp;""""&amp;","</f>
        <v>"https://www.zeldadungeon.net/maps/totk/tiles/sky/6/53_13.jpg",</v>
      </c>
      <c r="H2453" t="str">
        <f>QUOTIENT(ROW(A2453),48)+2&amp;"_"&amp;MOD(ROW(A2453),48)+8</f>
        <v>53_13</v>
      </c>
    </row>
    <row r="2454" spans="1:8" x14ac:dyDescent="0.2">
      <c r="A2454" s="9" t="s">
        <v>51</v>
      </c>
      <c r="C2454" t="str">
        <f>""""&amp;SUBSTITUTE(A2454,"zzz",H2454)&amp;""""&amp;","</f>
        <v>"https://www.zeldadungeon.net/maps/totk/tiles/sky/6/53_14.jpg",</v>
      </c>
      <c r="H2454" t="str">
        <f>QUOTIENT(ROW(A2454),48)+2&amp;"_"&amp;MOD(ROW(A2454),48)+8</f>
        <v>53_14</v>
      </c>
    </row>
    <row r="2455" spans="1:8" x14ac:dyDescent="0.2">
      <c r="A2455" s="9" t="s">
        <v>51</v>
      </c>
      <c r="C2455" t="str">
        <f>""""&amp;SUBSTITUTE(A2455,"zzz",H2455)&amp;""""&amp;","</f>
        <v>"https://www.zeldadungeon.net/maps/totk/tiles/sky/6/53_15.jpg",</v>
      </c>
      <c r="H2455" t="str">
        <f>QUOTIENT(ROW(A2455),48)+2&amp;"_"&amp;MOD(ROW(A2455),48)+8</f>
        <v>53_15</v>
      </c>
    </row>
    <row r="2456" spans="1:8" x14ac:dyDescent="0.2">
      <c r="A2456" s="9" t="s">
        <v>51</v>
      </c>
      <c r="C2456" t="str">
        <f>""""&amp;SUBSTITUTE(A2456,"zzz",H2456)&amp;""""&amp;","</f>
        <v>"https://www.zeldadungeon.net/maps/totk/tiles/sky/6/53_16.jpg",</v>
      </c>
      <c r="H2456" t="str">
        <f>QUOTIENT(ROW(A2456),48)+2&amp;"_"&amp;MOD(ROW(A2456),48)+8</f>
        <v>53_16</v>
      </c>
    </row>
    <row r="2457" spans="1:8" x14ac:dyDescent="0.2">
      <c r="A2457" s="9" t="s">
        <v>51</v>
      </c>
      <c r="C2457" t="str">
        <f>""""&amp;SUBSTITUTE(A2457,"zzz",H2457)&amp;""""&amp;","</f>
        <v>"https://www.zeldadungeon.net/maps/totk/tiles/sky/6/53_17.jpg",</v>
      </c>
      <c r="H2457" t="str">
        <f>QUOTIENT(ROW(A2457),48)+2&amp;"_"&amp;MOD(ROW(A2457),48)+8</f>
        <v>53_17</v>
      </c>
    </row>
    <row r="2458" spans="1:8" x14ac:dyDescent="0.2">
      <c r="A2458" s="9" t="s">
        <v>51</v>
      </c>
      <c r="C2458" t="str">
        <f>""""&amp;SUBSTITUTE(A2458,"zzz",H2458)&amp;""""&amp;","</f>
        <v>"https://www.zeldadungeon.net/maps/totk/tiles/sky/6/53_18.jpg",</v>
      </c>
      <c r="H2458" t="str">
        <f>QUOTIENT(ROW(A2458),48)+2&amp;"_"&amp;MOD(ROW(A2458),48)+8</f>
        <v>53_18</v>
      </c>
    </row>
    <row r="2459" spans="1:8" x14ac:dyDescent="0.2">
      <c r="A2459" s="9" t="s">
        <v>51</v>
      </c>
      <c r="C2459" t="str">
        <f>""""&amp;SUBSTITUTE(A2459,"zzz",H2459)&amp;""""&amp;","</f>
        <v>"https://www.zeldadungeon.net/maps/totk/tiles/sky/6/53_19.jpg",</v>
      </c>
      <c r="H2459" t="str">
        <f>QUOTIENT(ROW(A2459),48)+2&amp;"_"&amp;MOD(ROW(A2459),48)+8</f>
        <v>53_19</v>
      </c>
    </row>
    <row r="2460" spans="1:8" x14ac:dyDescent="0.2">
      <c r="A2460" s="9" t="s">
        <v>51</v>
      </c>
      <c r="C2460" t="str">
        <f>""""&amp;SUBSTITUTE(A2460,"zzz",H2460)&amp;""""&amp;","</f>
        <v>"https://www.zeldadungeon.net/maps/totk/tiles/sky/6/53_20.jpg",</v>
      </c>
      <c r="H2460" t="str">
        <f>QUOTIENT(ROW(A2460),48)+2&amp;"_"&amp;MOD(ROW(A2460),48)+8</f>
        <v>53_20</v>
      </c>
    </row>
    <row r="2461" spans="1:8" x14ac:dyDescent="0.2">
      <c r="A2461" s="9" t="s">
        <v>51</v>
      </c>
      <c r="C2461" t="str">
        <f>""""&amp;SUBSTITUTE(A2461,"zzz",H2461)&amp;""""&amp;","</f>
        <v>"https://www.zeldadungeon.net/maps/totk/tiles/sky/6/53_21.jpg",</v>
      </c>
      <c r="H2461" t="str">
        <f>QUOTIENT(ROW(A2461),48)+2&amp;"_"&amp;MOD(ROW(A2461),48)+8</f>
        <v>53_21</v>
      </c>
    </row>
    <row r="2462" spans="1:8" x14ac:dyDescent="0.2">
      <c r="A2462" s="9" t="s">
        <v>51</v>
      </c>
      <c r="C2462" t="str">
        <f>""""&amp;SUBSTITUTE(A2462,"zzz",H2462)&amp;""""&amp;","</f>
        <v>"https://www.zeldadungeon.net/maps/totk/tiles/sky/6/53_22.jpg",</v>
      </c>
      <c r="H2462" t="str">
        <f>QUOTIENT(ROW(A2462),48)+2&amp;"_"&amp;MOD(ROW(A2462),48)+8</f>
        <v>53_22</v>
      </c>
    </row>
    <row r="2463" spans="1:8" x14ac:dyDescent="0.2">
      <c r="A2463" s="9" t="s">
        <v>51</v>
      </c>
      <c r="C2463" t="str">
        <f>""""&amp;SUBSTITUTE(A2463,"zzz",H2463)&amp;""""&amp;","</f>
        <v>"https://www.zeldadungeon.net/maps/totk/tiles/sky/6/53_23.jpg",</v>
      </c>
      <c r="H2463" t="str">
        <f>QUOTIENT(ROW(A2463),48)+2&amp;"_"&amp;MOD(ROW(A2463),48)+8</f>
        <v>53_23</v>
      </c>
    </row>
    <row r="2464" spans="1:8" x14ac:dyDescent="0.2">
      <c r="A2464" s="9" t="s">
        <v>51</v>
      </c>
      <c r="C2464" t="str">
        <f>""""&amp;SUBSTITUTE(A2464,"zzz",H2464)&amp;""""&amp;","</f>
        <v>"https://www.zeldadungeon.net/maps/totk/tiles/sky/6/53_24.jpg",</v>
      </c>
      <c r="H2464" t="str">
        <f>QUOTIENT(ROW(A2464),48)+2&amp;"_"&amp;MOD(ROW(A2464),48)+8</f>
        <v>53_24</v>
      </c>
    </row>
    <row r="2465" spans="1:8" x14ac:dyDescent="0.2">
      <c r="A2465" s="9" t="s">
        <v>51</v>
      </c>
      <c r="C2465" t="str">
        <f>""""&amp;SUBSTITUTE(A2465,"zzz",H2465)&amp;""""&amp;","</f>
        <v>"https://www.zeldadungeon.net/maps/totk/tiles/sky/6/53_25.jpg",</v>
      </c>
      <c r="H2465" t="str">
        <f>QUOTIENT(ROW(A2465),48)+2&amp;"_"&amp;MOD(ROW(A2465),48)+8</f>
        <v>53_25</v>
      </c>
    </row>
    <row r="2466" spans="1:8" x14ac:dyDescent="0.2">
      <c r="A2466" s="9" t="s">
        <v>51</v>
      </c>
      <c r="C2466" t="str">
        <f>""""&amp;SUBSTITUTE(A2466,"zzz",H2466)&amp;""""&amp;","</f>
        <v>"https://www.zeldadungeon.net/maps/totk/tiles/sky/6/53_26.jpg",</v>
      </c>
      <c r="H2466" t="str">
        <f>QUOTIENT(ROW(A2466),48)+2&amp;"_"&amp;MOD(ROW(A2466),48)+8</f>
        <v>53_26</v>
      </c>
    </row>
    <row r="2467" spans="1:8" x14ac:dyDescent="0.2">
      <c r="A2467" s="9" t="s">
        <v>51</v>
      </c>
      <c r="C2467" t="str">
        <f>""""&amp;SUBSTITUTE(A2467,"zzz",H2467)&amp;""""&amp;","</f>
        <v>"https://www.zeldadungeon.net/maps/totk/tiles/sky/6/53_27.jpg",</v>
      </c>
      <c r="H2467" t="str">
        <f>QUOTIENT(ROW(A2467),48)+2&amp;"_"&amp;MOD(ROW(A2467),48)+8</f>
        <v>53_27</v>
      </c>
    </row>
    <row r="2468" spans="1:8" x14ac:dyDescent="0.2">
      <c r="A2468" s="9" t="s">
        <v>51</v>
      </c>
      <c r="C2468" t="str">
        <f>""""&amp;SUBSTITUTE(A2468,"zzz",H2468)&amp;""""&amp;","</f>
        <v>"https://www.zeldadungeon.net/maps/totk/tiles/sky/6/53_28.jpg",</v>
      </c>
      <c r="H2468" t="str">
        <f>QUOTIENT(ROW(A2468),48)+2&amp;"_"&amp;MOD(ROW(A2468),48)+8</f>
        <v>53_28</v>
      </c>
    </row>
    <row r="2469" spans="1:8" x14ac:dyDescent="0.2">
      <c r="A2469" s="9" t="s">
        <v>51</v>
      </c>
      <c r="C2469" t="str">
        <f>""""&amp;SUBSTITUTE(A2469,"zzz",H2469)&amp;""""&amp;","</f>
        <v>"https://www.zeldadungeon.net/maps/totk/tiles/sky/6/53_29.jpg",</v>
      </c>
      <c r="H2469" t="str">
        <f>QUOTIENT(ROW(A2469),48)+2&amp;"_"&amp;MOD(ROW(A2469),48)+8</f>
        <v>53_29</v>
      </c>
    </row>
    <row r="2470" spans="1:8" x14ac:dyDescent="0.2">
      <c r="A2470" s="9" t="s">
        <v>51</v>
      </c>
      <c r="C2470" t="str">
        <f>""""&amp;SUBSTITUTE(A2470,"zzz",H2470)&amp;""""&amp;","</f>
        <v>"https://www.zeldadungeon.net/maps/totk/tiles/sky/6/53_30.jpg",</v>
      </c>
      <c r="H2470" t="str">
        <f>QUOTIENT(ROW(A2470),48)+2&amp;"_"&amp;MOD(ROW(A2470),48)+8</f>
        <v>53_30</v>
      </c>
    </row>
    <row r="2471" spans="1:8" x14ac:dyDescent="0.2">
      <c r="A2471" s="9" t="s">
        <v>51</v>
      </c>
      <c r="C2471" t="str">
        <f>""""&amp;SUBSTITUTE(A2471,"zzz",H2471)&amp;""""&amp;","</f>
        <v>"https://www.zeldadungeon.net/maps/totk/tiles/sky/6/53_31.jpg",</v>
      </c>
      <c r="H2471" t="str">
        <f>QUOTIENT(ROW(A2471),48)+2&amp;"_"&amp;MOD(ROW(A2471),48)+8</f>
        <v>53_31</v>
      </c>
    </row>
    <row r="2472" spans="1:8" x14ac:dyDescent="0.2">
      <c r="A2472" s="9" t="s">
        <v>51</v>
      </c>
      <c r="C2472" t="str">
        <f>""""&amp;SUBSTITUTE(A2472,"zzz",H2472)&amp;""""&amp;","</f>
        <v>"https://www.zeldadungeon.net/maps/totk/tiles/sky/6/53_32.jpg",</v>
      </c>
      <c r="H2472" t="str">
        <f>QUOTIENT(ROW(A2472),48)+2&amp;"_"&amp;MOD(ROW(A2472),48)+8</f>
        <v>53_32</v>
      </c>
    </row>
    <row r="2473" spans="1:8" x14ac:dyDescent="0.2">
      <c r="A2473" s="9" t="s">
        <v>51</v>
      </c>
      <c r="C2473" t="str">
        <f>""""&amp;SUBSTITUTE(A2473,"zzz",H2473)&amp;""""&amp;","</f>
        <v>"https://www.zeldadungeon.net/maps/totk/tiles/sky/6/53_33.jpg",</v>
      </c>
      <c r="H2473" t="str">
        <f>QUOTIENT(ROW(A2473),48)+2&amp;"_"&amp;MOD(ROW(A2473),48)+8</f>
        <v>53_33</v>
      </c>
    </row>
    <row r="2474" spans="1:8" x14ac:dyDescent="0.2">
      <c r="A2474" s="9" t="s">
        <v>51</v>
      </c>
      <c r="C2474" t="str">
        <f>""""&amp;SUBSTITUTE(A2474,"zzz",H2474)&amp;""""&amp;","</f>
        <v>"https://www.zeldadungeon.net/maps/totk/tiles/sky/6/53_34.jpg",</v>
      </c>
      <c r="H2474" t="str">
        <f>QUOTIENT(ROW(A2474),48)+2&amp;"_"&amp;MOD(ROW(A2474),48)+8</f>
        <v>53_34</v>
      </c>
    </row>
    <row r="2475" spans="1:8" x14ac:dyDescent="0.2">
      <c r="A2475" s="9" t="s">
        <v>51</v>
      </c>
      <c r="C2475" t="str">
        <f>""""&amp;SUBSTITUTE(A2475,"zzz",H2475)&amp;""""&amp;","</f>
        <v>"https://www.zeldadungeon.net/maps/totk/tiles/sky/6/53_35.jpg",</v>
      </c>
      <c r="H2475" t="str">
        <f>QUOTIENT(ROW(A2475),48)+2&amp;"_"&amp;MOD(ROW(A2475),48)+8</f>
        <v>53_35</v>
      </c>
    </row>
    <row r="2476" spans="1:8" x14ac:dyDescent="0.2">
      <c r="A2476" s="9" t="s">
        <v>51</v>
      </c>
      <c r="C2476" t="str">
        <f>""""&amp;SUBSTITUTE(A2476,"zzz",H2476)&amp;""""&amp;","</f>
        <v>"https://www.zeldadungeon.net/maps/totk/tiles/sky/6/53_36.jpg",</v>
      </c>
      <c r="H2476" t="str">
        <f>QUOTIENT(ROW(A2476),48)+2&amp;"_"&amp;MOD(ROW(A2476),48)+8</f>
        <v>53_36</v>
      </c>
    </row>
    <row r="2477" spans="1:8" x14ac:dyDescent="0.2">
      <c r="A2477" s="9" t="s">
        <v>51</v>
      </c>
      <c r="C2477" t="str">
        <f>""""&amp;SUBSTITUTE(A2477,"zzz",H2477)&amp;""""&amp;","</f>
        <v>"https://www.zeldadungeon.net/maps/totk/tiles/sky/6/53_37.jpg",</v>
      </c>
      <c r="H2477" t="str">
        <f>QUOTIENT(ROW(A2477),48)+2&amp;"_"&amp;MOD(ROW(A2477),48)+8</f>
        <v>53_37</v>
      </c>
    </row>
    <row r="2478" spans="1:8" x14ac:dyDescent="0.2">
      <c r="A2478" s="9" t="s">
        <v>51</v>
      </c>
      <c r="C2478" t="str">
        <f>""""&amp;SUBSTITUTE(A2478,"zzz",H2478)&amp;""""&amp;","</f>
        <v>"https://www.zeldadungeon.net/maps/totk/tiles/sky/6/53_38.jpg",</v>
      </c>
      <c r="H2478" t="str">
        <f>QUOTIENT(ROW(A2478),48)+2&amp;"_"&amp;MOD(ROW(A2478),48)+8</f>
        <v>53_38</v>
      </c>
    </row>
    <row r="2479" spans="1:8" x14ac:dyDescent="0.2">
      <c r="A2479" s="9" t="s">
        <v>51</v>
      </c>
      <c r="C2479" t="str">
        <f>""""&amp;SUBSTITUTE(A2479,"zzz",H2479)&amp;""""&amp;","</f>
        <v>"https://www.zeldadungeon.net/maps/totk/tiles/sky/6/53_39.jpg",</v>
      </c>
      <c r="H2479" t="str">
        <f>QUOTIENT(ROW(A2479),48)+2&amp;"_"&amp;MOD(ROW(A2479),48)+8</f>
        <v>53_39</v>
      </c>
    </row>
    <row r="2480" spans="1:8" x14ac:dyDescent="0.2">
      <c r="A2480" s="9" t="s">
        <v>51</v>
      </c>
      <c r="C2480" t="str">
        <f>""""&amp;SUBSTITUTE(A2480,"zzz",H2480)&amp;""""&amp;","</f>
        <v>"https://www.zeldadungeon.net/maps/totk/tiles/sky/6/53_40.jpg",</v>
      </c>
      <c r="H2480" t="str">
        <f>QUOTIENT(ROW(A2480),48)+2&amp;"_"&amp;MOD(ROW(A2480),48)+8</f>
        <v>53_40</v>
      </c>
    </row>
    <row r="2481" spans="1:8" x14ac:dyDescent="0.2">
      <c r="A2481" s="9" t="s">
        <v>51</v>
      </c>
      <c r="C2481" t="str">
        <f>""""&amp;SUBSTITUTE(A2481,"zzz",H2481)&amp;""""&amp;","</f>
        <v>"https://www.zeldadungeon.net/maps/totk/tiles/sky/6/53_41.jpg",</v>
      </c>
      <c r="H2481" t="str">
        <f>QUOTIENT(ROW(A2481),48)+2&amp;"_"&amp;MOD(ROW(A2481),48)+8</f>
        <v>53_41</v>
      </c>
    </row>
    <row r="2482" spans="1:8" x14ac:dyDescent="0.2">
      <c r="A2482" s="9" t="s">
        <v>51</v>
      </c>
      <c r="C2482" t="str">
        <f>""""&amp;SUBSTITUTE(A2482,"zzz",H2482)&amp;""""&amp;","</f>
        <v>"https://www.zeldadungeon.net/maps/totk/tiles/sky/6/53_42.jpg",</v>
      </c>
      <c r="H2482" t="str">
        <f>QUOTIENT(ROW(A2482),48)+2&amp;"_"&amp;MOD(ROW(A2482),48)+8</f>
        <v>53_42</v>
      </c>
    </row>
    <row r="2483" spans="1:8" x14ac:dyDescent="0.2">
      <c r="A2483" s="9" t="s">
        <v>51</v>
      </c>
      <c r="C2483" t="str">
        <f>""""&amp;SUBSTITUTE(A2483,"zzz",H2483)&amp;""""&amp;","</f>
        <v>"https://www.zeldadungeon.net/maps/totk/tiles/sky/6/53_43.jpg",</v>
      </c>
      <c r="H2483" t="str">
        <f>QUOTIENT(ROW(A2483),48)+2&amp;"_"&amp;MOD(ROW(A2483),48)+8</f>
        <v>53_43</v>
      </c>
    </row>
    <row r="2484" spans="1:8" x14ac:dyDescent="0.2">
      <c r="A2484" s="9" t="s">
        <v>51</v>
      </c>
      <c r="C2484" t="str">
        <f>""""&amp;SUBSTITUTE(A2484,"zzz",H2484)&amp;""""&amp;","</f>
        <v>"https://www.zeldadungeon.net/maps/totk/tiles/sky/6/53_44.jpg",</v>
      </c>
      <c r="H2484" t="str">
        <f>QUOTIENT(ROW(A2484),48)+2&amp;"_"&amp;MOD(ROW(A2484),48)+8</f>
        <v>53_44</v>
      </c>
    </row>
    <row r="2485" spans="1:8" x14ac:dyDescent="0.2">
      <c r="A2485" s="9" t="s">
        <v>51</v>
      </c>
      <c r="C2485" t="str">
        <f>""""&amp;SUBSTITUTE(A2485,"zzz",H2485)&amp;""""&amp;","</f>
        <v>"https://www.zeldadungeon.net/maps/totk/tiles/sky/6/53_45.jpg",</v>
      </c>
      <c r="H2485" t="str">
        <f>QUOTIENT(ROW(A2485),48)+2&amp;"_"&amp;MOD(ROW(A2485),48)+8</f>
        <v>53_45</v>
      </c>
    </row>
    <row r="2486" spans="1:8" x14ac:dyDescent="0.2">
      <c r="A2486" s="9" t="s">
        <v>51</v>
      </c>
      <c r="C2486" t="str">
        <f>""""&amp;SUBSTITUTE(A2486,"zzz",H2486)&amp;""""&amp;","</f>
        <v>"https://www.zeldadungeon.net/maps/totk/tiles/sky/6/53_46.jpg",</v>
      </c>
      <c r="H2486" t="str">
        <f>QUOTIENT(ROW(A2486),48)+2&amp;"_"&amp;MOD(ROW(A2486),48)+8</f>
        <v>53_46</v>
      </c>
    </row>
    <row r="2487" spans="1:8" x14ac:dyDescent="0.2">
      <c r="A2487" s="9" t="s">
        <v>51</v>
      </c>
      <c r="C2487" t="str">
        <f>""""&amp;SUBSTITUTE(A2487,"zzz",H2487)&amp;""""&amp;","</f>
        <v>"https://www.zeldadungeon.net/maps/totk/tiles/sky/6/53_47.jpg",</v>
      </c>
      <c r="H2487" t="str">
        <f>QUOTIENT(ROW(A2487),48)+2&amp;"_"&amp;MOD(ROW(A2487),48)+8</f>
        <v>53_47</v>
      </c>
    </row>
    <row r="2488" spans="1:8" x14ac:dyDescent="0.2">
      <c r="A2488" s="9" t="s">
        <v>51</v>
      </c>
      <c r="C2488" t="str">
        <f>""""&amp;SUBSTITUTE(A2488,"zzz",H2488)&amp;""""&amp;","</f>
        <v>"https://www.zeldadungeon.net/maps/totk/tiles/sky/6/53_48.jpg",</v>
      </c>
      <c r="H2488" t="str">
        <f>QUOTIENT(ROW(A2488),48)+2&amp;"_"&amp;MOD(ROW(A2488),48)+8</f>
        <v>53_48</v>
      </c>
    </row>
    <row r="2489" spans="1:8" x14ac:dyDescent="0.2">
      <c r="A2489" s="9" t="s">
        <v>51</v>
      </c>
      <c r="C2489" t="str">
        <f>""""&amp;SUBSTITUTE(A2489,"zzz",H2489)&amp;""""&amp;","</f>
        <v>"https://www.zeldadungeon.net/maps/totk/tiles/sky/6/53_49.jpg",</v>
      </c>
      <c r="H2489" t="str">
        <f>QUOTIENT(ROW(A2489),48)+2&amp;"_"&amp;MOD(ROW(A2489),48)+8</f>
        <v>53_49</v>
      </c>
    </row>
    <row r="2490" spans="1:8" x14ac:dyDescent="0.2">
      <c r="A2490" s="9" t="s">
        <v>51</v>
      </c>
      <c r="C2490" t="str">
        <f>""""&amp;SUBSTITUTE(A2490,"zzz",H2490)&amp;""""&amp;","</f>
        <v>"https://www.zeldadungeon.net/maps/totk/tiles/sky/6/53_50.jpg",</v>
      </c>
      <c r="H2490" t="str">
        <f>QUOTIENT(ROW(A2490),48)+2&amp;"_"&amp;MOD(ROW(A2490),48)+8</f>
        <v>53_50</v>
      </c>
    </row>
    <row r="2491" spans="1:8" x14ac:dyDescent="0.2">
      <c r="A2491" s="9" t="s">
        <v>51</v>
      </c>
      <c r="C2491" t="str">
        <f>""""&amp;SUBSTITUTE(A2491,"zzz",H2491)&amp;""""&amp;","</f>
        <v>"https://www.zeldadungeon.net/maps/totk/tiles/sky/6/53_51.jpg",</v>
      </c>
      <c r="H2491" t="str">
        <f>QUOTIENT(ROW(A2491),48)+2&amp;"_"&amp;MOD(ROW(A2491),48)+8</f>
        <v>53_51</v>
      </c>
    </row>
    <row r="2492" spans="1:8" x14ac:dyDescent="0.2">
      <c r="A2492" s="9" t="s">
        <v>51</v>
      </c>
      <c r="C2492" t="str">
        <f>""""&amp;SUBSTITUTE(A2492,"zzz",H2492)&amp;""""&amp;","</f>
        <v>"https://www.zeldadungeon.net/maps/totk/tiles/sky/6/53_52.jpg",</v>
      </c>
      <c r="H2492" t="str">
        <f>QUOTIENT(ROW(A2492),48)+2&amp;"_"&amp;MOD(ROW(A2492),48)+8</f>
        <v>53_52</v>
      </c>
    </row>
    <row r="2493" spans="1:8" x14ac:dyDescent="0.2">
      <c r="A2493" s="9" t="s">
        <v>51</v>
      </c>
      <c r="C2493" t="str">
        <f>""""&amp;SUBSTITUTE(A2493,"zzz",H2493)&amp;""""&amp;","</f>
        <v>"https://www.zeldadungeon.net/maps/totk/tiles/sky/6/53_53.jpg",</v>
      </c>
      <c r="H2493" t="str">
        <f>QUOTIENT(ROW(A2493),48)+2&amp;"_"&amp;MOD(ROW(A2493),48)+8</f>
        <v>53_53</v>
      </c>
    </row>
    <row r="2494" spans="1:8" x14ac:dyDescent="0.2">
      <c r="A2494" s="9" t="s">
        <v>51</v>
      </c>
      <c r="C2494" t="str">
        <f>""""&amp;SUBSTITUTE(A2494,"zzz",H2494)&amp;""""&amp;","</f>
        <v>"https://www.zeldadungeon.net/maps/totk/tiles/sky/6/53_54.jpg",</v>
      </c>
      <c r="H2494" t="str">
        <f>QUOTIENT(ROW(A2494),48)+2&amp;"_"&amp;MOD(ROW(A2494),48)+8</f>
        <v>53_54</v>
      </c>
    </row>
    <row r="2495" spans="1:8" x14ac:dyDescent="0.2">
      <c r="A2495" s="9" t="s">
        <v>51</v>
      </c>
      <c r="C2495" t="str">
        <f>""""&amp;SUBSTITUTE(A2495,"zzz",H2495)&amp;""""&amp;","</f>
        <v>"https://www.zeldadungeon.net/maps/totk/tiles/sky/6/53_55.jpg",</v>
      </c>
      <c r="H2495" t="str">
        <f>QUOTIENT(ROW(A2495),48)+2&amp;"_"&amp;MOD(ROW(A2495),48)+8</f>
        <v>53_55</v>
      </c>
    </row>
    <row r="2496" spans="1:8" x14ac:dyDescent="0.2">
      <c r="A2496" s="9" t="s">
        <v>51</v>
      </c>
      <c r="C2496" t="str">
        <f>""""&amp;SUBSTITUTE(A2496,"zzz",H2496)&amp;""""&amp;","</f>
        <v>"https://www.zeldadungeon.net/maps/totk/tiles/sky/6/54_8.jpg",</v>
      </c>
      <c r="H2496" t="str">
        <f>QUOTIENT(ROW(A2496),48)+2&amp;"_"&amp;MOD(ROW(A2496),48)+8</f>
        <v>54_8</v>
      </c>
    </row>
    <row r="2497" spans="1:8" x14ac:dyDescent="0.2">
      <c r="A2497" s="9" t="s">
        <v>51</v>
      </c>
      <c r="C2497" t="str">
        <f>""""&amp;SUBSTITUTE(A2497,"zzz",H2497)&amp;""""&amp;","</f>
        <v>"https://www.zeldadungeon.net/maps/totk/tiles/sky/6/54_9.jpg",</v>
      </c>
      <c r="H2497" t="str">
        <f>QUOTIENT(ROW(A2497),48)+2&amp;"_"&amp;MOD(ROW(A2497),48)+8</f>
        <v>54_9</v>
      </c>
    </row>
    <row r="2498" spans="1:8" x14ac:dyDescent="0.2">
      <c r="A2498" s="9" t="s">
        <v>51</v>
      </c>
      <c r="C2498" t="str">
        <f>""""&amp;SUBSTITUTE(A2498,"zzz",H2498)&amp;""""&amp;","</f>
        <v>"https://www.zeldadungeon.net/maps/totk/tiles/sky/6/54_10.jpg",</v>
      </c>
      <c r="H2498" t="str">
        <f>QUOTIENT(ROW(A2498),48)+2&amp;"_"&amp;MOD(ROW(A2498),48)+8</f>
        <v>54_10</v>
      </c>
    </row>
    <row r="2499" spans="1:8" x14ac:dyDescent="0.2">
      <c r="A2499" s="9" t="s">
        <v>51</v>
      </c>
      <c r="C2499" t="str">
        <f>""""&amp;SUBSTITUTE(A2499,"zzz",H2499)&amp;""""&amp;","</f>
        <v>"https://www.zeldadungeon.net/maps/totk/tiles/sky/6/54_11.jpg",</v>
      </c>
      <c r="H2499" t="str">
        <f>QUOTIENT(ROW(A2499),48)+2&amp;"_"&amp;MOD(ROW(A2499),48)+8</f>
        <v>54_11</v>
      </c>
    </row>
    <row r="2500" spans="1:8" x14ac:dyDescent="0.2">
      <c r="A2500" s="9" t="s">
        <v>51</v>
      </c>
      <c r="C2500" t="str">
        <f>""""&amp;SUBSTITUTE(A2500,"zzz",H2500)&amp;""""&amp;","</f>
        <v>"https://www.zeldadungeon.net/maps/totk/tiles/sky/6/54_12.jpg",</v>
      </c>
      <c r="H2500" t="str">
        <f>QUOTIENT(ROW(A2500),48)+2&amp;"_"&amp;MOD(ROW(A2500),48)+8</f>
        <v>54_12</v>
      </c>
    </row>
    <row r="2501" spans="1:8" x14ac:dyDescent="0.2">
      <c r="A2501" s="9" t="s">
        <v>51</v>
      </c>
      <c r="C2501" t="str">
        <f>""""&amp;SUBSTITUTE(A2501,"zzz",H2501)&amp;""""&amp;","</f>
        <v>"https://www.zeldadungeon.net/maps/totk/tiles/sky/6/54_13.jpg",</v>
      </c>
      <c r="H2501" t="str">
        <f>QUOTIENT(ROW(A2501),48)+2&amp;"_"&amp;MOD(ROW(A2501),48)+8</f>
        <v>54_13</v>
      </c>
    </row>
    <row r="2502" spans="1:8" x14ac:dyDescent="0.2">
      <c r="A2502" s="9" t="s">
        <v>51</v>
      </c>
      <c r="C2502" t="str">
        <f>""""&amp;SUBSTITUTE(A2502,"zzz",H2502)&amp;""""&amp;","</f>
        <v>"https://www.zeldadungeon.net/maps/totk/tiles/sky/6/54_14.jpg",</v>
      </c>
      <c r="H2502" t="str">
        <f>QUOTIENT(ROW(A2502),48)+2&amp;"_"&amp;MOD(ROW(A2502),48)+8</f>
        <v>54_14</v>
      </c>
    </row>
    <row r="2503" spans="1:8" x14ac:dyDescent="0.2">
      <c r="A2503" s="9" t="s">
        <v>51</v>
      </c>
      <c r="C2503" t="str">
        <f>""""&amp;SUBSTITUTE(A2503,"zzz",H2503)&amp;""""&amp;","</f>
        <v>"https://www.zeldadungeon.net/maps/totk/tiles/sky/6/54_15.jpg",</v>
      </c>
      <c r="H2503" t="str">
        <f>QUOTIENT(ROW(A2503),48)+2&amp;"_"&amp;MOD(ROW(A2503),48)+8</f>
        <v>54_15</v>
      </c>
    </row>
    <row r="2504" spans="1:8" x14ac:dyDescent="0.2">
      <c r="A2504" s="9" t="s">
        <v>51</v>
      </c>
      <c r="C2504" t="str">
        <f>""""&amp;SUBSTITUTE(A2504,"zzz",H2504)&amp;""""&amp;","</f>
        <v>"https://www.zeldadungeon.net/maps/totk/tiles/sky/6/54_16.jpg",</v>
      </c>
      <c r="H2504" t="str">
        <f>QUOTIENT(ROW(A2504),48)+2&amp;"_"&amp;MOD(ROW(A2504),48)+8</f>
        <v>54_16</v>
      </c>
    </row>
    <row r="2505" spans="1:8" x14ac:dyDescent="0.2">
      <c r="A2505" s="9" t="s">
        <v>51</v>
      </c>
      <c r="C2505" t="str">
        <f>""""&amp;SUBSTITUTE(A2505,"zzz",H2505)&amp;""""&amp;","</f>
        <v>"https://www.zeldadungeon.net/maps/totk/tiles/sky/6/54_17.jpg",</v>
      </c>
      <c r="H2505" t="str">
        <f>QUOTIENT(ROW(A2505),48)+2&amp;"_"&amp;MOD(ROW(A2505),48)+8</f>
        <v>54_17</v>
      </c>
    </row>
    <row r="2506" spans="1:8" x14ac:dyDescent="0.2">
      <c r="A2506" s="9" t="s">
        <v>51</v>
      </c>
      <c r="C2506" t="str">
        <f>""""&amp;SUBSTITUTE(A2506,"zzz",H2506)&amp;""""&amp;","</f>
        <v>"https://www.zeldadungeon.net/maps/totk/tiles/sky/6/54_18.jpg",</v>
      </c>
      <c r="H2506" t="str">
        <f>QUOTIENT(ROW(A2506),48)+2&amp;"_"&amp;MOD(ROW(A2506),48)+8</f>
        <v>54_18</v>
      </c>
    </row>
    <row r="2507" spans="1:8" x14ac:dyDescent="0.2">
      <c r="A2507" s="9" t="s">
        <v>51</v>
      </c>
      <c r="C2507" t="str">
        <f>""""&amp;SUBSTITUTE(A2507,"zzz",H2507)&amp;""""&amp;","</f>
        <v>"https://www.zeldadungeon.net/maps/totk/tiles/sky/6/54_19.jpg",</v>
      </c>
      <c r="H2507" t="str">
        <f>QUOTIENT(ROW(A2507),48)+2&amp;"_"&amp;MOD(ROW(A2507),48)+8</f>
        <v>54_19</v>
      </c>
    </row>
    <row r="2508" spans="1:8" x14ac:dyDescent="0.2">
      <c r="A2508" s="9" t="s">
        <v>51</v>
      </c>
      <c r="C2508" t="str">
        <f>""""&amp;SUBSTITUTE(A2508,"zzz",H2508)&amp;""""&amp;","</f>
        <v>"https://www.zeldadungeon.net/maps/totk/tiles/sky/6/54_20.jpg",</v>
      </c>
      <c r="H2508" t="str">
        <f>QUOTIENT(ROW(A2508),48)+2&amp;"_"&amp;MOD(ROW(A2508),48)+8</f>
        <v>54_20</v>
      </c>
    </row>
    <row r="2509" spans="1:8" x14ac:dyDescent="0.2">
      <c r="A2509" s="9" t="s">
        <v>51</v>
      </c>
      <c r="C2509" t="str">
        <f>""""&amp;SUBSTITUTE(A2509,"zzz",H2509)&amp;""""&amp;","</f>
        <v>"https://www.zeldadungeon.net/maps/totk/tiles/sky/6/54_21.jpg",</v>
      </c>
      <c r="H2509" t="str">
        <f>QUOTIENT(ROW(A2509),48)+2&amp;"_"&amp;MOD(ROW(A2509),48)+8</f>
        <v>54_21</v>
      </c>
    </row>
    <row r="2510" spans="1:8" x14ac:dyDescent="0.2">
      <c r="A2510" s="9" t="s">
        <v>51</v>
      </c>
      <c r="C2510" t="str">
        <f>""""&amp;SUBSTITUTE(A2510,"zzz",H2510)&amp;""""&amp;","</f>
        <v>"https://www.zeldadungeon.net/maps/totk/tiles/sky/6/54_22.jpg",</v>
      </c>
      <c r="H2510" t="str">
        <f>QUOTIENT(ROW(A2510),48)+2&amp;"_"&amp;MOD(ROW(A2510),48)+8</f>
        <v>54_22</v>
      </c>
    </row>
    <row r="2511" spans="1:8" x14ac:dyDescent="0.2">
      <c r="A2511" s="9" t="s">
        <v>51</v>
      </c>
      <c r="C2511" t="str">
        <f>""""&amp;SUBSTITUTE(A2511,"zzz",H2511)&amp;""""&amp;","</f>
        <v>"https://www.zeldadungeon.net/maps/totk/tiles/sky/6/54_23.jpg",</v>
      </c>
      <c r="H2511" t="str">
        <f>QUOTIENT(ROW(A2511),48)+2&amp;"_"&amp;MOD(ROW(A2511),48)+8</f>
        <v>54_23</v>
      </c>
    </row>
    <row r="2512" spans="1:8" x14ac:dyDescent="0.2">
      <c r="A2512" s="9" t="s">
        <v>51</v>
      </c>
      <c r="C2512" t="str">
        <f>""""&amp;SUBSTITUTE(A2512,"zzz",H2512)&amp;""""&amp;","</f>
        <v>"https://www.zeldadungeon.net/maps/totk/tiles/sky/6/54_24.jpg",</v>
      </c>
      <c r="H2512" t="str">
        <f>QUOTIENT(ROW(A2512),48)+2&amp;"_"&amp;MOD(ROW(A2512),48)+8</f>
        <v>54_24</v>
      </c>
    </row>
    <row r="2513" spans="1:8" x14ac:dyDescent="0.2">
      <c r="A2513" s="9" t="s">
        <v>51</v>
      </c>
      <c r="C2513" t="str">
        <f>""""&amp;SUBSTITUTE(A2513,"zzz",H2513)&amp;""""&amp;","</f>
        <v>"https://www.zeldadungeon.net/maps/totk/tiles/sky/6/54_25.jpg",</v>
      </c>
      <c r="H2513" t="str">
        <f>QUOTIENT(ROW(A2513),48)+2&amp;"_"&amp;MOD(ROW(A2513),48)+8</f>
        <v>54_25</v>
      </c>
    </row>
    <row r="2514" spans="1:8" x14ac:dyDescent="0.2">
      <c r="A2514" s="9" t="s">
        <v>51</v>
      </c>
      <c r="C2514" t="str">
        <f>""""&amp;SUBSTITUTE(A2514,"zzz",H2514)&amp;""""&amp;","</f>
        <v>"https://www.zeldadungeon.net/maps/totk/tiles/sky/6/54_26.jpg",</v>
      </c>
      <c r="H2514" t="str">
        <f>QUOTIENT(ROW(A2514),48)+2&amp;"_"&amp;MOD(ROW(A2514),48)+8</f>
        <v>54_26</v>
      </c>
    </row>
    <row r="2515" spans="1:8" x14ac:dyDescent="0.2">
      <c r="A2515" s="9" t="s">
        <v>51</v>
      </c>
      <c r="C2515" t="str">
        <f>""""&amp;SUBSTITUTE(A2515,"zzz",H2515)&amp;""""&amp;","</f>
        <v>"https://www.zeldadungeon.net/maps/totk/tiles/sky/6/54_27.jpg",</v>
      </c>
      <c r="H2515" t="str">
        <f>QUOTIENT(ROW(A2515),48)+2&amp;"_"&amp;MOD(ROW(A2515),48)+8</f>
        <v>54_27</v>
      </c>
    </row>
    <row r="2516" spans="1:8" x14ac:dyDescent="0.2">
      <c r="A2516" s="9" t="s">
        <v>51</v>
      </c>
      <c r="C2516" t="str">
        <f>""""&amp;SUBSTITUTE(A2516,"zzz",H2516)&amp;""""&amp;","</f>
        <v>"https://www.zeldadungeon.net/maps/totk/tiles/sky/6/54_28.jpg",</v>
      </c>
      <c r="H2516" t="str">
        <f>QUOTIENT(ROW(A2516),48)+2&amp;"_"&amp;MOD(ROW(A2516),48)+8</f>
        <v>54_28</v>
      </c>
    </row>
    <row r="2517" spans="1:8" x14ac:dyDescent="0.2">
      <c r="A2517" s="9" t="s">
        <v>51</v>
      </c>
      <c r="C2517" t="str">
        <f>""""&amp;SUBSTITUTE(A2517,"zzz",H2517)&amp;""""&amp;","</f>
        <v>"https://www.zeldadungeon.net/maps/totk/tiles/sky/6/54_29.jpg",</v>
      </c>
      <c r="H2517" t="str">
        <f>QUOTIENT(ROW(A2517),48)+2&amp;"_"&amp;MOD(ROW(A2517),48)+8</f>
        <v>54_29</v>
      </c>
    </row>
    <row r="2518" spans="1:8" x14ac:dyDescent="0.2">
      <c r="A2518" s="9" t="s">
        <v>51</v>
      </c>
      <c r="C2518" t="str">
        <f>""""&amp;SUBSTITUTE(A2518,"zzz",H2518)&amp;""""&amp;","</f>
        <v>"https://www.zeldadungeon.net/maps/totk/tiles/sky/6/54_30.jpg",</v>
      </c>
      <c r="H2518" t="str">
        <f>QUOTIENT(ROW(A2518),48)+2&amp;"_"&amp;MOD(ROW(A2518),48)+8</f>
        <v>54_30</v>
      </c>
    </row>
    <row r="2519" spans="1:8" x14ac:dyDescent="0.2">
      <c r="A2519" s="9" t="s">
        <v>51</v>
      </c>
      <c r="C2519" t="str">
        <f>""""&amp;SUBSTITUTE(A2519,"zzz",H2519)&amp;""""&amp;","</f>
        <v>"https://www.zeldadungeon.net/maps/totk/tiles/sky/6/54_31.jpg",</v>
      </c>
      <c r="H2519" t="str">
        <f>QUOTIENT(ROW(A2519),48)+2&amp;"_"&amp;MOD(ROW(A2519),48)+8</f>
        <v>54_31</v>
      </c>
    </row>
    <row r="2520" spans="1:8" x14ac:dyDescent="0.2">
      <c r="A2520" s="9" t="s">
        <v>51</v>
      </c>
      <c r="C2520" t="str">
        <f>""""&amp;SUBSTITUTE(A2520,"zzz",H2520)&amp;""""&amp;","</f>
        <v>"https://www.zeldadungeon.net/maps/totk/tiles/sky/6/54_32.jpg",</v>
      </c>
      <c r="H2520" t="str">
        <f>QUOTIENT(ROW(A2520),48)+2&amp;"_"&amp;MOD(ROW(A2520),48)+8</f>
        <v>54_32</v>
      </c>
    </row>
    <row r="2521" spans="1:8" x14ac:dyDescent="0.2">
      <c r="A2521" s="9" t="s">
        <v>51</v>
      </c>
      <c r="C2521" t="str">
        <f>""""&amp;SUBSTITUTE(A2521,"zzz",H2521)&amp;""""&amp;","</f>
        <v>"https://www.zeldadungeon.net/maps/totk/tiles/sky/6/54_33.jpg",</v>
      </c>
      <c r="H2521" t="str">
        <f>QUOTIENT(ROW(A2521),48)+2&amp;"_"&amp;MOD(ROW(A2521),48)+8</f>
        <v>54_33</v>
      </c>
    </row>
    <row r="2522" spans="1:8" x14ac:dyDescent="0.2">
      <c r="A2522" s="9" t="s">
        <v>51</v>
      </c>
      <c r="C2522" t="str">
        <f>""""&amp;SUBSTITUTE(A2522,"zzz",H2522)&amp;""""&amp;","</f>
        <v>"https://www.zeldadungeon.net/maps/totk/tiles/sky/6/54_34.jpg",</v>
      </c>
      <c r="H2522" t="str">
        <f>QUOTIENT(ROW(A2522),48)+2&amp;"_"&amp;MOD(ROW(A2522),48)+8</f>
        <v>54_34</v>
      </c>
    </row>
    <row r="2523" spans="1:8" x14ac:dyDescent="0.2">
      <c r="A2523" s="9" t="s">
        <v>51</v>
      </c>
      <c r="C2523" t="str">
        <f>""""&amp;SUBSTITUTE(A2523,"zzz",H2523)&amp;""""&amp;","</f>
        <v>"https://www.zeldadungeon.net/maps/totk/tiles/sky/6/54_35.jpg",</v>
      </c>
      <c r="H2523" t="str">
        <f>QUOTIENT(ROW(A2523),48)+2&amp;"_"&amp;MOD(ROW(A2523),48)+8</f>
        <v>54_35</v>
      </c>
    </row>
    <row r="2524" spans="1:8" x14ac:dyDescent="0.2">
      <c r="A2524" s="9" t="s">
        <v>51</v>
      </c>
      <c r="C2524" t="str">
        <f>""""&amp;SUBSTITUTE(A2524,"zzz",H2524)&amp;""""&amp;","</f>
        <v>"https://www.zeldadungeon.net/maps/totk/tiles/sky/6/54_36.jpg",</v>
      </c>
      <c r="H2524" t="str">
        <f>QUOTIENT(ROW(A2524),48)+2&amp;"_"&amp;MOD(ROW(A2524),48)+8</f>
        <v>54_36</v>
      </c>
    </row>
    <row r="2525" spans="1:8" x14ac:dyDescent="0.2">
      <c r="A2525" s="9" t="s">
        <v>51</v>
      </c>
      <c r="C2525" t="str">
        <f>""""&amp;SUBSTITUTE(A2525,"zzz",H2525)&amp;""""&amp;","</f>
        <v>"https://www.zeldadungeon.net/maps/totk/tiles/sky/6/54_37.jpg",</v>
      </c>
      <c r="H2525" t="str">
        <f>QUOTIENT(ROW(A2525),48)+2&amp;"_"&amp;MOD(ROW(A2525),48)+8</f>
        <v>54_37</v>
      </c>
    </row>
    <row r="2526" spans="1:8" x14ac:dyDescent="0.2">
      <c r="A2526" s="9" t="s">
        <v>51</v>
      </c>
      <c r="C2526" t="str">
        <f>""""&amp;SUBSTITUTE(A2526,"zzz",H2526)&amp;""""&amp;","</f>
        <v>"https://www.zeldadungeon.net/maps/totk/tiles/sky/6/54_38.jpg",</v>
      </c>
      <c r="H2526" t="str">
        <f>QUOTIENT(ROW(A2526),48)+2&amp;"_"&amp;MOD(ROW(A2526),48)+8</f>
        <v>54_38</v>
      </c>
    </row>
    <row r="2527" spans="1:8" x14ac:dyDescent="0.2">
      <c r="A2527" s="9" t="s">
        <v>51</v>
      </c>
      <c r="C2527" t="str">
        <f>""""&amp;SUBSTITUTE(A2527,"zzz",H2527)&amp;""""&amp;","</f>
        <v>"https://www.zeldadungeon.net/maps/totk/tiles/sky/6/54_39.jpg",</v>
      </c>
      <c r="H2527" t="str">
        <f>QUOTIENT(ROW(A2527),48)+2&amp;"_"&amp;MOD(ROW(A2527),48)+8</f>
        <v>54_39</v>
      </c>
    </row>
    <row r="2528" spans="1:8" x14ac:dyDescent="0.2">
      <c r="A2528" s="9" t="s">
        <v>51</v>
      </c>
      <c r="C2528" t="str">
        <f>""""&amp;SUBSTITUTE(A2528,"zzz",H2528)&amp;""""&amp;","</f>
        <v>"https://www.zeldadungeon.net/maps/totk/tiles/sky/6/54_40.jpg",</v>
      </c>
      <c r="H2528" t="str">
        <f>QUOTIENT(ROW(A2528),48)+2&amp;"_"&amp;MOD(ROW(A2528),48)+8</f>
        <v>54_40</v>
      </c>
    </row>
    <row r="2529" spans="1:8" x14ac:dyDescent="0.2">
      <c r="A2529" s="9" t="s">
        <v>51</v>
      </c>
      <c r="C2529" t="str">
        <f>""""&amp;SUBSTITUTE(A2529,"zzz",H2529)&amp;""""&amp;","</f>
        <v>"https://www.zeldadungeon.net/maps/totk/tiles/sky/6/54_41.jpg",</v>
      </c>
      <c r="H2529" t="str">
        <f>QUOTIENT(ROW(A2529),48)+2&amp;"_"&amp;MOD(ROW(A2529),48)+8</f>
        <v>54_41</v>
      </c>
    </row>
    <row r="2530" spans="1:8" x14ac:dyDescent="0.2">
      <c r="A2530" s="9" t="s">
        <v>51</v>
      </c>
      <c r="C2530" t="str">
        <f>""""&amp;SUBSTITUTE(A2530,"zzz",H2530)&amp;""""&amp;","</f>
        <v>"https://www.zeldadungeon.net/maps/totk/tiles/sky/6/54_42.jpg",</v>
      </c>
      <c r="H2530" t="str">
        <f>QUOTIENT(ROW(A2530),48)+2&amp;"_"&amp;MOD(ROW(A2530),48)+8</f>
        <v>54_42</v>
      </c>
    </row>
    <row r="2531" spans="1:8" x14ac:dyDescent="0.2">
      <c r="A2531" s="9" t="s">
        <v>51</v>
      </c>
      <c r="C2531" t="str">
        <f>""""&amp;SUBSTITUTE(A2531,"zzz",H2531)&amp;""""&amp;","</f>
        <v>"https://www.zeldadungeon.net/maps/totk/tiles/sky/6/54_43.jpg",</v>
      </c>
      <c r="H2531" t="str">
        <f>QUOTIENT(ROW(A2531),48)+2&amp;"_"&amp;MOD(ROW(A2531),48)+8</f>
        <v>54_43</v>
      </c>
    </row>
    <row r="2532" spans="1:8" x14ac:dyDescent="0.2">
      <c r="A2532" s="9" t="s">
        <v>51</v>
      </c>
      <c r="C2532" t="str">
        <f>""""&amp;SUBSTITUTE(A2532,"zzz",H2532)&amp;""""&amp;","</f>
        <v>"https://www.zeldadungeon.net/maps/totk/tiles/sky/6/54_44.jpg",</v>
      </c>
      <c r="H2532" t="str">
        <f>QUOTIENT(ROW(A2532),48)+2&amp;"_"&amp;MOD(ROW(A2532),48)+8</f>
        <v>54_44</v>
      </c>
    </row>
    <row r="2533" spans="1:8" x14ac:dyDescent="0.2">
      <c r="A2533" s="9" t="s">
        <v>51</v>
      </c>
      <c r="C2533" t="str">
        <f>""""&amp;SUBSTITUTE(A2533,"zzz",H2533)&amp;""""&amp;","</f>
        <v>"https://www.zeldadungeon.net/maps/totk/tiles/sky/6/54_45.jpg",</v>
      </c>
      <c r="H2533" t="str">
        <f>QUOTIENT(ROW(A2533),48)+2&amp;"_"&amp;MOD(ROW(A2533),48)+8</f>
        <v>54_45</v>
      </c>
    </row>
    <row r="2534" spans="1:8" x14ac:dyDescent="0.2">
      <c r="A2534" s="9" t="s">
        <v>51</v>
      </c>
      <c r="C2534" t="str">
        <f>""""&amp;SUBSTITUTE(A2534,"zzz",H2534)&amp;""""&amp;","</f>
        <v>"https://www.zeldadungeon.net/maps/totk/tiles/sky/6/54_46.jpg",</v>
      </c>
      <c r="H2534" t="str">
        <f>QUOTIENT(ROW(A2534),48)+2&amp;"_"&amp;MOD(ROW(A2534),48)+8</f>
        <v>54_46</v>
      </c>
    </row>
    <row r="2535" spans="1:8" x14ac:dyDescent="0.2">
      <c r="A2535" s="9" t="s">
        <v>51</v>
      </c>
      <c r="C2535" t="str">
        <f>""""&amp;SUBSTITUTE(A2535,"zzz",H2535)&amp;""""&amp;","</f>
        <v>"https://www.zeldadungeon.net/maps/totk/tiles/sky/6/54_47.jpg",</v>
      </c>
      <c r="H2535" t="str">
        <f>QUOTIENT(ROW(A2535),48)+2&amp;"_"&amp;MOD(ROW(A2535),48)+8</f>
        <v>54_47</v>
      </c>
    </row>
    <row r="2536" spans="1:8" x14ac:dyDescent="0.2">
      <c r="A2536" s="9" t="s">
        <v>51</v>
      </c>
      <c r="C2536" t="str">
        <f>""""&amp;SUBSTITUTE(A2536,"zzz",H2536)&amp;""""&amp;","</f>
        <v>"https://www.zeldadungeon.net/maps/totk/tiles/sky/6/54_48.jpg",</v>
      </c>
      <c r="H2536" t="str">
        <f>QUOTIENT(ROW(A2536),48)+2&amp;"_"&amp;MOD(ROW(A2536),48)+8</f>
        <v>54_48</v>
      </c>
    </row>
    <row r="2537" spans="1:8" x14ac:dyDescent="0.2">
      <c r="A2537" s="9" t="s">
        <v>51</v>
      </c>
      <c r="C2537" t="str">
        <f>""""&amp;SUBSTITUTE(A2537,"zzz",H2537)&amp;""""&amp;","</f>
        <v>"https://www.zeldadungeon.net/maps/totk/tiles/sky/6/54_49.jpg",</v>
      </c>
      <c r="H2537" t="str">
        <f>QUOTIENT(ROW(A2537),48)+2&amp;"_"&amp;MOD(ROW(A2537),48)+8</f>
        <v>54_49</v>
      </c>
    </row>
    <row r="2538" spans="1:8" x14ac:dyDescent="0.2">
      <c r="A2538" s="9" t="s">
        <v>51</v>
      </c>
      <c r="C2538" t="str">
        <f>""""&amp;SUBSTITUTE(A2538,"zzz",H2538)&amp;""""&amp;","</f>
        <v>"https://www.zeldadungeon.net/maps/totk/tiles/sky/6/54_50.jpg",</v>
      </c>
      <c r="H2538" t="str">
        <f>QUOTIENT(ROW(A2538),48)+2&amp;"_"&amp;MOD(ROW(A2538),48)+8</f>
        <v>54_50</v>
      </c>
    </row>
    <row r="2539" spans="1:8" x14ac:dyDescent="0.2">
      <c r="A2539" s="9" t="s">
        <v>51</v>
      </c>
      <c r="C2539" t="str">
        <f>""""&amp;SUBSTITUTE(A2539,"zzz",H2539)&amp;""""&amp;","</f>
        <v>"https://www.zeldadungeon.net/maps/totk/tiles/sky/6/54_51.jpg",</v>
      </c>
      <c r="H2539" t="str">
        <f>QUOTIENT(ROW(A2539),48)+2&amp;"_"&amp;MOD(ROW(A2539),48)+8</f>
        <v>54_51</v>
      </c>
    </row>
    <row r="2540" spans="1:8" x14ac:dyDescent="0.2">
      <c r="A2540" s="9" t="s">
        <v>51</v>
      </c>
      <c r="C2540" t="str">
        <f>""""&amp;SUBSTITUTE(A2540,"zzz",H2540)&amp;""""&amp;","</f>
        <v>"https://www.zeldadungeon.net/maps/totk/tiles/sky/6/54_52.jpg",</v>
      </c>
      <c r="H2540" t="str">
        <f>QUOTIENT(ROW(A2540),48)+2&amp;"_"&amp;MOD(ROW(A2540),48)+8</f>
        <v>54_52</v>
      </c>
    </row>
    <row r="2541" spans="1:8" x14ac:dyDescent="0.2">
      <c r="A2541" s="9" t="s">
        <v>51</v>
      </c>
      <c r="C2541" t="str">
        <f>""""&amp;SUBSTITUTE(A2541,"zzz",H2541)&amp;""""&amp;","</f>
        <v>"https://www.zeldadungeon.net/maps/totk/tiles/sky/6/54_53.jpg",</v>
      </c>
      <c r="H2541" t="str">
        <f>QUOTIENT(ROW(A2541),48)+2&amp;"_"&amp;MOD(ROW(A2541),48)+8</f>
        <v>54_53</v>
      </c>
    </row>
    <row r="2542" spans="1:8" x14ac:dyDescent="0.2">
      <c r="A2542" s="9" t="s">
        <v>51</v>
      </c>
      <c r="C2542" t="str">
        <f>""""&amp;SUBSTITUTE(A2542,"zzz",H2542)&amp;""""&amp;","</f>
        <v>"https://www.zeldadungeon.net/maps/totk/tiles/sky/6/54_54.jpg",</v>
      </c>
      <c r="H2542" t="str">
        <f>QUOTIENT(ROW(A2542),48)+2&amp;"_"&amp;MOD(ROW(A2542),48)+8</f>
        <v>54_54</v>
      </c>
    </row>
    <row r="2543" spans="1:8" x14ac:dyDescent="0.2">
      <c r="A2543" s="9" t="s">
        <v>51</v>
      </c>
      <c r="C2543" t="str">
        <f>""""&amp;SUBSTITUTE(A2543,"zzz",H2543)&amp;""""&amp;","</f>
        <v>"https://www.zeldadungeon.net/maps/totk/tiles/sky/6/54_55.jpg",</v>
      </c>
      <c r="H2543" t="str">
        <f>QUOTIENT(ROW(A2543),48)+2&amp;"_"&amp;MOD(ROW(A2543),48)+8</f>
        <v>54_55</v>
      </c>
    </row>
    <row r="2544" spans="1:8" x14ac:dyDescent="0.2">
      <c r="A2544" s="9" t="s">
        <v>51</v>
      </c>
      <c r="C2544" t="str">
        <f>""""&amp;SUBSTITUTE(A2544,"zzz",H2544)&amp;""""&amp;","</f>
        <v>"https://www.zeldadungeon.net/maps/totk/tiles/sky/6/55_8.jpg",</v>
      </c>
      <c r="H2544" t="str">
        <f>QUOTIENT(ROW(A2544),48)+2&amp;"_"&amp;MOD(ROW(A2544),48)+8</f>
        <v>55_8</v>
      </c>
    </row>
    <row r="2545" spans="1:8" x14ac:dyDescent="0.2">
      <c r="A2545" s="9" t="s">
        <v>51</v>
      </c>
      <c r="C2545" t="str">
        <f>""""&amp;SUBSTITUTE(A2545,"zzz",H2545)&amp;""""&amp;","</f>
        <v>"https://www.zeldadungeon.net/maps/totk/tiles/sky/6/55_9.jpg",</v>
      </c>
      <c r="H2545" t="str">
        <f>QUOTIENT(ROW(A2545),48)+2&amp;"_"&amp;MOD(ROW(A2545),48)+8</f>
        <v>55_9</v>
      </c>
    </row>
    <row r="2546" spans="1:8" x14ac:dyDescent="0.2">
      <c r="A2546" s="9" t="s">
        <v>51</v>
      </c>
      <c r="C2546" t="str">
        <f>""""&amp;SUBSTITUTE(A2546,"zzz",H2546)&amp;""""&amp;","</f>
        <v>"https://www.zeldadungeon.net/maps/totk/tiles/sky/6/55_10.jpg",</v>
      </c>
      <c r="H2546" t="str">
        <f>QUOTIENT(ROW(A2546),48)+2&amp;"_"&amp;MOD(ROW(A2546),48)+8</f>
        <v>55_10</v>
      </c>
    </row>
    <row r="2547" spans="1:8" x14ac:dyDescent="0.2">
      <c r="A2547" s="9" t="s">
        <v>51</v>
      </c>
      <c r="C2547" t="str">
        <f>""""&amp;SUBSTITUTE(A2547,"zzz",H2547)&amp;""""&amp;","</f>
        <v>"https://www.zeldadungeon.net/maps/totk/tiles/sky/6/55_11.jpg",</v>
      </c>
      <c r="H2547" t="str">
        <f>QUOTIENT(ROW(A2547),48)+2&amp;"_"&amp;MOD(ROW(A2547),48)+8</f>
        <v>55_11</v>
      </c>
    </row>
    <row r="2548" spans="1:8" x14ac:dyDescent="0.2">
      <c r="A2548" s="9" t="s">
        <v>51</v>
      </c>
      <c r="C2548" t="str">
        <f>""""&amp;SUBSTITUTE(A2548,"zzz",H2548)&amp;""""&amp;","</f>
        <v>"https://www.zeldadungeon.net/maps/totk/tiles/sky/6/55_12.jpg",</v>
      </c>
      <c r="H2548" t="str">
        <f>QUOTIENT(ROW(A2548),48)+2&amp;"_"&amp;MOD(ROW(A2548),48)+8</f>
        <v>55_12</v>
      </c>
    </row>
    <row r="2549" spans="1:8" x14ac:dyDescent="0.2">
      <c r="A2549" s="9" t="s">
        <v>51</v>
      </c>
      <c r="C2549" t="str">
        <f>""""&amp;SUBSTITUTE(A2549,"zzz",H2549)&amp;""""&amp;","</f>
        <v>"https://www.zeldadungeon.net/maps/totk/tiles/sky/6/55_13.jpg",</v>
      </c>
      <c r="H2549" t="str">
        <f>QUOTIENT(ROW(A2549),48)+2&amp;"_"&amp;MOD(ROW(A2549),48)+8</f>
        <v>55_13</v>
      </c>
    </row>
    <row r="2550" spans="1:8" x14ac:dyDescent="0.2">
      <c r="A2550" s="9" t="s">
        <v>51</v>
      </c>
      <c r="C2550" t="str">
        <f>""""&amp;SUBSTITUTE(A2550,"zzz",H2550)&amp;""""&amp;","</f>
        <v>"https://www.zeldadungeon.net/maps/totk/tiles/sky/6/55_14.jpg",</v>
      </c>
      <c r="H2550" t="str">
        <f>QUOTIENT(ROW(A2550),48)+2&amp;"_"&amp;MOD(ROW(A2550),48)+8</f>
        <v>55_14</v>
      </c>
    </row>
    <row r="2551" spans="1:8" x14ac:dyDescent="0.2">
      <c r="A2551" s="9" t="s">
        <v>51</v>
      </c>
      <c r="C2551" t="str">
        <f>""""&amp;SUBSTITUTE(A2551,"zzz",H2551)&amp;""""&amp;","</f>
        <v>"https://www.zeldadungeon.net/maps/totk/tiles/sky/6/55_15.jpg",</v>
      </c>
      <c r="H2551" t="str">
        <f>QUOTIENT(ROW(A2551),48)+2&amp;"_"&amp;MOD(ROW(A2551),48)+8</f>
        <v>55_15</v>
      </c>
    </row>
    <row r="2552" spans="1:8" x14ac:dyDescent="0.2">
      <c r="A2552" s="9" t="s">
        <v>51</v>
      </c>
      <c r="C2552" t="str">
        <f>""""&amp;SUBSTITUTE(A2552,"zzz",H2552)&amp;""""&amp;","</f>
        <v>"https://www.zeldadungeon.net/maps/totk/tiles/sky/6/55_16.jpg",</v>
      </c>
      <c r="H2552" t="str">
        <f>QUOTIENT(ROW(A2552),48)+2&amp;"_"&amp;MOD(ROW(A2552),48)+8</f>
        <v>55_16</v>
      </c>
    </row>
    <row r="2553" spans="1:8" x14ac:dyDescent="0.2">
      <c r="A2553" s="9" t="s">
        <v>51</v>
      </c>
      <c r="C2553" t="str">
        <f>""""&amp;SUBSTITUTE(A2553,"zzz",H2553)&amp;""""&amp;","</f>
        <v>"https://www.zeldadungeon.net/maps/totk/tiles/sky/6/55_17.jpg",</v>
      </c>
      <c r="H2553" t="str">
        <f>QUOTIENT(ROW(A2553),48)+2&amp;"_"&amp;MOD(ROW(A2553),48)+8</f>
        <v>55_17</v>
      </c>
    </row>
    <row r="2554" spans="1:8" x14ac:dyDescent="0.2">
      <c r="A2554" s="9" t="s">
        <v>51</v>
      </c>
      <c r="C2554" t="str">
        <f>""""&amp;SUBSTITUTE(A2554,"zzz",H2554)&amp;""""&amp;","</f>
        <v>"https://www.zeldadungeon.net/maps/totk/tiles/sky/6/55_18.jpg",</v>
      </c>
      <c r="H2554" t="str">
        <f>QUOTIENT(ROW(A2554),48)+2&amp;"_"&amp;MOD(ROW(A2554),48)+8</f>
        <v>55_18</v>
      </c>
    </row>
    <row r="2555" spans="1:8" x14ac:dyDescent="0.2">
      <c r="A2555" s="9" t="s">
        <v>51</v>
      </c>
      <c r="C2555" t="str">
        <f>""""&amp;SUBSTITUTE(A2555,"zzz",H2555)&amp;""""&amp;","</f>
        <v>"https://www.zeldadungeon.net/maps/totk/tiles/sky/6/55_19.jpg",</v>
      </c>
      <c r="H2555" t="str">
        <f>QUOTIENT(ROW(A2555),48)+2&amp;"_"&amp;MOD(ROW(A2555),48)+8</f>
        <v>55_19</v>
      </c>
    </row>
    <row r="2556" spans="1:8" x14ac:dyDescent="0.2">
      <c r="A2556" s="9" t="s">
        <v>51</v>
      </c>
      <c r="C2556" t="str">
        <f>""""&amp;SUBSTITUTE(A2556,"zzz",H2556)&amp;""""&amp;","</f>
        <v>"https://www.zeldadungeon.net/maps/totk/tiles/sky/6/55_20.jpg",</v>
      </c>
      <c r="H2556" t="str">
        <f>QUOTIENT(ROW(A2556),48)+2&amp;"_"&amp;MOD(ROW(A2556),48)+8</f>
        <v>55_20</v>
      </c>
    </row>
    <row r="2557" spans="1:8" x14ac:dyDescent="0.2">
      <c r="A2557" s="9" t="s">
        <v>51</v>
      </c>
      <c r="C2557" t="str">
        <f>""""&amp;SUBSTITUTE(A2557,"zzz",H2557)&amp;""""&amp;","</f>
        <v>"https://www.zeldadungeon.net/maps/totk/tiles/sky/6/55_21.jpg",</v>
      </c>
      <c r="H2557" t="str">
        <f>QUOTIENT(ROW(A2557),48)+2&amp;"_"&amp;MOD(ROW(A2557),48)+8</f>
        <v>55_21</v>
      </c>
    </row>
    <row r="2558" spans="1:8" x14ac:dyDescent="0.2">
      <c r="A2558" s="9" t="s">
        <v>51</v>
      </c>
      <c r="C2558" t="str">
        <f>""""&amp;SUBSTITUTE(A2558,"zzz",H2558)&amp;""""&amp;","</f>
        <v>"https://www.zeldadungeon.net/maps/totk/tiles/sky/6/55_22.jpg",</v>
      </c>
      <c r="H2558" t="str">
        <f>QUOTIENT(ROW(A2558),48)+2&amp;"_"&amp;MOD(ROW(A2558),48)+8</f>
        <v>55_22</v>
      </c>
    </row>
    <row r="2559" spans="1:8" x14ac:dyDescent="0.2">
      <c r="A2559" s="9" t="s">
        <v>51</v>
      </c>
      <c r="C2559" t="str">
        <f>""""&amp;SUBSTITUTE(A2559,"zzz",H2559)&amp;""""&amp;","</f>
        <v>"https://www.zeldadungeon.net/maps/totk/tiles/sky/6/55_23.jpg",</v>
      </c>
      <c r="H2559" t="str">
        <f>QUOTIENT(ROW(A2559),48)+2&amp;"_"&amp;MOD(ROW(A2559),48)+8</f>
        <v>55_23</v>
      </c>
    </row>
    <row r="2560" spans="1:8" x14ac:dyDescent="0.2">
      <c r="A2560" s="9" t="s">
        <v>51</v>
      </c>
      <c r="C2560" t="str">
        <f>""""&amp;SUBSTITUTE(A2560,"zzz",H2560)&amp;""""&amp;","</f>
        <v>"https://www.zeldadungeon.net/maps/totk/tiles/sky/6/55_24.jpg",</v>
      </c>
      <c r="H2560" t="str">
        <f>QUOTIENT(ROW(A2560),48)+2&amp;"_"&amp;MOD(ROW(A2560),48)+8</f>
        <v>55_24</v>
      </c>
    </row>
    <row r="2561" spans="1:8" x14ac:dyDescent="0.2">
      <c r="A2561" s="9" t="s">
        <v>51</v>
      </c>
      <c r="C2561" t="str">
        <f>""""&amp;SUBSTITUTE(A2561,"zzz",H2561)&amp;""""&amp;","</f>
        <v>"https://www.zeldadungeon.net/maps/totk/tiles/sky/6/55_25.jpg",</v>
      </c>
      <c r="H2561" t="str">
        <f>QUOTIENT(ROW(A2561),48)+2&amp;"_"&amp;MOD(ROW(A2561),48)+8</f>
        <v>55_25</v>
      </c>
    </row>
    <row r="2562" spans="1:8" x14ac:dyDescent="0.2">
      <c r="A2562" s="9" t="s">
        <v>51</v>
      </c>
      <c r="C2562" t="str">
        <f>""""&amp;SUBSTITUTE(A2562,"zzz",H2562)&amp;""""&amp;","</f>
        <v>"https://www.zeldadungeon.net/maps/totk/tiles/sky/6/55_26.jpg",</v>
      </c>
      <c r="H2562" t="str">
        <f>QUOTIENT(ROW(A2562),48)+2&amp;"_"&amp;MOD(ROW(A2562),48)+8</f>
        <v>55_26</v>
      </c>
    </row>
    <row r="2563" spans="1:8" x14ac:dyDescent="0.2">
      <c r="A2563" s="9" t="s">
        <v>51</v>
      </c>
      <c r="C2563" t="str">
        <f>""""&amp;SUBSTITUTE(A2563,"zzz",H2563)&amp;""""&amp;","</f>
        <v>"https://www.zeldadungeon.net/maps/totk/tiles/sky/6/55_27.jpg",</v>
      </c>
      <c r="H2563" t="str">
        <f>QUOTIENT(ROW(A2563),48)+2&amp;"_"&amp;MOD(ROW(A2563),48)+8</f>
        <v>55_27</v>
      </c>
    </row>
    <row r="2564" spans="1:8" x14ac:dyDescent="0.2">
      <c r="A2564" s="9" t="s">
        <v>51</v>
      </c>
      <c r="C2564" t="str">
        <f>""""&amp;SUBSTITUTE(A2564,"zzz",H2564)&amp;""""&amp;","</f>
        <v>"https://www.zeldadungeon.net/maps/totk/tiles/sky/6/55_28.jpg",</v>
      </c>
      <c r="H2564" t="str">
        <f>QUOTIENT(ROW(A2564),48)+2&amp;"_"&amp;MOD(ROW(A2564),48)+8</f>
        <v>55_28</v>
      </c>
    </row>
    <row r="2565" spans="1:8" x14ac:dyDescent="0.2">
      <c r="A2565" s="9" t="s">
        <v>51</v>
      </c>
      <c r="C2565" t="str">
        <f>""""&amp;SUBSTITUTE(A2565,"zzz",H2565)&amp;""""&amp;","</f>
        <v>"https://www.zeldadungeon.net/maps/totk/tiles/sky/6/55_29.jpg",</v>
      </c>
      <c r="H2565" t="str">
        <f>QUOTIENT(ROW(A2565),48)+2&amp;"_"&amp;MOD(ROW(A2565),48)+8</f>
        <v>55_29</v>
      </c>
    </row>
    <row r="2566" spans="1:8" x14ac:dyDescent="0.2">
      <c r="A2566" s="9" t="s">
        <v>51</v>
      </c>
      <c r="C2566" t="str">
        <f>""""&amp;SUBSTITUTE(A2566,"zzz",H2566)&amp;""""&amp;","</f>
        <v>"https://www.zeldadungeon.net/maps/totk/tiles/sky/6/55_30.jpg",</v>
      </c>
      <c r="H2566" t="str">
        <f>QUOTIENT(ROW(A2566),48)+2&amp;"_"&amp;MOD(ROW(A2566),48)+8</f>
        <v>55_30</v>
      </c>
    </row>
    <row r="2567" spans="1:8" x14ac:dyDescent="0.2">
      <c r="A2567" s="9" t="s">
        <v>51</v>
      </c>
      <c r="C2567" t="str">
        <f>""""&amp;SUBSTITUTE(A2567,"zzz",H2567)&amp;""""&amp;","</f>
        <v>"https://www.zeldadungeon.net/maps/totk/tiles/sky/6/55_31.jpg",</v>
      </c>
      <c r="H2567" t="str">
        <f>QUOTIENT(ROW(A2567),48)+2&amp;"_"&amp;MOD(ROW(A2567),48)+8</f>
        <v>55_31</v>
      </c>
    </row>
    <row r="2568" spans="1:8" x14ac:dyDescent="0.2">
      <c r="A2568" s="9" t="s">
        <v>51</v>
      </c>
      <c r="C2568" t="str">
        <f>""""&amp;SUBSTITUTE(A2568,"zzz",H2568)&amp;""""&amp;","</f>
        <v>"https://www.zeldadungeon.net/maps/totk/tiles/sky/6/55_32.jpg",</v>
      </c>
      <c r="H2568" t="str">
        <f>QUOTIENT(ROW(A2568),48)+2&amp;"_"&amp;MOD(ROW(A2568),48)+8</f>
        <v>55_32</v>
      </c>
    </row>
    <row r="2569" spans="1:8" x14ac:dyDescent="0.2">
      <c r="A2569" s="9" t="s">
        <v>51</v>
      </c>
      <c r="C2569" t="str">
        <f>""""&amp;SUBSTITUTE(A2569,"zzz",H2569)&amp;""""&amp;","</f>
        <v>"https://www.zeldadungeon.net/maps/totk/tiles/sky/6/55_33.jpg",</v>
      </c>
      <c r="H2569" t="str">
        <f>QUOTIENT(ROW(A2569),48)+2&amp;"_"&amp;MOD(ROW(A2569),48)+8</f>
        <v>55_33</v>
      </c>
    </row>
    <row r="2570" spans="1:8" x14ac:dyDescent="0.2">
      <c r="A2570" s="9" t="s">
        <v>51</v>
      </c>
      <c r="C2570" t="str">
        <f>""""&amp;SUBSTITUTE(A2570,"zzz",H2570)&amp;""""&amp;","</f>
        <v>"https://www.zeldadungeon.net/maps/totk/tiles/sky/6/55_34.jpg",</v>
      </c>
      <c r="H2570" t="str">
        <f>QUOTIENT(ROW(A2570),48)+2&amp;"_"&amp;MOD(ROW(A2570),48)+8</f>
        <v>55_34</v>
      </c>
    </row>
    <row r="2571" spans="1:8" x14ac:dyDescent="0.2">
      <c r="A2571" s="9" t="s">
        <v>51</v>
      </c>
      <c r="C2571" t="str">
        <f>""""&amp;SUBSTITUTE(A2571,"zzz",H2571)&amp;""""&amp;","</f>
        <v>"https://www.zeldadungeon.net/maps/totk/tiles/sky/6/55_35.jpg",</v>
      </c>
      <c r="H2571" t="str">
        <f>QUOTIENT(ROW(A2571),48)+2&amp;"_"&amp;MOD(ROW(A2571),48)+8</f>
        <v>55_35</v>
      </c>
    </row>
    <row r="2572" spans="1:8" x14ac:dyDescent="0.2">
      <c r="A2572" s="9" t="s">
        <v>51</v>
      </c>
      <c r="C2572" t="str">
        <f>""""&amp;SUBSTITUTE(A2572,"zzz",H2572)&amp;""""&amp;","</f>
        <v>"https://www.zeldadungeon.net/maps/totk/tiles/sky/6/55_36.jpg",</v>
      </c>
      <c r="H2572" t="str">
        <f>QUOTIENT(ROW(A2572),48)+2&amp;"_"&amp;MOD(ROW(A2572),48)+8</f>
        <v>55_36</v>
      </c>
    </row>
    <row r="2573" spans="1:8" x14ac:dyDescent="0.2">
      <c r="A2573" s="9" t="s">
        <v>51</v>
      </c>
      <c r="C2573" t="str">
        <f>""""&amp;SUBSTITUTE(A2573,"zzz",H2573)&amp;""""&amp;","</f>
        <v>"https://www.zeldadungeon.net/maps/totk/tiles/sky/6/55_37.jpg",</v>
      </c>
      <c r="H2573" t="str">
        <f>QUOTIENT(ROW(A2573),48)+2&amp;"_"&amp;MOD(ROW(A2573),48)+8</f>
        <v>55_37</v>
      </c>
    </row>
    <row r="2574" spans="1:8" x14ac:dyDescent="0.2">
      <c r="A2574" s="9" t="s">
        <v>51</v>
      </c>
      <c r="C2574" t="str">
        <f>""""&amp;SUBSTITUTE(A2574,"zzz",H2574)&amp;""""&amp;","</f>
        <v>"https://www.zeldadungeon.net/maps/totk/tiles/sky/6/55_38.jpg",</v>
      </c>
      <c r="H2574" t="str">
        <f>QUOTIENT(ROW(A2574),48)+2&amp;"_"&amp;MOD(ROW(A2574),48)+8</f>
        <v>55_38</v>
      </c>
    </row>
    <row r="2575" spans="1:8" x14ac:dyDescent="0.2">
      <c r="A2575" s="9" t="s">
        <v>51</v>
      </c>
      <c r="C2575" t="str">
        <f>""""&amp;SUBSTITUTE(A2575,"zzz",H2575)&amp;""""&amp;","</f>
        <v>"https://www.zeldadungeon.net/maps/totk/tiles/sky/6/55_39.jpg",</v>
      </c>
      <c r="H2575" t="str">
        <f>QUOTIENT(ROW(A2575),48)+2&amp;"_"&amp;MOD(ROW(A2575),48)+8</f>
        <v>55_39</v>
      </c>
    </row>
    <row r="2576" spans="1:8" x14ac:dyDescent="0.2">
      <c r="A2576" s="9" t="s">
        <v>51</v>
      </c>
      <c r="C2576" t="str">
        <f>""""&amp;SUBSTITUTE(A2576,"zzz",H2576)&amp;""""&amp;","</f>
        <v>"https://www.zeldadungeon.net/maps/totk/tiles/sky/6/55_40.jpg",</v>
      </c>
      <c r="H2576" t="str">
        <f>QUOTIENT(ROW(A2576),48)+2&amp;"_"&amp;MOD(ROW(A2576),48)+8</f>
        <v>55_40</v>
      </c>
    </row>
    <row r="2577" spans="1:8" x14ac:dyDescent="0.2">
      <c r="A2577" s="9" t="s">
        <v>51</v>
      </c>
      <c r="C2577" t="str">
        <f>""""&amp;SUBSTITUTE(A2577,"zzz",H2577)&amp;""""&amp;","</f>
        <v>"https://www.zeldadungeon.net/maps/totk/tiles/sky/6/55_41.jpg",</v>
      </c>
      <c r="H2577" t="str">
        <f>QUOTIENT(ROW(A2577),48)+2&amp;"_"&amp;MOD(ROW(A2577),48)+8</f>
        <v>55_41</v>
      </c>
    </row>
    <row r="2578" spans="1:8" x14ac:dyDescent="0.2">
      <c r="A2578" s="9" t="s">
        <v>51</v>
      </c>
      <c r="C2578" t="str">
        <f>""""&amp;SUBSTITUTE(A2578,"zzz",H2578)&amp;""""&amp;","</f>
        <v>"https://www.zeldadungeon.net/maps/totk/tiles/sky/6/55_42.jpg",</v>
      </c>
      <c r="H2578" t="str">
        <f>QUOTIENT(ROW(A2578),48)+2&amp;"_"&amp;MOD(ROW(A2578),48)+8</f>
        <v>55_42</v>
      </c>
    </row>
    <row r="2579" spans="1:8" x14ac:dyDescent="0.2">
      <c r="A2579" s="9" t="s">
        <v>51</v>
      </c>
      <c r="C2579" t="str">
        <f>""""&amp;SUBSTITUTE(A2579,"zzz",H2579)&amp;""""&amp;","</f>
        <v>"https://www.zeldadungeon.net/maps/totk/tiles/sky/6/55_43.jpg",</v>
      </c>
      <c r="H2579" t="str">
        <f>QUOTIENT(ROW(A2579),48)+2&amp;"_"&amp;MOD(ROW(A2579),48)+8</f>
        <v>55_43</v>
      </c>
    </row>
    <row r="2580" spans="1:8" x14ac:dyDescent="0.2">
      <c r="A2580" s="9" t="s">
        <v>51</v>
      </c>
      <c r="C2580" t="str">
        <f>""""&amp;SUBSTITUTE(A2580,"zzz",H2580)&amp;""""&amp;","</f>
        <v>"https://www.zeldadungeon.net/maps/totk/tiles/sky/6/55_44.jpg",</v>
      </c>
      <c r="H2580" t="str">
        <f>QUOTIENT(ROW(A2580),48)+2&amp;"_"&amp;MOD(ROW(A2580),48)+8</f>
        <v>55_44</v>
      </c>
    </row>
    <row r="2581" spans="1:8" x14ac:dyDescent="0.2">
      <c r="A2581" s="9" t="s">
        <v>51</v>
      </c>
      <c r="C2581" t="str">
        <f>""""&amp;SUBSTITUTE(A2581,"zzz",H2581)&amp;""""&amp;","</f>
        <v>"https://www.zeldadungeon.net/maps/totk/tiles/sky/6/55_45.jpg",</v>
      </c>
      <c r="H2581" t="str">
        <f>QUOTIENT(ROW(A2581),48)+2&amp;"_"&amp;MOD(ROW(A2581),48)+8</f>
        <v>55_45</v>
      </c>
    </row>
    <row r="2582" spans="1:8" x14ac:dyDescent="0.2">
      <c r="A2582" s="9" t="s">
        <v>51</v>
      </c>
      <c r="C2582" t="str">
        <f>""""&amp;SUBSTITUTE(A2582,"zzz",H2582)&amp;""""&amp;","</f>
        <v>"https://www.zeldadungeon.net/maps/totk/tiles/sky/6/55_46.jpg",</v>
      </c>
      <c r="H2582" t="str">
        <f>QUOTIENT(ROW(A2582),48)+2&amp;"_"&amp;MOD(ROW(A2582),48)+8</f>
        <v>55_46</v>
      </c>
    </row>
    <row r="2583" spans="1:8" x14ac:dyDescent="0.2">
      <c r="A2583" s="9" t="s">
        <v>51</v>
      </c>
      <c r="C2583" t="str">
        <f>""""&amp;SUBSTITUTE(A2583,"zzz",H2583)&amp;""""&amp;","</f>
        <v>"https://www.zeldadungeon.net/maps/totk/tiles/sky/6/55_47.jpg",</v>
      </c>
      <c r="H2583" t="str">
        <f>QUOTIENT(ROW(A2583),48)+2&amp;"_"&amp;MOD(ROW(A2583),48)+8</f>
        <v>55_47</v>
      </c>
    </row>
    <row r="2584" spans="1:8" x14ac:dyDescent="0.2">
      <c r="A2584" s="9" t="s">
        <v>51</v>
      </c>
      <c r="C2584" t="str">
        <f>""""&amp;SUBSTITUTE(A2584,"zzz",H2584)&amp;""""&amp;","</f>
        <v>"https://www.zeldadungeon.net/maps/totk/tiles/sky/6/55_48.jpg",</v>
      </c>
      <c r="H2584" t="str">
        <f>QUOTIENT(ROW(A2584),48)+2&amp;"_"&amp;MOD(ROW(A2584),48)+8</f>
        <v>55_48</v>
      </c>
    </row>
    <row r="2585" spans="1:8" x14ac:dyDescent="0.2">
      <c r="A2585" s="9" t="s">
        <v>51</v>
      </c>
      <c r="C2585" t="str">
        <f>""""&amp;SUBSTITUTE(A2585,"zzz",H2585)&amp;""""&amp;","</f>
        <v>"https://www.zeldadungeon.net/maps/totk/tiles/sky/6/55_49.jpg",</v>
      </c>
      <c r="H2585" t="str">
        <f>QUOTIENT(ROW(A2585),48)+2&amp;"_"&amp;MOD(ROW(A2585),48)+8</f>
        <v>55_49</v>
      </c>
    </row>
    <row r="2586" spans="1:8" x14ac:dyDescent="0.2">
      <c r="A2586" s="9" t="s">
        <v>51</v>
      </c>
      <c r="C2586" t="str">
        <f>""""&amp;SUBSTITUTE(A2586,"zzz",H2586)&amp;""""&amp;","</f>
        <v>"https://www.zeldadungeon.net/maps/totk/tiles/sky/6/55_50.jpg",</v>
      </c>
      <c r="H2586" t="str">
        <f>QUOTIENT(ROW(A2586),48)+2&amp;"_"&amp;MOD(ROW(A2586),48)+8</f>
        <v>55_50</v>
      </c>
    </row>
    <row r="2587" spans="1:8" x14ac:dyDescent="0.2">
      <c r="A2587" s="9" t="s">
        <v>51</v>
      </c>
      <c r="C2587" t="str">
        <f>""""&amp;SUBSTITUTE(A2587,"zzz",H2587)&amp;""""&amp;","</f>
        <v>"https://www.zeldadungeon.net/maps/totk/tiles/sky/6/55_51.jpg",</v>
      </c>
      <c r="H2587" t="str">
        <f>QUOTIENT(ROW(A2587),48)+2&amp;"_"&amp;MOD(ROW(A2587),48)+8</f>
        <v>55_51</v>
      </c>
    </row>
    <row r="2588" spans="1:8" x14ac:dyDescent="0.2">
      <c r="A2588" s="9" t="s">
        <v>51</v>
      </c>
      <c r="C2588" t="str">
        <f>""""&amp;SUBSTITUTE(A2588,"zzz",H2588)&amp;""""&amp;","</f>
        <v>"https://www.zeldadungeon.net/maps/totk/tiles/sky/6/55_52.jpg",</v>
      </c>
      <c r="H2588" t="str">
        <f>QUOTIENT(ROW(A2588),48)+2&amp;"_"&amp;MOD(ROW(A2588),48)+8</f>
        <v>55_52</v>
      </c>
    </row>
    <row r="2589" spans="1:8" x14ac:dyDescent="0.2">
      <c r="A2589" s="9" t="s">
        <v>51</v>
      </c>
      <c r="C2589" t="str">
        <f>""""&amp;SUBSTITUTE(A2589,"zzz",H2589)&amp;""""&amp;","</f>
        <v>"https://www.zeldadungeon.net/maps/totk/tiles/sky/6/55_53.jpg",</v>
      </c>
      <c r="H2589" t="str">
        <f>QUOTIENT(ROW(A2589),48)+2&amp;"_"&amp;MOD(ROW(A2589),48)+8</f>
        <v>55_53</v>
      </c>
    </row>
    <row r="2590" spans="1:8" x14ac:dyDescent="0.2">
      <c r="A2590" s="9" t="s">
        <v>51</v>
      </c>
      <c r="C2590" t="str">
        <f>""""&amp;SUBSTITUTE(A2590,"zzz",H2590)&amp;""""&amp;","</f>
        <v>"https://www.zeldadungeon.net/maps/totk/tiles/sky/6/55_54.jpg",</v>
      </c>
      <c r="H2590" t="str">
        <f>QUOTIENT(ROW(A2590),48)+2&amp;"_"&amp;MOD(ROW(A2590),48)+8</f>
        <v>55_54</v>
      </c>
    </row>
    <row r="2591" spans="1:8" x14ac:dyDescent="0.2">
      <c r="A2591" s="9" t="s">
        <v>51</v>
      </c>
      <c r="C2591" t="str">
        <f>""""&amp;SUBSTITUTE(A2591,"zzz",H2591)&amp;""""&amp;","</f>
        <v>"https://www.zeldadungeon.net/maps/totk/tiles/sky/6/55_55.jpg",</v>
      </c>
      <c r="H2591" t="str">
        <f>QUOTIENT(ROW(A2591),48)+2&amp;"_"&amp;MOD(ROW(A2591),48)+8</f>
        <v>55_55</v>
      </c>
    </row>
    <row r="2592" spans="1:8" x14ac:dyDescent="0.2">
      <c r="A2592" s="9" t="s">
        <v>51</v>
      </c>
      <c r="C2592" t="str">
        <f>""""&amp;SUBSTITUTE(A2592,"zzz",H2592)&amp;""""&amp;","</f>
        <v>"https://www.zeldadungeon.net/maps/totk/tiles/sky/6/56_8.jpg",</v>
      </c>
      <c r="H2592" t="str">
        <f>QUOTIENT(ROW(A2592),48)+2&amp;"_"&amp;MOD(ROW(A2592),48)+8</f>
        <v>56_8</v>
      </c>
    </row>
    <row r="2593" spans="1:8" x14ac:dyDescent="0.2">
      <c r="A2593" s="9" t="s">
        <v>51</v>
      </c>
      <c r="C2593" t="str">
        <f>""""&amp;SUBSTITUTE(A2593,"zzz",H2593)&amp;""""&amp;","</f>
        <v>"https://www.zeldadungeon.net/maps/totk/tiles/sky/6/56_9.jpg",</v>
      </c>
      <c r="H2593" t="str">
        <f>QUOTIENT(ROW(A2593),48)+2&amp;"_"&amp;MOD(ROW(A2593),48)+8</f>
        <v>56_9</v>
      </c>
    </row>
    <row r="2594" spans="1:8" x14ac:dyDescent="0.2">
      <c r="A2594" s="9" t="s">
        <v>51</v>
      </c>
      <c r="C2594" t="str">
        <f>""""&amp;SUBSTITUTE(A2594,"zzz",H2594)&amp;""""&amp;","</f>
        <v>"https://www.zeldadungeon.net/maps/totk/tiles/sky/6/56_10.jpg",</v>
      </c>
      <c r="H2594" t="str">
        <f>QUOTIENT(ROW(A2594),48)+2&amp;"_"&amp;MOD(ROW(A2594),48)+8</f>
        <v>56_10</v>
      </c>
    </row>
    <row r="2595" spans="1:8" x14ac:dyDescent="0.2">
      <c r="A2595" s="9" t="s">
        <v>51</v>
      </c>
      <c r="C2595" t="str">
        <f>""""&amp;SUBSTITUTE(A2595,"zzz",H2595)&amp;""""&amp;","</f>
        <v>"https://www.zeldadungeon.net/maps/totk/tiles/sky/6/56_11.jpg",</v>
      </c>
      <c r="H2595" t="str">
        <f>QUOTIENT(ROW(A2595),48)+2&amp;"_"&amp;MOD(ROW(A2595),48)+8</f>
        <v>56_11</v>
      </c>
    </row>
    <row r="2596" spans="1:8" x14ac:dyDescent="0.2">
      <c r="A2596" s="9" t="s">
        <v>51</v>
      </c>
      <c r="C2596" t="str">
        <f>""""&amp;SUBSTITUTE(A2596,"zzz",H2596)&amp;""""&amp;","</f>
        <v>"https://www.zeldadungeon.net/maps/totk/tiles/sky/6/56_12.jpg",</v>
      </c>
      <c r="H2596" t="str">
        <f>QUOTIENT(ROW(A2596),48)+2&amp;"_"&amp;MOD(ROW(A2596),48)+8</f>
        <v>56_12</v>
      </c>
    </row>
    <row r="2597" spans="1:8" x14ac:dyDescent="0.2">
      <c r="A2597" s="9" t="s">
        <v>51</v>
      </c>
      <c r="C2597" t="str">
        <f>""""&amp;SUBSTITUTE(A2597,"zzz",H2597)&amp;""""&amp;","</f>
        <v>"https://www.zeldadungeon.net/maps/totk/tiles/sky/6/56_13.jpg",</v>
      </c>
      <c r="H2597" t="str">
        <f>QUOTIENT(ROW(A2597),48)+2&amp;"_"&amp;MOD(ROW(A2597),48)+8</f>
        <v>56_13</v>
      </c>
    </row>
    <row r="2598" spans="1:8" x14ac:dyDescent="0.2">
      <c r="A2598" s="9" t="s">
        <v>51</v>
      </c>
      <c r="C2598" t="str">
        <f>""""&amp;SUBSTITUTE(A2598,"zzz",H2598)&amp;""""&amp;","</f>
        <v>"https://www.zeldadungeon.net/maps/totk/tiles/sky/6/56_14.jpg",</v>
      </c>
      <c r="H2598" t="str">
        <f>QUOTIENT(ROW(A2598),48)+2&amp;"_"&amp;MOD(ROW(A2598),48)+8</f>
        <v>56_14</v>
      </c>
    </row>
    <row r="2599" spans="1:8" x14ac:dyDescent="0.2">
      <c r="A2599" s="9" t="s">
        <v>51</v>
      </c>
      <c r="C2599" t="str">
        <f>""""&amp;SUBSTITUTE(A2599,"zzz",H2599)&amp;""""&amp;","</f>
        <v>"https://www.zeldadungeon.net/maps/totk/tiles/sky/6/56_15.jpg",</v>
      </c>
      <c r="H2599" t="str">
        <f>QUOTIENT(ROW(A2599),48)+2&amp;"_"&amp;MOD(ROW(A2599),48)+8</f>
        <v>56_15</v>
      </c>
    </row>
    <row r="2600" spans="1:8" x14ac:dyDescent="0.2">
      <c r="A2600" s="9" t="s">
        <v>51</v>
      </c>
      <c r="C2600" t="str">
        <f>""""&amp;SUBSTITUTE(A2600,"zzz",H2600)&amp;""""&amp;","</f>
        <v>"https://www.zeldadungeon.net/maps/totk/tiles/sky/6/56_16.jpg",</v>
      </c>
      <c r="H2600" t="str">
        <f>QUOTIENT(ROW(A2600),48)+2&amp;"_"&amp;MOD(ROW(A2600),48)+8</f>
        <v>56_16</v>
      </c>
    </row>
    <row r="2601" spans="1:8" x14ac:dyDescent="0.2">
      <c r="A2601" s="9" t="s">
        <v>51</v>
      </c>
      <c r="C2601" t="str">
        <f>""""&amp;SUBSTITUTE(A2601,"zzz",H2601)&amp;""""&amp;","</f>
        <v>"https://www.zeldadungeon.net/maps/totk/tiles/sky/6/56_17.jpg",</v>
      </c>
      <c r="H2601" t="str">
        <f>QUOTIENT(ROW(A2601),48)+2&amp;"_"&amp;MOD(ROW(A2601),48)+8</f>
        <v>56_17</v>
      </c>
    </row>
    <row r="2602" spans="1:8" x14ac:dyDescent="0.2">
      <c r="A2602" s="9" t="s">
        <v>51</v>
      </c>
      <c r="C2602" t="str">
        <f>""""&amp;SUBSTITUTE(A2602,"zzz",H2602)&amp;""""&amp;","</f>
        <v>"https://www.zeldadungeon.net/maps/totk/tiles/sky/6/56_18.jpg",</v>
      </c>
      <c r="H2602" t="str">
        <f>QUOTIENT(ROW(A2602),48)+2&amp;"_"&amp;MOD(ROW(A2602),48)+8</f>
        <v>56_18</v>
      </c>
    </row>
    <row r="2603" spans="1:8" x14ac:dyDescent="0.2">
      <c r="A2603" s="9" t="s">
        <v>51</v>
      </c>
      <c r="C2603" t="str">
        <f>""""&amp;SUBSTITUTE(A2603,"zzz",H2603)&amp;""""&amp;","</f>
        <v>"https://www.zeldadungeon.net/maps/totk/tiles/sky/6/56_19.jpg",</v>
      </c>
      <c r="H2603" t="str">
        <f>QUOTIENT(ROW(A2603),48)+2&amp;"_"&amp;MOD(ROW(A2603),48)+8</f>
        <v>56_19</v>
      </c>
    </row>
    <row r="2604" spans="1:8" x14ac:dyDescent="0.2">
      <c r="A2604" s="9" t="s">
        <v>51</v>
      </c>
      <c r="C2604" t="str">
        <f>""""&amp;SUBSTITUTE(A2604,"zzz",H2604)&amp;""""&amp;","</f>
        <v>"https://www.zeldadungeon.net/maps/totk/tiles/sky/6/56_20.jpg",</v>
      </c>
      <c r="H2604" t="str">
        <f>QUOTIENT(ROW(A2604),48)+2&amp;"_"&amp;MOD(ROW(A2604),48)+8</f>
        <v>56_20</v>
      </c>
    </row>
    <row r="2605" spans="1:8" x14ac:dyDescent="0.2">
      <c r="A2605" s="9" t="s">
        <v>51</v>
      </c>
      <c r="C2605" t="str">
        <f>""""&amp;SUBSTITUTE(A2605,"zzz",H2605)&amp;""""&amp;","</f>
        <v>"https://www.zeldadungeon.net/maps/totk/tiles/sky/6/56_21.jpg",</v>
      </c>
      <c r="H2605" t="str">
        <f>QUOTIENT(ROW(A2605),48)+2&amp;"_"&amp;MOD(ROW(A2605),48)+8</f>
        <v>56_21</v>
      </c>
    </row>
    <row r="2606" spans="1:8" x14ac:dyDescent="0.2">
      <c r="A2606" s="9" t="s">
        <v>51</v>
      </c>
      <c r="C2606" t="str">
        <f>""""&amp;SUBSTITUTE(A2606,"zzz",H2606)&amp;""""&amp;","</f>
        <v>"https://www.zeldadungeon.net/maps/totk/tiles/sky/6/56_22.jpg",</v>
      </c>
      <c r="H2606" t="str">
        <f>QUOTIENT(ROW(A2606),48)+2&amp;"_"&amp;MOD(ROW(A2606),48)+8</f>
        <v>56_22</v>
      </c>
    </row>
    <row r="2607" spans="1:8" x14ac:dyDescent="0.2">
      <c r="A2607" s="9" t="s">
        <v>51</v>
      </c>
      <c r="C2607" t="str">
        <f>""""&amp;SUBSTITUTE(A2607,"zzz",H2607)&amp;""""&amp;","</f>
        <v>"https://www.zeldadungeon.net/maps/totk/tiles/sky/6/56_23.jpg",</v>
      </c>
      <c r="H2607" t="str">
        <f>QUOTIENT(ROW(A2607),48)+2&amp;"_"&amp;MOD(ROW(A2607),48)+8</f>
        <v>56_23</v>
      </c>
    </row>
    <row r="2608" spans="1:8" x14ac:dyDescent="0.2">
      <c r="A2608" s="9" t="s">
        <v>51</v>
      </c>
      <c r="C2608" t="str">
        <f>""""&amp;SUBSTITUTE(A2608,"zzz",H2608)&amp;""""&amp;","</f>
        <v>"https://www.zeldadungeon.net/maps/totk/tiles/sky/6/56_24.jpg",</v>
      </c>
      <c r="H2608" t="str">
        <f>QUOTIENT(ROW(A2608),48)+2&amp;"_"&amp;MOD(ROW(A2608),48)+8</f>
        <v>56_24</v>
      </c>
    </row>
    <row r="2609" spans="1:8" x14ac:dyDescent="0.2">
      <c r="A2609" s="9" t="s">
        <v>51</v>
      </c>
      <c r="C2609" t="str">
        <f>""""&amp;SUBSTITUTE(A2609,"zzz",H2609)&amp;""""&amp;","</f>
        <v>"https://www.zeldadungeon.net/maps/totk/tiles/sky/6/56_25.jpg",</v>
      </c>
      <c r="H2609" t="str">
        <f>QUOTIENT(ROW(A2609),48)+2&amp;"_"&amp;MOD(ROW(A2609),48)+8</f>
        <v>56_25</v>
      </c>
    </row>
    <row r="2610" spans="1:8" x14ac:dyDescent="0.2">
      <c r="A2610" s="9" t="s">
        <v>51</v>
      </c>
      <c r="C2610" t="str">
        <f>""""&amp;SUBSTITUTE(A2610,"zzz",H2610)&amp;""""&amp;","</f>
        <v>"https://www.zeldadungeon.net/maps/totk/tiles/sky/6/56_26.jpg",</v>
      </c>
      <c r="H2610" t="str">
        <f>QUOTIENT(ROW(A2610),48)+2&amp;"_"&amp;MOD(ROW(A2610),48)+8</f>
        <v>56_26</v>
      </c>
    </row>
    <row r="2611" spans="1:8" x14ac:dyDescent="0.2">
      <c r="A2611" s="9" t="s">
        <v>51</v>
      </c>
      <c r="C2611" t="str">
        <f>""""&amp;SUBSTITUTE(A2611,"zzz",H2611)&amp;""""&amp;","</f>
        <v>"https://www.zeldadungeon.net/maps/totk/tiles/sky/6/56_27.jpg",</v>
      </c>
      <c r="H2611" t="str">
        <f>QUOTIENT(ROW(A2611),48)+2&amp;"_"&amp;MOD(ROW(A2611),48)+8</f>
        <v>56_27</v>
      </c>
    </row>
    <row r="2612" spans="1:8" x14ac:dyDescent="0.2">
      <c r="A2612" s="9" t="s">
        <v>51</v>
      </c>
      <c r="C2612" t="str">
        <f>""""&amp;SUBSTITUTE(A2612,"zzz",H2612)&amp;""""&amp;","</f>
        <v>"https://www.zeldadungeon.net/maps/totk/tiles/sky/6/56_28.jpg",</v>
      </c>
      <c r="H2612" t="str">
        <f>QUOTIENT(ROW(A2612),48)+2&amp;"_"&amp;MOD(ROW(A2612),48)+8</f>
        <v>56_28</v>
      </c>
    </row>
    <row r="2613" spans="1:8" x14ac:dyDescent="0.2">
      <c r="A2613" s="9" t="s">
        <v>51</v>
      </c>
      <c r="C2613" t="str">
        <f>""""&amp;SUBSTITUTE(A2613,"zzz",H2613)&amp;""""&amp;","</f>
        <v>"https://www.zeldadungeon.net/maps/totk/tiles/sky/6/56_29.jpg",</v>
      </c>
      <c r="H2613" t="str">
        <f>QUOTIENT(ROW(A2613),48)+2&amp;"_"&amp;MOD(ROW(A2613),48)+8</f>
        <v>56_29</v>
      </c>
    </row>
    <row r="2614" spans="1:8" x14ac:dyDescent="0.2">
      <c r="A2614" s="9" t="s">
        <v>51</v>
      </c>
      <c r="C2614" t="str">
        <f>""""&amp;SUBSTITUTE(A2614,"zzz",H2614)&amp;""""&amp;","</f>
        <v>"https://www.zeldadungeon.net/maps/totk/tiles/sky/6/56_30.jpg",</v>
      </c>
      <c r="H2614" t="str">
        <f>QUOTIENT(ROW(A2614),48)+2&amp;"_"&amp;MOD(ROW(A2614),48)+8</f>
        <v>56_30</v>
      </c>
    </row>
    <row r="2615" spans="1:8" x14ac:dyDescent="0.2">
      <c r="A2615" s="9" t="s">
        <v>51</v>
      </c>
      <c r="C2615" t="str">
        <f>""""&amp;SUBSTITUTE(A2615,"zzz",H2615)&amp;""""&amp;","</f>
        <v>"https://www.zeldadungeon.net/maps/totk/tiles/sky/6/56_31.jpg",</v>
      </c>
      <c r="H2615" t="str">
        <f>QUOTIENT(ROW(A2615),48)+2&amp;"_"&amp;MOD(ROW(A2615),48)+8</f>
        <v>56_31</v>
      </c>
    </row>
    <row r="2616" spans="1:8" x14ac:dyDescent="0.2">
      <c r="A2616" s="9" t="s">
        <v>51</v>
      </c>
      <c r="C2616" t="str">
        <f>""""&amp;SUBSTITUTE(A2616,"zzz",H2616)&amp;""""&amp;","</f>
        <v>"https://www.zeldadungeon.net/maps/totk/tiles/sky/6/56_32.jpg",</v>
      </c>
      <c r="H2616" t="str">
        <f>QUOTIENT(ROW(A2616),48)+2&amp;"_"&amp;MOD(ROW(A2616),48)+8</f>
        <v>56_32</v>
      </c>
    </row>
    <row r="2617" spans="1:8" x14ac:dyDescent="0.2">
      <c r="A2617" s="9" t="s">
        <v>51</v>
      </c>
      <c r="C2617" t="str">
        <f>""""&amp;SUBSTITUTE(A2617,"zzz",H2617)&amp;""""&amp;","</f>
        <v>"https://www.zeldadungeon.net/maps/totk/tiles/sky/6/56_33.jpg",</v>
      </c>
      <c r="H2617" t="str">
        <f>QUOTIENT(ROW(A2617),48)+2&amp;"_"&amp;MOD(ROW(A2617),48)+8</f>
        <v>56_33</v>
      </c>
    </row>
    <row r="2618" spans="1:8" x14ac:dyDescent="0.2">
      <c r="A2618" s="9" t="s">
        <v>51</v>
      </c>
      <c r="C2618" t="str">
        <f>""""&amp;SUBSTITUTE(A2618,"zzz",H2618)&amp;""""&amp;","</f>
        <v>"https://www.zeldadungeon.net/maps/totk/tiles/sky/6/56_34.jpg",</v>
      </c>
      <c r="H2618" t="str">
        <f>QUOTIENT(ROW(A2618),48)+2&amp;"_"&amp;MOD(ROW(A2618),48)+8</f>
        <v>56_34</v>
      </c>
    </row>
    <row r="2619" spans="1:8" x14ac:dyDescent="0.2">
      <c r="A2619" s="9" t="s">
        <v>51</v>
      </c>
      <c r="C2619" t="str">
        <f>""""&amp;SUBSTITUTE(A2619,"zzz",H2619)&amp;""""&amp;","</f>
        <v>"https://www.zeldadungeon.net/maps/totk/tiles/sky/6/56_35.jpg",</v>
      </c>
      <c r="H2619" t="str">
        <f>QUOTIENT(ROW(A2619),48)+2&amp;"_"&amp;MOD(ROW(A2619),48)+8</f>
        <v>56_35</v>
      </c>
    </row>
    <row r="2620" spans="1:8" x14ac:dyDescent="0.2">
      <c r="A2620" s="9" t="s">
        <v>51</v>
      </c>
      <c r="C2620" t="str">
        <f>""""&amp;SUBSTITUTE(A2620,"zzz",H2620)&amp;""""&amp;","</f>
        <v>"https://www.zeldadungeon.net/maps/totk/tiles/sky/6/56_36.jpg",</v>
      </c>
      <c r="H2620" t="str">
        <f>QUOTIENT(ROW(A2620),48)+2&amp;"_"&amp;MOD(ROW(A2620),48)+8</f>
        <v>56_36</v>
      </c>
    </row>
    <row r="2621" spans="1:8" x14ac:dyDescent="0.2">
      <c r="A2621" s="9" t="s">
        <v>51</v>
      </c>
      <c r="C2621" t="str">
        <f>""""&amp;SUBSTITUTE(A2621,"zzz",H2621)&amp;""""&amp;","</f>
        <v>"https://www.zeldadungeon.net/maps/totk/tiles/sky/6/56_37.jpg",</v>
      </c>
      <c r="H2621" t="str">
        <f>QUOTIENT(ROW(A2621),48)+2&amp;"_"&amp;MOD(ROW(A2621),48)+8</f>
        <v>56_37</v>
      </c>
    </row>
    <row r="2622" spans="1:8" x14ac:dyDescent="0.2">
      <c r="A2622" s="9" t="s">
        <v>51</v>
      </c>
      <c r="C2622" t="str">
        <f>""""&amp;SUBSTITUTE(A2622,"zzz",H2622)&amp;""""&amp;","</f>
        <v>"https://www.zeldadungeon.net/maps/totk/tiles/sky/6/56_38.jpg",</v>
      </c>
      <c r="H2622" t="str">
        <f>QUOTIENT(ROW(A2622),48)+2&amp;"_"&amp;MOD(ROW(A2622),48)+8</f>
        <v>56_38</v>
      </c>
    </row>
    <row r="2623" spans="1:8" x14ac:dyDescent="0.2">
      <c r="A2623" s="9" t="s">
        <v>51</v>
      </c>
      <c r="C2623" t="str">
        <f>""""&amp;SUBSTITUTE(A2623,"zzz",H2623)&amp;""""&amp;","</f>
        <v>"https://www.zeldadungeon.net/maps/totk/tiles/sky/6/56_39.jpg",</v>
      </c>
      <c r="H2623" t="str">
        <f>QUOTIENT(ROW(A2623),48)+2&amp;"_"&amp;MOD(ROW(A2623),48)+8</f>
        <v>56_39</v>
      </c>
    </row>
    <row r="2624" spans="1:8" x14ac:dyDescent="0.2">
      <c r="A2624" s="9" t="s">
        <v>51</v>
      </c>
      <c r="C2624" t="str">
        <f>""""&amp;SUBSTITUTE(A2624,"zzz",H2624)&amp;""""&amp;","</f>
        <v>"https://www.zeldadungeon.net/maps/totk/tiles/sky/6/56_40.jpg",</v>
      </c>
      <c r="H2624" t="str">
        <f>QUOTIENT(ROW(A2624),48)+2&amp;"_"&amp;MOD(ROW(A2624),48)+8</f>
        <v>56_40</v>
      </c>
    </row>
    <row r="2625" spans="1:8" x14ac:dyDescent="0.2">
      <c r="A2625" s="9" t="s">
        <v>51</v>
      </c>
      <c r="C2625" t="str">
        <f>""""&amp;SUBSTITUTE(A2625,"zzz",H2625)&amp;""""&amp;","</f>
        <v>"https://www.zeldadungeon.net/maps/totk/tiles/sky/6/56_41.jpg",</v>
      </c>
      <c r="H2625" t="str">
        <f>QUOTIENT(ROW(A2625),48)+2&amp;"_"&amp;MOD(ROW(A2625),48)+8</f>
        <v>56_41</v>
      </c>
    </row>
    <row r="2626" spans="1:8" x14ac:dyDescent="0.2">
      <c r="A2626" s="9" t="s">
        <v>51</v>
      </c>
      <c r="C2626" t="str">
        <f>""""&amp;SUBSTITUTE(A2626,"zzz",H2626)&amp;""""&amp;","</f>
        <v>"https://www.zeldadungeon.net/maps/totk/tiles/sky/6/56_42.jpg",</v>
      </c>
      <c r="H2626" t="str">
        <f>QUOTIENT(ROW(A2626),48)+2&amp;"_"&amp;MOD(ROW(A2626),48)+8</f>
        <v>56_42</v>
      </c>
    </row>
    <row r="2627" spans="1:8" x14ac:dyDescent="0.2">
      <c r="A2627" s="9" t="s">
        <v>51</v>
      </c>
      <c r="C2627" t="str">
        <f>""""&amp;SUBSTITUTE(A2627,"zzz",H2627)&amp;""""&amp;","</f>
        <v>"https://www.zeldadungeon.net/maps/totk/tiles/sky/6/56_43.jpg",</v>
      </c>
      <c r="H2627" t="str">
        <f>QUOTIENT(ROW(A2627),48)+2&amp;"_"&amp;MOD(ROW(A2627),48)+8</f>
        <v>56_43</v>
      </c>
    </row>
    <row r="2628" spans="1:8" x14ac:dyDescent="0.2">
      <c r="A2628" s="9" t="s">
        <v>51</v>
      </c>
      <c r="C2628" t="str">
        <f>""""&amp;SUBSTITUTE(A2628,"zzz",H2628)&amp;""""&amp;","</f>
        <v>"https://www.zeldadungeon.net/maps/totk/tiles/sky/6/56_44.jpg",</v>
      </c>
      <c r="H2628" t="str">
        <f>QUOTIENT(ROW(A2628),48)+2&amp;"_"&amp;MOD(ROW(A2628),48)+8</f>
        <v>56_44</v>
      </c>
    </row>
    <row r="2629" spans="1:8" x14ac:dyDescent="0.2">
      <c r="A2629" s="9" t="s">
        <v>51</v>
      </c>
      <c r="C2629" t="str">
        <f>""""&amp;SUBSTITUTE(A2629,"zzz",H2629)&amp;""""&amp;","</f>
        <v>"https://www.zeldadungeon.net/maps/totk/tiles/sky/6/56_45.jpg",</v>
      </c>
      <c r="H2629" t="str">
        <f>QUOTIENT(ROW(A2629),48)+2&amp;"_"&amp;MOD(ROW(A2629),48)+8</f>
        <v>56_45</v>
      </c>
    </row>
    <row r="2630" spans="1:8" x14ac:dyDescent="0.2">
      <c r="A2630" s="9" t="s">
        <v>51</v>
      </c>
      <c r="C2630" t="str">
        <f>""""&amp;SUBSTITUTE(A2630,"zzz",H2630)&amp;""""&amp;","</f>
        <v>"https://www.zeldadungeon.net/maps/totk/tiles/sky/6/56_46.jpg",</v>
      </c>
      <c r="H2630" t="str">
        <f>QUOTIENT(ROW(A2630),48)+2&amp;"_"&amp;MOD(ROW(A2630),48)+8</f>
        <v>56_46</v>
      </c>
    </row>
    <row r="2631" spans="1:8" x14ac:dyDescent="0.2">
      <c r="A2631" s="9" t="s">
        <v>51</v>
      </c>
      <c r="C2631" t="str">
        <f>""""&amp;SUBSTITUTE(A2631,"zzz",H2631)&amp;""""&amp;","</f>
        <v>"https://www.zeldadungeon.net/maps/totk/tiles/sky/6/56_47.jpg",</v>
      </c>
      <c r="H2631" t="str">
        <f>QUOTIENT(ROW(A2631),48)+2&amp;"_"&amp;MOD(ROW(A2631),48)+8</f>
        <v>56_47</v>
      </c>
    </row>
    <row r="2632" spans="1:8" x14ac:dyDescent="0.2">
      <c r="A2632" s="9" t="s">
        <v>51</v>
      </c>
      <c r="C2632" t="str">
        <f>""""&amp;SUBSTITUTE(A2632,"zzz",H2632)&amp;""""&amp;","</f>
        <v>"https://www.zeldadungeon.net/maps/totk/tiles/sky/6/56_48.jpg",</v>
      </c>
      <c r="H2632" t="str">
        <f>QUOTIENT(ROW(A2632),48)+2&amp;"_"&amp;MOD(ROW(A2632),48)+8</f>
        <v>56_48</v>
      </c>
    </row>
    <row r="2633" spans="1:8" x14ac:dyDescent="0.2">
      <c r="A2633" s="9" t="s">
        <v>51</v>
      </c>
      <c r="C2633" t="str">
        <f>""""&amp;SUBSTITUTE(A2633,"zzz",H2633)&amp;""""&amp;","</f>
        <v>"https://www.zeldadungeon.net/maps/totk/tiles/sky/6/56_49.jpg",</v>
      </c>
      <c r="H2633" t="str">
        <f>QUOTIENT(ROW(A2633),48)+2&amp;"_"&amp;MOD(ROW(A2633),48)+8</f>
        <v>56_49</v>
      </c>
    </row>
    <row r="2634" spans="1:8" x14ac:dyDescent="0.2">
      <c r="A2634" s="9" t="s">
        <v>51</v>
      </c>
      <c r="C2634" t="str">
        <f>""""&amp;SUBSTITUTE(A2634,"zzz",H2634)&amp;""""&amp;","</f>
        <v>"https://www.zeldadungeon.net/maps/totk/tiles/sky/6/56_50.jpg",</v>
      </c>
      <c r="H2634" t="str">
        <f>QUOTIENT(ROW(A2634),48)+2&amp;"_"&amp;MOD(ROW(A2634),48)+8</f>
        <v>56_50</v>
      </c>
    </row>
    <row r="2635" spans="1:8" x14ac:dyDescent="0.2">
      <c r="A2635" s="9" t="s">
        <v>51</v>
      </c>
      <c r="C2635" t="str">
        <f>""""&amp;SUBSTITUTE(A2635,"zzz",H2635)&amp;""""&amp;","</f>
        <v>"https://www.zeldadungeon.net/maps/totk/tiles/sky/6/56_51.jpg",</v>
      </c>
      <c r="H2635" t="str">
        <f>QUOTIENT(ROW(A2635),48)+2&amp;"_"&amp;MOD(ROW(A2635),48)+8</f>
        <v>56_51</v>
      </c>
    </row>
    <row r="2636" spans="1:8" x14ac:dyDescent="0.2">
      <c r="A2636" s="9" t="s">
        <v>51</v>
      </c>
      <c r="C2636" t="str">
        <f>""""&amp;SUBSTITUTE(A2636,"zzz",H2636)&amp;""""&amp;","</f>
        <v>"https://www.zeldadungeon.net/maps/totk/tiles/sky/6/56_52.jpg",</v>
      </c>
      <c r="H2636" t="str">
        <f>QUOTIENT(ROW(A2636),48)+2&amp;"_"&amp;MOD(ROW(A2636),48)+8</f>
        <v>56_52</v>
      </c>
    </row>
    <row r="2637" spans="1:8" x14ac:dyDescent="0.2">
      <c r="A2637" s="9" t="s">
        <v>51</v>
      </c>
      <c r="C2637" t="str">
        <f>""""&amp;SUBSTITUTE(A2637,"zzz",H2637)&amp;""""&amp;","</f>
        <v>"https://www.zeldadungeon.net/maps/totk/tiles/sky/6/56_53.jpg",</v>
      </c>
      <c r="H2637" t="str">
        <f>QUOTIENT(ROW(A2637),48)+2&amp;"_"&amp;MOD(ROW(A2637),48)+8</f>
        <v>56_53</v>
      </c>
    </row>
    <row r="2638" spans="1:8" x14ac:dyDescent="0.2">
      <c r="A2638" s="9" t="s">
        <v>51</v>
      </c>
      <c r="C2638" t="str">
        <f>""""&amp;SUBSTITUTE(A2638,"zzz",H2638)&amp;""""&amp;","</f>
        <v>"https://www.zeldadungeon.net/maps/totk/tiles/sky/6/56_54.jpg",</v>
      </c>
      <c r="H2638" t="str">
        <f>QUOTIENT(ROW(A2638),48)+2&amp;"_"&amp;MOD(ROW(A2638),48)+8</f>
        <v>56_54</v>
      </c>
    </row>
    <row r="2639" spans="1:8" x14ac:dyDescent="0.2">
      <c r="A2639" s="9" t="s">
        <v>51</v>
      </c>
      <c r="C2639" t="str">
        <f>""""&amp;SUBSTITUTE(A2639,"zzz",H2639)&amp;""""&amp;","</f>
        <v>"https://www.zeldadungeon.net/maps/totk/tiles/sky/6/56_55.jpg",</v>
      </c>
      <c r="H2639" t="str">
        <f>QUOTIENT(ROW(A2639),48)+2&amp;"_"&amp;MOD(ROW(A2639),48)+8</f>
        <v>56_55</v>
      </c>
    </row>
    <row r="2640" spans="1:8" x14ac:dyDescent="0.2">
      <c r="A2640" s="9" t="s">
        <v>51</v>
      </c>
      <c r="C2640" t="str">
        <f>""""&amp;SUBSTITUTE(A2640,"zzz",H2640)&amp;""""&amp;","</f>
        <v>"https://www.zeldadungeon.net/maps/totk/tiles/sky/6/57_8.jpg",</v>
      </c>
      <c r="H2640" t="str">
        <f>QUOTIENT(ROW(A2640),48)+2&amp;"_"&amp;MOD(ROW(A2640),48)+8</f>
        <v>57_8</v>
      </c>
    </row>
    <row r="2641" spans="1:8" x14ac:dyDescent="0.2">
      <c r="A2641" s="9" t="s">
        <v>51</v>
      </c>
      <c r="C2641" t="str">
        <f>""""&amp;SUBSTITUTE(A2641,"zzz",H2641)&amp;""""&amp;","</f>
        <v>"https://www.zeldadungeon.net/maps/totk/tiles/sky/6/57_9.jpg",</v>
      </c>
      <c r="H2641" t="str">
        <f>QUOTIENT(ROW(A2641),48)+2&amp;"_"&amp;MOD(ROW(A2641),48)+8</f>
        <v>57_9</v>
      </c>
    </row>
    <row r="2642" spans="1:8" x14ac:dyDescent="0.2">
      <c r="A2642" s="9" t="s">
        <v>51</v>
      </c>
      <c r="C2642" t="str">
        <f>""""&amp;SUBSTITUTE(A2642,"zzz",H2642)&amp;""""&amp;","</f>
        <v>"https://www.zeldadungeon.net/maps/totk/tiles/sky/6/57_10.jpg",</v>
      </c>
      <c r="H2642" t="str">
        <f>QUOTIENT(ROW(A2642),48)+2&amp;"_"&amp;MOD(ROW(A2642),48)+8</f>
        <v>57_10</v>
      </c>
    </row>
    <row r="2643" spans="1:8" x14ac:dyDescent="0.2">
      <c r="A2643" s="9" t="s">
        <v>51</v>
      </c>
      <c r="C2643" t="str">
        <f>""""&amp;SUBSTITUTE(A2643,"zzz",H2643)&amp;""""&amp;","</f>
        <v>"https://www.zeldadungeon.net/maps/totk/tiles/sky/6/57_11.jpg",</v>
      </c>
      <c r="H2643" t="str">
        <f>QUOTIENT(ROW(A2643),48)+2&amp;"_"&amp;MOD(ROW(A2643),48)+8</f>
        <v>57_11</v>
      </c>
    </row>
    <row r="2644" spans="1:8" x14ac:dyDescent="0.2">
      <c r="A2644" s="9" t="s">
        <v>51</v>
      </c>
      <c r="C2644" t="str">
        <f>""""&amp;SUBSTITUTE(A2644,"zzz",H2644)&amp;""""&amp;","</f>
        <v>"https://www.zeldadungeon.net/maps/totk/tiles/sky/6/57_12.jpg",</v>
      </c>
      <c r="H2644" t="str">
        <f>QUOTIENT(ROW(A2644),48)+2&amp;"_"&amp;MOD(ROW(A2644),48)+8</f>
        <v>57_12</v>
      </c>
    </row>
    <row r="2645" spans="1:8" x14ac:dyDescent="0.2">
      <c r="A2645" s="9" t="s">
        <v>51</v>
      </c>
      <c r="C2645" t="str">
        <f>""""&amp;SUBSTITUTE(A2645,"zzz",H2645)&amp;""""&amp;","</f>
        <v>"https://www.zeldadungeon.net/maps/totk/tiles/sky/6/57_13.jpg",</v>
      </c>
      <c r="H2645" t="str">
        <f>QUOTIENT(ROW(A2645),48)+2&amp;"_"&amp;MOD(ROW(A2645),48)+8</f>
        <v>57_13</v>
      </c>
    </row>
    <row r="2646" spans="1:8" x14ac:dyDescent="0.2">
      <c r="A2646" s="9" t="s">
        <v>51</v>
      </c>
      <c r="C2646" t="str">
        <f>""""&amp;SUBSTITUTE(A2646,"zzz",H2646)&amp;""""&amp;","</f>
        <v>"https://www.zeldadungeon.net/maps/totk/tiles/sky/6/57_14.jpg",</v>
      </c>
      <c r="H2646" t="str">
        <f>QUOTIENT(ROW(A2646),48)+2&amp;"_"&amp;MOD(ROW(A2646),48)+8</f>
        <v>57_14</v>
      </c>
    </row>
    <row r="2647" spans="1:8" x14ac:dyDescent="0.2">
      <c r="A2647" s="9" t="s">
        <v>51</v>
      </c>
      <c r="C2647" t="str">
        <f>""""&amp;SUBSTITUTE(A2647,"zzz",H2647)&amp;""""&amp;","</f>
        <v>"https://www.zeldadungeon.net/maps/totk/tiles/sky/6/57_15.jpg",</v>
      </c>
      <c r="H2647" t="str">
        <f>QUOTIENT(ROW(A2647),48)+2&amp;"_"&amp;MOD(ROW(A2647),48)+8</f>
        <v>57_15</v>
      </c>
    </row>
    <row r="2648" spans="1:8" x14ac:dyDescent="0.2">
      <c r="A2648" s="9" t="s">
        <v>51</v>
      </c>
      <c r="C2648" t="str">
        <f>""""&amp;SUBSTITUTE(A2648,"zzz",H2648)&amp;""""&amp;","</f>
        <v>"https://www.zeldadungeon.net/maps/totk/tiles/sky/6/57_16.jpg",</v>
      </c>
      <c r="H2648" t="str">
        <f>QUOTIENT(ROW(A2648),48)+2&amp;"_"&amp;MOD(ROW(A2648),48)+8</f>
        <v>57_16</v>
      </c>
    </row>
    <row r="2649" spans="1:8" x14ac:dyDescent="0.2">
      <c r="A2649" s="9" t="s">
        <v>51</v>
      </c>
      <c r="C2649" t="str">
        <f>""""&amp;SUBSTITUTE(A2649,"zzz",H2649)&amp;""""&amp;","</f>
        <v>"https://www.zeldadungeon.net/maps/totk/tiles/sky/6/57_17.jpg",</v>
      </c>
      <c r="H2649" t="str">
        <f>QUOTIENT(ROW(A2649),48)+2&amp;"_"&amp;MOD(ROW(A2649),48)+8</f>
        <v>57_17</v>
      </c>
    </row>
    <row r="2650" spans="1:8" x14ac:dyDescent="0.2">
      <c r="A2650" s="9" t="s">
        <v>51</v>
      </c>
      <c r="C2650" t="str">
        <f>""""&amp;SUBSTITUTE(A2650,"zzz",H2650)&amp;""""&amp;","</f>
        <v>"https://www.zeldadungeon.net/maps/totk/tiles/sky/6/57_18.jpg",</v>
      </c>
      <c r="H2650" t="str">
        <f>QUOTIENT(ROW(A2650),48)+2&amp;"_"&amp;MOD(ROW(A2650),48)+8</f>
        <v>57_18</v>
      </c>
    </row>
    <row r="2651" spans="1:8" x14ac:dyDescent="0.2">
      <c r="A2651" s="9" t="s">
        <v>51</v>
      </c>
      <c r="C2651" t="str">
        <f>""""&amp;SUBSTITUTE(A2651,"zzz",H2651)&amp;""""&amp;","</f>
        <v>"https://www.zeldadungeon.net/maps/totk/tiles/sky/6/57_19.jpg",</v>
      </c>
      <c r="H2651" t="str">
        <f>QUOTIENT(ROW(A2651),48)+2&amp;"_"&amp;MOD(ROW(A2651),48)+8</f>
        <v>57_19</v>
      </c>
    </row>
    <row r="2652" spans="1:8" x14ac:dyDescent="0.2">
      <c r="A2652" s="9" t="s">
        <v>51</v>
      </c>
      <c r="C2652" t="str">
        <f>""""&amp;SUBSTITUTE(A2652,"zzz",H2652)&amp;""""&amp;","</f>
        <v>"https://www.zeldadungeon.net/maps/totk/tiles/sky/6/57_20.jpg",</v>
      </c>
      <c r="H2652" t="str">
        <f>QUOTIENT(ROW(A2652),48)+2&amp;"_"&amp;MOD(ROW(A2652),48)+8</f>
        <v>57_20</v>
      </c>
    </row>
    <row r="2653" spans="1:8" x14ac:dyDescent="0.2">
      <c r="A2653" s="9" t="s">
        <v>51</v>
      </c>
      <c r="C2653" t="str">
        <f>""""&amp;SUBSTITUTE(A2653,"zzz",H2653)&amp;""""&amp;","</f>
        <v>"https://www.zeldadungeon.net/maps/totk/tiles/sky/6/57_21.jpg",</v>
      </c>
      <c r="H2653" t="str">
        <f>QUOTIENT(ROW(A2653),48)+2&amp;"_"&amp;MOD(ROW(A2653),48)+8</f>
        <v>57_21</v>
      </c>
    </row>
    <row r="2654" spans="1:8" x14ac:dyDescent="0.2">
      <c r="A2654" s="9" t="s">
        <v>51</v>
      </c>
      <c r="C2654" t="str">
        <f>""""&amp;SUBSTITUTE(A2654,"zzz",H2654)&amp;""""&amp;","</f>
        <v>"https://www.zeldadungeon.net/maps/totk/tiles/sky/6/57_22.jpg",</v>
      </c>
      <c r="H2654" t="str">
        <f>QUOTIENT(ROW(A2654),48)+2&amp;"_"&amp;MOD(ROW(A2654),48)+8</f>
        <v>57_22</v>
      </c>
    </row>
    <row r="2655" spans="1:8" x14ac:dyDescent="0.2">
      <c r="A2655" s="9" t="s">
        <v>51</v>
      </c>
      <c r="C2655" t="str">
        <f>""""&amp;SUBSTITUTE(A2655,"zzz",H2655)&amp;""""&amp;","</f>
        <v>"https://www.zeldadungeon.net/maps/totk/tiles/sky/6/57_23.jpg",</v>
      </c>
      <c r="H2655" t="str">
        <f>QUOTIENT(ROW(A2655),48)+2&amp;"_"&amp;MOD(ROW(A2655),48)+8</f>
        <v>57_23</v>
      </c>
    </row>
    <row r="2656" spans="1:8" x14ac:dyDescent="0.2">
      <c r="A2656" s="9" t="s">
        <v>51</v>
      </c>
      <c r="C2656" t="str">
        <f>""""&amp;SUBSTITUTE(A2656,"zzz",H2656)&amp;""""&amp;","</f>
        <v>"https://www.zeldadungeon.net/maps/totk/tiles/sky/6/57_24.jpg",</v>
      </c>
      <c r="H2656" t="str">
        <f>QUOTIENT(ROW(A2656),48)+2&amp;"_"&amp;MOD(ROW(A2656),48)+8</f>
        <v>57_24</v>
      </c>
    </row>
    <row r="2657" spans="1:8" x14ac:dyDescent="0.2">
      <c r="A2657" s="9" t="s">
        <v>51</v>
      </c>
      <c r="C2657" t="str">
        <f>""""&amp;SUBSTITUTE(A2657,"zzz",H2657)&amp;""""&amp;","</f>
        <v>"https://www.zeldadungeon.net/maps/totk/tiles/sky/6/57_25.jpg",</v>
      </c>
      <c r="H2657" t="str">
        <f>QUOTIENT(ROW(A2657),48)+2&amp;"_"&amp;MOD(ROW(A2657),48)+8</f>
        <v>57_25</v>
      </c>
    </row>
    <row r="2658" spans="1:8" x14ac:dyDescent="0.2">
      <c r="A2658" s="9" t="s">
        <v>51</v>
      </c>
      <c r="C2658" t="str">
        <f>""""&amp;SUBSTITUTE(A2658,"zzz",H2658)&amp;""""&amp;","</f>
        <v>"https://www.zeldadungeon.net/maps/totk/tiles/sky/6/57_26.jpg",</v>
      </c>
      <c r="H2658" t="str">
        <f>QUOTIENT(ROW(A2658),48)+2&amp;"_"&amp;MOD(ROW(A2658),48)+8</f>
        <v>57_26</v>
      </c>
    </row>
    <row r="2659" spans="1:8" x14ac:dyDescent="0.2">
      <c r="A2659" s="9" t="s">
        <v>51</v>
      </c>
      <c r="C2659" t="str">
        <f>""""&amp;SUBSTITUTE(A2659,"zzz",H2659)&amp;""""&amp;","</f>
        <v>"https://www.zeldadungeon.net/maps/totk/tiles/sky/6/57_27.jpg",</v>
      </c>
      <c r="H2659" t="str">
        <f>QUOTIENT(ROW(A2659),48)+2&amp;"_"&amp;MOD(ROW(A2659),48)+8</f>
        <v>57_27</v>
      </c>
    </row>
    <row r="2660" spans="1:8" x14ac:dyDescent="0.2">
      <c r="A2660" s="9" t="s">
        <v>51</v>
      </c>
      <c r="C2660" t="str">
        <f>""""&amp;SUBSTITUTE(A2660,"zzz",H2660)&amp;""""&amp;","</f>
        <v>"https://www.zeldadungeon.net/maps/totk/tiles/sky/6/57_28.jpg",</v>
      </c>
      <c r="H2660" t="str">
        <f>QUOTIENT(ROW(A2660),48)+2&amp;"_"&amp;MOD(ROW(A2660),48)+8</f>
        <v>57_28</v>
      </c>
    </row>
    <row r="2661" spans="1:8" x14ac:dyDescent="0.2">
      <c r="A2661" s="9" t="s">
        <v>51</v>
      </c>
      <c r="C2661" t="str">
        <f>""""&amp;SUBSTITUTE(A2661,"zzz",H2661)&amp;""""&amp;","</f>
        <v>"https://www.zeldadungeon.net/maps/totk/tiles/sky/6/57_29.jpg",</v>
      </c>
      <c r="H2661" t="str">
        <f>QUOTIENT(ROW(A2661),48)+2&amp;"_"&amp;MOD(ROW(A2661),48)+8</f>
        <v>57_29</v>
      </c>
    </row>
    <row r="2662" spans="1:8" x14ac:dyDescent="0.2">
      <c r="A2662" s="9" t="s">
        <v>51</v>
      </c>
      <c r="C2662" t="str">
        <f>""""&amp;SUBSTITUTE(A2662,"zzz",H2662)&amp;""""&amp;","</f>
        <v>"https://www.zeldadungeon.net/maps/totk/tiles/sky/6/57_30.jpg",</v>
      </c>
      <c r="H2662" t="str">
        <f>QUOTIENT(ROW(A2662),48)+2&amp;"_"&amp;MOD(ROW(A2662),48)+8</f>
        <v>57_30</v>
      </c>
    </row>
    <row r="2663" spans="1:8" x14ac:dyDescent="0.2">
      <c r="A2663" s="9" t="s">
        <v>51</v>
      </c>
      <c r="C2663" t="str">
        <f>""""&amp;SUBSTITUTE(A2663,"zzz",H2663)&amp;""""&amp;","</f>
        <v>"https://www.zeldadungeon.net/maps/totk/tiles/sky/6/57_31.jpg",</v>
      </c>
      <c r="H2663" t="str">
        <f>QUOTIENT(ROW(A2663),48)+2&amp;"_"&amp;MOD(ROW(A2663),48)+8</f>
        <v>57_31</v>
      </c>
    </row>
    <row r="2664" spans="1:8" x14ac:dyDescent="0.2">
      <c r="A2664" s="9" t="s">
        <v>51</v>
      </c>
      <c r="C2664" t="str">
        <f>""""&amp;SUBSTITUTE(A2664,"zzz",H2664)&amp;""""&amp;","</f>
        <v>"https://www.zeldadungeon.net/maps/totk/tiles/sky/6/57_32.jpg",</v>
      </c>
      <c r="H2664" t="str">
        <f>QUOTIENT(ROW(A2664),48)+2&amp;"_"&amp;MOD(ROW(A2664),48)+8</f>
        <v>57_32</v>
      </c>
    </row>
    <row r="2665" spans="1:8" x14ac:dyDescent="0.2">
      <c r="A2665" s="9" t="s">
        <v>51</v>
      </c>
      <c r="C2665" t="str">
        <f>""""&amp;SUBSTITUTE(A2665,"zzz",H2665)&amp;""""&amp;","</f>
        <v>"https://www.zeldadungeon.net/maps/totk/tiles/sky/6/57_33.jpg",</v>
      </c>
      <c r="H2665" t="str">
        <f>QUOTIENT(ROW(A2665),48)+2&amp;"_"&amp;MOD(ROW(A2665),48)+8</f>
        <v>57_33</v>
      </c>
    </row>
    <row r="2666" spans="1:8" x14ac:dyDescent="0.2">
      <c r="A2666" s="9" t="s">
        <v>51</v>
      </c>
      <c r="C2666" t="str">
        <f>""""&amp;SUBSTITUTE(A2666,"zzz",H2666)&amp;""""&amp;","</f>
        <v>"https://www.zeldadungeon.net/maps/totk/tiles/sky/6/57_34.jpg",</v>
      </c>
      <c r="H2666" t="str">
        <f>QUOTIENT(ROW(A2666),48)+2&amp;"_"&amp;MOD(ROW(A2666),48)+8</f>
        <v>57_34</v>
      </c>
    </row>
    <row r="2667" spans="1:8" x14ac:dyDescent="0.2">
      <c r="A2667" s="9" t="s">
        <v>51</v>
      </c>
      <c r="C2667" t="str">
        <f>""""&amp;SUBSTITUTE(A2667,"zzz",H2667)&amp;""""&amp;","</f>
        <v>"https://www.zeldadungeon.net/maps/totk/tiles/sky/6/57_35.jpg",</v>
      </c>
      <c r="H2667" t="str">
        <f>QUOTIENT(ROW(A2667),48)+2&amp;"_"&amp;MOD(ROW(A2667),48)+8</f>
        <v>57_35</v>
      </c>
    </row>
    <row r="2668" spans="1:8" x14ac:dyDescent="0.2">
      <c r="A2668" s="9" t="s">
        <v>51</v>
      </c>
      <c r="C2668" t="str">
        <f>""""&amp;SUBSTITUTE(A2668,"zzz",H2668)&amp;""""&amp;","</f>
        <v>"https://www.zeldadungeon.net/maps/totk/tiles/sky/6/57_36.jpg",</v>
      </c>
      <c r="H2668" t="str">
        <f>QUOTIENT(ROW(A2668),48)+2&amp;"_"&amp;MOD(ROW(A2668),48)+8</f>
        <v>57_36</v>
      </c>
    </row>
    <row r="2669" spans="1:8" x14ac:dyDescent="0.2">
      <c r="A2669" s="9" t="s">
        <v>51</v>
      </c>
      <c r="C2669" t="str">
        <f>""""&amp;SUBSTITUTE(A2669,"zzz",H2669)&amp;""""&amp;","</f>
        <v>"https://www.zeldadungeon.net/maps/totk/tiles/sky/6/57_37.jpg",</v>
      </c>
      <c r="H2669" t="str">
        <f>QUOTIENT(ROW(A2669),48)+2&amp;"_"&amp;MOD(ROW(A2669),48)+8</f>
        <v>57_37</v>
      </c>
    </row>
    <row r="2670" spans="1:8" x14ac:dyDescent="0.2">
      <c r="A2670" s="9" t="s">
        <v>51</v>
      </c>
      <c r="C2670" t="str">
        <f>""""&amp;SUBSTITUTE(A2670,"zzz",H2670)&amp;""""&amp;","</f>
        <v>"https://www.zeldadungeon.net/maps/totk/tiles/sky/6/57_38.jpg",</v>
      </c>
      <c r="H2670" t="str">
        <f>QUOTIENT(ROW(A2670),48)+2&amp;"_"&amp;MOD(ROW(A2670),48)+8</f>
        <v>57_38</v>
      </c>
    </row>
    <row r="2671" spans="1:8" x14ac:dyDescent="0.2">
      <c r="A2671" s="9" t="s">
        <v>51</v>
      </c>
      <c r="C2671" t="str">
        <f>""""&amp;SUBSTITUTE(A2671,"zzz",H2671)&amp;""""&amp;","</f>
        <v>"https://www.zeldadungeon.net/maps/totk/tiles/sky/6/57_39.jpg",</v>
      </c>
      <c r="H2671" t="str">
        <f>QUOTIENT(ROW(A2671),48)+2&amp;"_"&amp;MOD(ROW(A2671),48)+8</f>
        <v>57_39</v>
      </c>
    </row>
    <row r="2672" spans="1:8" x14ac:dyDescent="0.2">
      <c r="A2672" s="9" t="s">
        <v>51</v>
      </c>
      <c r="C2672" t="str">
        <f>""""&amp;SUBSTITUTE(A2672,"zzz",H2672)&amp;""""&amp;","</f>
        <v>"https://www.zeldadungeon.net/maps/totk/tiles/sky/6/57_40.jpg",</v>
      </c>
      <c r="H2672" t="str">
        <f>QUOTIENT(ROW(A2672),48)+2&amp;"_"&amp;MOD(ROW(A2672),48)+8</f>
        <v>57_40</v>
      </c>
    </row>
    <row r="2673" spans="1:8" x14ac:dyDescent="0.2">
      <c r="A2673" s="9" t="s">
        <v>51</v>
      </c>
      <c r="C2673" t="str">
        <f>""""&amp;SUBSTITUTE(A2673,"zzz",H2673)&amp;""""&amp;","</f>
        <v>"https://www.zeldadungeon.net/maps/totk/tiles/sky/6/57_41.jpg",</v>
      </c>
      <c r="H2673" t="str">
        <f>QUOTIENT(ROW(A2673),48)+2&amp;"_"&amp;MOD(ROW(A2673),48)+8</f>
        <v>57_41</v>
      </c>
    </row>
    <row r="2674" spans="1:8" x14ac:dyDescent="0.2">
      <c r="A2674" s="9" t="s">
        <v>51</v>
      </c>
      <c r="C2674" t="str">
        <f>""""&amp;SUBSTITUTE(A2674,"zzz",H2674)&amp;""""&amp;","</f>
        <v>"https://www.zeldadungeon.net/maps/totk/tiles/sky/6/57_42.jpg",</v>
      </c>
      <c r="H2674" t="str">
        <f>QUOTIENT(ROW(A2674),48)+2&amp;"_"&amp;MOD(ROW(A2674),48)+8</f>
        <v>57_42</v>
      </c>
    </row>
    <row r="2675" spans="1:8" x14ac:dyDescent="0.2">
      <c r="A2675" s="9" t="s">
        <v>51</v>
      </c>
      <c r="C2675" t="str">
        <f>""""&amp;SUBSTITUTE(A2675,"zzz",H2675)&amp;""""&amp;","</f>
        <v>"https://www.zeldadungeon.net/maps/totk/tiles/sky/6/57_43.jpg",</v>
      </c>
      <c r="H2675" t="str">
        <f>QUOTIENT(ROW(A2675),48)+2&amp;"_"&amp;MOD(ROW(A2675),48)+8</f>
        <v>57_43</v>
      </c>
    </row>
    <row r="2676" spans="1:8" x14ac:dyDescent="0.2">
      <c r="A2676" s="9" t="s">
        <v>51</v>
      </c>
      <c r="C2676" t="str">
        <f>""""&amp;SUBSTITUTE(A2676,"zzz",H2676)&amp;""""&amp;","</f>
        <v>"https://www.zeldadungeon.net/maps/totk/tiles/sky/6/57_44.jpg",</v>
      </c>
      <c r="H2676" t="str">
        <f>QUOTIENT(ROW(A2676),48)+2&amp;"_"&amp;MOD(ROW(A2676),48)+8</f>
        <v>57_44</v>
      </c>
    </row>
    <row r="2677" spans="1:8" x14ac:dyDescent="0.2">
      <c r="A2677" s="9" t="s">
        <v>51</v>
      </c>
      <c r="C2677" t="str">
        <f>""""&amp;SUBSTITUTE(A2677,"zzz",H2677)&amp;""""&amp;","</f>
        <v>"https://www.zeldadungeon.net/maps/totk/tiles/sky/6/57_45.jpg",</v>
      </c>
      <c r="H2677" t="str">
        <f>QUOTIENT(ROW(A2677),48)+2&amp;"_"&amp;MOD(ROW(A2677),48)+8</f>
        <v>57_45</v>
      </c>
    </row>
    <row r="2678" spans="1:8" x14ac:dyDescent="0.2">
      <c r="A2678" s="9" t="s">
        <v>51</v>
      </c>
      <c r="C2678" t="str">
        <f>""""&amp;SUBSTITUTE(A2678,"zzz",H2678)&amp;""""&amp;","</f>
        <v>"https://www.zeldadungeon.net/maps/totk/tiles/sky/6/57_46.jpg",</v>
      </c>
      <c r="H2678" t="str">
        <f>QUOTIENT(ROW(A2678),48)+2&amp;"_"&amp;MOD(ROW(A2678),48)+8</f>
        <v>57_46</v>
      </c>
    </row>
    <row r="2679" spans="1:8" x14ac:dyDescent="0.2">
      <c r="A2679" s="9" t="s">
        <v>51</v>
      </c>
      <c r="C2679" t="str">
        <f>""""&amp;SUBSTITUTE(A2679,"zzz",H2679)&amp;""""&amp;","</f>
        <v>"https://www.zeldadungeon.net/maps/totk/tiles/sky/6/57_47.jpg",</v>
      </c>
      <c r="H2679" t="str">
        <f>QUOTIENT(ROW(A2679),48)+2&amp;"_"&amp;MOD(ROW(A2679),48)+8</f>
        <v>57_47</v>
      </c>
    </row>
    <row r="2680" spans="1:8" x14ac:dyDescent="0.2">
      <c r="A2680" s="9" t="s">
        <v>51</v>
      </c>
      <c r="C2680" t="str">
        <f>""""&amp;SUBSTITUTE(A2680,"zzz",H2680)&amp;""""&amp;","</f>
        <v>"https://www.zeldadungeon.net/maps/totk/tiles/sky/6/57_48.jpg",</v>
      </c>
      <c r="H2680" t="str">
        <f>QUOTIENT(ROW(A2680),48)+2&amp;"_"&amp;MOD(ROW(A2680),48)+8</f>
        <v>57_48</v>
      </c>
    </row>
    <row r="2681" spans="1:8" x14ac:dyDescent="0.2">
      <c r="A2681" s="9" t="s">
        <v>51</v>
      </c>
      <c r="C2681" t="str">
        <f>""""&amp;SUBSTITUTE(A2681,"zzz",H2681)&amp;""""&amp;","</f>
        <v>"https://www.zeldadungeon.net/maps/totk/tiles/sky/6/57_49.jpg",</v>
      </c>
      <c r="H2681" t="str">
        <f>QUOTIENT(ROW(A2681),48)+2&amp;"_"&amp;MOD(ROW(A2681),48)+8</f>
        <v>57_49</v>
      </c>
    </row>
    <row r="2682" spans="1:8" x14ac:dyDescent="0.2">
      <c r="A2682" s="9" t="s">
        <v>51</v>
      </c>
      <c r="C2682" t="str">
        <f>""""&amp;SUBSTITUTE(A2682,"zzz",H2682)&amp;""""&amp;","</f>
        <v>"https://www.zeldadungeon.net/maps/totk/tiles/sky/6/57_50.jpg",</v>
      </c>
      <c r="H2682" t="str">
        <f>QUOTIENT(ROW(A2682),48)+2&amp;"_"&amp;MOD(ROW(A2682),48)+8</f>
        <v>57_50</v>
      </c>
    </row>
    <row r="2683" spans="1:8" x14ac:dyDescent="0.2">
      <c r="A2683" s="9" t="s">
        <v>51</v>
      </c>
      <c r="C2683" t="str">
        <f>""""&amp;SUBSTITUTE(A2683,"zzz",H2683)&amp;""""&amp;","</f>
        <v>"https://www.zeldadungeon.net/maps/totk/tiles/sky/6/57_51.jpg",</v>
      </c>
      <c r="H2683" t="str">
        <f>QUOTIENT(ROW(A2683),48)+2&amp;"_"&amp;MOD(ROW(A2683),48)+8</f>
        <v>57_51</v>
      </c>
    </row>
    <row r="2684" spans="1:8" x14ac:dyDescent="0.2">
      <c r="A2684" s="9" t="s">
        <v>51</v>
      </c>
      <c r="C2684" t="str">
        <f>""""&amp;SUBSTITUTE(A2684,"zzz",H2684)&amp;""""&amp;","</f>
        <v>"https://www.zeldadungeon.net/maps/totk/tiles/sky/6/57_52.jpg",</v>
      </c>
      <c r="H2684" t="str">
        <f>QUOTIENT(ROW(A2684),48)+2&amp;"_"&amp;MOD(ROW(A2684),48)+8</f>
        <v>57_52</v>
      </c>
    </row>
    <row r="2685" spans="1:8" x14ac:dyDescent="0.2">
      <c r="A2685" s="9" t="s">
        <v>51</v>
      </c>
      <c r="C2685" t="str">
        <f>""""&amp;SUBSTITUTE(A2685,"zzz",H2685)&amp;""""&amp;","</f>
        <v>"https://www.zeldadungeon.net/maps/totk/tiles/sky/6/57_53.jpg",</v>
      </c>
      <c r="H2685" t="str">
        <f>QUOTIENT(ROW(A2685),48)+2&amp;"_"&amp;MOD(ROW(A2685),48)+8</f>
        <v>57_53</v>
      </c>
    </row>
    <row r="2686" spans="1:8" x14ac:dyDescent="0.2">
      <c r="A2686" s="9" t="s">
        <v>51</v>
      </c>
      <c r="C2686" t="str">
        <f>""""&amp;SUBSTITUTE(A2686,"zzz",H2686)&amp;""""&amp;","</f>
        <v>"https://www.zeldadungeon.net/maps/totk/tiles/sky/6/57_54.jpg",</v>
      </c>
      <c r="H2686" t="str">
        <f>QUOTIENT(ROW(A2686),48)+2&amp;"_"&amp;MOD(ROW(A2686),48)+8</f>
        <v>57_54</v>
      </c>
    </row>
    <row r="2687" spans="1:8" x14ac:dyDescent="0.2">
      <c r="A2687" s="9" t="s">
        <v>51</v>
      </c>
      <c r="C2687" t="str">
        <f>""""&amp;SUBSTITUTE(A2687,"zzz",H2687)&amp;""""&amp;","</f>
        <v>"https://www.zeldadungeon.net/maps/totk/tiles/sky/6/57_55.jpg",</v>
      </c>
      <c r="H2687" t="str">
        <f>QUOTIENT(ROW(A2687),48)+2&amp;"_"&amp;MOD(ROW(A2687),48)+8</f>
        <v>57_55</v>
      </c>
    </row>
    <row r="2688" spans="1:8" x14ac:dyDescent="0.2">
      <c r="A2688" s="9" t="s">
        <v>51</v>
      </c>
      <c r="C2688" t="str">
        <f>""""&amp;SUBSTITUTE(A2688,"zzz",H2688)&amp;""""&amp;","</f>
        <v>"https://www.zeldadungeon.net/maps/totk/tiles/sky/6/58_8.jpg",</v>
      </c>
      <c r="H2688" t="str">
        <f>QUOTIENT(ROW(A2688),48)+2&amp;"_"&amp;MOD(ROW(A2688),48)+8</f>
        <v>58_8</v>
      </c>
    </row>
    <row r="2689" spans="1:8" x14ac:dyDescent="0.2">
      <c r="A2689" s="9" t="s">
        <v>51</v>
      </c>
      <c r="C2689" t="str">
        <f>""""&amp;SUBSTITUTE(A2689,"zzz",H2689)&amp;""""&amp;","</f>
        <v>"https://www.zeldadungeon.net/maps/totk/tiles/sky/6/58_9.jpg",</v>
      </c>
      <c r="H2689" t="str">
        <f>QUOTIENT(ROW(A2689),48)+2&amp;"_"&amp;MOD(ROW(A2689),48)+8</f>
        <v>58_9</v>
      </c>
    </row>
    <row r="2690" spans="1:8" x14ac:dyDescent="0.2">
      <c r="A2690" s="9" t="s">
        <v>51</v>
      </c>
      <c r="C2690" t="str">
        <f>""""&amp;SUBSTITUTE(A2690,"zzz",H2690)&amp;""""&amp;","</f>
        <v>"https://www.zeldadungeon.net/maps/totk/tiles/sky/6/58_10.jpg",</v>
      </c>
      <c r="H2690" t="str">
        <f>QUOTIENT(ROW(A2690),48)+2&amp;"_"&amp;MOD(ROW(A2690),48)+8</f>
        <v>58_10</v>
      </c>
    </row>
    <row r="2691" spans="1:8" x14ac:dyDescent="0.2">
      <c r="A2691" s="9" t="s">
        <v>51</v>
      </c>
      <c r="C2691" t="str">
        <f>""""&amp;SUBSTITUTE(A2691,"zzz",H2691)&amp;""""&amp;","</f>
        <v>"https://www.zeldadungeon.net/maps/totk/tiles/sky/6/58_11.jpg",</v>
      </c>
      <c r="H2691" t="str">
        <f>QUOTIENT(ROW(A2691),48)+2&amp;"_"&amp;MOD(ROW(A2691),48)+8</f>
        <v>58_11</v>
      </c>
    </row>
    <row r="2692" spans="1:8" x14ac:dyDescent="0.2">
      <c r="A2692" s="9" t="s">
        <v>51</v>
      </c>
      <c r="C2692" t="str">
        <f>""""&amp;SUBSTITUTE(A2692,"zzz",H2692)&amp;""""&amp;","</f>
        <v>"https://www.zeldadungeon.net/maps/totk/tiles/sky/6/58_12.jpg",</v>
      </c>
      <c r="H2692" t="str">
        <f>QUOTIENT(ROW(A2692),48)+2&amp;"_"&amp;MOD(ROW(A2692),48)+8</f>
        <v>58_12</v>
      </c>
    </row>
    <row r="2693" spans="1:8" x14ac:dyDescent="0.2">
      <c r="A2693" s="9" t="s">
        <v>51</v>
      </c>
      <c r="C2693" t="str">
        <f>""""&amp;SUBSTITUTE(A2693,"zzz",H2693)&amp;""""&amp;","</f>
        <v>"https://www.zeldadungeon.net/maps/totk/tiles/sky/6/58_13.jpg",</v>
      </c>
      <c r="H2693" t="str">
        <f>QUOTIENT(ROW(A2693),48)+2&amp;"_"&amp;MOD(ROW(A2693),48)+8</f>
        <v>58_13</v>
      </c>
    </row>
    <row r="2694" spans="1:8" x14ac:dyDescent="0.2">
      <c r="A2694" s="9" t="s">
        <v>51</v>
      </c>
      <c r="C2694" t="str">
        <f>""""&amp;SUBSTITUTE(A2694,"zzz",H2694)&amp;""""&amp;","</f>
        <v>"https://www.zeldadungeon.net/maps/totk/tiles/sky/6/58_14.jpg",</v>
      </c>
      <c r="H2694" t="str">
        <f>QUOTIENT(ROW(A2694),48)+2&amp;"_"&amp;MOD(ROW(A2694),48)+8</f>
        <v>58_14</v>
      </c>
    </row>
    <row r="2695" spans="1:8" x14ac:dyDescent="0.2">
      <c r="A2695" s="9" t="s">
        <v>51</v>
      </c>
      <c r="C2695" t="str">
        <f>""""&amp;SUBSTITUTE(A2695,"zzz",H2695)&amp;""""&amp;","</f>
        <v>"https://www.zeldadungeon.net/maps/totk/tiles/sky/6/58_15.jpg",</v>
      </c>
      <c r="H2695" t="str">
        <f>QUOTIENT(ROW(A2695),48)+2&amp;"_"&amp;MOD(ROW(A2695),48)+8</f>
        <v>58_15</v>
      </c>
    </row>
    <row r="2696" spans="1:8" x14ac:dyDescent="0.2">
      <c r="A2696" s="9" t="s">
        <v>51</v>
      </c>
      <c r="C2696" t="str">
        <f>""""&amp;SUBSTITUTE(A2696,"zzz",H2696)&amp;""""&amp;","</f>
        <v>"https://www.zeldadungeon.net/maps/totk/tiles/sky/6/58_16.jpg",</v>
      </c>
      <c r="H2696" t="str">
        <f>QUOTIENT(ROW(A2696),48)+2&amp;"_"&amp;MOD(ROW(A2696),48)+8</f>
        <v>58_16</v>
      </c>
    </row>
    <row r="2697" spans="1:8" x14ac:dyDescent="0.2">
      <c r="A2697" s="9" t="s">
        <v>51</v>
      </c>
      <c r="C2697" t="str">
        <f>""""&amp;SUBSTITUTE(A2697,"zzz",H2697)&amp;""""&amp;","</f>
        <v>"https://www.zeldadungeon.net/maps/totk/tiles/sky/6/58_17.jpg",</v>
      </c>
      <c r="H2697" t="str">
        <f>QUOTIENT(ROW(A2697),48)+2&amp;"_"&amp;MOD(ROW(A2697),48)+8</f>
        <v>58_17</v>
      </c>
    </row>
    <row r="2698" spans="1:8" x14ac:dyDescent="0.2">
      <c r="A2698" s="9" t="s">
        <v>51</v>
      </c>
      <c r="C2698" t="str">
        <f>""""&amp;SUBSTITUTE(A2698,"zzz",H2698)&amp;""""&amp;","</f>
        <v>"https://www.zeldadungeon.net/maps/totk/tiles/sky/6/58_18.jpg",</v>
      </c>
      <c r="H2698" t="str">
        <f>QUOTIENT(ROW(A2698),48)+2&amp;"_"&amp;MOD(ROW(A2698),48)+8</f>
        <v>58_18</v>
      </c>
    </row>
    <row r="2699" spans="1:8" x14ac:dyDescent="0.2">
      <c r="A2699" s="9" t="s">
        <v>51</v>
      </c>
      <c r="C2699" t="str">
        <f>""""&amp;SUBSTITUTE(A2699,"zzz",H2699)&amp;""""&amp;","</f>
        <v>"https://www.zeldadungeon.net/maps/totk/tiles/sky/6/58_19.jpg",</v>
      </c>
      <c r="H2699" t="str">
        <f>QUOTIENT(ROW(A2699),48)+2&amp;"_"&amp;MOD(ROW(A2699),48)+8</f>
        <v>58_19</v>
      </c>
    </row>
    <row r="2700" spans="1:8" x14ac:dyDescent="0.2">
      <c r="A2700" s="9" t="s">
        <v>51</v>
      </c>
      <c r="C2700" t="str">
        <f>""""&amp;SUBSTITUTE(A2700,"zzz",H2700)&amp;""""&amp;","</f>
        <v>"https://www.zeldadungeon.net/maps/totk/tiles/sky/6/58_20.jpg",</v>
      </c>
      <c r="H2700" t="str">
        <f>QUOTIENT(ROW(A2700),48)+2&amp;"_"&amp;MOD(ROW(A2700),48)+8</f>
        <v>58_20</v>
      </c>
    </row>
    <row r="2701" spans="1:8" x14ac:dyDescent="0.2">
      <c r="A2701" s="9" t="s">
        <v>51</v>
      </c>
      <c r="C2701" t="str">
        <f>""""&amp;SUBSTITUTE(A2701,"zzz",H2701)&amp;""""&amp;","</f>
        <v>"https://www.zeldadungeon.net/maps/totk/tiles/sky/6/58_21.jpg",</v>
      </c>
      <c r="H2701" t="str">
        <f>QUOTIENT(ROW(A2701),48)+2&amp;"_"&amp;MOD(ROW(A2701),48)+8</f>
        <v>58_21</v>
      </c>
    </row>
    <row r="2702" spans="1:8" x14ac:dyDescent="0.2">
      <c r="A2702" s="9" t="s">
        <v>51</v>
      </c>
      <c r="C2702" t="str">
        <f>""""&amp;SUBSTITUTE(A2702,"zzz",H2702)&amp;""""&amp;","</f>
        <v>"https://www.zeldadungeon.net/maps/totk/tiles/sky/6/58_22.jpg",</v>
      </c>
      <c r="H2702" t="str">
        <f>QUOTIENT(ROW(A2702),48)+2&amp;"_"&amp;MOD(ROW(A2702),48)+8</f>
        <v>58_22</v>
      </c>
    </row>
    <row r="2703" spans="1:8" x14ac:dyDescent="0.2">
      <c r="A2703" s="9" t="s">
        <v>51</v>
      </c>
      <c r="C2703" t="str">
        <f>""""&amp;SUBSTITUTE(A2703,"zzz",H2703)&amp;""""&amp;","</f>
        <v>"https://www.zeldadungeon.net/maps/totk/tiles/sky/6/58_23.jpg",</v>
      </c>
      <c r="H2703" t="str">
        <f>QUOTIENT(ROW(A2703),48)+2&amp;"_"&amp;MOD(ROW(A2703),48)+8</f>
        <v>58_23</v>
      </c>
    </row>
    <row r="2704" spans="1:8" x14ac:dyDescent="0.2">
      <c r="A2704" s="9" t="s">
        <v>51</v>
      </c>
      <c r="C2704" t="str">
        <f>""""&amp;SUBSTITUTE(A2704,"zzz",H2704)&amp;""""&amp;","</f>
        <v>"https://www.zeldadungeon.net/maps/totk/tiles/sky/6/58_24.jpg",</v>
      </c>
      <c r="H2704" t="str">
        <f>QUOTIENT(ROW(A2704),48)+2&amp;"_"&amp;MOD(ROW(A2704),48)+8</f>
        <v>58_24</v>
      </c>
    </row>
    <row r="2705" spans="1:8" x14ac:dyDescent="0.2">
      <c r="A2705" s="9" t="s">
        <v>51</v>
      </c>
      <c r="C2705" t="str">
        <f>""""&amp;SUBSTITUTE(A2705,"zzz",H2705)&amp;""""&amp;","</f>
        <v>"https://www.zeldadungeon.net/maps/totk/tiles/sky/6/58_25.jpg",</v>
      </c>
      <c r="H2705" t="str">
        <f>QUOTIENT(ROW(A2705),48)+2&amp;"_"&amp;MOD(ROW(A2705),48)+8</f>
        <v>58_25</v>
      </c>
    </row>
    <row r="2706" spans="1:8" x14ac:dyDescent="0.2">
      <c r="A2706" s="9" t="s">
        <v>51</v>
      </c>
      <c r="C2706" t="str">
        <f>""""&amp;SUBSTITUTE(A2706,"zzz",H2706)&amp;""""&amp;","</f>
        <v>"https://www.zeldadungeon.net/maps/totk/tiles/sky/6/58_26.jpg",</v>
      </c>
      <c r="H2706" t="str">
        <f>QUOTIENT(ROW(A2706),48)+2&amp;"_"&amp;MOD(ROW(A2706),48)+8</f>
        <v>58_26</v>
      </c>
    </row>
    <row r="2707" spans="1:8" x14ac:dyDescent="0.2">
      <c r="A2707" s="9" t="s">
        <v>51</v>
      </c>
      <c r="C2707" t="str">
        <f>""""&amp;SUBSTITUTE(A2707,"zzz",H2707)&amp;""""&amp;","</f>
        <v>"https://www.zeldadungeon.net/maps/totk/tiles/sky/6/58_27.jpg",</v>
      </c>
      <c r="H2707" t="str">
        <f>QUOTIENT(ROW(A2707),48)+2&amp;"_"&amp;MOD(ROW(A2707),48)+8</f>
        <v>58_27</v>
      </c>
    </row>
    <row r="2708" spans="1:8" x14ac:dyDescent="0.2">
      <c r="A2708" s="9" t="s">
        <v>51</v>
      </c>
      <c r="C2708" t="str">
        <f>""""&amp;SUBSTITUTE(A2708,"zzz",H2708)&amp;""""&amp;","</f>
        <v>"https://www.zeldadungeon.net/maps/totk/tiles/sky/6/58_28.jpg",</v>
      </c>
      <c r="H2708" t="str">
        <f>QUOTIENT(ROW(A2708),48)+2&amp;"_"&amp;MOD(ROW(A2708),48)+8</f>
        <v>58_28</v>
      </c>
    </row>
    <row r="2709" spans="1:8" x14ac:dyDescent="0.2">
      <c r="A2709" s="9" t="s">
        <v>51</v>
      </c>
      <c r="C2709" t="str">
        <f>""""&amp;SUBSTITUTE(A2709,"zzz",H2709)&amp;""""&amp;","</f>
        <v>"https://www.zeldadungeon.net/maps/totk/tiles/sky/6/58_29.jpg",</v>
      </c>
      <c r="H2709" t="str">
        <f>QUOTIENT(ROW(A2709),48)+2&amp;"_"&amp;MOD(ROW(A2709),48)+8</f>
        <v>58_29</v>
      </c>
    </row>
    <row r="2710" spans="1:8" x14ac:dyDescent="0.2">
      <c r="A2710" s="9" t="s">
        <v>51</v>
      </c>
      <c r="C2710" t="str">
        <f>""""&amp;SUBSTITUTE(A2710,"zzz",H2710)&amp;""""&amp;","</f>
        <v>"https://www.zeldadungeon.net/maps/totk/tiles/sky/6/58_30.jpg",</v>
      </c>
      <c r="H2710" t="str">
        <f>QUOTIENT(ROW(A2710),48)+2&amp;"_"&amp;MOD(ROW(A2710),48)+8</f>
        <v>58_30</v>
      </c>
    </row>
    <row r="2711" spans="1:8" x14ac:dyDescent="0.2">
      <c r="A2711" s="9" t="s">
        <v>51</v>
      </c>
      <c r="C2711" t="str">
        <f>""""&amp;SUBSTITUTE(A2711,"zzz",H2711)&amp;""""&amp;","</f>
        <v>"https://www.zeldadungeon.net/maps/totk/tiles/sky/6/58_31.jpg",</v>
      </c>
      <c r="H2711" t="str">
        <f>QUOTIENT(ROW(A2711),48)+2&amp;"_"&amp;MOD(ROW(A2711),48)+8</f>
        <v>58_31</v>
      </c>
    </row>
    <row r="2712" spans="1:8" x14ac:dyDescent="0.2">
      <c r="A2712" s="9" t="s">
        <v>51</v>
      </c>
      <c r="C2712" t="str">
        <f>""""&amp;SUBSTITUTE(A2712,"zzz",H2712)&amp;""""&amp;","</f>
        <v>"https://www.zeldadungeon.net/maps/totk/tiles/sky/6/58_32.jpg",</v>
      </c>
      <c r="H2712" t="str">
        <f>QUOTIENT(ROW(A2712),48)+2&amp;"_"&amp;MOD(ROW(A2712),48)+8</f>
        <v>58_32</v>
      </c>
    </row>
    <row r="2713" spans="1:8" x14ac:dyDescent="0.2">
      <c r="A2713" s="9" t="s">
        <v>51</v>
      </c>
      <c r="C2713" t="str">
        <f>""""&amp;SUBSTITUTE(A2713,"zzz",H2713)&amp;""""&amp;","</f>
        <v>"https://www.zeldadungeon.net/maps/totk/tiles/sky/6/58_33.jpg",</v>
      </c>
      <c r="H2713" t="str">
        <f>QUOTIENT(ROW(A2713),48)+2&amp;"_"&amp;MOD(ROW(A2713),48)+8</f>
        <v>58_33</v>
      </c>
    </row>
    <row r="2714" spans="1:8" x14ac:dyDescent="0.2">
      <c r="A2714" s="9" t="s">
        <v>51</v>
      </c>
      <c r="C2714" t="str">
        <f>""""&amp;SUBSTITUTE(A2714,"zzz",H2714)&amp;""""&amp;","</f>
        <v>"https://www.zeldadungeon.net/maps/totk/tiles/sky/6/58_34.jpg",</v>
      </c>
      <c r="H2714" t="str">
        <f>QUOTIENT(ROW(A2714),48)+2&amp;"_"&amp;MOD(ROW(A2714),48)+8</f>
        <v>58_34</v>
      </c>
    </row>
    <row r="2715" spans="1:8" x14ac:dyDescent="0.2">
      <c r="A2715" s="9" t="s">
        <v>51</v>
      </c>
      <c r="C2715" t="str">
        <f>""""&amp;SUBSTITUTE(A2715,"zzz",H2715)&amp;""""&amp;","</f>
        <v>"https://www.zeldadungeon.net/maps/totk/tiles/sky/6/58_35.jpg",</v>
      </c>
      <c r="H2715" t="str">
        <f>QUOTIENT(ROW(A2715),48)+2&amp;"_"&amp;MOD(ROW(A2715),48)+8</f>
        <v>58_35</v>
      </c>
    </row>
    <row r="2716" spans="1:8" x14ac:dyDescent="0.2">
      <c r="A2716" s="9" t="s">
        <v>51</v>
      </c>
      <c r="C2716" t="str">
        <f>""""&amp;SUBSTITUTE(A2716,"zzz",H2716)&amp;""""&amp;","</f>
        <v>"https://www.zeldadungeon.net/maps/totk/tiles/sky/6/58_36.jpg",</v>
      </c>
      <c r="H2716" t="str">
        <f>QUOTIENT(ROW(A2716),48)+2&amp;"_"&amp;MOD(ROW(A2716),48)+8</f>
        <v>58_36</v>
      </c>
    </row>
    <row r="2717" spans="1:8" x14ac:dyDescent="0.2">
      <c r="A2717" s="9" t="s">
        <v>51</v>
      </c>
      <c r="C2717" t="str">
        <f>""""&amp;SUBSTITUTE(A2717,"zzz",H2717)&amp;""""&amp;","</f>
        <v>"https://www.zeldadungeon.net/maps/totk/tiles/sky/6/58_37.jpg",</v>
      </c>
      <c r="H2717" t="str">
        <f>QUOTIENT(ROW(A2717),48)+2&amp;"_"&amp;MOD(ROW(A2717),48)+8</f>
        <v>58_37</v>
      </c>
    </row>
    <row r="2718" spans="1:8" x14ac:dyDescent="0.2">
      <c r="A2718" s="9" t="s">
        <v>51</v>
      </c>
      <c r="C2718" t="str">
        <f>""""&amp;SUBSTITUTE(A2718,"zzz",H2718)&amp;""""&amp;","</f>
        <v>"https://www.zeldadungeon.net/maps/totk/tiles/sky/6/58_38.jpg",</v>
      </c>
      <c r="H2718" t="str">
        <f>QUOTIENT(ROW(A2718),48)+2&amp;"_"&amp;MOD(ROW(A2718),48)+8</f>
        <v>58_38</v>
      </c>
    </row>
    <row r="2719" spans="1:8" x14ac:dyDescent="0.2">
      <c r="A2719" s="9" t="s">
        <v>51</v>
      </c>
      <c r="C2719" t="str">
        <f>""""&amp;SUBSTITUTE(A2719,"zzz",H2719)&amp;""""&amp;","</f>
        <v>"https://www.zeldadungeon.net/maps/totk/tiles/sky/6/58_39.jpg",</v>
      </c>
      <c r="H2719" t="str">
        <f>QUOTIENT(ROW(A2719),48)+2&amp;"_"&amp;MOD(ROW(A2719),48)+8</f>
        <v>58_39</v>
      </c>
    </row>
    <row r="2720" spans="1:8" x14ac:dyDescent="0.2">
      <c r="A2720" s="9" t="s">
        <v>51</v>
      </c>
      <c r="C2720" t="str">
        <f>""""&amp;SUBSTITUTE(A2720,"zzz",H2720)&amp;""""&amp;","</f>
        <v>"https://www.zeldadungeon.net/maps/totk/tiles/sky/6/58_40.jpg",</v>
      </c>
      <c r="H2720" t="str">
        <f>QUOTIENT(ROW(A2720),48)+2&amp;"_"&amp;MOD(ROW(A2720),48)+8</f>
        <v>58_40</v>
      </c>
    </row>
    <row r="2721" spans="1:8" x14ac:dyDescent="0.2">
      <c r="A2721" s="9" t="s">
        <v>51</v>
      </c>
      <c r="C2721" t="str">
        <f>""""&amp;SUBSTITUTE(A2721,"zzz",H2721)&amp;""""&amp;","</f>
        <v>"https://www.zeldadungeon.net/maps/totk/tiles/sky/6/58_41.jpg",</v>
      </c>
      <c r="H2721" t="str">
        <f>QUOTIENT(ROW(A2721),48)+2&amp;"_"&amp;MOD(ROW(A2721),48)+8</f>
        <v>58_41</v>
      </c>
    </row>
    <row r="2722" spans="1:8" x14ac:dyDescent="0.2">
      <c r="A2722" s="9" t="s">
        <v>51</v>
      </c>
      <c r="C2722" t="str">
        <f>""""&amp;SUBSTITUTE(A2722,"zzz",H2722)&amp;""""&amp;","</f>
        <v>"https://www.zeldadungeon.net/maps/totk/tiles/sky/6/58_42.jpg",</v>
      </c>
      <c r="H2722" t="str">
        <f>QUOTIENT(ROW(A2722),48)+2&amp;"_"&amp;MOD(ROW(A2722),48)+8</f>
        <v>58_42</v>
      </c>
    </row>
    <row r="2723" spans="1:8" x14ac:dyDescent="0.2">
      <c r="A2723" s="9" t="s">
        <v>51</v>
      </c>
      <c r="C2723" t="str">
        <f>""""&amp;SUBSTITUTE(A2723,"zzz",H2723)&amp;""""&amp;","</f>
        <v>"https://www.zeldadungeon.net/maps/totk/tiles/sky/6/58_43.jpg",</v>
      </c>
      <c r="H2723" t="str">
        <f>QUOTIENT(ROW(A2723),48)+2&amp;"_"&amp;MOD(ROW(A2723),48)+8</f>
        <v>58_43</v>
      </c>
    </row>
    <row r="2724" spans="1:8" x14ac:dyDescent="0.2">
      <c r="A2724" s="9" t="s">
        <v>51</v>
      </c>
      <c r="C2724" t="str">
        <f>""""&amp;SUBSTITUTE(A2724,"zzz",H2724)&amp;""""&amp;","</f>
        <v>"https://www.zeldadungeon.net/maps/totk/tiles/sky/6/58_44.jpg",</v>
      </c>
      <c r="H2724" t="str">
        <f>QUOTIENT(ROW(A2724),48)+2&amp;"_"&amp;MOD(ROW(A2724),48)+8</f>
        <v>58_44</v>
      </c>
    </row>
    <row r="2725" spans="1:8" x14ac:dyDescent="0.2">
      <c r="A2725" s="9" t="s">
        <v>51</v>
      </c>
      <c r="C2725" t="str">
        <f>""""&amp;SUBSTITUTE(A2725,"zzz",H2725)&amp;""""&amp;","</f>
        <v>"https://www.zeldadungeon.net/maps/totk/tiles/sky/6/58_45.jpg",</v>
      </c>
      <c r="H2725" t="str">
        <f>QUOTIENT(ROW(A2725),48)+2&amp;"_"&amp;MOD(ROW(A2725),48)+8</f>
        <v>58_45</v>
      </c>
    </row>
    <row r="2726" spans="1:8" x14ac:dyDescent="0.2">
      <c r="A2726" s="9" t="s">
        <v>51</v>
      </c>
      <c r="C2726" t="str">
        <f>""""&amp;SUBSTITUTE(A2726,"zzz",H2726)&amp;""""&amp;","</f>
        <v>"https://www.zeldadungeon.net/maps/totk/tiles/sky/6/58_46.jpg",</v>
      </c>
      <c r="H2726" t="str">
        <f>QUOTIENT(ROW(A2726),48)+2&amp;"_"&amp;MOD(ROW(A2726),48)+8</f>
        <v>58_46</v>
      </c>
    </row>
    <row r="2727" spans="1:8" x14ac:dyDescent="0.2">
      <c r="A2727" s="9" t="s">
        <v>51</v>
      </c>
      <c r="C2727" t="str">
        <f>""""&amp;SUBSTITUTE(A2727,"zzz",H2727)&amp;""""&amp;","</f>
        <v>"https://www.zeldadungeon.net/maps/totk/tiles/sky/6/58_47.jpg",</v>
      </c>
      <c r="H2727" t="str">
        <f>QUOTIENT(ROW(A2727),48)+2&amp;"_"&amp;MOD(ROW(A2727),48)+8</f>
        <v>58_47</v>
      </c>
    </row>
    <row r="2728" spans="1:8" x14ac:dyDescent="0.2">
      <c r="A2728" s="9" t="s">
        <v>51</v>
      </c>
      <c r="C2728" t="str">
        <f>""""&amp;SUBSTITUTE(A2728,"zzz",H2728)&amp;""""&amp;","</f>
        <v>"https://www.zeldadungeon.net/maps/totk/tiles/sky/6/58_48.jpg",</v>
      </c>
      <c r="H2728" t="str">
        <f>QUOTIENT(ROW(A2728),48)+2&amp;"_"&amp;MOD(ROW(A2728),48)+8</f>
        <v>58_48</v>
      </c>
    </row>
    <row r="2729" spans="1:8" x14ac:dyDescent="0.2">
      <c r="A2729" s="9" t="s">
        <v>51</v>
      </c>
      <c r="C2729" t="str">
        <f>""""&amp;SUBSTITUTE(A2729,"zzz",H2729)&amp;""""&amp;","</f>
        <v>"https://www.zeldadungeon.net/maps/totk/tiles/sky/6/58_49.jpg",</v>
      </c>
      <c r="H2729" t="str">
        <f>QUOTIENT(ROW(A2729),48)+2&amp;"_"&amp;MOD(ROW(A2729),48)+8</f>
        <v>58_49</v>
      </c>
    </row>
    <row r="2730" spans="1:8" x14ac:dyDescent="0.2">
      <c r="A2730" s="9" t="s">
        <v>51</v>
      </c>
      <c r="C2730" t="str">
        <f>""""&amp;SUBSTITUTE(A2730,"zzz",H2730)&amp;""""&amp;","</f>
        <v>"https://www.zeldadungeon.net/maps/totk/tiles/sky/6/58_50.jpg",</v>
      </c>
      <c r="H2730" t="str">
        <f>QUOTIENT(ROW(A2730),48)+2&amp;"_"&amp;MOD(ROW(A2730),48)+8</f>
        <v>58_50</v>
      </c>
    </row>
    <row r="2731" spans="1:8" x14ac:dyDescent="0.2">
      <c r="A2731" s="9" t="s">
        <v>51</v>
      </c>
      <c r="C2731" t="str">
        <f>""""&amp;SUBSTITUTE(A2731,"zzz",H2731)&amp;""""&amp;","</f>
        <v>"https://www.zeldadungeon.net/maps/totk/tiles/sky/6/58_51.jpg",</v>
      </c>
      <c r="H2731" t="str">
        <f>QUOTIENT(ROW(A2731),48)+2&amp;"_"&amp;MOD(ROW(A2731),48)+8</f>
        <v>58_51</v>
      </c>
    </row>
    <row r="2732" spans="1:8" x14ac:dyDescent="0.2">
      <c r="A2732" s="9" t="s">
        <v>51</v>
      </c>
      <c r="C2732" t="str">
        <f>""""&amp;SUBSTITUTE(A2732,"zzz",H2732)&amp;""""&amp;","</f>
        <v>"https://www.zeldadungeon.net/maps/totk/tiles/sky/6/58_52.jpg",</v>
      </c>
      <c r="H2732" t="str">
        <f>QUOTIENT(ROW(A2732),48)+2&amp;"_"&amp;MOD(ROW(A2732),48)+8</f>
        <v>58_52</v>
      </c>
    </row>
    <row r="2733" spans="1:8" x14ac:dyDescent="0.2">
      <c r="A2733" s="9" t="s">
        <v>51</v>
      </c>
      <c r="C2733" t="str">
        <f>""""&amp;SUBSTITUTE(A2733,"zzz",H2733)&amp;""""&amp;","</f>
        <v>"https://www.zeldadungeon.net/maps/totk/tiles/sky/6/58_53.jpg",</v>
      </c>
      <c r="H2733" t="str">
        <f>QUOTIENT(ROW(A2733),48)+2&amp;"_"&amp;MOD(ROW(A2733),48)+8</f>
        <v>58_53</v>
      </c>
    </row>
    <row r="2734" spans="1:8" x14ac:dyDescent="0.2">
      <c r="A2734" s="9" t="s">
        <v>51</v>
      </c>
      <c r="C2734" t="str">
        <f>""""&amp;SUBSTITUTE(A2734,"zzz",H2734)&amp;""""&amp;","</f>
        <v>"https://www.zeldadungeon.net/maps/totk/tiles/sky/6/58_54.jpg",</v>
      </c>
      <c r="H2734" t="str">
        <f>QUOTIENT(ROW(A2734),48)+2&amp;"_"&amp;MOD(ROW(A2734),48)+8</f>
        <v>58_54</v>
      </c>
    </row>
    <row r="2735" spans="1:8" x14ac:dyDescent="0.2">
      <c r="A2735" s="9" t="s">
        <v>51</v>
      </c>
      <c r="C2735" t="str">
        <f>""""&amp;SUBSTITUTE(A2735,"zzz",H2735)&amp;""""&amp;","</f>
        <v>"https://www.zeldadungeon.net/maps/totk/tiles/sky/6/58_55.jpg",</v>
      </c>
      <c r="H2735" t="str">
        <f>QUOTIENT(ROW(A2735),48)+2&amp;"_"&amp;MOD(ROW(A2735),48)+8</f>
        <v>58_55</v>
      </c>
    </row>
    <row r="2736" spans="1:8" x14ac:dyDescent="0.2">
      <c r="A2736" s="9" t="s">
        <v>51</v>
      </c>
      <c r="C2736" t="str">
        <f>""""&amp;SUBSTITUTE(A2736,"zzz",H2736)&amp;""""&amp;","</f>
        <v>"https://www.zeldadungeon.net/maps/totk/tiles/sky/6/59_8.jpg",</v>
      </c>
      <c r="H2736" t="str">
        <f>QUOTIENT(ROW(A2736),48)+2&amp;"_"&amp;MOD(ROW(A2736),48)+8</f>
        <v>59_8</v>
      </c>
    </row>
    <row r="2737" spans="1:8" x14ac:dyDescent="0.2">
      <c r="A2737" s="9" t="s">
        <v>51</v>
      </c>
      <c r="C2737" t="str">
        <f>""""&amp;SUBSTITUTE(A2737,"zzz",H2737)&amp;""""&amp;","</f>
        <v>"https://www.zeldadungeon.net/maps/totk/tiles/sky/6/59_9.jpg",</v>
      </c>
      <c r="H2737" t="str">
        <f>QUOTIENT(ROW(A2737),48)+2&amp;"_"&amp;MOD(ROW(A2737),48)+8</f>
        <v>59_9</v>
      </c>
    </row>
    <row r="2738" spans="1:8" x14ac:dyDescent="0.2">
      <c r="A2738" s="9" t="s">
        <v>51</v>
      </c>
      <c r="C2738" t="str">
        <f>""""&amp;SUBSTITUTE(A2738,"zzz",H2738)&amp;""""&amp;","</f>
        <v>"https://www.zeldadungeon.net/maps/totk/tiles/sky/6/59_10.jpg",</v>
      </c>
      <c r="H2738" t="str">
        <f>QUOTIENT(ROW(A2738),48)+2&amp;"_"&amp;MOD(ROW(A2738),48)+8</f>
        <v>59_10</v>
      </c>
    </row>
    <row r="2739" spans="1:8" x14ac:dyDescent="0.2">
      <c r="A2739" s="9" t="s">
        <v>51</v>
      </c>
      <c r="C2739" t="str">
        <f>""""&amp;SUBSTITUTE(A2739,"zzz",H2739)&amp;""""&amp;","</f>
        <v>"https://www.zeldadungeon.net/maps/totk/tiles/sky/6/59_11.jpg",</v>
      </c>
      <c r="H2739" t="str">
        <f>QUOTIENT(ROW(A2739),48)+2&amp;"_"&amp;MOD(ROW(A2739),48)+8</f>
        <v>59_11</v>
      </c>
    </row>
    <row r="2740" spans="1:8" x14ac:dyDescent="0.2">
      <c r="A2740" s="9" t="s">
        <v>51</v>
      </c>
      <c r="C2740" t="str">
        <f>""""&amp;SUBSTITUTE(A2740,"zzz",H2740)&amp;""""&amp;","</f>
        <v>"https://www.zeldadungeon.net/maps/totk/tiles/sky/6/59_12.jpg",</v>
      </c>
      <c r="H2740" t="str">
        <f>QUOTIENT(ROW(A2740),48)+2&amp;"_"&amp;MOD(ROW(A2740),48)+8</f>
        <v>59_12</v>
      </c>
    </row>
    <row r="2741" spans="1:8" x14ac:dyDescent="0.2">
      <c r="A2741" s="9" t="s">
        <v>51</v>
      </c>
      <c r="C2741" t="str">
        <f>""""&amp;SUBSTITUTE(A2741,"zzz",H2741)&amp;""""&amp;","</f>
        <v>"https://www.zeldadungeon.net/maps/totk/tiles/sky/6/59_13.jpg",</v>
      </c>
      <c r="H2741" t="str">
        <f>QUOTIENT(ROW(A2741),48)+2&amp;"_"&amp;MOD(ROW(A2741),48)+8</f>
        <v>59_13</v>
      </c>
    </row>
    <row r="2742" spans="1:8" x14ac:dyDescent="0.2">
      <c r="A2742" s="9" t="s">
        <v>51</v>
      </c>
      <c r="C2742" t="str">
        <f>""""&amp;SUBSTITUTE(A2742,"zzz",H2742)&amp;""""&amp;","</f>
        <v>"https://www.zeldadungeon.net/maps/totk/tiles/sky/6/59_14.jpg",</v>
      </c>
      <c r="H2742" t="str">
        <f>QUOTIENT(ROW(A2742),48)+2&amp;"_"&amp;MOD(ROW(A2742),48)+8</f>
        <v>59_14</v>
      </c>
    </row>
    <row r="2743" spans="1:8" x14ac:dyDescent="0.2">
      <c r="A2743" s="9" t="s">
        <v>51</v>
      </c>
      <c r="C2743" t="str">
        <f>""""&amp;SUBSTITUTE(A2743,"zzz",H2743)&amp;""""&amp;","</f>
        <v>"https://www.zeldadungeon.net/maps/totk/tiles/sky/6/59_15.jpg",</v>
      </c>
      <c r="H2743" t="str">
        <f>QUOTIENT(ROW(A2743),48)+2&amp;"_"&amp;MOD(ROW(A2743),48)+8</f>
        <v>59_15</v>
      </c>
    </row>
    <row r="2744" spans="1:8" x14ac:dyDescent="0.2">
      <c r="A2744" s="9" t="s">
        <v>51</v>
      </c>
      <c r="C2744" t="str">
        <f>""""&amp;SUBSTITUTE(A2744,"zzz",H2744)&amp;""""&amp;","</f>
        <v>"https://www.zeldadungeon.net/maps/totk/tiles/sky/6/59_16.jpg",</v>
      </c>
      <c r="H2744" t="str">
        <f>QUOTIENT(ROW(A2744),48)+2&amp;"_"&amp;MOD(ROW(A2744),48)+8</f>
        <v>59_16</v>
      </c>
    </row>
    <row r="2745" spans="1:8" x14ac:dyDescent="0.2">
      <c r="A2745" s="9" t="s">
        <v>51</v>
      </c>
      <c r="C2745" t="str">
        <f>""""&amp;SUBSTITUTE(A2745,"zzz",H2745)&amp;""""&amp;","</f>
        <v>"https://www.zeldadungeon.net/maps/totk/tiles/sky/6/59_17.jpg",</v>
      </c>
      <c r="H2745" t="str">
        <f>QUOTIENT(ROW(A2745),48)+2&amp;"_"&amp;MOD(ROW(A2745),48)+8</f>
        <v>59_17</v>
      </c>
    </row>
    <row r="2746" spans="1:8" x14ac:dyDescent="0.2">
      <c r="A2746" s="9" t="s">
        <v>51</v>
      </c>
      <c r="C2746" t="str">
        <f>""""&amp;SUBSTITUTE(A2746,"zzz",H2746)&amp;""""&amp;","</f>
        <v>"https://www.zeldadungeon.net/maps/totk/tiles/sky/6/59_18.jpg",</v>
      </c>
      <c r="H2746" t="str">
        <f>QUOTIENT(ROW(A2746),48)+2&amp;"_"&amp;MOD(ROW(A2746),48)+8</f>
        <v>59_18</v>
      </c>
    </row>
    <row r="2747" spans="1:8" x14ac:dyDescent="0.2">
      <c r="A2747" s="9" t="s">
        <v>51</v>
      </c>
      <c r="C2747" t="str">
        <f>""""&amp;SUBSTITUTE(A2747,"zzz",H2747)&amp;""""&amp;","</f>
        <v>"https://www.zeldadungeon.net/maps/totk/tiles/sky/6/59_19.jpg",</v>
      </c>
      <c r="H2747" t="str">
        <f>QUOTIENT(ROW(A2747),48)+2&amp;"_"&amp;MOD(ROW(A2747),48)+8</f>
        <v>59_19</v>
      </c>
    </row>
    <row r="2748" spans="1:8" x14ac:dyDescent="0.2">
      <c r="A2748" s="9" t="s">
        <v>51</v>
      </c>
      <c r="C2748" t="str">
        <f>""""&amp;SUBSTITUTE(A2748,"zzz",H2748)&amp;""""&amp;","</f>
        <v>"https://www.zeldadungeon.net/maps/totk/tiles/sky/6/59_20.jpg",</v>
      </c>
      <c r="H2748" t="str">
        <f>QUOTIENT(ROW(A2748),48)+2&amp;"_"&amp;MOD(ROW(A2748),48)+8</f>
        <v>59_20</v>
      </c>
    </row>
    <row r="2749" spans="1:8" x14ac:dyDescent="0.2">
      <c r="A2749" s="9" t="s">
        <v>51</v>
      </c>
      <c r="C2749" t="str">
        <f>""""&amp;SUBSTITUTE(A2749,"zzz",H2749)&amp;""""&amp;","</f>
        <v>"https://www.zeldadungeon.net/maps/totk/tiles/sky/6/59_21.jpg",</v>
      </c>
      <c r="H2749" t="str">
        <f>QUOTIENT(ROW(A2749),48)+2&amp;"_"&amp;MOD(ROW(A2749),48)+8</f>
        <v>59_21</v>
      </c>
    </row>
    <row r="2750" spans="1:8" x14ac:dyDescent="0.2">
      <c r="A2750" s="9" t="s">
        <v>51</v>
      </c>
      <c r="C2750" t="str">
        <f>""""&amp;SUBSTITUTE(A2750,"zzz",H2750)&amp;""""&amp;","</f>
        <v>"https://www.zeldadungeon.net/maps/totk/tiles/sky/6/59_22.jpg",</v>
      </c>
      <c r="H2750" t="str">
        <f>QUOTIENT(ROW(A2750),48)+2&amp;"_"&amp;MOD(ROW(A2750),48)+8</f>
        <v>59_22</v>
      </c>
    </row>
    <row r="2751" spans="1:8" x14ac:dyDescent="0.2">
      <c r="A2751" s="9" t="s">
        <v>51</v>
      </c>
      <c r="C2751" t="str">
        <f>""""&amp;SUBSTITUTE(A2751,"zzz",H2751)&amp;""""&amp;","</f>
        <v>"https://www.zeldadungeon.net/maps/totk/tiles/sky/6/59_23.jpg",</v>
      </c>
      <c r="H2751" t="str">
        <f>QUOTIENT(ROW(A2751),48)+2&amp;"_"&amp;MOD(ROW(A2751),48)+8</f>
        <v>59_23</v>
      </c>
    </row>
    <row r="2752" spans="1:8" x14ac:dyDescent="0.2">
      <c r="A2752" s="9" t="s">
        <v>51</v>
      </c>
      <c r="C2752" t="str">
        <f>""""&amp;SUBSTITUTE(A2752,"zzz",H2752)&amp;""""&amp;","</f>
        <v>"https://www.zeldadungeon.net/maps/totk/tiles/sky/6/59_24.jpg",</v>
      </c>
      <c r="H2752" t="str">
        <f>QUOTIENT(ROW(A2752),48)+2&amp;"_"&amp;MOD(ROW(A2752),48)+8</f>
        <v>59_24</v>
      </c>
    </row>
    <row r="2753" spans="1:8" x14ac:dyDescent="0.2">
      <c r="A2753" s="9" t="s">
        <v>51</v>
      </c>
      <c r="C2753" t="str">
        <f>""""&amp;SUBSTITUTE(A2753,"zzz",H2753)&amp;""""&amp;","</f>
        <v>"https://www.zeldadungeon.net/maps/totk/tiles/sky/6/59_25.jpg",</v>
      </c>
      <c r="H2753" t="str">
        <f>QUOTIENT(ROW(A2753),48)+2&amp;"_"&amp;MOD(ROW(A2753),48)+8</f>
        <v>59_25</v>
      </c>
    </row>
    <row r="2754" spans="1:8" x14ac:dyDescent="0.2">
      <c r="A2754" s="9" t="s">
        <v>51</v>
      </c>
      <c r="C2754" t="str">
        <f>""""&amp;SUBSTITUTE(A2754,"zzz",H2754)&amp;""""&amp;","</f>
        <v>"https://www.zeldadungeon.net/maps/totk/tiles/sky/6/59_26.jpg",</v>
      </c>
      <c r="H2754" t="str">
        <f>QUOTIENT(ROW(A2754),48)+2&amp;"_"&amp;MOD(ROW(A2754),48)+8</f>
        <v>59_26</v>
      </c>
    </row>
    <row r="2755" spans="1:8" x14ac:dyDescent="0.2">
      <c r="A2755" s="9" t="s">
        <v>51</v>
      </c>
      <c r="C2755" t="str">
        <f>""""&amp;SUBSTITUTE(A2755,"zzz",H2755)&amp;""""&amp;","</f>
        <v>"https://www.zeldadungeon.net/maps/totk/tiles/sky/6/59_27.jpg",</v>
      </c>
      <c r="H2755" t="str">
        <f>QUOTIENT(ROW(A2755),48)+2&amp;"_"&amp;MOD(ROW(A2755),48)+8</f>
        <v>59_27</v>
      </c>
    </row>
    <row r="2756" spans="1:8" x14ac:dyDescent="0.2">
      <c r="A2756" s="9" t="s">
        <v>51</v>
      </c>
      <c r="C2756" t="str">
        <f>""""&amp;SUBSTITUTE(A2756,"zzz",H2756)&amp;""""&amp;","</f>
        <v>"https://www.zeldadungeon.net/maps/totk/tiles/sky/6/59_28.jpg",</v>
      </c>
      <c r="H2756" t="str">
        <f>QUOTIENT(ROW(A2756),48)+2&amp;"_"&amp;MOD(ROW(A2756),48)+8</f>
        <v>59_28</v>
      </c>
    </row>
    <row r="2757" spans="1:8" x14ac:dyDescent="0.2">
      <c r="A2757" s="9" t="s">
        <v>51</v>
      </c>
      <c r="C2757" t="str">
        <f>""""&amp;SUBSTITUTE(A2757,"zzz",H2757)&amp;""""&amp;","</f>
        <v>"https://www.zeldadungeon.net/maps/totk/tiles/sky/6/59_29.jpg",</v>
      </c>
      <c r="H2757" t="str">
        <f>QUOTIENT(ROW(A2757),48)+2&amp;"_"&amp;MOD(ROW(A2757),48)+8</f>
        <v>59_29</v>
      </c>
    </row>
    <row r="2758" spans="1:8" x14ac:dyDescent="0.2">
      <c r="A2758" s="9" t="s">
        <v>51</v>
      </c>
      <c r="C2758" t="str">
        <f>""""&amp;SUBSTITUTE(A2758,"zzz",H2758)&amp;""""&amp;","</f>
        <v>"https://www.zeldadungeon.net/maps/totk/tiles/sky/6/59_30.jpg",</v>
      </c>
      <c r="H2758" t="str">
        <f>QUOTIENT(ROW(A2758),48)+2&amp;"_"&amp;MOD(ROW(A2758),48)+8</f>
        <v>59_30</v>
      </c>
    </row>
    <row r="2759" spans="1:8" x14ac:dyDescent="0.2">
      <c r="A2759" s="9" t="s">
        <v>51</v>
      </c>
      <c r="C2759" t="str">
        <f>""""&amp;SUBSTITUTE(A2759,"zzz",H2759)&amp;""""&amp;","</f>
        <v>"https://www.zeldadungeon.net/maps/totk/tiles/sky/6/59_31.jpg",</v>
      </c>
      <c r="H2759" t="str">
        <f>QUOTIENT(ROW(A2759),48)+2&amp;"_"&amp;MOD(ROW(A2759),48)+8</f>
        <v>59_31</v>
      </c>
    </row>
    <row r="2760" spans="1:8" x14ac:dyDescent="0.2">
      <c r="A2760" s="9" t="s">
        <v>51</v>
      </c>
      <c r="C2760" t="str">
        <f>""""&amp;SUBSTITUTE(A2760,"zzz",H2760)&amp;""""&amp;","</f>
        <v>"https://www.zeldadungeon.net/maps/totk/tiles/sky/6/59_32.jpg",</v>
      </c>
      <c r="H2760" t="str">
        <f>QUOTIENT(ROW(A2760),48)+2&amp;"_"&amp;MOD(ROW(A2760),48)+8</f>
        <v>59_32</v>
      </c>
    </row>
    <row r="2761" spans="1:8" x14ac:dyDescent="0.2">
      <c r="A2761" s="9" t="s">
        <v>51</v>
      </c>
      <c r="C2761" t="str">
        <f>""""&amp;SUBSTITUTE(A2761,"zzz",H2761)&amp;""""&amp;","</f>
        <v>"https://www.zeldadungeon.net/maps/totk/tiles/sky/6/59_33.jpg",</v>
      </c>
      <c r="H2761" t="str">
        <f>QUOTIENT(ROW(A2761),48)+2&amp;"_"&amp;MOD(ROW(A2761),48)+8</f>
        <v>59_33</v>
      </c>
    </row>
    <row r="2762" spans="1:8" x14ac:dyDescent="0.2">
      <c r="A2762" s="9" t="s">
        <v>51</v>
      </c>
      <c r="C2762" t="str">
        <f>""""&amp;SUBSTITUTE(A2762,"zzz",H2762)&amp;""""&amp;","</f>
        <v>"https://www.zeldadungeon.net/maps/totk/tiles/sky/6/59_34.jpg",</v>
      </c>
      <c r="H2762" t="str">
        <f>QUOTIENT(ROW(A2762),48)+2&amp;"_"&amp;MOD(ROW(A2762),48)+8</f>
        <v>59_34</v>
      </c>
    </row>
    <row r="2763" spans="1:8" x14ac:dyDescent="0.2">
      <c r="A2763" s="9" t="s">
        <v>51</v>
      </c>
      <c r="C2763" t="str">
        <f>""""&amp;SUBSTITUTE(A2763,"zzz",H2763)&amp;""""&amp;","</f>
        <v>"https://www.zeldadungeon.net/maps/totk/tiles/sky/6/59_35.jpg",</v>
      </c>
      <c r="H2763" t="str">
        <f>QUOTIENT(ROW(A2763),48)+2&amp;"_"&amp;MOD(ROW(A2763),48)+8</f>
        <v>59_35</v>
      </c>
    </row>
    <row r="2764" spans="1:8" x14ac:dyDescent="0.2">
      <c r="A2764" s="9" t="s">
        <v>51</v>
      </c>
      <c r="C2764" t="str">
        <f>""""&amp;SUBSTITUTE(A2764,"zzz",H2764)&amp;""""&amp;","</f>
        <v>"https://www.zeldadungeon.net/maps/totk/tiles/sky/6/59_36.jpg",</v>
      </c>
      <c r="H2764" t="str">
        <f>QUOTIENT(ROW(A2764),48)+2&amp;"_"&amp;MOD(ROW(A2764),48)+8</f>
        <v>59_36</v>
      </c>
    </row>
    <row r="2765" spans="1:8" x14ac:dyDescent="0.2">
      <c r="A2765" s="9" t="s">
        <v>51</v>
      </c>
      <c r="C2765" t="str">
        <f>""""&amp;SUBSTITUTE(A2765,"zzz",H2765)&amp;""""&amp;","</f>
        <v>"https://www.zeldadungeon.net/maps/totk/tiles/sky/6/59_37.jpg",</v>
      </c>
      <c r="H2765" t="str">
        <f>QUOTIENT(ROW(A2765),48)+2&amp;"_"&amp;MOD(ROW(A2765),48)+8</f>
        <v>59_37</v>
      </c>
    </row>
    <row r="2766" spans="1:8" x14ac:dyDescent="0.2">
      <c r="A2766" s="9" t="s">
        <v>51</v>
      </c>
      <c r="C2766" t="str">
        <f>""""&amp;SUBSTITUTE(A2766,"zzz",H2766)&amp;""""&amp;","</f>
        <v>"https://www.zeldadungeon.net/maps/totk/tiles/sky/6/59_38.jpg",</v>
      </c>
      <c r="H2766" t="str">
        <f>QUOTIENT(ROW(A2766),48)+2&amp;"_"&amp;MOD(ROW(A2766),48)+8</f>
        <v>59_38</v>
      </c>
    </row>
    <row r="2767" spans="1:8" x14ac:dyDescent="0.2">
      <c r="A2767" s="9" t="s">
        <v>51</v>
      </c>
      <c r="C2767" t="str">
        <f>""""&amp;SUBSTITUTE(A2767,"zzz",H2767)&amp;""""&amp;","</f>
        <v>"https://www.zeldadungeon.net/maps/totk/tiles/sky/6/59_39.jpg",</v>
      </c>
      <c r="H2767" t="str">
        <f>QUOTIENT(ROW(A2767),48)+2&amp;"_"&amp;MOD(ROW(A2767),48)+8</f>
        <v>59_39</v>
      </c>
    </row>
    <row r="2768" spans="1:8" x14ac:dyDescent="0.2">
      <c r="A2768" s="9" t="s">
        <v>51</v>
      </c>
      <c r="C2768" t="str">
        <f>""""&amp;SUBSTITUTE(A2768,"zzz",H2768)&amp;""""&amp;","</f>
        <v>"https://www.zeldadungeon.net/maps/totk/tiles/sky/6/59_40.jpg",</v>
      </c>
      <c r="H2768" t="str">
        <f>QUOTIENT(ROW(A2768),48)+2&amp;"_"&amp;MOD(ROW(A2768),48)+8</f>
        <v>59_40</v>
      </c>
    </row>
    <row r="2769" spans="1:8" x14ac:dyDescent="0.2">
      <c r="A2769" s="9" t="s">
        <v>51</v>
      </c>
      <c r="C2769" t="str">
        <f>""""&amp;SUBSTITUTE(A2769,"zzz",H2769)&amp;""""&amp;","</f>
        <v>"https://www.zeldadungeon.net/maps/totk/tiles/sky/6/59_41.jpg",</v>
      </c>
      <c r="H2769" t="str">
        <f>QUOTIENT(ROW(A2769),48)+2&amp;"_"&amp;MOD(ROW(A2769),48)+8</f>
        <v>59_41</v>
      </c>
    </row>
    <row r="2770" spans="1:8" x14ac:dyDescent="0.2">
      <c r="A2770" s="9" t="s">
        <v>51</v>
      </c>
      <c r="C2770" t="str">
        <f>""""&amp;SUBSTITUTE(A2770,"zzz",H2770)&amp;""""&amp;","</f>
        <v>"https://www.zeldadungeon.net/maps/totk/tiles/sky/6/59_42.jpg",</v>
      </c>
      <c r="H2770" t="str">
        <f>QUOTIENT(ROW(A2770),48)+2&amp;"_"&amp;MOD(ROW(A2770),48)+8</f>
        <v>59_42</v>
      </c>
    </row>
    <row r="2771" spans="1:8" x14ac:dyDescent="0.2">
      <c r="A2771" s="9" t="s">
        <v>51</v>
      </c>
      <c r="C2771" t="str">
        <f>""""&amp;SUBSTITUTE(A2771,"zzz",H2771)&amp;""""&amp;","</f>
        <v>"https://www.zeldadungeon.net/maps/totk/tiles/sky/6/59_43.jpg",</v>
      </c>
      <c r="H2771" t="str">
        <f>QUOTIENT(ROW(A2771),48)+2&amp;"_"&amp;MOD(ROW(A2771),48)+8</f>
        <v>59_43</v>
      </c>
    </row>
    <row r="2772" spans="1:8" x14ac:dyDescent="0.2">
      <c r="A2772" s="9" t="s">
        <v>51</v>
      </c>
      <c r="C2772" t="str">
        <f>""""&amp;SUBSTITUTE(A2772,"zzz",H2772)&amp;""""&amp;","</f>
        <v>"https://www.zeldadungeon.net/maps/totk/tiles/sky/6/59_44.jpg",</v>
      </c>
      <c r="H2772" t="str">
        <f>QUOTIENT(ROW(A2772),48)+2&amp;"_"&amp;MOD(ROW(A2772),48)+8</f>
        <v>59_44</v>
      </c>
    </row>
    <row r="2773" spans="1:8" x14ac:dyDescent="0.2">
      <c r="A2773" s="9" t="s">
        <v>51</v>
      </c>
      <c r="C2773" t="str">
        <f>""""&amp;SUBSTITUTE(A2773,"zzz",H2773)&amp;""""&amp;","</f>
        <v>"https://www.zeldadungeon.net/maps/totk/tiles/sky/6/59_45.jpg",</v>
      </c>
      <c r="H2773" t="str">
        <f>QUOTIENT(ROW(A2773),48)+2&amp;"_"&amp;MOD(ROW(A2773),48)+8</f>
        <v>59_45</v>
      </c>
    </row>
    <row r="2774" spans="1:8" x14ac:dyDescent="0.2">
      <c r="A2774" s="9" t="s">
        <v>51</v>
      </c>
      <c r="C2774" t="str">
        <f>""""&amp;SUBSTITUTE(A2774,"zzz",H2774)&amp;""""&amp;","</f>
        <v>"https://www.zeldadungeon.net/maps/totk/tiles/sky/6/59_46.jpg",</v>
      </c>
      <c r="H2774" t="str">
        <f>QUOTIENT(ROW(A2774),48)+2&amp;"_"&amp;MOD(ROW(A2774),48)+8</f>
        <v>59_46</v>
      </c>
    </row>
    <row r="2775" spans="1:8" x14ac:dyDescent="0.2">
      <c r="A2775" s="9" t="s">
        <v>51</v>
      </c>
      <c r="C2775" t="str">
        <f>""""&amp;SUBSTITUTE(A2775,"zzz",H2775)&amp;""""&amp;","</f>
        <v>"https://www.zeldadungeon.net/maps/totk/tiles/sky/6/59_47.jpg",</v>
      </c>
      <c r="H2775" t="str">
        <f>QUOTIENT(ROW(A2775),48)+2&amp;"_"&amp;MOD(ROW(A2775),48)+8</f>
        <v>59_47</v>
      </c>
    </row>
    <row r="2776" spans="1:8" x14ac:dyDescent="0.2">
      <c r="A2776" s="9" t="s">
        <v>51</v>
      </c>
      <c r="C2776" t="str">
        <f>""""&amp;SUBSTITUTE(A2776,"zzz",H2776)&amp;""""&amp;","</f>
        <v>"https://www.zeldadungeon.net/maps/totk/tiles/sky/6/59_48.jpg",</v>
      </c>
      <c r="H2776" t="str">
        <f>QUOTIENT(ROW(A2776),48)+2&amp;"_"&amp;MOD(ROW(A2776),48)+8</f>
        <v>59_48</v>
      </c>
    </row>
    <row r="2777" spans="1:8" x14ac:dyDescent="0.2">
      <c r="A2777" s="9" t="s">
        <v>51</v>
      </c>
      <c r="C2777" t="str">
        <f>""""&amp;SUBSTITUTE(A2777,"zzz",H2777)&amp;""""&amp;","</f>
        <v>"https://www.zeldadungeon.net/maps/totk/tiles/sky/6/59_49.jpg",</v>
      </c>
      <c r="H2777" t="str">
        <f>QUOTIENT(ROW(A2777),48)+2&amp;"_"&amp;MOD(ROW(A2777),48)+8</f>
        <v>59_49</v>
      </c>
    </row>
    <row r="2778" spans="1:8" x14ac:dyDescent="0.2">
      <c r="A2778" s="9" t="s">
        <v>51</v>
      </c>
      <c r="C2778" t="str">
        <f>""""&amp;SUBSTITUTE(A2778,"zzz",H2778)&amp;""""&amp;","</f>
        <v>"https://www.zeldadungeon.net/maps/totk/tiles/sky/6/59_50.jpg",</v>
      </c>
      <c r="H2778" t="str">
        <f>QUOTIENT(ROW(A2778),48)+2&amp;"_"&amp;MOD(ROW(A2778),48)+8</f>
        <v>59_50</v>
      </c>
    </row>
    <row r="2779" spans="1:8" x14ac:dyDescent="0.2">
      <c r="A2779" s="9" t="s">
        <v>51</v>
      </c>
      <c r="C2779" t="str">
        <f>""""&amp;SUBSTITUTE(A2779,"zzz",H2779)&amp;""""&amp;","</f>
        <v>"https://www.zeldadungeon.net/maps/totk/tiles/sky/6/59_51.jpg",</v>
      </c>
      <c r="H2779" t="str">
        <f>QUOTIENT(ROW(A2779),48)+2&amp;"_"&amp;MOD(ROW(A2779),48)+8</f>
        <v>59_51</v>
      </c>
    </row>
    <row r="2780" spans="1:8" x14ac:dyDescent="0.2">
      <c r="A2780" s="9" t="s">
        <v>51</v>
      </c>
      <c r="C2780" t="str">
        <f>""""&amp;SUBSTITUTE(A2780,"zzz",H2780)&amp;""""&amp;","</f>
        <v>"https://www.zeldadungeon.net/maps/totk/tiles/sky/6/59_52.jpg",</v>
      </c>
      <c r="H2780" t="str">
        <f>QUOTIENT(ROW(A2780),48)+2&amp;"_"&amp;MOD(ROW(A2780),48)+8</f>
        <v>59_52</v>
      </c>
    </row>
    <row r="2781" spans="1:8" x14ac:dyDescent="0.2">
      <c r="A2781" s="9" t="s">
        <v>51</v>
      </c>
      <c r="C2781" t="str">
        <f>""""&amp;SUBSTITUTE(A2781,"zzz",H2781)&amp;""""&amp;","</f>
        <v>"https://www.zeldadungeon.net/maps/totk/tiles/sky/6/59_53.jpg",</v>
      </c>
      <c r="H2781" t="str">
        <f>QUOTIENT(ROW(A2781),48)+2&amp;"_"&amp;MOD(ROW(A2781),48)+8</f>
        <v>59_53</v>
      </c>
    </row>
    <row r="2782" spans="1:8" x14ac:dyDescent="0.2">
      <c r="A2782" s="9" t="s">
        <v>51</v>
      </c>
      <c r="C2782" t="str">
        <f>""""&amp;SUBSTITUTE(A2782,"zzz",H2782)&amp;""""&amp;","</f>
        <v>"https://www.zeldadungeon.net/maps/totk/tiles/sky/6/59_54.jpg",</v>
      </c>
      <c r="H2782" t="str">
        <f>QUOTIENT(ROW(A2782),48)+2&amp;"_"&amp;MOD(ROW(A2782),48)+8</f>
        <v>59_54</v>
      </c>
    </row>
    <row r="2783" spans="1:8" x14ac:dyDescent="0.2">
      <c r="A2783" s="9" t="s">
        <v>51</v>
      </c>
      <c r="C2783" t="str">
        <f>""""&amp;SUBSTITUTE(A2783,"zzz",H2783)&amp;""""&amp;","</f>
        <v>"https://www.zeldadungeon.net/maps/totk/tiles/sky/6/59_55.jpg",</v>
      </c>
      <c r="H2783" t="str">
        <f>QUOTIENT(ROW(A2783),48)+2&amp;"_"&amp;MOD(ROW(A2783),48)+8</f>
        <v>59_55</v>
      </c>
    </row>
    <row r="2784" spans="1:8" x14ac:dyDescent="0.2">
      <c r="A2784" s="9" t="s">
        <v>51</v>
      </c>
      <c r="C2784" t="str">
        <f>""""&amp;SUBSTITUTE(A2784,"zzz",H2784)&amp;""""&amp;","</f>
        <v>"https://www.zeldadungeon.net/maps/totk/tiles/sky/6/60_8.jpg",</v>
      </c>
      <c r="H2784" t="str">
        <f>QUOTIENT(ROW(A2784),48)+2&amp;"_"&amp;MOD(ROW(A2784),48)+8</f>
        <v>60_8</v>
      </c>
    </row>
    <row r="2785" spans="1:8" x14ac:dyDescent="0.2">
      <c r="A2785" s="9" t="s">
        <v>51</v>
      </c>
      <c r="C2785" t="str">
        <f>""""&amp;SUBSTITUTE(A2785,"zzz",H2785)&amp;""""&amp;","</f>
        <v>"https://www.zeldadungeon.net/maps/totk/tiles/sky/6/60_9.jpg",</v>
      </c>
      <c r="H2785" t="str">
        <f>QUOTIENT(ROW(A2785),48)+2&amp;"_"&amp;MOD(ROW(A2785),48)+8</f>
        <v>60_9</v>
      </c>
    </row>
    <row r="2786" spans="1:8" x14ac:dyDescent="0.2">
      <c r="A2786" s="9" t="s">
        <v>51</v>
      </c>
      <c r="C2786" t="str">
        <f>""""&amp;SUBSTITUTE(A2786,"zzz",H2786)&amp;""""&amp;","</f>
        <v>"https://www.zeldadungeon.net/maps/totk/tiles/sky/6/60_10.jpg",</v>
      </c>
      <c r="H2786" t="str">
        <f>QUOTIENT(ROW(A2786),48)+2&amp;"_"&amp;MOD(ROW(A2786),48)+8</f>
        <v>60_10</v>
      </c>
    </row>
    <row r="2787" spans="1:8" x14ac:dyDescent="0.2">
      <c r="A2787" s="9" t="s">
        <v>51</v>
      </c>
      <c r="C2787" t="str">
        <f>""""&amp;SUBSTITUTE(A2787,"zzz",H2787)&amp;""""&amp;","</f>
        <v>"https://www.zeldadungeon.net/maps/totk/tiles/sky/6/60_11.jpg",</v>
      </c>
      <c r="H2787" t="str">
        <f>QUOTIENT(ROW(A2787),48)+2&amp;"_"&amp;MOD(ROW(A2787),48)+8</f>
        <v>60_11</v>
      </c>
    </row>
    <row r="2788" spans="1:8" x14ac:dyDescent="0.2">
      <c r="A2788" s="9" t="s">
        <v>51</v>
      </c>
      <c r="C2788" t="str">
        <f>""""&amp;SUBSTITUTE(A2788,"zzz",H2788)&amp;""""&amp;","</f>
        <v>"https://www.zeldadungeon.net/maps/totk/tiles/sky/6/60_12.jpg",</v>
      </c>
      <c r="H2788" t="str">
        <f>QUOTIENT(ROW(A2788),48)+2&amp;"_"&amp;MOD(ROW(A2788),48)+8</f>
        <v>60_12</v>
      </c>
    </row>
    <row r="2789" spans="1:8" x14ac:dyDescent="0.2">
      <c r="A2789" s="9" t="s">
        <v>51</v>
      </c>
      <c r="C2789" t="str">
        <f>""""&amp;SUBSTITUTE(A2789,"zzz",H2789)&amp;""""&amp;","</f>
        <v>"https://www.zeldadungeon.net/maps/totk/tiles/sky/6/60_13.jpg",</v>
      </c>
      <c r="H2789" t="str">
        <f>QUOTIENT(ROW(A2789),48)+2&amp;"_"&amp;MOD(ROW(A2789),48)+8</f>
        <v>60_13</v>
      </c>
    </row>
    <row r="2790" spans="1:8" x14ac:dyDescent="0.2">
      <c r="A2790" s="9" t="s">
        <v>51</v>
      </c>
      <c r="C2790" t="str">
        <f>""""&amp;SUBSTITUTE(A2790,"zzz",H2790)&amp;""""&amp;","</f>
        <v>"https://www.zeldadungeon.net/maps/totk/tiles/sky/6/60_14.jpg",</v>
      </c>
      <c r="H2790" t="str">
        <f>QUOTIENT(ROW(A2790),48)+2&amp;"_"&amp;MOD(ROW(A2790),48)+8</f>
        <v>60_14</v>
      </c>
    </row>
    <row r="2791" spans="1:8" x14ac:dyDescent="0.2">
      <c r="A2791" s="9" t="s">
        <v>51</v>
      </c>
      <c r="C2791" t="str">
        <f>""""&amp;SUBSTITUTE(A2791,"zzz",H2791)&amp;""""&amp;","</f>
        <v>"https://www.zeldadungeon.net/maps/totk/tiles/sky/6/60_15.jpg",</v>
      </c>
      <c r="H2791" t="str">
        <f>QUOTIENT(ROW(A2791),48)+2&amp;"_"&amp;MOD(ROW(A2791),48)+8</f>
        <v>60_15</v>
      </c>
    </row>
    <row r="2792" spans="1:8" x14ac:dyDescent="0.2">
      <c r="A2792" s="9" t="s">
        <v>51</v>
      </c>
      <c r="C2792" t="str">
        <f>""""&amp;SUBSTITUTE(A2792,"zzz",H2792)&amp;""""&amp;","</f>
        <v>"https://www.zeldadungeon.net/maps/totk/tiles/sky/6/60_16.jpg",</v>
      </c>
      <c r="H2792" t="str">
        <f>QUOTIENT(ROW(A2792),48)+2&amp;"_"&amp;MOD(ROW(A2792),48)+8</f>
        <v>60_16</v>
      </c>
    </row>
    <row r="2793" spans="1:8" x14ac:dyDescent="0.2">
      <c r="A2793" s="9" t="s">
        <v>51</v>
      </c>
      <c r="C2793" t="str">
        <f>""""&amp;SUBSTITUTE(A2793,"zzz",H2793)&amp;""""&amp;","</f>
        <v>"https://www.zeldadungeon.net/maps/totk/tiles/sky/6/60_17.jpg",</v>
      </c>
      <c r="H2793" t="str">
        <f>QUOTIENT(ROW(A2793),48)+2&amp;"_"&amp;MOD(ROW(A2793),48)+8</f>
        <v>60_17</v>
      </c>
    </row>
    <row r="2794" spans="1:8" x14ac:dyDescent="0.2">
      <c r="A2794" s="9" t="s">
        <v>51</v>
      </c>
      <c r="C2794" t="str">
        <f>""""&amp;SUBSTITUTE(A2794,"zzz",H2794)&amp;""""&amp;","</f>
        <v>"https://www.zeldadungeon.net/maps/totk/tiles/sky/6/60_18.jpg",</v>
      </c>
      <c r="H2794" t="str">
        <f>QUOTIENT(ROW(A2794),48)+2&amp;"_"&amp;MOD(ROW(A2794),48)+8</f>
        <v>60_18</v>
      </c>
    </row>
    <row r="2795" spans="1:8" x14ac:dyDescent="0.2">
      <c r="A2795" s="9" t="s">
        <v>51</v>
      </c>
      <c r="C2795" t="str">
        <f>""""&amp;SUBSTITUTE(A2795,"zzz",H2795)&amp;""""&amp;","</f>
        <v>"https://www.zeldadungeon.net/maps/totk/tiles/sky/6/60_19.jpg",</v>
      </c>
      <c r="H2795" t="str">
        <f>QUOTIENT(ROW(A2795),48)+2&amp;"_"&amp;MOD(ROW(A2795),48)+8</f>
        <v>60_19</v>
      </c>
    </row>
    <row r="2796" spans="1:8" x14ac:dyDescent="0.2">
      <c r="A2796" s="9" t="s">
        <v>51</v>
      </c>
      <c r="C2796" t="str">
        <f>""""&amp;SUBSTITUTE(A2796,"zzz",H2796)&amp;""""&amp;","</f>
        <v>"https://www.zeldadungeon.net/maps/totk/tiles/sky/6/60_20.jpg",</v>
      </c>
      <c r="H2796" t="str">
        <f>QUOTIENT(ROW(A2796),48)+2&amp;"_"&amp;MOD(ROW(A2796),48)+8</f>
        <v>60_20</v>
      </c>
    </row>
    <row r="2797" spans="1:8" x14ac:dyDescent="0.2">
      <c r="A2797" s="9" t="s">
        <v>51</v>
      </c>
      <c r="C2797" t="str">
        <f>""""&amp;SUBSTITUTE(A2797,"zzz",H2797)&amp;""""&amp;","</f>
        <v>"https://www.zeldadungeon.net/maps/totk/tiles/sky/6/60_21.jpg",</v>
      </c>
      <c r="H2797" t="str">
        <f>QUOTIENT(ROW(A2797),48)+2&amp;"_"&amp;MOD(ROW(A2797),48)+8</f>
        <v>60_21</v>
      </c>
    </row>
    <row r="2798" spans="1:8" x14ac:dyDescent="0.2">
      <c r="A2798" s="9" t="s">
        <v>51</v>
      </c>
      <c r="C2798" t="str">
        <f>""""&amp;SUBSTITUTE(A2798,"zzz",H2798)&amp;""""&amp;","</f>
        <v>"https://www.zeldadungeon.net/maps/totk/tiles/sky/6/60_22.jpg",</v>
      </c>
      <c r="H2798" t="str">
        <f>QUOTIENT(ROW(A2798),48)+2&amp;"_"&amp;MOD(ROW(A2798),48)+8</f>
        <v>60_22</v>
      </c>
    </row>
    <row r="2799" spans="1:8" x14ac:dyDescent="0.2">
      <c r="A2799" s="9" t="s">
        <v>51</v>
      </c>
      <c r="C2799" t="str">
        <f>""""&amp;SUBSTITUTE(A2799,"zzz",H2799)&amp;""""&amp;","</f>
        <v>"https://www.zeldadungeon.net/maps/totk/tiles/sky/6/60_23.jpg",</v>
      </c>
      <c r="H2799" t="str">
        <f>QUOTIENT(ROW(A2799),48)+2&amp;"_"&amp;MOD(ROW(A2799),48)+8</f>
        <v>60_23</v>
      </c>
    </row>
    <row r="2800" spans="1:8" x14ac:dyDescent="0.2">
      <c r="A2800" s="9" t="s">
        <v>51</v>
      </c>
      <c r="C2800" t="str">
        <f>""""&amp;SUBSTITUTE(A2800,"zzz",H2800)&amp;""""&amp;","</f>
        <v>"https://www.zeldadungeon.net/maps/totk/tiles/sky/6/60_24.jpg",</v>
      </c>
      <c r="H2800" t="str">
        <f>QUOTIENT(ROW(A2800),48)+2&amp;"_"&amp;MOD(ROW(A2800),48)+8</f>
        <v>60_24</v>
      </c>
    </row>
    <row r="2801" spans="1:8" x14ac:dyDescent="0.2">
      <c r="A2801" s="9" t="s">
        <v>51</v>
      </c>
      <c r="C2801" t="str">
        <f>""""&amp;SUBSTITUTE(A2801,"zzz",H2801)&amp;""""&amp;","</f>
        <v>"https://www.zeldadungeon.net/maps/totk/tiles/sky/6/60_25.jpg",</v>
      </c>
      <c r="H2801" t="str">
        <f>QUOTIENT(ROW(A2801),48)+2&amp;"_"&amp;MOD(ROW(A2801),48)+8</f>
        <v>60_25</v>
      </c>
    </row>
    <row r="2802" spans="1:8" x14ac:dyDescent="0.2">
      <c r="A2802" s="9" t="s">
        <v>51</v>
      </c>
      <c r="C2802" t="str">
        <f>""""&amp;SUBSTITUTE(A2802,"zzz",H2802)&amp;""""&amp;","</f>
        <v>"https://www.zeldadungeon.net/maps/totk/tiles/sky/6/60_26.jpg",</v>
      </c>
      <c r="H2802" t="str">
        <f>QUOTIENT(ROW(A2802),48)+2&amp;"_"&amp;MOD(ROW(A2802),48)+8</f>
        <v>60_26</v>
      </c>
    </row>
    <row r="2803" spans="1:8" x14ac:dyDescent="0.2">
      <c r="A2803" s="9" t="s">
        <v>51</v>
      </c>
      <c r="C2803" t="str">
        <f>""""&amp;SUBSTITUTE(A2803,"zzz",H2803)&amp;""""&amp;","</f>
        <v>"https://www.zeldadungeon.net/maps/totk/tiles/sky/6/60_27.jpg",</v>
      </c>
      <c r="H2803" t="str">
        <f>QUOTIENT(ROW(A2803),48)+2&amp;"_"&amp;MOD(ROW(A2803),48)+8</f>
        <v>60_27</v>
      </c>
    </row>
    <row r="2804" spans="1:8" x14ac:dyDescent="0.2">
      <c r="A2804" s="9" t="s">
        <v>51</v>
      </c>
      <c r="C2804" t="str">
        <f>""""&amp;SUBSTITUTE(A2804,"zzz",H2804)&amp;""""&amp;","</f>
        <v>"https://www.zeldadungeon.net/maps/totk/tiles/sky/6/60_28.jpg",</v>
      </c>
      <c r="H2804" t="str">
        <f>QUOTIENT(ROW(A2804),48)+2&amp;"_"&amp;MOD(ROW(A2804),48)+8</f>
        <v>60_28</v>
      </c>
    </row>
    <row r="2805" spans="1:8" x14ac:dyDescent="0.2">
      <c r="A2805" s="9" t="s">
        <v>51</v>
      </c>
      <c r="C2805" t="str">
        <f>""""&amp;SUBSTITUTE(A2805,"zzz",H2805)&amp;""""&amp;","</f>
        <v>"https://www.zeldadungeon.net/maps/totk/tiles/sky/6/60_29.jpg",</v>
      </c>
      <c r="H2805" t="str">
        <f>QUOTIENT(ROW(A2805),48)+2&amp;"_"&amp;MOD(ROW(A2805),48)+8</f>
        <v>60_29</v>
      </c>
    </row>
    <row r="2806" spans="1:8" x14ac:dyDescent="0.2">
      <c r="A2806" s="9" t="s">
        <v>51</v>
      </c>
      <c r="C2806" t="str">
        <f>""""&amp;SUBSTITUTE(A2806,"zzz",H2806)&amp;""""&amp;","</f>
        <v>"https://www.zeldadungeon.net/maps/totk/tiles/sky/6/60_30.jpg",</v>
      </c>
      <c r="H2806" t="str">
        <f>QUOTIENT(ROW(A2806),48)+2&amp;"_"&amp;MOD(ROW(A2806),48)+8</f>
        <v>60_30</v>
      </c>
    </row>
    <row r="2807" spans="1:8" x14ac:dyDescent="0.2">
      <c r="A2807" s="9" t="s">
        <v>51</v>
      </c>
      <c r="C2807" t="str">
        <f>""""&amp;SUBSTITUTE(A2807,"zzz",H2807)&amp;""""&amp;","</f>
        <v>"https://www.zeldadungeon.net/maps/totk/tiles/sky/6/60_31.jpg",</v>
      </c>
      <c r="H2807" t="str">
        <f>QUOTIENT(ROW(A2807),48)+2&amp;"_"&amp;MOD(ROW(A2807),48)+8</f>
        <v>60_31</v>
      </c>
    </row>
    <row r="2808" spans="1:8" x14ac:dyDescent="0.2">
      <c r="A2808" s="9" t="s">
        <v>51</v>
      </c>
      <c r="C2808" t="str">
        <f>""""&amp;SUBSTITUTE(A2808,"zzz",H2808)&amp;""""&amp;","</f>
        <v>"https://www.zeldadungeon.net/maps/totk/tiles/sky/6/60_32.jpg",</v>
      </c>
      <c r="H2808" t="str">
        <f>QUOTIENT(ROW(A2808),48)+2&amp;"_"&amp;MOD(ROW(A2808),48)+8</f>
        <v>60_32</v>
      </c>
    </row>
    <row r="2809" spans="1:8" x14ac:dyDescent="0.2">
      <c r="A2809" s="9" t="s">
        <v>51</v>
      </c>
      <c r="C2809" t="str">
        <f>""""&amp;SUBSTITUTE(A2809,"zzz",H2809)&amp;""""&amp;","</f>
        <v>"https://www.zeldadungeon.net/maps/totk/tiles/sky/6/60_33.jpg",</v>
      </c>
      <c r="H2809" t="str">
        <f>QUOTIENT(ROW(A2809),48)+2&amp;"_"&amp;MOD(ROW(A2809),48)+8</f>
        <v>60_33</v>
      </c>
    </row>
    <row r="2810" spans="1:8" x14ac:dyDescent="0.2">
      <c r="A2810" s="9" t="s">
        <v>51</v>
      </c>
      <c r="C2810" t="str">
        <f>""""&amp;SUBSTITUTE(A2810,"zzz",H2810)&amp;""""&amp;","</f>
        <v>"https://www.zeldadungeon.net/maps/totk/tiles/sky/6/60_34.jpg",</v>
      </c>
      <c r="H2810" t="str">
        <f>QUOTIENT(ROW(A2810),48)+2&amp;"_"&amp;MOD(ROW(A2810),48)+8</f>
        <v>60_34</v>
      </c>
    </row>
    <row r="2811" spans="1:8" x14ac:dyDescent="0.2">
      <c r="A2811" s="9" t="s">
        <v>51</v>
      </c>
      <c r="C2811" t="str">
        <f>""""&amp;SUBSTITUTE(A2811,"zzz",H2811)&amp;""""&amp;","</f>
        <v>"https://www.zeldadungeon.net/maps/totk/tiles/sky/6/60_35.jpg",</v>
      </c>
      <c r="H2811" t="str">
        <f>QUOTIENT(ROW(A2811),48)+2&amp;"_"&amp;MOD(ROW(A2811),48)+8</f>
        <v>60_35</v>
      </c>
    </row>
    <row r="2812" spans="1:8" x14ac:dyDescent="0.2">
      <c r="A2812" s="9" t="s">
        <v>51</v>
      </c>
      <c r="C2812" t="str">
        <f>""""&amp;SUBSTITUTE(A2812,"zzz",H2812)&amp;""""&amp;","</f>
        <v>"https://www.zeldadungeon.net/maps/totk/tiles/sky/6/60_36.jpg",</v>
      </c>
      <c r="H2812" t="str">
        <f>QUOTIENT(ROW(A2812),48)+2&amp;"_"&amp;MOD(ROW(A2812),48)+8</f>
        <v>60_36</v>
      </c>
    </row>
    <row r="2813" spans="1:8" x14ac:dyDescent="0.2">
      <c r="A2813" s="9" t="s">
        <v>51</v>
      </c>
      <c r="C2813" t="str">
        <f>""""&amp;SUBSTITUTE(A2813,"zzz",H2813)&amp;""""&amp;","</f>
        <v>"https://www.zeldadungeon.net/maps/totk/tiles/sky/6/60_37.jpg",</v>
      </c>
      <c r="H2813" t="str">
        <f>QUOTIENT(ROW(A2813),48)+2&amp;"_"&amp;MOD(ROW(A2813),48)+8</f>
        <v>60_37</v>
      </c>
    </row>
    <row r="2814" spans="1:8" x14ac:dyDescent="0.2">
      <c r="A2814" s="9" t="s">
        <v>51</v>
      </c>
      <c r="C2814" t="str">
        <f>""""&amp;SUBSTITUTE(A2814,"zzz",H2814)&amp;""""&amp;","</f>
        <v>"https://www.zeldadungeon.net/maps/totk/tiles/sky/6/60_38.jpg",</v>
      </c>
      <c r="H2814" t="str">
        <f>QUOTIENT(ROW(A2814),48)+2&amp;"_"&amp;MOD(ROW(A2814),48)+8</f>
        <v>60_38</v>
      </c>
    </row>
    <row r="2815" spans="1:8" x14ac:dyDescent="0.2">
      <c r="A2815" s="9" t="s">
        <v>51</v>
      </c>
      <c r="C2815" t="str">
        <f>""""&amp;SUBSTITUTE(A2815,"zzz",H2815)&amp;""""&amp;","</f>
        <v>"https://www.zeldadungeon.net/maps/totk/tiles/sky/6/60_39.jpg",</v>
      </c>
      <c r="H2815" t="str">
        <f>QUOTIENT(ROW(A2815),48)+2&amp;"_"&amp;MOD(ROW(A2815),48)+8</f>
        <v>60_39</v>
      </c>
    </row>
    <row r="2816" spans="1:8" x14ac:dyDescent="0.2">
      <c r="A2816" s="9" t="s">
        <v>51</v>
      </c>
      <c r="C2816" t="str">
        <f>""""&amp;SUBSTITUTE(A2816,"zzz",H2816)&amp;""""&amp;","</f>
        <v>"https://www.zeldadungeon.net/maps/totk/tiles/sky/6/60_40.jpg",</v>
      </c>
      <c r="H2816" t="str">
        <f>QUOTIENT(ROW(A2816),48)+2&amp;"_"&amp;MOD(ROW(A2816),48)+8</f>
        <v>60_40</v>
      </c>
    </row>
    <row r="2817" spans="1:8" x14ac:dyDescent="0.2">
      <c r="A2817" s="9" t="s">
        <v>51</v>
      </c>
      <c r="C2817" t="str">
        <f>""""&amp;SUBSTITUTE(A2817,"zzz",H2817)&amp;""""&amp;","</f>
        <v>"https://www.zeldadungeon.net/maps/totk/tiles/sky/6/60_41.jpg",</v>
      </c>
      <c r="H2817" t="str">
        <f>QUOTIENT(ROW(A2817),48)+2&amp;"_"&amp;MOD(ROW(A2817),48)+8</f>
        <v>60_41</v>
      </c>
    </row>
    <row r="2818" spans="1:8" x14ac:dyDescent="0.2">
      <c r="A2818" s="9" t="s">
        <v>51</v>
      </c>
      <c r="C2818" t="str">
        <f>""""&amp;SUBSTITUTE(A2818,"zzz",H2818)&amp;""""&amp;","</f>
        <v>"https://www.zeldadungeon.net/maps/totk/tiles/sky/6/60_42.jpg",</v>
      </c>
      <c r="H2818" t="str">
        <f>QUOTIENT(ROW(A2818),48)+2&amp;"_"&amp;MOD(ROW(A2818),48)+8</f>
        <v>60_42</v>
      </c>
    </row>
    <row r="2819" spans="1:8" x14ac:dyDescent="0.2">
      <c r="A2819" s="9" t="s">
        <v>51</v>
      </c>
      <c r="C2819" t="str">
        <f>""""&amp;SUBSTITUTE(A2819,"zzz",H2819)&amp;""""&amp;","</f>
        <v>"https://www.zeldadungeon.net/maps/totk/tiles/sky/6/60_43.jpg",</v>
      </c>
      <c r="H2819" t="str">
        <f>QUOTIENT(ROW(A2819),48)+2&amp;"_"&amp;MOD(ROW(A2819),48)+8</f>
        <v>60_43</v>
      </c>
    </row>
    <row r="2820" spans="1:8" x14ac:dyDescent="0.2">
      <c r="A2820" s="9" t="s">
        <v>51</v>
      </c>
      <c r="C2820" t="str">
        <f>""""&amp;SUBSTITUTE(A2820,"zzz",H2820)&amp;""""&amp;","</f>
        <v>"https://www.zeldadungeon.net/maps/totk/tiles/sky/6/60_44.jpg",</v>
      </c>
      <c r="H2820" t="str">
        <f>QUOTIENT(ROW(A2820),48)+2&amp;"_"&amp;MOD(ROW(A2820),48)+8</f>
        <v>60_44</v>
      </c>
    </row>
    <row r="2821" spans="1:8" x14ac:dyDescent="0.2">
      <c r="A2821" s="9" t="s">
        <v>51</v>
      </c>
      <c r="C2821" t="str">
        <f>""""&amp;SUBSTITUTE(A2821,"zzz",H2821)&amp;""""&amp;","</f>
        <v>"https://www.zeldadungeon.net/maps/totk/tiles/sky/6/60_45.jpg",</v>
      </c>
      <c r="H2821" t="str">
        <f>QUOTIENT(ROW(A2821),48)+2&amp;"_"&amp;MOD(ROW(A2821),48)+8</f>
        <v>60_45</v>
      </c>
    </row>
    <row r="2822" spans="1:8" x14ac:dyDescent="0.2">
      <c r="A2822" s="9" t="s">
        <v>51</v>
      </c>
      <c r="C2822" t="str">
        <f>""""&amp;SUBSTITUTE(A2822,"zzz",H2822)&amp;""""&amp;","</f>
        <v>"https://www.zeldadungeon.net/maps/totk/tiles/sky/6/60_46.jpg",</v>
      </c>
      <c r="H2822" t="str">
        <f>QUOTIENT(ROW(A2822),48)+2&amp;"_"&amp;MOD(ROW(A2822),48)+8</f>
        <v>60_46</v>
      </c>
    </row>
    <row r="2823" spans="1:8" x14ac:dyDescent="0.2">
      <c r="A2823" s="9" t="s">
        <v>51</v>
      </c>
      <c r="C2823" t="str">
        <f>""""&amp;SUBSTITUTE(A2823,"zzz",H2823)&amp;""""&amp;","</f>
        <v>"https://www.zeldadungeon.net/maps/totk/tiles/sky/6/60_47.jpg",</v>
      </c>
      <c r="H2823" t="str">
        <f>QUOTIENT(ROW(A2823),48)+2&amp;"_"&amp;MOD(ROW(A2823),48)+8</f>
        <v>60_47</v>
      </c>
    </row>
    <row r="2824" spans="1:8" x14ac:dyDescent="0.2">
      <c r="A2824" s="9" t="s">
        <v>51</v>
      </c>
      <c r="C2824" t="str">
        <f>""""&amp;SUBSTITUTE(A2824,"zzz",H2824)&amp;""""&amp;","</f>
        <v>"https://www.zeldadungeon.net/maps/totk/tiles/sky/6/60_48.jpg",</v>
      </c>
      <c r="H2824" t="str">
        <f>QUOTIENT(ROW(A2824),48)+2&amp;"_"&amp;MOD(ROW(A2824),48)+8</f>
        <v>60_48</v>
      </c>
    </row>
    <row r="2825" spans="1:8" x14ac:dyDescent="0.2">
      <c r="A2825" s="9" t="s">
        <v>51</v>
      </c>
      <c r="C2825" t="str">
        <f>""""&amp;SUBSTITUTE(A2825,"zzz",H2825)&amp;""""&amp;","</f>
        <v>"https://www.zeldadungeon.net/maps/totk/tiles/sky/6/60_49.jpg",</v>
      </c>
      <c r="H2825" t="str">
        <f>QUOTIENT(ROW(A2825),48)+2&amp;"_"&amp;MOD(ROW(A2825),48)+8</f>
        <v>60_49</v>
      </c>
    </row>
    <row r="2826" spans="1:8" x14ac:dyDescent="0.2">
      <c r="A2826" s="9" t="s">
        <v>51</v>
      </c>
      <c r="C2826" t="str">
        <f>""""&amp;SUBSTITUTE(A2826,"zzz",H2826)&amp;""""&amp;","</f>
        <v>"https://www.zeldadungeon.net/maps/totk/tiles/sky/6/60_50.jpg",</v>
      </c>
      <c r="H2826" t="str">
        <f>QUOTIENT(ROW(A2826),48)+2&amp;"_"&amp;MOD(ROW(A2826),48)+8</f>
        <v>60_50</v>
      </c>
    </row>
    <row r="2827" spans="1:8" x14ac:dyDescent="0.2">
      <c r="A2827" s="9" t="s">
        <v>51</v>
      </c>
      <c r="C2827" t="str">
        <f>""""&amp;SUBSTITUTE(A2827,"zzz",H2827)&amp;""""&amp;","</f>
        <v>"https://www.zeldadungeon.net/maps/totk/tiles/sky/6/60_51.jpg",</v>
      </c>
      <c r="H2827" t="str">
        <f>QUOTIENT(ROW(A2827),48)+2&amp;"_"&amp;MOD(ROW(A2827),48)+8</f>
        <v>60_51</v>
      </c>
    </row>
    <row r="2828" spans="1:8" x14ac:dyDescent="0.2">
      <c r="A2828" s="9" t="s">
        <v>51</v>
      </c>
      <c r="C2828" t="str">
        <f>""""&amp;SUBSTITUTE(A2828,"zzz",H2828)&amp;""""&amp;","</f>
        <v>"https://www.zeldadungeon.net/maps/totk/tiles/sky/6/60_52.jpg",</v>
      </c>
      <c r="H2828" t="str">
        <f>QUOTIENT(ROW(A2828),48)+2&amp;"_"&amp;MOD(ROW(A2828),48)+8</f>
        <v>60_52</v>
      </c>
    </row>
    <row r="2829" spans="1:8" x14ac:dyDescent="0.2">
      <c r="A2829" s="9" t="s">
        <v>51</v>
      </c>
      <c r="C2829" t="str">
        <f>""""&amp;SUBSTITUTE(A2829,"zzz",H2829)&amp;""""&amp;","</f>
        <v>"https://www.zeldadungeon.net/maps/totk/tiles/sky/6/60_53.jpg",</v>
      </c>
      <c r="H2829" t="str">
        <f>QUOTIENT(ROW(A2829),48)+2&amp;"_"&amp;MOD(ROW(A2829),48)+8</f>
        <v>60_53</v>
      </c>
    </row>
    <row r="2830" spans="1:8" x14ac:dyDescent="0.2">
      <c r="A2830" s="9" t="s">
        <v>51</v>
      </c>
      <c r="C2830" t="str">
        <f>""""&amp;SUBSTITUTE(A2830,"zzz",H2830)&amp;""""&amp;","</f>
        <v>"https://www.zeldadungeon.net/maps/totk/tiles/sky/6/60_54.jpg",</v>
      </c>
      <c r="H2830" t="str">
        <f>QUOTIENT(ROW(A2830),48)+2&amp;"_"&amp;MOD(ROW(A2830),48)+8</f>
        <v>60_54</v>
      </c>
    </row>
    <row r="2831" spans="1:8" x14ac:dyDescent="0.2">
      <c r="A2831" s="9" t="s">
        <v>51</v>
      </c>
      <c r="C2831" t="str">
        <f>""""&amp;SUBSTITUTE(A2831,"zzz",H2831)&amp;""""&amp;","</f>
        <v>"https://www.zeldadungeon.net/maps/totk/tiles/sky/6/60_55.jpg",</v>
      </c>
      <c r="H2831" t="str">
        <f>QUOTIENT(ROW(A2831),48)+2&amp;"_"&amp;MOD(ROW(A2831),48)+8</f>
        <v>60_55</v>
      </c>
    </row>
    <row r="2832" spans="1:8" x14ac:dyDescent="0.2">
      <c r="A2832" s="9" t="s">
        <v>51</v>
      </c>
      <c r="C2832" t="str">
        <f>""""&amp;SUBSTITUTE(A2832,"zzz",H2832)&amp;""""&amp;","</f>
        <v>"https://www.zeldadungeon.net/maps/totk/tiles/sky/6/61_8.jpg",</v>
      </c>
      <c r="H2832" t="str">
        <f>QUOTIENT(ROW(A2832),48)+2&amp;"_"&amp;MOD(ROW(A2832),48)+8</f>
        <v>61_8</v>
      </c>
    </row>
    <row r="2833" spans="1:8" x14ac:dyDescent="0.2">
      <c r="A2833" s="9" t="s">
        <v>51</v>
      </c>
      <c r="C2833" t="str">
        <f>""""&amp;SUBSTITUTE(A2833,"zzz",H2833)&amp;""""&amp;","</f>
        <v>"https://www.zeldadungeon.net/maps/totk/tiles/sky/6/61_9.jpg",</v>
      </c>
      <c r="H2833" t="str">
        <f>QUOTIENT(ROW(A2833),48)+2&amp;"_"&amp;MOD(ROW(A2833),48)+8</f>
        <v>61_9</v>
      </c>
    </row>
    <row r="2834" spans="1:8" x14ac:dyDescent="0.2">
      <c r="A2834" s="9" t="s">
        <v>51</v>
      </c>
      <c r="C2834" t="str">
        <f>""""&amp;SUBSTITUTE(A2834,"zzz",H2834)&amp;""""&amp;","</f>
        <v>"https://www.zeldadungeon.net/maps/totk/tiles/sky/6/61_10.jpg",</v>
      </c>
      <c r="H2834" t="str">
        <f>QUOTIENT(ROW(A2834),48)+2&amp;"_"&amp;MOD(ROW(A2834),48)+8</f>
        <v>61_10</v>
      </c>
    </row>
    <row r="2835" spans="1:8" x14ac:dyDescent="0.2">
      <c r="A2835" s="9" t="s">
        <v>51</v>
      </c>
      <c r="C2835" t="str">
        <f>""""&amp;SUBSTITUTE(A2835,"zzz",H2835)&amp;""""&amp;","</f>
        <v>"https://www.zeldadungeon.net/maps/totk/tiles/sky/6/61_11.jpg",</v>
      </c>
      <c r="H2835" t="str">
        <f>QUOTIENT(ROW(A2835),48)+2&amp;"_"&amp;MOD(ROW(A2835),48)+8</f>
        <v>61_11</v>
      </c>
    </row>
    <row r="2836" spans="1:8" x14ac:dyDescent="0.2">
      <c r="A2836" s="9" t="s">
        <v>51</v>
      </c>
      <c r="C2836" t="str">
        <f>""""&amp;SUBSTITUTE(A2836,"zzz",H2836)&amp;""""&amp;","</f>
        <v>"https://www.zeldadungeon.net/maps/totk/tiles/sky/6/61_12.jpg",</v>
      </c>
      <c r="H2836" t="str">
        <f>QUOTIENT(ROW(A2836),48)+2&amp;"_"&amp;MOD(ROW(A2836),48)+8</f>
        <v>61_12</v>
      </c>
    </row>
    <row r="2837" spans="1:8" x14ac:dyDescent="0.2">
      <c r="A2837" s="9" t="s">
        <v>51</v>
      </c>
      <c r="C2837" t="str">
        <f>""""&amp;SUBSTITUTE(A2837,"zzz",H2837)&amp;""""&amp;","</f>
        <v>"https://www.zeldadungeon.net/maps/totk/tiles/sky/6/61_13.jpg",</v>
      </c>
      <c r="H2837" t="str">
        <f>QUOTIENT(ROW(A2837),48)+2&amp;"_"&amp;MOD(ROW(A2837),48)+8</f>
        <v>61_13</v>
      </c>
    </row>
    <row r="2838" spans="1:8" x14ac:dyDescent="0.2">
      <c r="A2838" s="9" t="s">
        <v>51</v>
      </c>
      <c r="C2838" t="str">
        <f>""""&amp;SUBSTITUTE(A2838,"zzz",H2838)&amp;""""&amp;","</f>
        <v>"https://www.zeldadungeon.net/maps/totk/tiles/sky/6/61_14.jpg",</v>
      </c>
      <c r="H2838" t="str">
        <f>QUOTIENT(ROW(A2838),48)+2&amp;"_"&amp;MOD(ROW(A2838),48)+8</f>
        <v>61_14</v>
      </c>
    </row>
    <row r="2839" spans="1:8" x14ac:dyDescent="0.2">
      <c r="A2839" s="9" t="s">
        <v>51</v>
      </c>
      <c r="C2839" t="str">
        <f>""""&amp;SUBSTITUTE(A2839,"zzz",H2839)&amp;""""&amp;","</f>
        <v>"https://www.zeldadungeon.net/maps/totk/tiles/sky/6/61_15.jpg",</v>
      </c>
      <c r="H2839" t="str">
        <f>QUOTIENT(ROW(A2839),48)+2&amp;"_"&amp;MOD(ROW(A2839),48)+8</f>
        <v>61_15</v>
      </c>
    </row>
    <row r="2840" spans="1:8" x14ac:dyDescent="0.2">
      <c r="A2840" s="9" t="s">
        <v>51</v>
      </c>
      <c r="C2840" t="str">
        <f>""""&amp;SUBSTITUTE(A2840,"zzz",H2840)&amp;""""&amp;","</f>
        <v>"https://www.zeldadungeon.net/maps/totk/tiles/sky/6/61_16.jpg",</v>
      </c>
      <c r="H2840" t="str">
        <f>QUOTIENT(ROW(A2840),48)+2&amp;"_"&amp;MOD(ROW(A2840),48)+8</f>
        <v>61_16</v>
      </c>
    </row>
    <row r="2841" spans="1:8" x14ac:dyDescent="0.2">
      <c r="A2841" s="9" t="s">
        <v>51</v>
      </c>
      <c r="C2841" t="str">
        <f>""""&amp;SUBSTITUTE(A2841,"zzz",H2841)&amp;""""&amp;","</f>
        <v>"https://www.zeldadungeon.net/maps/totk/tiles/sky/6/61_17.jpg",</v>
      </c>
      <c r="H2841" t="str">
        <f>QUOTIENT(ROW(A2841),48)+2&amp;"_"&amp;MOD(ROW(A2841),48)+8</f>
        <v>61_17</v>
      </c>
    </row>
    <row r="2842" spans="1:8" x14ac:dyDescent="0.2">
      <c r="A2842" s="9" t="s">
        <v>51</v>
      </c>
      <c r="C2842" t="str">
        <f>""""&amp;SUBSTITUTE(A2842,"zzz",H2842)&amp;""""&amp;","</f>
        <v>"https://www.zeldadungeon.net/maps/totk/tiles/sky/6/61_18.jpg",</v>
      </c>
      <c r="H2842" t="str">
        <f>QUOTIENT(ROW(A2842),48)+2&amp;"_"&amp;MOD(ROW(A2842),48)+8</f>
        <v>61_18</v>
      </c>
    </row>
    <row r="2843" spans="1:8" x14ac:dyDescent="0.2">
      <c r="A2843" s="9" t="s">
        <v>51</v>
      </c>
      <c r="C2843" t="str">
        <f>""""&amp;SUBSTITUTE(A2843,"zzz",H2843)&amp;""""&amp;","</f>
        <v>"https://www.zeldadungeon.net/maps/totk/tiles/sky/6/61_19.jpg",</v>
      </c>
      <c r="H2843" t="str">
        <f>QUOTIENT(ROW(A2843),48)+2&amp;"_"&amp;MOD(ROW(A2843),48)+8</f>
        <v>61_19</v>
      </c>
    </row>
    <row r="2844" spans="1:8" x14ac:dyDescent="0.2">
      <c r="A2844" s="9" t="s">
        <v>51</v>
      </c>
      <c r="C2844" t="str">
        <f>""""&amp;SUBSTITUTE(A2844,"zzz",H2844)&amp;""""&amp;","</f>
        <v>"https://www.zeldadungeon.net/maps/totk/tiles/sky/6/61_20.jpg",</v>
      </c>
      <c r="H2844" t="str">
        <f>QUOTIENT(ROW(A2844),48)+2&amp;"_"&amp;MOD(ROW(A2844),48)+8</f>
        <v>61_20</v>
      </c>
    </row>
    <row r="2845" spans="1:8" x14ac:dyDescent="0.2">
      <c r="A2845" s="9" t="s">
        <v>51</v>
      </c>
      <c r="C2845" t="str">
        <f>""""&amp;SUBSTITUTE(A2845,"zzz",H2845)&amp;""""&amp;","</f>
        <v>"https://www.zeldadungeon.net/maps/totk/tiles/sky/6/61_21.jpg",</v>
      </c>
      <c r="H2845" t="str">
        <f>QUOTIENT(ROW(A2845),48)+2&amp;"_"&amp;MOD(ROW(A2845),48)+8</f>
        <v>61_21</v>
      </c>
    </row>
    <row r="2846" spans="1:8" x14ac:dyDescent="0.2">
      <c r="A2846" s="9" t="s">
        <v>51</v>
      </c>
      <c r="C2846" t="str">
        <f>""""&amp;SUBSTITUTE(A2846,"zzz",H2846)&amp;""""&amp;","</f>
        <v>"https://www.zeldadungeon.net/maps/totk/tiles/sky/6/61_22.jpg",</v>
      </c>
      <c r="H2846" t="str">
        <f>QUOTIENT(ROW(A2846),48)+2&amp;"_"&amp;MOD(ROW(A2846),48)+8</f>
        <v>61_22</v>
      </c>
    </row>
    <row r="2847" spans="1:8" x14ac:dyDescent="0.2">
      <c r="A2847" s="9" t="s">
        <v>51</v>
      </c>
      <c r="C2847" t="str">
        <f>""""&amp;SUBSTITUTE(A2847,"zzz",H2847)&amp;""""&amp;","</f>
        <v>"https://www.zeldadungeon.net/maps/totk/tiles/sky/6/61_23.jpg",</v>
      </c>
      <c r="H2847" t="str">
        <f>QUOTIENT(ROW(A2847),48)+2&amp;"_"&amp;MOD(ROW(A2847),48)+8</f>
        <v>61_23</v>
      </c>
    </row>
    <row r="2848" spans="1:8" x14ac:dyDescent="0.2">
      <c r="A2848" s="9" t="s">
        <v>51</v>
      </c>
      <c r="C2848" t="str">
        <f>""""&amp;SUBSTITUTE(A2848,"zzz",H2848)&amp;""""&amp;","</f>
        <v>"https://www.zeldadungeon.net/maps/totk/tiles/sky/6/61_24.jpg",</v>
      </c>
      <c r="H2848" t="str">
        <f>QUOTIENT(ROW(A2848),48)+2&amp;"_"&amp;MOD(ROW(A2848),48)+8</f>
        <v>61_24</v>
      </c>
    </row>
    <row r="2849" spans="1:8" x14ac:dyDescent="0.2">
      <c r="A2849" s="9" t="s">
        <v>51</v>
      </c>
      <c r="C2849" t="str">
        <f>""""&amp;SUBSTITUTE(A2849,"zzz",H2849)&amp;""""&amp;","</f>
        <v>"https://www.zeldadungeon.net/maps/totk/tiles/sky/6/61_25.jpg",</v>
      </c>
      <c r="H2849" t="str">
        <f>QUOTIENT(ROW(A2849),48)+2&amp;"_"&amp;MOD(ROW(A2849),48)+8</f>
        <v>61_25</v>
      </c>
    </row>
    <row r="2850" spans="1:8" x14ac:dyDescent="0.2">
      <c r="A2850" s="9" t="s">
        <v>51</v>
      </c>
      <c r="C2850" t="str">
        <f>""""&amp;SUBSTITUTE(A2850,"zzz",H2850)&amp;""""&amp;","</f>
        <v>"https://www.zeldadungeon.net/maps/totk/tiles/sky/6/61_26.jpg",</v>
      </c>
      <c r="H2850" t="str">
        <f>QUOTIENT(ROW(A2850),48)+2&amp;"_"&amp;MOD(ROW(A2850),48)+8</f>
        <v>61_26</v>
      </c>
    </row>
    <row r="2851" spans="1:8" x14ac:dyDescent="0.2">
      <c r="A2851" s="9" t="s">
        <v>51</v>
      </c>
      <c r="C2851" t="str">
        <f>""""&amp;SUBSTITUTE(A2851,"zzz",H2851)&amp;""""&amp;","</f>
        <v>"https://www.zeldadungeon.net/maps/totk/tiles/sky/6/61_27.jpg",</v>
      </c>
      <c r="H2851" t="str">
        <f>QUOTIENT(ROW(A2851),48)+2&amp;"_"&amp;MOD(ROW(A2851),48)+8</f>
        <v>61_27</v>
      </c>
    </row>
    <row r="2852" spans="1:8" x14ac:dyDescent="0.2">
      <c r="A2852" s="9" t="s">
        <v>51</v>
      </c>
      <c r="C2852" t="str">
        <f>""""&amp;SUBSTITUTE(A2852,"zzz",H2852)&amp;""""&amp;","</f>
        <v>"https://www.zeldadungeon.net/maps/totk/tiles/sky/6/61_28.jpg",</v>
      </c>
      <c r="H2852" t="str">
        <f>QUOTIENT(ROW(A2852),48)+2&amp;"_"&amp;MOD(ROW(A2852),48)+8</f>
        <v>61_28</v>
      </c>
    </row>
    <row r="2853" spans="1:8" x14ac:dyDescent="0.2">
      <c r="A2853" s="9" t="s">
        <v>51</v>
      </c>
      <c r="C2853" t="str">
        <f>""""&amp;SUBSTITUTE(A2853,"zzz",H2853)&amp;""""&amp;","</f>
        <v>"https://www.zeldadungeon.net/maps/totk/tiles/sky/6/61_29.jpg",</v>
      </c>
      <c r="H2853" t="str">
        <f>QUOTIENT(ROW(A2853),48)+2&amp;"_"&amp;MOD(ROW(A2853),48)+8</f>
        <v>61_29</v>
      </c>
    </row>
    <row r="2854" spans="1:8" x14ac:dyDescent="0.2">
      <c r="A2854" s="9" t="s">
        <v>51</v>
      </c>
      <c r="C2854" t="str">
        <f>""""&amp;SUBSTITUTE(A2854,"zzz",H2854)&amp;""""&amp;","</f>
        <v>"https://www.zeldadungeon.net/maps/totk/tiles/sky/6/61_30.jpg",</v>
      </c>
      <c r="H2854" t="str">
        <f>QUOTIENT(ROW(A2854),48)+2&amp;"_"&amp;MOD(ROW(A2854),48)+8</f>
        <v>61_30</v>
      </c>
    </row>
    <row r="2855" spans="1:8" x14ac:dyDescent="0.2">
      <c r="A2855" s="9" t="s">
        <v>51</v>
      </c>
      <c r="C2855" t="str">
        <f>""""&amp;SUBSTITUTE(A2855,"zzz",H2855)&amp;""""&amp;","</f>
        <v>"https://www.zeldadungeon.net/maps/totk/tiles/sky/6/61_31.jpg",</v>
      </c>
      <c r="H2855" t="str">
        <f>QUOTIENT(ROW(A2855),48)+2&amp;"_"&amp;MOD(ROW(A2855),48)+8</f>
        <v>61_31</v>
      </c>
    </row>
    <row r="2856" spans="1:8" x14ac:dyDescent="0.2">
      <c r="A2856" s="9" t="s">
        <v>51</v>
      </c>
      <c r="C2856" t="str">
        <f>""""&amp;SUBSTITUTE(A2856,"zzz",H2856)&amp;""""&amp;","</f>
        <v>"https://www.zeldadungeon.net/maps/totk/tiles/sky/6/61_32.jpg",</v>
      </c>
      <c r="H2856" t="str">
        <f>QUOTIENT(ROW(A2856),48)+2&amp;"_"&amp;MOD(ROW(A2856),48)+8</f>
        <v>61_32</v>
      </c>
    </row>
    <row r="2857" spans="1:8" x14ac:dyDescent="0.2">
      <c r="A2857" s="9" t="s">
        <v>51</v>
      </c>
      <c r="C2857" t="str">
        <f>""""&amp;SUBSTITUTE(A2857,"zzz",H2857)&amp;""""&amp;","</f>
        <v>"https://www.zeldadungeon.net/maps/totk/tiles/sky/6/61_33.jpg",</v>
      </c>
      <c r="H2857" t="str">
        <f>QUOTIENT(ROW(A2857),48)+2&amp;"_"&amp;MOD(ROW(A2857),48)+8</f>
        <v>61_33</v>
      </c>
    </row>
    <row r="2858" spans="1:8" x14ac:dyDescent="0.2">
      <c r="A2858" s="9" t="s">
        <v>51</v>
      </c>
      <c r="C2858" t="str">
        <f>""""&amp;SUBSTITUTE(A2858,"zzz",H2858)&amp;""""&amp;","</f>
        <v>"https://www.zeldadungeon.net/maps/totk/tiles/sky/6/61_34.jpg",</v>
      </c>
      <c r="H2858" t="str">
        <f>QUOTIENT(ROW(A2858),48)+2&amp;"_"&amp;MOD(ROW(A2858),48)+8</f>
        <v>61_34</v>
      </c>
    </row>
    <row r="2859" spans="1:8" x14ac:dyDescent="0.2">
      <c r="A2859" s="9" t="s">
        <v>51</v>
      </c>
      <c r="C2859" t="str">
        <f>""""&amp;SUBSTITUTE(A2859,"zzz",H2859)&amp;""""&amp;","</f>
        <v>"https://www.zeldadungeon.net/maps/totk/tiles/sky/6/61_35.jpg",</v>
      </c>
      <c r="H2859" t="str">
        <f>QUOTIENT(ROW(A2859),48)+2&amp;"_"&amp;MOD(ROW(A2859),48)+8</f>
        <v>61_35</v>
      </c>
    </row>
    <row r="2860" spans="1:8" x14ac:dyDescent="0.2">
      <c r="A2860" s="9" t="s">
        <v>51</v>
      </c>
      <c r="C2860" t="str">
        <f>""""&amp;SUBSTITUTE(A2860,"zzz",H2860)&amp;""""&amp;","</f>
        <v>"https://www.zeldadungeon.net/maps/totk/tiles/sky/6/61_36.jpg",</v>
      </c>
      <c r="H2860" t="str">
        <f>QUOTIENT(ROW(A2860),48)+2&amp;"_"&amp;MOD(ROW(A2860),48)+8</f>
        <v>61_36</v>
      </c>
    </row>
    <row r="2861" spans="1:8" x14ac:dyDescent="0.2">
      <c r="A2861" s="9" t="s">
        <v>51</v>
      </c>
      <c r="C2861" t="str">
        <f>""""&amp;SUBSTITUTE(A2861,"zzz",H2861)&amp;""""&amp;","</f>
        <v>"https://www.zeldadungeon.net/maps/totk/tiles/sky/6/61_37.jpg",</v>
      </c>
      <c r="H2861" t="str">
        <f>QUOTIENT(ROW(A2861),48)+2&amp;"_"&amp;MOD(ROW(A2861),48)+8</f>
        <v>61_37</v>
      </c>
    </row>
    <row r="2862" spans="1:8" x14ac:dyDescent="0.2">
      <c r="A2862" s="9" t="s">
        <v>51</v>
      </c>
      <c r="C2862" t="str">
        <f>""""&amp;SUBSTITUTE(A2862,"zzz",H2862)&amp;""""&amp;","</f>
        <v>"https://www.zeldadungeon.net/maps/totk/tiles/sky/6/61_38.jpg",</v>
      </c>
      <c r="H2862" t="str">
        <f>QUOTIENT(ROW(A2862),48)+2&amp;"_"&amp;MOD(ROW(A2862),48)+8</f>
        <v>61_38</v>
      </c>
    </row>
    <row r="2863" spans="1:8" x14ac:dyDescent="0.2">
      <c r="A2863" s="9" t="s">
        <v>51</v>
      </c>
      <c r="C2863" t="str">
        <f>""""&amp;SUBSTITUTE(A2863,"zzz",H2863)&amp;""""&amp;","</f>
        <v>"https://www.zeldadungeon.net/maps/totk/tiles/sky/6/61_39.jpg",</v>
      </c>
      <c r="H2863" t="str">
        <f>QUOTIENT(ROW(A2863),48)+2&amp;"_"&amp;MOD(ROW(A2863),48)+8</f>
        <v>61_39</v>
      </c>
    </row>
    <row r="2864" spans="1:8" x14ac:dyDescent="0.2">
      <c r="A2864" s="9" t="s">
        <v>51</v>
      </c>
      <c r="C2864" t="str">
        <f>""""&amp;SUBSTITUTE(A2864,"zzz",H2864)&amp;""""&amp;","</f>
        <v>"https://www.zeldadungeon.net/maps/totk/tiles/sky/6/61_40.jpg",</v>
      </c>
      <c r="H2864" t="str">
        <f>QUOTIENT(ROW(A2864),48)+2&amp;"_"&amp;MOD(ROW(A2864),48)+8</f>
        <v>61_40</v>
      </c>
    </row>
    <row r="2865" spans="1:8" x14ac:dyDescent="0.2">
      <c r="A2865" s="9" t="s">
        <v>51</v>
      </c>
      <c r="C2865" t="str">
        <f>""""&amp;SUBSTITUTE(A2865,"zzz",H2865)&amp;""""&amp;","</f>
        <v>"https://www.zeldadungeon.net/maps/totk/tiles/sky/6/61_41.jpg",</v>
      </c>
      <c r="H2865" t="str">
        <f>QUOTIENT(ROW(A2865),48)+2&amp;"_"&amp;MOD(ROW(A2865),48)+8</f>
        <v>61_41</v>
      </c>
    </row>
    <row r="2866" spans="1:8" x14ac:dyDescent="0.2">
      <c r="A2866" s="9" t="s">
        <v>51</v>
      </c>
      <c r="C2866" t="str">
        <f>""""&amp;SUBSTITUTE(A2866,"zzz",H2866)&amp;""""&amp;","</f>
        <v>"https://www.zeldadungeon.net/maps/totk/tiles/sky/6/61_42.jpg",</v>
      </c>
      <c r="H2866" t="str">
        <f>QUOTIENT(ROW(A2866),48)+2&amp;"_"&amp;MOD(ROW(A2866),48)+8</f>
        <v>61_42</v>
      </c>
    </row>
    <row r="2867" spans="1:8" x14ac:dyDescent="0.2">
      <c r="A2867" s="9" t="s">
        <v>51</v>
      </c>
      <c r="C2867" t="str">
        <f>""""&amp;SUBSTITUTE(A2867,"zzz",H2867)&amp;""""&amp;","</f>
        <v>"https://www.zeldadungeon.net/maps/totk/tiles/sky/6/61_43.jpg",</v>
      </c>
      <c r="H2867" t="str">
        <f>QUOTIENT(ROW(A2867),48)+2&amp;"_"&amp;MOD(ROW(A2867),48)+8</f>
        <v>61_43</v>
      </c>
    </row>
    <row r="2868" spans="1:8" x14ac:dyDescent="0.2">
      <c r="A2868" s="9" t="s">
        <v>51</v>
      </c>
      <c r="C2868" t="str">
        <f>""""&amp;SUBSTITUTE(A2868,"zzz",H2868)&amp;""""&amp;","</f>
        <v>"https://www.zeldadungeon.net/maps/totk/tiles/sky/6/61_44.jpg",</v>
      </c>
      <c r="H2868" t="str">
        <f>QUOTIENT(ROW(A2868),48)+2&amp;"_"&amp;MOD(ROW(A2868),48)+8</f>
        <v>61_44</v>
      </c>
    </row>
    <row r="2869" spans="1:8" x14ac:dyDescent="0.2">
      <c r="A2869" s="9" t="s">
        <v>51</v>
      </c>
      <c r="C2869" t="str">
        <f>""""&amp;SUBSTITUTE(A2869,"zzz",H2869)&amp;""""&amp;","</f>
        <v>"https://www.zeldadungeon.net/maps/totk/tiles/sky/6/61_45.jpg",</v>
      </c>
      <c r="H2869" t="str">
        <f>QUOTIENT(ROW(A2869),48)+2&amp;"_"&amp;MOD(ROW(A2869),48)+8</f>
        <v>61_45</v>
      </c>
    </row>
    <row r="2870" spans="1:8" x14ac:dyDescent="0.2">
      <c r="A2870" s="9" t="s">
        <v>51</v>
      </c>
      <c r="C2870" t="str">
        <f>""""&amp;SUBSTITUTE(A2870,"zzz",H2870)&amp;""""&amp;","</f>
        <v>"https://www.zeldadungeon.net/maps/totk/tiles/sky/6/61_46.jpg",</v>
      </c>
      <c r="H2870" t="str">
        <f>QUOTIENT(ROW(A2870),48)+2&amp;"_"&amp;MOD(ROW(A2870),48)+8</f>
        <v>61_46</v>
      </c>
    </row>
    <row r="2871" spans="1:8" x14ac:dyDescent="0.2">
      <c r="A2871" s="9" t="s">
        <v>51</v>
      </c>
      <c r="C2871" t="str">
        <f>""""&amp;SUBSTITUTE(A2871,"zzz",H2871)&amp;""""&amp;","</f>
        <v>"https://www.zeldadungeon.net/maps/totk/tiles/sky/6/61_47.jpg",</v>
      </c>
      <c r="H2871" t="str">
        <f>QUOTIENT(ROW(A2871),48)+2&amp;"_"&amp;MOD(ROW(A2871),48)+8</f>
        <v>61_47</v>
      </c>
    </row>
    <row r="2872" spans="1:8" x14ac:dyDescent="0.2">
      <c r="A2872" s="9" t="s">
        <v>51</v>
      </c>
      <c r="C2872" t="str">
        <f>""""&amp;SUBSTITUTE(A2872,"zzz",H2872)&amp;""""&amp;","</f>
        <v>"https://www.zeldadungeon.net/maps/totk/tiles/sky/6/61_48.jpg",</v>
      </c>
      <c r="H2872" t="str">
        <f>QUOTIENT(ROW(A2872),48)+2&amp;"_"&amp;MOD(ROW(A2872),48)+8</f>
        <v>61_48</v>
      </c>
    </row>
    <row r="2873" spans="1:8" x14ac:dyDescent="0.2">
      <c r="A2873" s="9" t="s">
        <v>51</v>
      </c>
      <c r="C2873" t="str">
        <f>""""&amp;SUBSTITUTE(A2873,"zzz",H2873)&amp;""""&amp;","</f>
        <v>"https://www.zeldadungeon.net/maps/totk/tiles/sky/6/61_49.jpg",</v>
      </c>
      <c r="H2873" t="str">
        <f>QUOTIENT(ROW(A2873),48)+2&amp;"_"&amp;MOD(ROW(A2873),48)+8</f>
        <v>61_49</v>
      </c>
    </row>
    <row r="2874" spans="1:8" x14ac:dyDescent="0.2">
      <c r="A2874" s="9" t="s">
        <v>51</v>
      </c>
      <c r="C2874" t="str">
        <f>""""&amp;SUBSTITUTE(A2874,"zzz",H2874)&amp;""""&amp;","</f>
        <v>"https://www.zeldadungeon.net/maps/totk/tiles/sky/6/61_50.jpg",</v>
      </c>
      <c r="H2874" t="str">
        <f>QUOTIENT(ROW(A2874),48)+2&amp;"_"&amp;MOD(ROW(A2874),48)+8</f>
        <v>61_50</v>
      </c>
    </row>
    <row r="2875" spans="1:8" x14ac:dyDescent="0.2">
      <c r="A2875" s="9" t="s">
        <v>51</v>
      </c>
      <c r="C2875" t="str">
        <f>""""&amp;SUBSTITUTE(A2875,"zzz",H2875)&amp;""""&amp;","</f>
        <v>"https://www.zeldadungeon.net/maps/totk/tiles/sky/6/61_51.jpg",</v>
      </c>
      <c r="H2875" t="str">
        <f>QUOTIENT(ROW(A2875),48)+2&amp;"_"&amp;MOD(ROW(A2875),48)+8</f>
        <v>61_51</v>
      </c>
    </row>
    <row r="2876" spans="1:8" x14ac:dyDescent="0.2">
      <c r="A2876" s="9" t="s">
        <v>51</v>
      </c>
      <c r="C2876" t="str">
        <f>""""&amp;SUBSTITUTE(A2876,"zzz",H2876)&amp;""""&amp;","</f>
        <v>"https://www.zeldadungeon.net/maps/totk/tiles/sky/6/61_52.jpg",</v>
      </c>
      <c r="H2876" t="str">
        <f>QUOTIENT(ROW(A2876),48)+2&amp;"_"&amp;MOD(ROW(A2876),48)+8</f>
        <v>61_52</v>
      </c>
    </row>
    <row r="2877" spans="1:8" x14ac:dyDescent="0.2">
      <c r="A2877" s="9" t="s">
        <v>51</v>
      </c>
      <c r="C2877" t="str">
        <f>""""&amp;SUBSTITUTE(A2877,"zzz",H2877)&amp;""""&amp;","</f>
        <v>"https://www.zeldadungeon.net/maps/totk/tiles/sky/6/61_53.jpg",</v>
      </c>
      <c r="H2877" t="str">
        <f>QUOTIENT(ROW(A2877),48)+2&amp;"_"&amp;MOD(ROW(A2877),48)+8</f>
        <v>61_53</v>
      </c>
    </row>
    <row r="2878" spans="1:8" x14ac:dyDescent="0.2">
      <c r="A2878" s="9" t="s">
        <v>51</v>
      </c>
      <c r="C2878" t="str">
        <f>""""&amp;SUBSTITUTE(A2878,"zzz",H2878)&amp;""""&amp;","</f>
        <v>"https://www.zeldadungeon.net/maps/totk/tiles/sky/6/61_54.jpg",</v>
      </c>
      <c r="H2878" t="str">
        <f>QUOTIENT(ROW(A2878),48)+2&amp;"_"&amp;MOD(ROW(A2878),48)+8</f>
        <v>61_54</v>
      </c>
    </row>
    <row r="2879" spans="1:8" x14ac:dyDescent="0.2">
      <c r="A2879" s="9" t="s">
        <v>51</v>
      </c>
      <c r="C2879" t="str">
        <f>""""&amp;SUBSTITUTE(A2879,"zzz",H2879)&amp;""""&amp;","</f>
        <v>"https://www.zeldadungeon.net/maps/totk/tiles/sky/6/61_55.jpg",</v>
      </c>
      <c r="H2879" t="str">
        <f>QUOTIENT(ROW(A2879),48)+2&amp;"_"&amp;MOD(ROW(A2879),48)+8</f>
        <v>61_55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N1" workbookViewId="0">
      <selection activeCell="AD16" sqref="AD16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31" width="10.83203125" style="2"/>
    <col min="32" max="33" width="10.83203125" style="20"/>
    <col min="34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5085</v>
      </c>
      <c r="AC1" s="4" t="s">
        <v>5086</v>
      </c>
      <c r="AD1" s="4" t="s">
        <v>5145</v>
      </c>
      <c r="AE1" s="4" t="s">
        <v>8</v>
      </c>
      <c r="AF1" s="19"/>
      <c r="AG1" s="19"/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5087</v>
      </c>
      <c r="AF2" s="18"/>
      <c r="AG2" s="18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5088</v>
      </c>
      <c r="AF3" s="18"/>
      <c r="AG3" s="18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3: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805</v>
      </c>
      <c r="AF4" s="18"/>
      <c r="AG4" s="18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971</v>
      </c>
      <c r="AF5" s="18"/>
      <c r="AG5" s="18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2757</v>
      </c>
      <c r="AF6" s="18"/>
      <c r="AG6" s="18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813</v>
      </c>
      <c r="AF7" s="18"/>
      <c r="AG7" s="18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2324</v>
      </c>
      <c r="AF8" s="18"/>
      <c r="AG8" s="1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2173</v>
      </c>
      <c r="AF9" s="18"/>
      <c r="AG9" s="18"/>
    </row>
    <row r="10" spans="1:33" x14ac:dyDescent="0.2">
      <c r="A10" s="3">
        <v>9</v>
      </c>
      <c r="K10" s="2">
        <v>9</v>
      </c>
      <c r="L10" s="8">
        <v>2242</v>
      </c>
      <c r="M10" s="8">
        <v>2771</v>
      </c>
      <c r="N10" s="8">
        <v>2998</v>
      </c>
      <c r="O10" s="8">
        <v>33</v>
      </c>
      <c r="P10" s="8">
        <v>1939</v>
      </c>
      <c r="Q10" s="8">
        <v>2169</v>
      </c>
      <c r="R10" s="8">
        <v>2796</v>
      </c>
      <c r="S10" s="8">
        <v>434</v>
      </c>
      <c r="T10" s="8">
        <f t="shared" si="11"/>
        <v>303</v>
      </c>
      <c r="U10" s="8">
        <f t="shared" si="12"/>
        <v>602</v>
      </c>
      <c r="V10" s="8">
        <f t="shared" si="13"/>
        <v>202</v>
      </c>
      <c r="W10" s="8">
        <f t="shared" si="14"/>
        <v>-401</v>
      </c>
      <c r="X10" s="2">
        <f>ABS(V10)/ABS(T10)</f>
        <v>0.66666666666666663</v>
      </c>
      <c r="Y10" s="2">
        <f t="shared" si="16"/>
        <v>0.66611295681063121</v>
      </c>
      <c r="Z10" s="2">
        <f t="shared" si="5"/>
        <v>1503.333334727</v>
      </c>
      <c r="AA10" s="2">
        <f t="shared" si="6"/>
        <v>1880.16666502</v>
      </c>
      <c r="AB10" s="2">
        <f t="shared" si="7"/>
        <v>2.0200013750582002E-7</v>
      </c>
      <c r="AC10" s="2">
        <f t="shared" si="8"/>
        <v>0.33333293200007574</v>
      </c>
      <c r="AD10" s="7" t="str">
        <f t="shared" si="9"/>
        <v>gameStartX: 1503, gameStartY: 1880 },</v>
      </c>
      <c r="AE10" t="s">
        <v>5144</v>
      </c>
      <c r="AF10" s="18"/>
      <c r="AG10" s="18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5143</v>
      </c>
      <c r="AF11" s="18"/>
      <c r="AG11" s="18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5090</v>
      </c>
      <c r="AF12" s="18"/>
      <c r="AG12" s="18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1059</v>
      </c>
      <c r="AF13" s="18"/>
      <c r="AG13" s="18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911</v>
      </c>
      <c r="AF14" s="18"/>
      <c r="AG14" s="18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933</v>
      </c>
      <c r="AF15" s="18"/>
      <c r="AG15" s="18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926</v>
      </c>
      <c r="AF16" s="18"/>
      <c r="AG16" s="18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>R20&amp;": ("&amp;2*S20&amp;", "&amp;2*T20&amp;", "&amp;2*U20&amp;", "&amp;2*V20&amp;"),"</f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>R21&amp;": ("&amp;2*S21&amp;", "&amp;2*T21&amp;", "&amp;2*U21&amp;", "&amp;2*V21&amp;"),"</f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>R22&amp;": ("&amp;2*S22&amp;", "&amp;2*T22&amp;", "&amp;2*U22&amp;", "&amp;2*V22&amp;"),"</f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>R23&amp;": ("&amp;2*S23&amp;", "&amp;2*T23&amp;", "&amp;2*U23&amp;", "&amp;2*V23&amp;"),"</f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>R24&amp;": ("&amp;2*S24&amp;", "&amp;2*T24&amp;", "&amp;2*U24&amp;", "&amp;2*V24&amp;"),"</f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>R25&amp;": ("&amp;2*S25&amp;", "&amp;2*T25&amp;", "&amp;2*U25&amp;", "&amp;2*V25&amp;"),"</f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>R26&amp;": ("&amp;2*S26&amp;", "&amp;2*T26&amp;", "&amp;2*U26&amp;", "&amp;2*V26&amp;"),"</f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>R27&amp;": ("&amp;2*S27&amp;", "&amp;2*T27&amp;", "&amp;2*U27&amp;", "&amp;2*V27&amp;"),"</f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>R28&amp;": ("&amp;2*S28&amp;", "&amp;2*T28&amp;", "&amp;2*U28&amp;", "&amp;2*V28&amp;"),"</f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>R29&amp;": ("&amp;2*S29&amp;", "&amp;2*T29&amp;", "&amp;2*U29&amp;", "&amp;2*V29&amp;"),"</f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>R30&amp;": ("&amp;2*S30&amp;", "&amp;2*T30&amp;", "&amp;2*U30&amp;", "&amp;2*V30&amp;"),"</f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>R31&amp;": ("&amp;2*S31&amp;", "&amp;2*T31&amp;", "&amp;2*U31&amp;", "&amp;2*V31&amp;"),"</f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>R32&amp;": ("&amp;2*S32&amp;", "&amp;2*T32&amp;", "&amp;2*U32&amp;", "&amp;2*V32&amp;"),"</f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>R33&amp;": ("&amp;2*S33&amp;", "&amp;2*T33&amp;", "&amp;2*U33&amp;", "&amp;2*V33&amp;"),"</f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>U37+V19*2-2</f>
        <v>36</v>
      </c>
      <c r="X37" s="2" t="str">
        <f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>U38+V20*2-2</f>
        <v>44</v>
      </c>
      <c r="X38" s="2" t="str">
        <f>R38&amp;": ("&amp;S38&amp;", "&amp;T38&amp;", "&amp;U38&amp;", "&amp;V38&amp;"),"</f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>U39+V21*2-2</f>
        <v>34</v>
      </c>
      <c r="X39" s="2" t="str">
        <f>R39&amp;": ("&amp;S39&amp;", "&amp;T39&amp;", "&amp;U39&amp;", "&amp;V39&amp;"),"</f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>U40+V22*2-2</f>
        <v>24</v>
      </c>
      <c r="X40" s="2" t="str">
        <f>R40&amp;": ("&amp;S40&amp;", "&amp;T40&amp;", "&amp;U40&amp;", "&amp;V40&amp;"),"</f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>U41+V23*2-2</f>
        <v>44</v>
      </c>
      <c r="X41" s="2" t="str">
        <f>R41&amp;": ("&amp;S41&amp;", "&amp;T41&amp;", "&amp;U41&amp;", "&amp;V41&amp;"),"</f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>U42+V24*2-2</f>
        <v>54</v>
      </c>
      <c r="X42" s="2" t="str">
        <f>R42&amp;": ("&amp;S42&amp;", "&amp;T42&amp;", "&amp;U42&amp;", "&amp;V42&amp;"),"</f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>U43+V25*2-2</f>
        <v>28</v>
      </c>
      <c r="X43" s="2" t="str">
        <f>R43&amp;": ("&amp;S43&amp;", "&amp;T43&amp;", "&amp;U43&amp;", "&amp;V43&amp;"),"</f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>U44+V26*2-2</f>
        <v>50</v>
      </c>
      <c r="X44" s="2" t="str">
        <f>R44&amp;": ("&amp;S44&amp;", "&amp;T44&amp;", "&amp;U44&amp;", "&amp;V44&amp;"),"</f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>U45+V27*2-2</f>
        <v>36</v>
      </c>
      <c r="X45" s="2" t="str">
        <f>R45&amp;": ("&amp;S45&amp;", "&amp;T45&amp;", "&amp;U45&amp;", "&amp;V45&amp;"),"</f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>U46+V28*2-2</f>
        <v>54</v>
      </c>
      <c r="X46" s="2" t="str">
        <f>R46&amp;": ("&amp;S46&amp;", "&amp;T46&amp;", "&amp;U46&amp;", "&amp;V46&amp;"),"</f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>U47+V29*2-2</f>
        <v>24</v>
      </c>
      <c r="X47" s="2" t="str">
        <f>R47&amp;": ("&amp;S47&amp;", "&amp;T47&amp;", "&amp;U47&amp;", "&amp;V47&amp;"),"</f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>U48+V30*2-2</f>
        <v>54</v>
      </c>
      <c r="X48" s="2" t="str">
        <f>R48&amp;": ("&amp;S48&amp;", "&amp;T48&amp;", "&amp;U48&amp;", "&amp;V48&amp;"),"</f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>U49+V31*2-2</f>
        <v>24</v>
      </c>
      <c r="X49" s="2" t="str">
        <f>R49&amp;": ("&amp;S49&amp;", "&amp;T49&amp;", "&amp;U49&amp;", "&amp;V49&amp;"),"</f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>U50+V32*2-2</f>
        <v>22</v>
      </c>
      <c r="X50" s="2" t="str">
        <f>R50&amp;": ("&amp;S50&amp;", "&amp;T50&amp;", "&amp;U50&amp;", "&amp;V50&amp;"),"</f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>U51+V33*2-2</f>
        <v>44</v>
      </c>
      <c r="X51" s="2" t="str">
        <f>R51&amp;": ("&amp;S51&amp;", "&amp;T51&amp;", "&amp;U51&amp;", "&amp;V51&amp;"),"</f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>R52&amp;": ("&amp;S52&amp;", "&amp;T52&amp;", "&amp;U52&amp;", "&amp;V52&amp;"),"</f>
        <v>16: (2, 60, 8, 55),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D32"/>
  <sheetViews>
    <sheetView topLeftCell="A4" workbookViewId="0">
      <selection activeCell="B18" sqref="B18:D32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5110</v>
      </c>
      <c r="B1" t="s">
        <v>5111</v>
      </c>
    </row>
    <row r="2" spans="1:2" x14ac:dyDescent="0.2">
      <c r="A2" t="s">
        <v>5112</v>
      </c>
      <c r="B2" t="s">
        <v>5113</v>
      </c>
    </row>
    <row r="3" spans="1:2" x14ac:dyDescent="0.2">
      <c r="A3" t="s">
        <v>5114</v>
      </c>
      <c r="B3" t="s">
        <v>5138</v>
      </c>
    </row>
    <row r="4" spans="1:2" x14ac:dyDescent="0.2">
      <c r="A4" t="s">
        <v>5115</v>
      </c>
      <c r="B4" t="s">
        <v>5116</v>
      </c>
    </row>
    <row r="5" spans="1:2" x14ac:dyDescent="0.2">
      <c r="A5" t="s">
        <v>5117</v>
      </c>
      <c r="B5" t="s">
        <v>5118</v>
      </c>
    </row>
    <row r="6" spans="1:2" x14ac:dyDescent="0.2">
      <c r="A6" t="s">
        <v>5119</v>
      </c>
      <c r="B6" t="s">
        <v>5120</v>
      </c>
    </row>
    <row r="7" spans="1:2" x14ac:dyDescent="0.2">
      <c r="A7" t="s">
        <v>5121</v>
      </c>
      <c r="B7" t="s">
        <v>5139</v>
      </c>
    </row>
    <row r="8" spans="1:2" x14ac:dyDescent="0.2">
      <c r="A8" t="s">
        <v>5122</v>
      </c>
      <c r="B8" t="s">
        <v>5140</v>
      </c>
    </row>
    <row r="9" spans="1:2" x14ac:dyDescent="0.2">
      <c r="A9" t="s">
        <v>5123</v>
      </c>
      <c r="B9" t="s">
        <v>5142</v>
      </c>
    </row>
    <row r="10" spans="1:2" x14ac:dyDescent="0.2">
      <c r="A10" t="s">
        <v>5124</v>
      </c>
      <c r="B10" t="s">
        <v>5125</v>
      </c>
    </row>
    <row r="11" spans="1:2" x14ac:dyDescent="0.2">
      <c r="A11" t="s">
        <v>5126</v>
      </c>
      <c r="B11" t="s">
        <v>5127</v>
      </c>
    </row>
    <row r="12" spans="1:2" x14ac:dyDescent="0.2">
      <c r="A12" t="s">
        <v>5128</v>
      </c>
      <c r="B12" t="s">
        <v>5129</v>
      </c>
    </row>
    <row r="13" spans="1:2" x14ac:dyDescent="0.2">
      <c r="A13" t="s">
        <v>5130</v>
      </c>
      <c r="B13" t="s">
        <v>5141</v>
      </c>
    </row>
    <row r="14" spans="1:2" x14ac:dyDescent="0.2">
      <c r="A14" t="s">
        <v>5131</v>
      </c>
      <c r="B14" t="s">
        <v>5132</v>
      </c>
    </row>
    <row r="15" spans="1:2" x14ac:dyDescent="0.2">
      <c r="A15" t="s">
        <v>5133</v>
      </c>
      <c r="B15" t="s">
        <v>5134</v>
      </c>
    </row>
    <row r="18" spans="2:4" x14ac:dyDescent="0.2">
      <c r="B18" t="s">
        <v>5087</v>
      </c>
      <c r="C18" s="17">
        <v>1</v>
      </c>
      <c r="D18" s="17">
        <v>1</v>
      </c>
    </row>
    <row r="19" spans="2:4" x14ac:dyDescent="0.2">
      <c r="B19" t="s">
        <v>5088</v>
      </c>
      <c r="C19" s="17">
        <v>2</v>
      </c>
      <c r="D19" s="17">
        <v>2</v>
      </c>
    </row>
    <row r="20" spans="2:4" x14ac:dyDescent="0.2">
      <c r="B20" t="s">
        <v>805</v>
      </c>
      <c r="C20" s="17">
        <v>3</v>
      </c>
      <c r="D20" s="17">
        <v>3</v>
      </c>
    </row>
    <row r="21" spans="2:4" x14ac:dyDescent="0.2">
      <c r="B21" t="s">
        <v>971</v>
      </c>
      <c r="C21" s="17">
        <v>4</v>
      </c>
      <c r="D21" s="17">
        <v>4</v>
      </c>
    </row>
    <row r="22" spans="2:4" x14ac:dyDescent="0.2">
      <c r="B22" t="s">
        <v>2757</v>
      </c>
      <c r="C22">
        <v>14</v>
      </c>
      <c r="D22">
        <v>5</v>
      </c>
    </row>
    <row r="23" spans="2:4" x14ac:dyDescent="0.2">
      <c r="B23" t="s">
        <v>813</v>
      </c>
      <c r="C23">
        <v>13</v>
      </c>
      <c r="D23">
        <v>6</v>
      </c>
    </row>
    <row r="24" spans="2:4" x14ac:dyDescent="0.2">
      <c r="B24" t="s">
        <v>2324</v>
      </c>
      <c r="C24" s="17">
        <v>7</v>
      </c>
      <c r="D24" s="17">
        <v>7</v>
      </c>
    </row>
    <row r="25" spans="2:4" x14ac:dyDescent="0.2">
      <c r="B25" t="s">
        <v>2173</v>
      </c>
      <c r="C25">
        <v>11</v>
      </c>
      <c r="D25">
        <v>8</v>
      </c>
    </row>
    <row r="26" spans="2:4" x14ac:dyDescent="0.2">
      <c r="B26" t="s">
        <v>5144</v>
      </c>
      <c r="C26" s="17">
        <v>9</v>
      </c>
      <c r="D26" s="17">
        <v>9</v>
      </c>
    </row>
    <row r="27" spans="2:4" x14ac:dyDescent="0.2">
      <c r="B27" t="s">
        <v>5143</v>
      </c>
      <c r="C27" s="18">
        <v>5</v>
      </c>
      <c r="D27" s="18">
        <v>10</v>
      </c>
    </row>
    <row r="28" spans="2:4" x14ac:dyDescent="0.2">
      <c r="B28" t="s">
        <v>5090</v>
      </c>
      <c r="C28" s="18">
        <v>8</v>
      </c>
      <c r="D28" s="18">
        <v>11</v>
      </c>
    </row>
    <row r="29" spans="2:4" x14ac:dyDescent="0.2">
      <c r="B29" t="s">
        <v>1059</v>
      </c>
      <c r="C29" s="18">
        <v>10</v>
      </c>
      <c r="D29" s="18">
        <v>12</v>
      </c>
    </row>
    <row r="30" spans="2:4" x14ac:dyDescent="0.2">
      <c r="B30" t="s">
        <v>911</v>
      </c>
      <c r="C30" s="18">
        <v>6</v>
      </c>
      <c r="D30" s="18">
        <v>13</v>
      </c>
    </row>
    <row r="31" spans="2:4" x14ac:dyDescent="0.2">
      <c r="B31" t="s">
        <v>933</v>
      </c>
      <c r="C31" s="18">
        <v>12</v>
      </c>
      <c r="D31" s="18">
        <v>14</v>
      </c>
    </row>
    <row r="32" spans="2:4" x14ac:dyDescent="0.2">
      <c r="B32" t="s">
        <v>926</v>
      </c>
      <c r="C32" s="17">
        <v>15</v>
      </c>
      <c r="D32" s="17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Schemas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2026-07-03T13:25:30Z</dcterms:modified>
</cp:coreProperties>
</file>