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549E1927-A4EE-3847-A07B-9AB8B2D61971}" xr6:coauthVersionLast="47" xr6:coauthVersionMax="47" xr10:uidLastSave="{00000000-0000-0000-0000-000000000000}"/>
  <bookViews>
    <workbookView xWindow="0" yWindow="3960" windowWidth="19840" windowHeight="16940" activeTab="2" xr2:uid="{F774F2AE-DE0F-5F42-928C-9832770C6D48}"/>
  </bookViews>
  <sheets>
    <sheet name="Checklist" sheetId="11" r:id="rId1"/>
    <sheet name="100%" sheetId="17" r:id="rId2"/>
    <sheet name="Named Locations" sheetId="16" r:id="rId3"/>
    <sheet name="Wells" sheetId="24" r:id="rId4"/>
    <sheet name="Shops" sheetId="23" r:id="rId5"/>
    <sheet name="Temples" sheetId="28" r:id="rId6"/>
    <sheet name="Statues" sheetId="22" r:id="rId7"/>
    <sheet name="Forge Constructs" sheetId="21" r:id="rId8"/>
    <sheet name="Dragon Tears" sheetId="20" r:id="rId9"/>
    <sheet name="Ancient Tablets" sheetId="19" r:id="rId10"/>
    <sheet name="Great Fairies" sheetId="18" r:id="rId11"/>
    <sheet name="Cherry Trees" sheetId="26" r:id="rId12"/>
    <sheet name="Hudson Signs" sheetId="7" r:id="rId13"/>
    <sheet name="Old Maps" sheetId="14" r:id="rId14"/>
    <sheet name="Schematics" sheetId="9" r:id="rId15"/>
    <sheet name="Caves" sheetId="5" r:id="rId16"/>
    <sheet name="Chasms" sheetId="4" r:id="rId17"/>
    <sheet name="Dispensers" sheetId="6" r:id="rId18"/>
    <sheet name="Lightroots" sheetId="10" r:id="rId19"/>
    <sheet name="Shrines" sheetId="1" r:id="rId20"/>
    <sheet name="Stables" sheetId="25" r:id="rId21"/>
    <sheet name="Towers" sheetId="12" r:id="rId22"/>
    <sheet name="Villages" sheetId="27" r:id="rId23"/>
    <sheet name="TEMPLATE" sheetId="15" r:id="rId24"/>
    <sheet name="Sheet1" sheetId="3" r:id="rId25"/>
    <sheet name="Sheet2" sheetId="2" r:id="rId26"/>
    <sheet name="Sheet13" sheetId="13" r:id="rId27"/>
  </sheets>
  <definedNames>
    <definedName name="_xlnm._FilterDatabase" localSheetId="9" hidden="1">'Ancient Tablets'!$A$1:$J$2</definedName>
    <definedName name="_xlnm._FilterDatabase" localSheetId="15" hidden="1">Caves!$L$1:$L$787</definedName>
    <definedName name="_xlnm._FilterDatabase" localSheetId="16" hidden="1">Chasms!$A$1:$J$40</definedName>
    <definedName name="_xlnm._FilterDatabase" localSheetId="11" hidden="1">'Cherry Trees'!$A$1:$I$1</definedName>
    <definedName name="_xlnm._FilterDatabase" localSheetId="17" hidden="1">Dispensers!$A$1:$I$30</definedName>
    <definedName name="_xlnm._FilterDatabase" localSheetId="8" hidden="1">'Dragon Tears'!$A$1:$J$2</definedName>
    <definedName name="_xlnm._FilterDatabase" localSheetId="7" hidden="1">'Forge Constructs'!$A$1:$J$2</definedName>
    <definedName name="_xlnm._FilterDatabase" localSheetId="10" hidden="1">'Great Fairies'!$A$1:$I$2</definedName>
    <definedName name="_xlnm._FilterDatabase" localSheetId="12" hidden="1">'Hudson Signs'!$A$1:$G$82</definedName>
    <definedName name="_xlnm._FilterDatabase" localSheetId="18" hidden="1">Lightroots!$A$1:$H$121</definedName>
    <definedName name="_xlnm._FilterDatabase" localSheetId="2" hidden="1">'Named Locations'!$A$1:$J$239</definedName>
    <definedName name="_xlnm._FilterDatabase" localSheetId="13" hidden="1">'Old Maps'!$A$1:$I$32</definedName>
    <definedName name="_xlnm._FilterDatabase" localSheetId="14" hidden="1">Schematics!$A$1:$I$47</definedName>
    <definedName name="_xlnm._FilterDatabase" localSheetId="26" hidden="1">Sheet13!$B$35:$C$65</definedName>
    <definedName name="_xlnm._FilterDatabase" localSheetId="4" hidden="1">Shops!$A$1:$J$2</definedName>
    <definedName name="_xlnm._FilterDatabase" localSheetId="19" hidden="1">Shrines!$A$1:$H$153</definedName>
    <definedName name="_xlnm._FilterDatabase" localSheetId="20" hidden="1">Stables!$A$1:$I$1</definedName>
    <definedName name="_xlnm._FilterDatabase" localSheetId="6" hidden="1">Statues!$A$1:$J$2</definedName>
    <definedName name="_xlnm._FilterDatabase" localSheetId="23" hidden="1">TEMPLATE!$A$1:$J$2</definedName>
    <definedName name="_xlnm._FilterDatabase" localSheetId="5" hidden="1">Temples!$A$1:$I$2</definedName>
    <definedName name="_xlnm._FilterDatabase" localSheetId="21" hidden="1">Towers!$A$1:$G$153</definedName>
    <definedName name="_xlnm._FilterDatabase" localSheetId="22" hidden="1">Villages!$A$1:$I$1</definedName>
    <definedName name="_xlnm._FilterDatabase" localSheetId="3" hidden="1">Wells!$A$1:$I$2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1" l="1"/>
  <c r="B17" i="11" s="1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2" i="25"/>
  <c r="I2" i="27"/>
  <c r="G2" i="28"/>
  <c r="F2" i="28"/>
  <c r="E2" i="28"/>
  <c r="D2" i="28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I2" i="26"/>
  <c r="I2" i="7"/>
  <c r="H2" i="22"/>
  <c r="G2" i="22"/>
  <c r="F2" i="22"/>
  <c r="E2" i="22"/>
  <c r="B2" i="22"/>
  <c r="H2" i="21"/>
  <c r="G2" i="21"/>
  <c r="F2" i="21"/>
  <c r="E2" i="21"/>
  <c r="B2" i="21"/>
  <c r="H2" i="20"/>
  <c r="G2" i="20"/>
  <c r="F2" i="20"/>
  <c r="E2" i="20"/>
  <c r="B2" i="20"/>
  <c r="H2" i="19"/>
  <c r="G2" i="19"/>
  <c r="F2" i="19"/>
  <c r="E2" i="19"/>
  <c r="B2" i="19"/>
  <c r="E17" i="11"/>
  <c r="N38" i="4"/>
  <c r="N39" i="4"/>
  <c r="N40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2" i="4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11"/>
  <c r="I2" i="9"/>
  <c r="I2" i="10"/>
  <c r="I24" i="14"/>
  <c r="I28" i="14"/>
  <c r="I43" i="14"/>
  <c r="I42" i="14"/>
  <c r="I44" i="14"/>
  <c r="I56" i="14"/>
  <c r="I58" i="14"/>
  <c r="I63" i="14"/>
  <c r="I62" i="14"/>
  <c r="I35" i="14"/>
  <c r="I37" i="14"/>
  <c r="I60" i="14"/>
  <c r="I50" i="14"/>
  <c r="I51" i="14"/>
  <c r="I45" i="14"/>
  <c r="I52" i="14"/>
  <c r="I61" i="14"/>
  <c r="I53" i="14"/>
  <c r="I39" i="14"/>
  <c r="I59" i="14"/>
  <c r="I49" i="14"/>
  <c r="I40" i="14"/>
  <c r="I65" i="14"/>
  <c r="I54" i="14"/>
  <c r="I48" i="14"/>
  <c r="I55" i="14"/>
  <c r="I57" i="14"/>
  <c r="I36" i="14"/>
  <c r="I38" i="14"/>
  <c r="I64" i="14"/>
  <c r="I47" i="14"/>
  <c r="I41" i="14"/>
  <c r="I46" i="14"/>
  <c r="I21" i="14"/>
  <c r="I2" i="14"/>
  <c r="I3" i="14"/>
  <c r="I4" i="14"/>
  <c r="I5" i="14"/>
  <c r="I9" i="14"/>
  <c r="I10" i="14"/>
  <c r="I11" i="14"/>
  <c r="I12" i="14"/>
  <c r="I14" i="14"/>
  <c r="I15" i="14"/>
  <c r="I16" i="14"/>
  <c r="I17" i="14"/>
  <c r="I18" i="14"/>
  <c r="I19" i="14"/>
  <c r="I20" i="14"/>
  <c r="I26" i="14"/>
  <c r="I27" i="14"/>
  <c r="I22" i="14"/>
  <c r="I23" i="14"/>
  <c r="I25" i="14"/>
  <c r="I29" i="14"/>
  <c r="I30" i="14"/>
  <c r="I32" i="14"/>
  <c r="I31" i="14"/>
  <c r="I6" i="14"/>
  <c r="I7" i="14"/>
  <c r="I8" i="14"/>
  <c r="I13" i="14"/>
  <c r="H2" i="15"/>
  <c r="G2" i="15"/>
  <c r="F2" i="15"/>
  <c r="E2" i="15"/>
  <c r="B2" i="15"/>
  <c r="I2" i="6"/>
  <c r="J19" i="4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11" l="1"/>
  <c r="C17" i="11" s="1"/>
  <c r="F17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<sst xmlns="http://schemas.openxmlformats.org/spreadsheetml/2006/main" count="11107" uniqueCount="3003">
  <si>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</si>
  <si>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</si>
  <si>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</si>
  <si>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</si>
  <si>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</si>
  <si>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</si>
  <si>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</si>
  <si>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</si>
  <si>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</si>
  <si>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</si>
  <si>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</si>
  <si>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</si>
  <si>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</si>
  <si>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</si>
  <si>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</si>
  <si>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</si>
  <si>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</si>
  <si>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</si>
  <si>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</si>
  <si>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</si>
  <si>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</si>
  <si>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</si>
  <si>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</si>
  <si>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</si>
  <si>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</si>
  <si>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</si>
  <si>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</si>
  <si>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</si>
  <si>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</si>
  <si>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</si>
  <si>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</si>
  <si>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</si>
  <si>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</si>
  <si>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</si>
  <si>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</si>
  <si>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</si>
  <si>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</si>
  <si>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</si>
  <si>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</si>
  <si>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</si>
  <si>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</si>
  <si>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</si>
  <si>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</si>
  <si>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</si>
  <si>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</si>
  <si>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</si>
  <si>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</si>
  <si>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</si>
  <si>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</si>
  <si>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</si>
  <si>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</si>
  <si>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</si>
  <si>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</si>
  <si>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</si>
  <si>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</si>
  <si>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</si>
  <si>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</si>
  <si>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</si>
  <si>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</si>
  <si>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</si>
  <si>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</si>
  <si>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</si>
  <si>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</si>
  <si>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</si>
  <si>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</si>
  <si>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</si>
  <si>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</si>
  <si>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</si>
  <si>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</si>
  <si>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</si>
  <si>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</si>
  <si>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</si>
  <si>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</si>
  <si>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</si>
  <si>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</si>
  <si>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</si>
  <si>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</si>
  <si>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</si>
  <si>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</si>
  <si>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</si>
  <si>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</si>
  <si>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</si>
  <si>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</si>
  <si>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</si>
  <si>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</si>
  <si>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</si>
  <si>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</si>
  <si>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</si>
  <si>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</si>
  <si>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</si>
  <si>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</si>
  <si>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</si>
  <si>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</si>
  <si>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</si>
  <si>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</si>
  <si>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</si>
  <si>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</si>
  <si>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</si>
  <si>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</si>
  <si>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</si>
  <si>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</si>
  <si>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</si>
  <si>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</si>
  <si>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</si>
  <si>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</si>
  <si>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</si>
  <si>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</si>
  <si>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</si>
  <si>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</si>
  <si>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</si>
  <si>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</si>
  <si>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</si>
  <si>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</si>
  <si>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</si>
  <si>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</si>
  <si>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</si>
  <si>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</si>
  <si>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</si>
  <si>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</si>
  <si>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</si>
  <si>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</si>
  <si>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</si>
  <si>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</si>
  <si>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</si>
  <si>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</si>
  <si>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</si>
  <si>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</si>
  <si>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</si>
  <si>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</si>
  <si>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</si>
  <si>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</si>
  <si>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</si>
  <si>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</si>
  <si>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</si>
  <si>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</si>
  <si>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</si>
  <si>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</si>
  <si>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</si>
  <si>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</si>
  <si>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</si>
  <si>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</si>
  <si>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</si>
  <si>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</si>
  <si>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</si>
  <si>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</si>
  <si>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</si>
  <si>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</si>
  <si>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</si>
  <si>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</si>
  <si>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</si>
  <si>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</si>
  <si>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</si>
  <si>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</si>
  <si>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</si>
  <si>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</si>
  <si>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</si>
  <si>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</si>
  <si>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</si>
  <si>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</si>
  <si>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</si>
  <si>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</si>
  <si>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</si>
  <si>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</si>
  <si>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</si>
  <si>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</si>
  <si>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</si>
  <si>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</si>
  <si>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</si>
  <si>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</si>
  <si>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</si>
  <si>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</si>
  <si>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</si>
  <si>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</si>
  <si>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</si>
  <si>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</si>
  <si>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</si>
  <si>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</si>
  <si>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</si>
  <si>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</si>
  <si>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</si>
  <si>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</si>
  <si>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</si>
  <si>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</si>
  <si>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</si>
  <si>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</si>
  <si>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</si>
  <si>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</si>
  <si>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</si>
  <si>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</si>
  <si>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</si>
  <si>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</si>
  <si>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</si>
  <si>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</si>
  <si>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</si>
  <si>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</si>
  <si>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</si>
  <si>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</si>
  <si>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</si>
  <si>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</si>
  <si>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</si>
  <si>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</si>
  <si>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</si>
  <si>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</si>
  <si>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</si>
  <si>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</si>
  <si>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</si>
  <si>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</si>
  <si>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</si>
  <si>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</si>
  <si>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</si>
  <si>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</si>
  <si>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</si>
  <si>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</si>
  <si>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</si>
  <si>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</si>
  <si>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</si>
  <si>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</si>
  <si>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</si>
  <si>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</si>
  <si>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</si>
  <si>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</si>
  <si>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</si>
  <si>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</si>
  <si>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</si>
  <si>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</si>
  <si>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</si>
  <si>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</si>
  <si>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</si>
  <si>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</si>
  <si>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</si>
  <si>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</si>
  <si>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</si>
  <si>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</si>
  <si>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</si>
  <si>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</si>
  <si>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</si>
  <si>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</si>
  <si>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</si>
  <si>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</si>
  <si>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</si>
  <si>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</si>
  <si>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</si>
  <si>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</si>
  <si>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</si>
  <si>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</si>
  <si>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</si>
  <si>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</si>
  <si>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</si>
  <si>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</si>
  <si>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</si>
  <si>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</si>
  <si>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</si>
  <si>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</si>
  <si>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</si>
  <si>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</si>
  <si>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</si>
  <si>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</si>
  <si>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</si>
  <si>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</si>
  <si>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</si>
  <si>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</si>
  <si>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</si>
  <si>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</si>
  <si>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</si>
  <si>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</si>
  <si>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</si>
  <si>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</si>
  <si>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</si>
  <si>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</si>
  <si>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</si>
  <si>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</si>
  <si>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</si>
  <si>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</si>
  <si>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</si>
  <si>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</si>
  <si>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</si>
  <si>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</si>
  <si>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</si>
  <si>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</si>
  <si>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</si>
  <si>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</si>
  <si>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</si>
  <si>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</si>
  <si>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</si>
  <si>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</si>
  <si>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</si>
  <si>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</si>
  <si>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</si>
  <si>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</si>
  <si>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</si>
  <si>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</si>
  <si>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</si>
  <si>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</si>
  <si>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</si>
  <si>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</si>
  <si>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</si>
  <si>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</si>
  <si>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</si>
  <si>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</si>
  <si>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</si>
  <si>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</si>
  <si>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</si>
  <si>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</si>
  <si>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</si>
  <si>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</si>
  <si>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</si>
  <si>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</si>
  <si>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</si>
  <si>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</si>
  <si>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</si>
  <si>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</si>
  <si>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</si>
  <si>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</si>
  <si>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</si>
  <si>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</si>
  <si>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</si>
  <si>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</si>
  <si>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</si>
  <si>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</si>
  <si>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</si>
  <si>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</si>
  <si>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</si>
  <si>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</si>
  <si>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</si>
  <si>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</si>
  <si>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</si>
  <si>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</si>
  <si>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</si>
  <si>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</si>
  <si>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</si>
  <si>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</si>
  <si>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</si>
  <si>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</si>
  <si>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</si>
  <si>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</si>
  <si>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</si>
  <si>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</si>
  <si>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</si>
  <si>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</si>
  <si>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</si>
  <si>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</si>
  <si>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</si>
  <si>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</si>
  <si>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</si>
  <si>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</si>
  <si>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</si>
  <si>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</si>
  <si>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</si>
  <si>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</si>
  <si>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</si>
  <si>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</si>
  <si>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</si>
  <si>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</si>
  <si>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</si>
  <si>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</si>
  <si>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</si>
  <si>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</si>
  <si>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</si>
  <si>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</si>
  <si>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</si>
  <si>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</si>
  <si>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</si>
  <si>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</si>
  <si>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</si>
  <si>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</si>
  <si>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</si>
  <si>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</si>
  <si>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</si>
  <si>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</si>
  <si>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</si>
  <si>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</si>
  <si>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</si>
  <si>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</si>
  <si>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</si>
  <si>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</si>
  <si>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</si>
  <si>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</si>
  <si>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</si>
  <si>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</si>
  <si>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</si>
  <si>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</si>
  <si>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</si>
  <si>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</si>
  <si>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</si>
  <si>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</si>
  <si>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</si>
  <si>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</si>
  <si>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</si>
  <si>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</si>
  <si>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</si>
  <si>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</si>
  <si>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</si>
  <si>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</si>
  <si>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</si>
  <si>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</si>
  <si>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</si>
  <si>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</si>
  <si>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</si>
  <si>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</si>
  <si>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</si>
  <si>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</si>
  <si>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</si>
  <si>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</si>
  <si>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</si>
  <si>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</si>
  <si>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</si>
  <si>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</si>
  <si>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</si>
  <si>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</si>
  <si>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</si>
  <si>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</si>
  <si>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</si>
  <si>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</si>
  <si>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</si>
  <si>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</si>
  <si>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</si>
  <si>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</si>
  <si>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</si>
  <si>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</si>
  <si>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</si>
  <si>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</si>
  <si>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</si>
  <si>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</si>
  <si>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</si>
  <si>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</si>
  <si>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</si>
  <si>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</si>
  <si>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</si>
  <si>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</si>
  <si>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</si>
  <si>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</si>
  <si>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</si>
  <si>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</si>
  <si>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</si>
  <si>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</si>
  <si>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</si>
  <si>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</si>
  <si>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</si>
  <si>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</si>
  <si>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</si>
  <si>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</si>
  <si>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</si>
  <si>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</si>
  <si>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</si>
  <si>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</si>
  <si>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</si>
  <si>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</si>
  <si>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</si>
  <si>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</si>
  <si>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</si>
  <si>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</si>
  <si>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</si>
  <si>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</si>
  <si>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</si>
  <si>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</si>
  <si>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</si>
  <si>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</si>
  <si>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</si>
  <si>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</si>
  <si>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</si>
  <si>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</si>
  <si>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</si>
  <si>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</si>
  <si>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</si>
  <si>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</si>
  <si>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</si>
  <si>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</si>
  <si>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</si>
  <si>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</si>
  <si>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</si>
  <si>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</si>
  <si>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</si>
  <si>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</si>
  <si>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</si>
  <si>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</si>
  <si>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</si>
  <si>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</si>
  <si>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</si>
  <si>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</si>
  <si>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</si>
  <si>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</si>
  <si>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</si>
  <si>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</si>
  <si>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</si>
  <si>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</si>
  <si>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</si>
  <si>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</si>
  <si>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</si>
  <si>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</si>
  <si>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</si>
  <si>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</si>
  <si>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</si>
  <si>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</si>
  <si>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</si>
  <si>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</si>
  <si>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</si>
  <si>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</si>
  <si>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</si>
  <si>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</si>
  <si>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</si>
  <si>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</si>
  <si>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</si>
  <si>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</si>
  <si>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</si>
  <si>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</si>
  <si>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</si>
  <si>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</si>
  <si>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</si>
  <si>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</si>
  <si>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</si>
  <si>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</si>
  <si>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</si>
  <si>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</si>
  <si>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</si>
  <si>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</si>
  <si>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</si>
  <si>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</si>
  <si>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</si>
  <si>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</si>
  <si>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</si>
  <si>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</si>
  <si>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</si>
  <si>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</si>
  <si>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</si>
  <si>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</si>
  <si>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</si>
  <si>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</si>
  <si>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</si>
  <si>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</si>
  <si>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</si>
  <si>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</si>
  <si>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</si>
  <si>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</si>
  <si>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</si>
  <si>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</si>
  <si>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</si>
  <si>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</si>
  <si>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</si>
  <si>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</si>
  <si>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</si>
  <si>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</si>
  <si>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</si>
  <si>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</si>
  <si>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</si>
  <si>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</si>
  <si>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</si>
  <si>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</si>
  <si>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</si>
  <si>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</si>
  <si>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</si>
  <si>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</si>
  <si>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</si>
  <si>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</si>
  <si>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</si>
  <si>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</si>
  <si>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</si>
  <si>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</si>
  <si>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</si>
  <si>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</si>
  <si>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</si>
  <si>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</si>
  <si>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</si>
  <si>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</si>
  <si>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</si>
  <si>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</si>
  <si>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</si>
  <si>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</si>
  <si>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</si>
  <si>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</si>
  <si>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</si>
  <si>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</si>
  <si>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</si>
  <si>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</si>
  <si>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</si>
  <si>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</si>
  <si>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</si>
  <si>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</si>
  <si>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</si>
  <si>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</si>
  <si>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</si>
  <si>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</si>
  <si>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</si>
  <si>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</si>
  <si>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</si>
  <si>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</si>
  <si>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</si>
  <si>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</si>
  <si>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</si>
  <si>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</si>
  <si>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</si>
  <si>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</si>
  <si>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</si>
  <si>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</si>
  <si>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</si>
  <si>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</si>
  <si>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</si>
  <si>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</si>
  <si>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</si>
  <si>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</si>
  <si>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</si>
  <si>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</si>
  <si>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</si>
  <si>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</si>
  <si>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</si>
  <si>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</si>
  <si>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</si>
  <si>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</si>
  <si>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</si>
  <si>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</si>
  <si>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</si>
  <si>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</si>
  <si>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</si>
  <si>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</si>
  <si>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</si>
  <si>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</si>
  <si>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</si>
  <si>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</si>
  <si>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</si>
  <si>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</si>
  <si>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</si>
  <si>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</si>
  <si>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</si>
  <si>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</si>
  <si>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</si>
  <si>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</si>
  <si>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</si>
  <si>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</si>
  <si>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</si>
  <si>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</si>
  <si>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</si>
  <si>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</si>
  <si>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</si>
  <si>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</si>
  <si>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</si>
  <si>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</si>
  <si>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</si>
  <si>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</si>
  <si>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</si>
  <si>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</si>
  <si>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</si>
  <si>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</si>
  <si>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</si>
  <si>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</si>
  <si>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</si>
  <si>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</si>
  <si>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</si>
  <si>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</si>
  <si>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</si>
  <si>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</si>
  <si>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</si>
  <si>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</si>
  <si>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</si>
  <si>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</si>
  <si>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</si>
  <si>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</si>
  <si>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</si>
  <si>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</si>
  <si>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</si>
  <si>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</si>
  <si>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</si>
  <si>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</si>
  <si>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</si>
  <si>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</si>
  <si>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</si>
  <si>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</si>
  <si>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</si>
  <si>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</si>
  <si>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</si>
  <si>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</si>
  <si>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</si>
  <si>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</si>
  <si>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</si>
  <si>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</si>
  <si>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</si>
  <si>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</si>
  <si>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</si>
  <si>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</si>
  <si>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</si>
  <si>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</si>
  <si>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</si>
  <si>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</si>
  <si>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</si>
  <si>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</si>
  <si>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</si>
  <si>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</si>
  <si>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</si>
  <si>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</si>
  <si>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</si>
  <si>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</si>
  <si>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</si>
  <si>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</si>
  <si>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</si>
  <si>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</si>
  <si>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</si>
  <si>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</si>
  <si>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</si>
  <si>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</si>
  <si>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</si>
  <si>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</si>
  <si>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</si>
  <si>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</si>
  <si>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</si>
  <si>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</si>
  <si>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</si>
  <si>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</si>
  <si>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</si>
  <si>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</si>
  <si>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</si>
  <si>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</si>
  <si>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</si>
  <si>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</si>
  <si>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</si>
  <si>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</si>
  <si>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</si>
  <si>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</si>
  <si>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</si>
  <si>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</si>
  <si>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</si>
  <si>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</si>
  <si>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</si>
  <si>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</si>
  <si>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</si>
  <si>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</si>
  <si>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</si>
  <si>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</si>
  <si>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</si>
  <si>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</si>
  <si>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</si>
  <si>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</si>
  <si>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</si>
  <si>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</si>
  <si>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</si>
  <si>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</si>
  <si>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</si>
  <si>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</si>
  <si>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</si>
  <si>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</si>
  <si>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</si>
  <si>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</si>
  <si>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</si>
  <si>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</si>
  <si>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</si>
  <si>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</si>
  <si>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</si>
  <si>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</si>
  <si>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</si>
  <si>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</si>
  <si>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</si>
  <si>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</si>
  <si>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</si>
  <si>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</si>
  <si>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</si>
  <si>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</si>
  <si>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</si>
  <si>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</si>
  <si>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</si>
  <si>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</si>
  <si>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</si>
  <si>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</si>
  <si>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</si>
  <si>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</si>
  <si>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</si>
  <si>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</si>
  <si>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</si>
  <si>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</si>
  <si>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</si>
  <si>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</si>
  <si>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</si>
  <si>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</si>
  <si>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</si>
  <si>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</si>
  <si>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</si>
  <si>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</si>
  <si>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</si>
  <si>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</si>
  <si>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</si>
  <si>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</si>
  <si>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</si>
  <si>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</si>
  <si>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</si>
  <si>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</si>
  <si>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</si>
  <si>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</si>
  <si>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</si>
  <si>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</si>
  <si>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</si>
  <si>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</si>
  <si>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</si>
  <si>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</si>
  <si>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</si>
  <si>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</si>
  <si>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</si>
  <si>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</si>
  <si>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</si>
  <si>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</si>
  <si>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</si>
  <si>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</si>
  <si>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</si>
  <si>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</si>
  <si>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</si>
  <si>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</si>
  <si>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</si>
  <si>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</si>
  <si>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</si>
  <si>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</si>
  <si>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</si>
  <si>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</si>
  <si>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</si>
  <si>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</si>
  <si>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</si>
  <si>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</si>
  <si>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</si>
  <si>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</si>
  <si>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</si>
  <si>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</si>
  <si>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</si>
  <si>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</si>
  <si>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</si>
  <si>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</si>
  <si>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</si>
  <si>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</si>
  <si>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</si>
  <si>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</si>
  <si>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</si>
  <si>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</si>
  <si>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</si>
  <si>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</si>
  <si>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</si>
  <si>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</si>
  <si>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</si>
  <si>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</si>
  <si>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</si>
  <si>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</si>
  <si>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</si>
  <si>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</si>
  <si>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</si>
  <si>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</si>
  <si>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</si>
  <si>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</si>
  <si>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</si>
  <si>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</si>
  <si>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</si>
  <si>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</si>
  <si>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</si>
  <si>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</si>
  <si>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</si>
  <si>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</si>
  <si>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</si>
  <si>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</si>
  <si>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</si>
  <si>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</si>
  <si>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</si>
  <si>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</si>
  <si>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</si>
  <si>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</si>
  <si>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</si>
  <si>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</si>
  <si>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</si>
  <si>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</si>
  <si>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</si>
  <si>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</si>
  <si>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</si>
  <si>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</si>
  <si>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</si>
  <si>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</si>
  <si>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</si>
  <si>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</si>
  <si>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</si>
  <si>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</si>
  <si>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</si>
  <si>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</si>
  <si>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</si>
  <si>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</si>
  <si>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</si>
  <si>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</si>
  <si>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</si>
  <si>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</si>
  <si>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</si>
  <si>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</si>
  <si>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</si>
  <si>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</si>
  <si>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</si>
  <si>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</si>
  <si>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</si>
  <si>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</si>
  <si>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</si>
  <si>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</si>
  <si>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</si>
  <si>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</si>
  <si>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</si>
  <si>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</si>
  <si>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</si>
  <si>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</si>
  <si>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</si>
  <si>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</si>
  <si>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</si>
  <si>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</si>
  <si>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</si>
  <si>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</si>
  <si>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</si>
  <si>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</si>
  <si>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</si>
  <si>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</si>
  <si>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</si>
  <si>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</si>
  <si>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</si>
  <si>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</si>
  <si>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</si>
  <si>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</si>
  <si>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</si>
  <si>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</si>
  <si>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</si>
  <si>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</si>
  <si>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</si>
  <si>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</si>
  <si>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</si>
  <si>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</si>
  <si>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</si>
  <si>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</si>
  <si>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</si>
  <si>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</si>
  <si>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</si>
  <si>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</si>
  <si>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</si>
  <si>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</si>
  <si>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</si>
  <si>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</si>
  <si>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</si>
  <si>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</si>
  <si>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</si>
  <si>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</si>
  <si>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</si>
  <si>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</si>
  <si>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</si>
  <si>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</si>
  <si>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</si>
  <si>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</si>
  <si>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</si>
  <si>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</si>
  <si>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</si>
  <si>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</si>
  <si>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</si>
  <si>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</si>
  <si>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</si>
  <si>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</si>
  <si>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</si>
  <si>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</si>
  <si>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</si>
  <si>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</si>
  <si>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</si>
  <si>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</si>
  <si>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</si>
  <si>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</si>
  <si>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</si>
  <si>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</si>
  <si>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</si>
  <si>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</si>
  <si>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</si>
  <si>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</si>
  <si>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</si>
  <si>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</si>
  <si>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</si>
  <si>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</si>
  <si>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</si>
  <si>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</si>
  <si>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</si>
  <si>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</si>
  <si>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</si>
  <si>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</si>
  <si>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</si>
  <si>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</si>
  <si>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</si>
  <si>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</si>
  <si>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</si>
  <si>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</si>
  <si>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</si>
  <si>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</si>
  <si>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</si>
  <si>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</si>
  <si>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</si>
  <si>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</si>
  <si>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</si>
  <si>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</si>
  <si>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</si>
  <si>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</si>
  <si>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</si>
  <si>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</si>
  <si>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</si>
  <si>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</si>
  <si>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</si>
  <si>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</si>
  <si>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</si>
  <si>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</si>
  <si>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</si>
  <si>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</si>
  <si>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</si>
  <si>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</si>
  <si>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</si>
  <si>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31 1</t>
  </si>
  <si>
    <t>Bravery Island</t>
  </si>
  <si>
    <t>Courage Island</t>
  </si>
  <si>
    <t>Death Mountain Depths</t>
  </si>
  <si>
    <t>Depths</t>
  </si>
  <si>
    <t>East Gerudo Sky Archipelago</t>
  </si>
  <si>
    <t>East Hebra Sky Archipelago</t>
  </si>
  <si>
    <t>Gerudo Canyon Pass</t>
  </si>
  <si>
    <t>Great Sky Island (East)</t>
  </si>
  <si>
    <t>Great Sky Island (South)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</si>
  <si>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</si>
  <si>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</si>
  <si>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</si>
  <si>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</si>
  <si>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</si>
  <si>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</si>
  <si>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</si>
  <si>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</si>
  <si>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</si>
  <si>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</si>
  <si>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</si>
  <si>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</si>
  <si>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</si>
  <si>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</si>
  <si>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</si>
  <si>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</si>
  <si>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</si>
  <si>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</si>
  <si>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</si>
  <si>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</si>
  <si>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</si>
  <si>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</si>
  <si>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</si>
  <si>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</si>
  <si>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</si>
  <si>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</si>
  <si>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</si>
  <si>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</si>
  <si>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</si>
  <si>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</si>
  <si>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</si>
  <si>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</si>
  <si>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</si>
  <si>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</si>
  <si>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</si>
  <si>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</si>
  <si>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</si>
  <si>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</si>
  <si>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</si>
  <si>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</si>
  <si>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</si>
  <si>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</si>
  <si>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</si>
  <si>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</si>
  <si>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</si>
  <si>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</si>
  <si>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</si>
  <si>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</si>
  <si>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</si>
  <si>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</si>
  <si>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</si>
  <si>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</si>
  <si>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</si>
  <si>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</si>
  <si>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</si>
  <si>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</si>
  <si>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</si>
  <si>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</si>
  <si>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</si>
  <si>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</si>
  <si>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</si>
  <si>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</si>
  <si>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</si>
  <si>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</si>
  <si>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</si>
  <si>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</si>
  <si>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</si>
  <si>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</si>
  <si>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</si>
  <si>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</si>
  <si>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</si>
  <si>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</si>
  <si>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</si>
  <si>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</si>
  <si>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</si>
  <si>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</si>
  <si>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</si>
  <si>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</si>
  <si>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</si>
  <si>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</si>
  <si>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</si>
  <si>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</si>
  <si>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</si>
  <si>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</si>
  <si>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</si>
  <si>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</si>
  <si>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</si>
  <si>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</si>
  <si>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</si>
  <si>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</si>
  <si>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</si>
  <si>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</si>
  <si>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</si>
  <si>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</si>
  <si>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</si>
  <si>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</si>
  <si>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</si>
  <si>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</si>
  <si>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</si>
  <si>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</si>
  <si>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</si>
  <si>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</si>
  <si>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</si>
  <si>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</si>
  <si>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</si>
  <si>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</si>
  <si>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</si>
  <si>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</si>
  <si>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</si>
  <si>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</si>
  <si>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</si>
  <si>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</si>
  <si>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</si>
  <si>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</si>
  <si>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</si>
  <si>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</si>
  <si>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</si>
  <si>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</si>
  <si>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</si>
  <si>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</si>
  <si>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</si>
  <si>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</si>
  <si>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</si>
  <si>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</si>
  <si>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</si>
  <si>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</si>
  <si>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</si>
  <si>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</si>
  <si>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</si>
  <si>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</si>
  <si>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</si>
  <si>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</si>
  <si>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</si>
  <si>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</si>
  <si>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</si>
  <si>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</si>
  <si>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</si>
  <si>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</si>
  <si>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</si>
  <si>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</si>
  <si>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</si>
  <si>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</si>
  <si>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</si>
  <si>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</si>
  <si>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</si>
  <si>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</si>
  <si>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</si>
  <si>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</si>
  <si>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</si>
  <si>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</si>
  <si>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</si>
  <si>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</si>
  <si>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</si>
  <si>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</si>
  <si>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</si>
  <si>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</si>
  <si>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</si>
  <si>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</si>
  <si>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</si>
  <si>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</si>
  <si>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</si>
  <si>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</si>
  <si>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</si>
  <si>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</si>
  <si>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</si>
  <si>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</si>
  <si>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</si>
  <si>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</si>
  <si>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</si>
  <si>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</si>
  <si>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</si>
  <si>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</si>
  <si>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</si>
  <si>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</si>
  <si>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</si>
  <si>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</si>
  <si>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</si>
  <si>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</si>
  <si>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</si>
  <si>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</si>
  <si>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</si>
  <si>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</si>
  <si>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</si>
  <si>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</si>
  <si>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</si>
  <si>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</si>
  <si>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</si>
  <si>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</si>
  <si>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</si>
  <si>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</si>
  <si>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</si>
  <si>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</si>
  <si>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</si>
  <si>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</si>
  <si>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</si>
  <si>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</si>
  <si>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</si>
  <si>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</si>
  <si>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</si>
  <si>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</si>
  <si>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</si>
  <si>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</si>
  <si>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</si>
  <si>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</si>
  <si>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</si>
  <si>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</si>
  <si>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</si>
  <si>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</si>
  <si>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</si>
  <si>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</si>
  <si>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</si>
  <si>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</si>
  <si>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</si>
  <si>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</si>
  <si>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</si>
  <si>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</si>
  <si>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</si>
  <si>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</si>
  <si>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</si>
  <si>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DragonTears01</t>
  </si>
  <si>
    <t>DragonTears02</t>
  </si>
  <si>
    <t>DragonTears03</t>
  </si>
  <si>
    <t>DragonTears04</t>
  </si>
  <si>
    <t>DragonTears05</t>
  </si>
  <si>
    <t>DragonTears06</t>
  </si>
  <si>
    <t>DragonTears07</t>
  </si>
  <si>
    <t>DragonTears08</t>
  </si>
  <si>
    <t>DragonTears09</t>
  </si>
  <si>
    <t>DragonTears10</t>
  </si>
  <si>
    <t>DragonTears11</t>
  </si>
  <si>
    <t>DragonTears12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</si>
  <si>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</si>
  <si>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</si>
  <si>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</si>
  <si>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</si>
  <si>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</si>
  <si>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</si>
  <si>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</si>
  <si>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</si>
  <si>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</si>
  <si>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</si>
  <si>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</si>
  <si>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</si>
  <si>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</si>
  <si>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</si>
  <si>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</si>
  <si>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</si>
  <si>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</si>
  <si>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</si>
  <si>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</si>
  <si>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</si>
  <si>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</si>
  <si>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</si>
  <si>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</si>
  <si>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</si>
  <si>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</si>
  <si>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</si>
  <si>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</si>
  <si>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</si>
  <si>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</si>
  <si>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</si>
  <si>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</si>
  <si>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</si>
  <si>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</si>
  <si>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</si>
  <si>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</si>
  <si>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</si>
  <si>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</si>
  <si>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</si>
  <si>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</si>
  <si>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</si>
  <si>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</si>
  <si>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</si>
  <si>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</si>
  <si>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</si>
  <si>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</si>
  <si>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</si>
  <si>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</si>
  <si>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</si>
  <si>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</si>
  <si>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</si>
  <si>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</si>
  <si>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</si>
  <si>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</si>
  <si>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</si>
  <si>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</si>
  <si>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</si>
  <si>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</si>
  <si>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</si>
  <si>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</si>
  <si>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</si>
  <si>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</si>
  <si>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</si>
  <si>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</si>
  <si>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</si>
  <si>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</si>
  <si>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</si>
  <si>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</si>
  <si>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</si>
  <si>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</si>
  <si>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</si>
  <si>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</si>
  <si>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</si>
  <si>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</si>
  <si>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</si>
  <si>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</si>
  <si>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</si>
  <si>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</si>
  <si>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</si>
  <si>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</si>
  <si>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</si>
  <si>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</si>
  <si>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</si>
  <si>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</si>
  <si>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</si>
  <si>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</si>
  <si>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</si>
  <si>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</si>
  <si>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</si>
  <si>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</si>
  <si>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</si>
  <si>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</si>
  <si>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</si>
  <si>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</si>
  <si>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</si>
  <si>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</si>
  <si>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</si>
  <si>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</si>
  <si>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</si>
  <si>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</si>
  <si>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</si>
  <si>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</si>
  <si>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</si>
  <si>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</si>
  <si>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</si>
  <si>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</si>
  <si>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</si>
  <si>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</si>
  <si>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</si>
  <si>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</si>
  <si>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</si>
  <si>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</si>
  <si>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</si>
  <si>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</si>
  <si>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</si>
  <si>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</si>
  <si>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</si>
  <si>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</si>
  <si>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</si>
  <si>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</si>
  <si>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</si>
  <si>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</si>
  <si>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</si>
  <si>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</si>
  <si>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</si>
  <si>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</si>
  <si>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</si>
  <si>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</si>
  <si>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</si>
  <si>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</si>
  <si>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</si>
  <si>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</si>
  <si>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</si>
  <si>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</si>
  <si>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</si>
  <si>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</si>
  <si>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</si>
  <si>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</si>
  <si>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</si>
  <si>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</si>
  <si>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</si>
  <si>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</si>
  <si>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</si>
  <si>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</si>
  <si>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</si>
  <si>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</si>
  <si>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</si>
  <si>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</si>
  <si>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</si>
  <si>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</si>
  <si>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</si>
  <si>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</si>
  <si>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</si>
  <si>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</si>
  <si>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</si>
  <si>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</si>
  <si>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</si>
  <si>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</si>
  <si>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</si>
  <si>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</si>
  <si>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</si>
  <si>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</si>
  <si>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</si>
  <si>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</si>
  <si>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</si>
  <si>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</si>
  <si>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</si>
  <si>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</si>
  <si>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</si>
  <si>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</si>
  <si>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</si>
  <si>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</si>
  <si>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</si>
  <si>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</si>
  <si>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</si>
  <si>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</si>
  <si>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</si>
  <si>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</si>
  <si>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</si>
  <si>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</si>
  <si>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</si>
  <si>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</si>
  <si>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</si>
  <si>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</si>
  <si>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</si>
  <si>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</si>
  <si>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</si>
  <si>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</si>
  <si>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</si>
  <si>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</si>
  <si>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</si>
  <si>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</si>
  <si>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</si>
  <si>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</si>
  <si>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</si>
  <si>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</si>
  <si>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</si>
  <si>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</si>
  <si>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</si>
  <si>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</si>
  <si>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</si>
  <si>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</si>
  <si>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</si>
  <si>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</si>
  <si>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</si>
  <si>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</si>
  <si>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</si>
  <si>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</si>
  <si>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</si>
  <si>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</si>
  <si>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</si>
  <si>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</si>
  <si>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</si>
  <si>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</si>
  <si>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</si>
  <si>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</si>
  <si>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</si>
  <si>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</si>
  <si>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</si>
  <si>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</si>
  <si>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</si>
  <si>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</si>
  <si>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</si>
  <si>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</si>
  <si>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</si>
  <si>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</si>
  <si>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</si>
  <si>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</si>
  <si>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</si>
  <si>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</si>
  <si>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</si>
  <si>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</si>
  <si>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</si>
  <si>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</si>
  <si>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</si>
  <si>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</si>
  <si>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</si>
  <si>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</si>
  <si>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</si>
  <si>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</si>
  <si>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</si>
  <si>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</si>
  <si>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</si>
  <si>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</si>
  <si>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</si>
  <si>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</si>
  <si>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</si>
  <si>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</si>
  <si>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</si>
  <si>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</si>
  <si>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</si>
  <si>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</si>
  <si>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</si>
  <si>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</si>
  <si>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</si>
  <si>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</si>
  <si>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</si>
  <si>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</si>
  <si>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</si>
  <si>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</si>
  <si>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</si>
  <si>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</si>
  <si>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</si>
  <si>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</si>
  <si>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</si>
  <si>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</si>
  <si>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</si>
  <si>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</si>
  <si>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</si>
  <si>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</si>
  <si>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</si>
  <si>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</si>
  <si>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</si>
  <si>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</si>
  <si>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</si>
  <si>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</si>
  <si>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</si>
  <si>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</si>
  <si>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</si>
  <si>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</si>
  <si>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</si>
  <si>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</si>
  <si>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</si>
  <si>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</si>
  <si>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</si>
  <si>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</si>
  <si>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</si>
  <si>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</si>
  <si>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</si>
  <si>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</si>
  <si>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</si>
  <si>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</si>
  <si>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</si>
  <si>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</si>
  <si>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</si>
  <si>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</si>
  <si>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</si>
  <si>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</si>
  <si>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</si>
  <si>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</si>
  <si>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</si>
  <si>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</si>
  <si>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</si>
  <si>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</si>
  <si>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</si>
  <si>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</si>
  <si>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</si>
  <si>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</si>
  <si>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</si>
  <si>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</si>
  <si>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</si>
  <si>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</si>
  <si>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</si>
  <si>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</si>
  <si>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</si>
  <si>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</si>
  <si>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</si>
  <si>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</si>
  <si>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</si>
  <si>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</si>
  <si>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</si>
  <si>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</si>
  <si>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</si>
  <si>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</si>
  <si>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</si>
  <si>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</si>
  <si>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</si>
  <si>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</si>
  <si>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</si>
  <si>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</si>
  <si>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</si>
  <si>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</si>
  <si>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</si>
  <si>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</si>
  <si>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</si>
  <si>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</si>
  <si>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</si>
  <si>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</si>
  <si>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</si>
  <si>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</si>
  <si>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</si>
  <si>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</si>
  <si>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</si>
  <si>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</si>
  <si>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</si>
  <si>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</si>
  <si>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</si>
  <si>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</si>
  <si>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</si>
  <si>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</si>
  <si>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</si>
  <si>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</si>
  <si>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</si>
  <si>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</si>
  <si>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</si>
  <si>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</si>
  <si>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</si>
  <si>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</si>
  <si>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</si>
  <si>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</si>
  <si>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</si>
  <si>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</si>
  <si>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</si>
  <si>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</si>
  <si>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</si>
  <si>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</si>
  <si>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</si>
  <si>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</si>
  <si>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</si>
  <si>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</si>
  <si>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</si>
  <si>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</si>
  <si>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</si>
  <si>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</si>
  <si>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</si>
  <si>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</si>
  <si>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</si>
  <si>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</si>
  <si>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</si>
  <si>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</si>
  <si>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</si>
  <si>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</si>
  <si>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</si>
  <si>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</si>
  <si>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</si>
  <si>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</si>
  <si>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</si>
  <si>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</si>
  <si>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</si>
  <si>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</si>
  <si>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</si>
  <si>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</si>
  <si>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</si>
  <si>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</si>
  <si>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</si>
  <si>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</si>
  <si>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</si>
  <si>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</si>
  <si>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</si>
  <si>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</si>
  <si>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</si>
  <si>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</si>
  <si>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</si>
  <si>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</si>
  <si>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</si>
  <si>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</si>
  <si>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</si>
  <si>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</si>
  <si>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</si>
  <si>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</si>
  <si>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</si>
  <si>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</si>
  <si>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</si>
  <si>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</si>
  <si>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</si>
  <si>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</si>
  <si>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</si>
  <si>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</si>
  <si>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</si>
  <si>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</si>
  <si>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</si>
  <si>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</si>
  <si>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</si>
  <si>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</si>
  <si>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</si>
  <si>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</si>
  <si>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</si>
  <si>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</si>
  <si>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</si>
  <si>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</si>
  <si>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</si>
  <si>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</si>
  <si>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</si>
  <si>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</si>
  <si>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</si>
  <si>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</si>
  <si>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</si>
  <si>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</si>
  <si>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</si>
  <si>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</si>
  <si>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</si>
  <si>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</si>
  <si>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</si>
  <si>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</si>
  <si>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</si>
  <si>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</si>
  <si>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</si>
  <si>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</si>
  <si>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</si>
  <si>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</si>
  <si>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</si>
  <si>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</si>
  <si>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</si>
  <si>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</si>
  <si>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</si>
  <si>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</si>
  <si>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</si>
  <si>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</si>
  <si>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</si>
  <si>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</si>
  <si>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</si>
  <si>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</si>
  <si>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</si>
  <si>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</si>
  <si>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</si>
  <si>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</si>
  <si>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</si>
  <si>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</si>
  <si>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</si>
  <si>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</si>
  <si>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</si>
  <si>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</si>
  <si>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</si>
  <si>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</si>
  <si>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</si>
  <si>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</si>
  <si>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</si>
  <si>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</si>
  <si>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</si>
  <si>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</si>
  <si>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</si>
  <si>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</si>
  <si>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</si>
  <si>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</si>
  <si>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</si>
  <si>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</si>
  <si>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</si>
  <si>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</si>
  <si>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</si>
  <si>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</si>
  <si>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</si>
  <si>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</si>
  <si>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</si>
  <si>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</si>
  <si>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</si>
  <si>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</si>
  <si>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</si>
  <si>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</si>
  <si>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</si>
  <si>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</si>
  <si>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</si>
  <si>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</si>
  <si>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</si>
  <si>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</si>
  <si>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</si>
  <si>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</si>
  <si>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</si>
  <si>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</si>
  <si>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</si>
  <si>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</si>
  <si>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</si>
  <si>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</si>
  <si>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</si>
  <si>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</si>
  <si>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</si>
  <si>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</si>
  <si>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</si>
  <si>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</si>
  <si>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</si>
  <si>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</si>
  <si>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</si>
  <si>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</si>
  <si>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</si>
  <si>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</si>
  <si>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</si>
  <si>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</si>
  <si>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</si>
  <si>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</si>
  <si>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</si>
  <si>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</si>
  <si>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</si>
  <si>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</si>
  <si>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</si>
  <si>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</si>
  <si>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</si>
  <si>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</si>
  <si>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</si>
  <si>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</si>
  <si>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</si>
  <si>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</si>
  <si>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</si>
  <si>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</si>
  <si>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</si>
  <si>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87 2</t>
  </si>
  <si>
    <t>87 -</t>
  </si>
  <si>
    <t>14 -</t>
  </si>
  <si>
    <t>78 1</t>
  </si>
  <si>
    <t>77 2</t>
  </si>
  <si>
    <t>83 1</t>
  </si>
  <si>
    <t>3 15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</si>
  <si>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</si>
  <si>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</si>
  <si>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</si>
  <si>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</si>
  <si>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</si>
  <si>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</si>
  <si>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</si>
  <si>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</si>
  <si>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</si>
  <si>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</si>
  <si>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</si>
  <si>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</si>
  <si>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</si>
  <si>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</si>
  <si>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</si>
  <si>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</si>
  <si>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</si>
  <si>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</si>
  <si>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</si>
  <si>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</si>
  <si>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</si>
  <si>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</si>
  <si>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</si>
  <si>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</si>
  <si>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</si>
  <si>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</si>
  <si>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</si>
  <si>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</si>
  <si>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</si>
  <si>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</si>
  <si>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</si>
  <si>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</si>
  <si>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</si>
  <si>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</si>
  <si>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</si>
  <si>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</si>
  <si>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</si>
  <si>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</si>
  <si>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</si>
  <si>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</si>
  <si>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</si>
  <si>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</si>
  <si>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</si>
  <si>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</si>
  <si>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</si>
  <si>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</si>
  <si>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</si>
  <si>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</si>
  <si>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</si>
  <si>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</si>
  <si>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</si>
  <si>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</si>
  <si>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</si>
  <si>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</si>
  <si>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</si>
  <si>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</si>
  <si>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</si>
  <si>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</si>
  <si>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</si>
  <si>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</si>
  <si>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</si>
  <si>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</si>
  <si>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</si>
  <si>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</si>
  <si>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</si>
  <si>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</si>
  <si>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</si>
  <si>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</si>
  <si>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</si>
  <si>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</si>
  <si>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</si>
  <si>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</si>
  <si>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</si>
  <si>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</si>
  <si>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</si>
  <si>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</si>
  <si>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</si>
  <si>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</si>
  <si>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</si>
  <si>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</si>
  <si>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</si>
  <si>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</si>
  <si>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</si>
  <si>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</si>
  <si>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</si>
  <si>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</si>
  <si>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</si>
  <si>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</si>
  <si>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</si>
  <si>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</si>
  <si>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</si>
  <si>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</si>
  <si>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</si>
  <si>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</si>
  <si>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</si>
  <si>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</si>
  <si>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</si>
  <si>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</si>
  <si>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</si>
  <si>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</si>
  <si>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</si>
  <si>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</si>
  <si>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</si>
  <si>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</si>
  <si>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</si>
  <si>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</si>
  <si>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</si>
  <si>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</si>
  <si>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</si>
  <si>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</si>
  <si>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</si>
  <si>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</si>
  <si>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</si>
  <si>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</si>
  <si>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</si>
  <si>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</si>
  <si>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</si>
  <si>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</si>
  <si>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</si>
  <si>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</si>
  <si>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</si>
  <si>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</si>
  <si>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</si>
  <si>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</si>
  <si>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</si>
  <si>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</si>
  <si>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</si>
  <si>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</si>
  <si>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</si>
  <si>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</si>
  <si>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</si>
  <si>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</si>
  <si>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</si>
  <si>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</si>
  <si>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</si>
  <si>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</si>
  <si>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</si>
  <si>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</si>
  <si>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</si>
  <si>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</si>
  <si>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</si>
  <si>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</si>
  <si>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</si>
  <si>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</si>
  <si>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</si>
  <si>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</si>
  <si>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</si>
  <si>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</si>
  <si>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</si>
  <si>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</si>
  <si>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</si>
  <si>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</si>
  <si>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</si>
  <si>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</si>
  <si>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</si>
  <si>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</si>
  <si>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</si>
  <si>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</si>
  <si>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</si>
  <si>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</si>
  <si>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</si>
  <si>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</si>
  <si>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</si>
  <si>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</si>
  <si>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</si>
  <si>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</si>
  <si>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</si>
  <si>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</si>
  <si>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</si>
  <si>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</si>
  <si>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</si>
  <si>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</si>
  <si>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</si>
  <si>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</si>
  <si>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</si>
  <si>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</si>
  <si>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</si>
  <si>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</si>
  <si>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</si>
  <si>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</si>
  <si>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</si>
  <si>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</si>
  <si>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</si>
  <si>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</si>
  <si>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</si>
  <si>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</si>
  <si>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</si>
  <si>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</si>
  <si>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</si>
  <si>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</si>
  <si>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</si>
  <si>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</si>
  <si>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</si>
  <si>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</si>
  <si>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</si>
  <si>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</si>
  <si>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</si>
  <si>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</si>
  <si>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</si>
  <si>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</si>
  <si>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</si>
  <si>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</si>
  <si>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</si>
  <si>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</si>
  <si>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</si>
  <si>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</si>
  <si>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</si>
  <si>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</si>
  <si>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</si>
  <si>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</si>
  <si>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</si>
  <si>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</si>
  <si>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</si>
  <si>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</si>
  <si>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</si>
  <si>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</si>
  <si>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</si>
  <si>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</si>
  <si>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</si>
  <si>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</si>
  <si>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</si>
  <si>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</si>
  <si>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</si>
  <si>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</si>
  <si>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</si>
  <si>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</si>
  <si>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</si>
  <si>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</si>
  <si>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</si>
  <si>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</si>
  <si>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</si>
  <si>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</si>
  <si>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</si>
  <si>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</si>
  <si>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</si>
  <si>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</si>
  <si>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</si>
  <si>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</si>
  <si>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</si>
  <si>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</si>
  <si>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</si>
  <si>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</si>
  <si>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</si>
  <si>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</si>
  <si>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</si>
  <si>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</si>
  <si>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</si>
  <si>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</si>
  <si>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</si>
  <si>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</si>
  <si>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</si>
  <si>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</si>
  <si>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</si>
  <si>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</si>
  <si>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</si>
  <si>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</si>
  <si>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</si>
  <si>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</si>
  <si>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</si>
  <si>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</si>
  <si>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</si>
  <si>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</si>
  <si>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</si>
  <si>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</si>
  <si>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</si>
  <si>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</si>
  <si>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</si>
  <si>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</si>
  <si>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</si>
  <si>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</si>
  <si>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</si>
  <si>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</si>
  <si>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</si>
  <si>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</si>
  <si>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</si>
  <si>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</si>
  <si>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</si>
  <si>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</si>
  <si>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</si>
  <si>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</si>
  <si>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</si>
  <si>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</si>
  <si>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</si>
  <si>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</si>
  <si>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</si>
  <si>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</si>
  <si>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</si>
  <si>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</si>
  <si>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</si>
  <si>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</si>
  <si>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</si>
  <si>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</si>
  <si>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</si>
  <si>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</si>
  <si>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</si>
  <si>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</si>
  <si>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</si>
  <si>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</si>
  <si>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</si>
  <si>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</si>
  <si>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</si>
  <si>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</si>
  <si>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</si>
  <si>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</si>
  <si>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</si>
  <si>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</si>
  <si>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</si>
  <si>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</si>
  <si>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</si>
  <si>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</si>
  <si>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</si>
  <si>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</si>
  <si>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</si>
  <si>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</si>
  <si>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</si>
  <si>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</si>
  <si>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</si>
  <si>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</si>
  <si>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</si>
  <si>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</si>
  <si>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</si>
  <si>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</si>
  <si>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</si>
  <si>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</si>
  <si>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</si>
  <si>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</si>
  <si>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</si>
  <si>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</si>
  <si>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</si>
  <si>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</si>
  <si>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</si>
  <si>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</si>
  <si>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</si>
  <si>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</si>
  <si>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</si>
  <si>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</si>
  <si>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</si>
  <si>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</si>
  <si>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</si>
  <si>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</si>
  <si>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</si>
  <si>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</si>
  <si>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</si>
  <si>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</si>
  <si>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</si>
  <si>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</si>
  <si>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</si>
  <si>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</si>
  <si>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</si>
  <si>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</si>
  <si>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</si>
  <si>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</si>
  <si>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</si>
  <si>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</si>
  <si>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</si>
  <si>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</si>
  <si>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</si>
  <si>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</si>
  <si>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</si>
  <si>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</si>
  <si>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</si>
  <si>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</si>
  <si>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</si>
  <si>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</si>
  <si>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</si>
  <si>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</si>
  <si>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</si>
  <si>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</si>
  <si>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</si>
  <si>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</si>
  <si>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</si>
  <si>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</si>
  <si>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</si>
  <si>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</si>
  <si>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</si>
  <si>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</si>
  <si>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</si>
  <si>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</si>
  <si>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</si>
  <si>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</si>
  <si>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</si>
  <si>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</si>
  <si>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</si>
  <si>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</si>
  <si>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</si>
  <si>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</si>
  <si>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</si>
  <si>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</si>
  <si>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</si>
  <si>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</si>
  <si>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</si>
  <si>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</si>
  <si>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</si>
  <si>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</si>
  <si>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</si>
  <si>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</si>
  <si>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</si>
  <si>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</si>
  <si>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</si>
  <si>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</si>
  <si>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</si>
  <si>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</si>
  <si>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</si>
  <si>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</si>
  <si>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</si>
  <si>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</si>
  <si>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</si>
  <si>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</si>
  <si>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</si>
  <si>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</si>
  <si>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</si>
  <si>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</si>
  <si>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</si>
  <si>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</si>
  <si>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</si>
  <si>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</si>
  <si>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</si>
  <si>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</si>
  <si>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</si>
  <si>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</si>
  <si>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</si>
  <si>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</si>
  <si>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</si>
  <si>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</si>
  <si>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</si>
  <si>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</si>
  <si>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</si>
  <si>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</si>
  <si>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</si>
  <si>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</si>
  <si>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</si>
  <si>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</si>
  <si>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</si>
  <si>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</si>
  <si>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</si>
  <si>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</si>
  <si>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</si>
  <si>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</si>
  <si>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</si>
  <si>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</si>
  <si>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</si>
  <si>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</si>
  <si>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</si>
  <si>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</si>
  <si>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</si>
  <si>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</si>
  <si>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</si>
  <si>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</si>
  <si>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</si>
  <si>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</si>
  <si>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</si>
  <si>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</si>
  <si>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</si>
  <si>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</si>
  <si>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</si>
  <si>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</si>
  <si>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</si>
  <si>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</si>
  <si>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</si>
  <si>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</si>
  <si>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</si>
  <si>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</si>
  <si>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</si>
  <si>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</si>
  <si>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</si>
  <si>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</si>
  <si>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</si>
  <si>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</si>
  <si>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</si>
  <si>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</si>
  <si>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</si>
  <si>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</si>
  <si>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</si>
  <si>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</si>
  <si>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</si>
  <si>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</si>
  <si>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</si>
  <si>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</si>
  <si>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</si>
  <si>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</si>
  <si>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</si>
  <si>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</si>
  <si>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</si>
  <si>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</si>
  <si>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</si>
  <si>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</si>
  <si>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</si>
  <si>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</si>
  <si>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</si>
  <si>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</si>
  <si>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</si>
  <si>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</si>
  <si>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</si>
  <si>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</si>
  <si>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</si>
  <si>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</si>
  <si>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</si>
  <si>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</si>
  <si>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</si>
  <si>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</si>
  <si>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</si>
  <si>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</si>
  <si>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</si>
  <si>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</si>
  <si>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</si>
  <si>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</si>
  <si>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</si>
  <si>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</si>
  <si>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</si>
  <si>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</si>
  <si>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</si>
  <si>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</si>
  <si>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</si>
  <si>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</si>
  <si>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</si>
  <si>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</si>
  <si>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</si>
  <si>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</si>
  <si>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</si>
  <si>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</si>
  <si>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</si>
  <si>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</si>
  <si>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</si>
  <si>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</si>
  <si>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</si>
  <si>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</si>
  <si>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</si>
  <si>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</si>
  <si>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</si>
  <si>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</si>
  <si>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</si>
  <si>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</si>
  <si>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</si>
  <si>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</si>
  <si>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</si>
  <si>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</si>
  <si>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</si>
  <si>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</si>
  <si>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</si>
  <si>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</si>
  <si>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</si>
  <si>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</si>
  <si>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</si>
  <si>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</si>
  <si>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</si>
  <si>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</si>
  <si>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</si>
  <si>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</si>
  <si>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</si>
  <si>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</si>
  <si>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</si>
  <si>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</si>
  <si>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</si>
  <si>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</si>
  <si>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</si>
  <si>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</si>
  <si>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</si>
  <si>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</si>
  <si>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</si>
  <si>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</si>
  <si>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</si>
  <si>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</si>
  <si>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</si>
  <si>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</si>
  <si>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</si>
  <si>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</si>
  <si>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</si>
  <si>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</si>
  <si>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</si>
  <si>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</si>
  <si>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</si>
  <si>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</si>
  <si>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</si>
  <si>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</si>
  <si>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</si>
  <si>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</si>
  <si>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</si>
  <si>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</si>
  <si>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</si>
  <si>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</si>
  <si>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</si>
  <si>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</si>
  <si>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</si>
  <si>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</si>
  <si>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</si>
  <si>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</si>
  <si>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</si>
  <si>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</si>
  <si>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</si>
  <si>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</si>
  <si>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</si>
  <si>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</si>
  <si>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</si>
  <si>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</si>
  <si>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</si>
  <si>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</si>
  <si>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</si>
  <si>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</si>
  <si>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</si>
  <si>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</si>
  <si>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</si>
  <si>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</si>
  <si>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</si>
  <si>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</si>
  <si>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</si>
  <si>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</si>
  <si>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</si>
  <si>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</si>
  <si>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</si>
  <si>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</si>
  <si>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</si>
  <si>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</si>
  <si>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</si>
  <si>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</si>
  <si>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</si>
  <si>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</si>
  <si>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</si>
  <si>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</si>
  <si>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</si>
  <si>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</si>
  <si>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</si>
  <si>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</si>
  <si>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</si>
  <si>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</si>
  <si>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</si>
  <si>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</si>
  <si>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</si>
  <si>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</si>
  <si>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</si>
  <si>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</si>
  <si>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</si>
  <si>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</si>
  <si>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</si>
  <si>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</si>
  <si>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</si>
  <si>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</si>
  <si>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</si>
  <si>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</si>
  <si>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</si>
  <si>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</si>
  <si>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</si>
  <si>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</si>
  <si>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</si>
  <si>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</si>
  <si>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</si>
  <si>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</si>
  <si>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</si>
  <si>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</si>
  <si>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</si>
  <si>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</si>
  <si>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</si>
  <si>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</si>
  <si>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</si>
  <si>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</si>
  <si>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</si>
  <si>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</si>
  <si>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</si>
  <si>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</si>
  <si>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</si>
  <si>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</si>
  <si>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</si>
  <si>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</si>
  <si>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</si>
  <si>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</si>
  <si>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</si>
  <si>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</si>
  <si>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</si>
  <si>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</si>
  <si>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</si>
  <si>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</si>
  <si>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</si>
  <si>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</si>
  <si>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</si>
  <si>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</si>
  <si>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</si>
  <si>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</si>
  <si>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</si>
  <si>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</si>
  <si>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</si>
  <si>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</si>
  <si>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</si>
  <si>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</si>
  <si>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</si>
  <si>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</si>
  <si>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</si>
  <si>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</si>
  <si>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</si>
  <si>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</si>
  <si>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</si>
  <si>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</si>
  <si>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</si>
  <si>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</si>
  <si>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</si>
  <si>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</si>
  <si>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West Necluda Sky</t>
  </si>
  <si>
    <t>{ name: "Hyrule Castle Moat East Chasm", landmark: "Chasm", type: "", region: 1, level: "Surface", x: 170, y: 882, z: 9, details: "" },</t>
  </si>
  <si>
    <t>{ name: "Hyrule Castle Moat West Chasm", landmark: "Chasm", type: "", region: 1, level: "Surface", x: -923, y: 667, z: 15, details: "" },</t>
  </si>
  <si>
    <t>{ name: "Hyrule Field Chasm", landmark: "Chasm", type: "", region: 1, level: "Surface", x: -251, y: -305, z: -479, details: "" },</t>
  </si>
  <si>
    <t>{ name: "Mount Daphnes Well", landmark: "Chasm", type: "", region: 2, level: "Surface", x: -1313, y: -625, z: 9, details: "" },</t>
  </si>
  <si>
    <t>{ name: "Forest of Time Chasm", landmark: "Chasm", type: "", region: 2, level: "Surface", x: -128, y: -1658, z: 10, details: "" },</t>
  </si>
  <si>
    <t>{ name: "Great Plateau East Chasm", landmark: "Chasm", type: "", region: 2, level: "Surface", x: -450, y: -1993, z: 71, details: "" },</t>
  </si>
  <si>
    <t>{ name: "Great Plateau North Chasm", landmark: "Chasm", type: "", region: 2, level: "Surface", x: -662, y: -1510, z: -518, details: "" },</t>
  </si>
  <si>
    <t>{ name: "Great Plateau South Chasm", landmark: "Chasm", type: "", region: 2, level: "Surface", x: -930, y: -2316, z: 167, details: "" },</t>
  </si>
  <si>
    <t>{ name: "Great Plateau West Chasm", landmark: "Chasm", type: "", region: 2, level: "Surface", x: -1429, y: -1993, z: 231, details: "" },</t>
  </si>
  <si>
    <t>{ name: "Hyrule Ridge Chasm", landmark: "Chasm", type: "", region: 3, level: "Surface", x: -2645, y: 1126, z: 175, details: "" },</t>
  </si>
  <si>
    <t>{ name: "Rowan Plain Well", landmark: "Chasm", type: "", region: 3, level: "Surface", x: -1069, y: 2326, z: 99, details: "" },</t>
  </si>
  <si>
    <t>{ name: "Rito Village Chasm", landmark: "Chasm", type: "", region: 4, level: "Surface", x: -3571, y: 1803, z: 123, details: "" },</t>
  </si>
  <si>
    <t>{ name: "North Lomei Chasm", landmark: "Chasm", type: "", region: 5, level: "Surface", x: -814, y: 3535, z: 235, details: "" },</t>
  </si>
  <si>
    <t>{ name: "Deku Tree Chasm", landmark: "Chasm", type: "", region: 6, level: "Surface", x: 418, y: 2193, z: 144, details: "" },</t>
  </si>
  <si>
    <t>{ name: "Drenan Highlands Chasm", landmark: "Chasm", type: "", region: 6, level: "Surface", x: -63, y: 2984, z: 127, details: "" },</t>
  </si>
  <si>
    <t>{ name: "Elma Knolls Chasm", landmark: "Chasm", type: "", region: 6, level: "Surface", x: -453, y: 1721, z: 169, details: "" },</t>
  </si>
  <si>
    <t>{ name: "Death Mountain Chasm", landmark: "Chasm", type: "", region: 7, level: "Surface", x: 2535, y: 2603, z: 644, details: "" },</t>
  </si>
  <si>
    <t>{ name: "Minshi Woods Chasm", landmark: "Chasm", type: "", region: 7, level: "Surface", x: 1055, y: 1668, z: 150, details: "" },</t>
  </si>
  <si>
    <t>{ name: "East Akkala Plains Chasm", landmark: "Chasm", type: "", region: 8, level: "Surface", x: 4037, y: 2177, z: 29, details: "" },</t>
  </si>
  <si>
    <t>{ name: "Lomei Labyrinth Chasm", landmark: "Chasm", type: "", region: 8, level: "Surface", x: 4663, y: 3697, z: 50, details: "" },</t>
  </si>
  <si>
    <t>{ name: "Skull Lake Chasm", landmark: "Chasm", type: "", region: 8, level: "Surface", x: 3248, y: 3441, z: -43, details: "" },</t>
  </si>
  <si>
    <t>{ name: "South Akkala Plains Chasm", landmark: "Chasm", type: "", region: 8, level: "Surface", x: 3284, y: 1303, z: 217, details: "" },</t>
  </si>
  <si>
    <t>{ name: "Chasm Under Zora's Domain", landmark: "Chasm", type: "", region: 9, level: "Surface", x: 3272, y: 442, z: -21, details: "" },</t>
  </si>
  <si>
    <t>{ name: "Tingel Island Chasm", landmark: "Chasm", type: "", region: 9, level: "Surface", x: 4708, y: 1308, z: 61, details: "" },</t>
  </si>
  <si>
    <t>{ name: "East Hill Chasm", landmark: "Chasm", type: "", region: 10, level: "Surface", x: 1974, y: -855, z: 178, details: "" },</t>
  </si>
  <si>
    <t>{ name: "Lanayru Wetlands Chasm", landmark: "Chasm", type: "", region: 10, level: "Surface", x: 1727, y: 158, z: -5, details: "" },</t>
  </si>
  <si>
    <t>{ name: "Naydra Snowfield Chasm", landmark: "Chasm", type: "", region: 11, level: "Surface", x: 3591, y: -1341, z: 117, details: "" },</t>
  </si>
  <si>
    <t>{ name: "Eventide Island Chasm", landmark: "Chasm", type: "", region: 12, level: "Surface", x: 4507, y: -3459, z: -17, details: "" },</t>
  </si>
  <si>
    <t>{ name: "Meda Mountain Chasm", landmark: "Chasm", type: "", region: 12, level: "Surface", x: 2513, y: -2380, z: 131, details: "" },</t>
  </si>
  <si>
    <t>{ name: "Hills of Baumer Chasm", landmark: "Chasm", type: "", region: 13, level: "Surface", x: 222, y: -2119, z: 53, details: "" },</t>
  </si>
  <si>
    <t>{ name: "Lake Hylia Chasm", landmark: "Chasm", type: "", region: 13, level: "Surface", x: -332, y: -2598, z: -52, details: "" },</t>
  </si>
  <si>
    <t>{ name: "South Nabi Lake Well", landmark: "Chasm", type: "", region: 13, level: "Surface", x: 783, y: -1497, z: 21, details: "" },</t>
  </si>
  <si>
    <t>{ name: "Tobio's Hollow Chasm", landmark: "Chasm", type: "", region: 13, level: "Surface", x: 1305, y: -2397, z: 62, details: "" },</t>
  </si>
  <si>
    <t>{ name: "East Gerudo Chasm", landmark: "Chasm", type: "", region: 14, level: "Surface", x: -2491, y: -3068, z: 81, details: "" },</t>
  </si>
  <si>
    <t>{ name: "South Lomei Chasm", landmark: "Chasm", type: "", region: 14, level: "Surface", x: -1795, y: -3462, z: 46, details: "" },</t>
  </si>
  <si>
    <t>{ name: "Birida Lookout Chasm", landmark: "Chasm", type: "", region: 15, level: "Surface", x: -3680, y: -1853, z: 76, details: "" },</t>
  </si>
  <si>
    <t>{ name: "Gerudo Summit Chasm", landmark: "Chasm", type: "", region: 15, level: "Surface", x: -4203, y: -639, z: 682, details: "" },</t>
  </si>
  <si>
    <t>{ name: "Yiga Clan Hideout Chasm", landmark: "Chasm", type: "", region: 15, level: "Surface", x: -3429, y: -1334, z: 335, details: "" },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</si>
  <si>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</si>
  <si>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</si>
  <si>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</si>
  <si>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</si>
  <si>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</si>
  <si>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</si>
  <si>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</si>
  <si>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</si>
  <si>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</si>
  <si>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</si>
  <si>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</si>
  <si>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</si>
  <si>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</si>
  <si>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</si>
  <si>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</si>
  <si>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</si>
  <si>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</si>
  <si>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</si>
  <si>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</si>
  <si>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</si>
  <si>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</si>
  <si>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</si>
  <si>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</si>
  <si>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</si>
  <si>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</si>
  <si>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</si>
  <si>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</si>
  <si>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</si>
  <si>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</si>
  <si>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</si>
  <si>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</si>
  <si>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</si>
  <si>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</si>
  <si>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</si>
  <si>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</si>
  <si>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</si>
  <si>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</si>
  <si>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</si>
  <si>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</si>
  <si>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</si>
  <si>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</si>
  <si>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</si>
  <si>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</si>
  <si>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</si>
  <si>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</si>
  <si>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</si>
  <si>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</si>
  <si>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</si>
  <si>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</si>
  <si>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</si>
  <si>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</si>
  <si>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</si>
  <si>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</si>
  <si>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</si>
  <si>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</si>
  <si>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</si>
  <si>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</si>
  <si>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</si>
  <si>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</si>
  <si>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</si>
  <si>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</si>
  <si>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</si>
  <si>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</si>
  <si>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</si>
  <si>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South Hyrule Sky Archipelago 1</t>
  </si>
  <si>
    <t>Trousers of the Hero</t>
  </si>
  <si>
    <t>South Hyrule Sky Archipelago 2</t>
  </si>
  <si>
    <t>Tunic of the Hero</t>
  </si>
  <si>
    <t>South Hyrule Sky Archipelago 3</t>
  </si>
  <si>
    <t>Cap of the Hero</t>
  </si>
  <si>
    <t>South Hyrule Sky Archipelago 4</t>
  </si>
  <si>
    <t>Sheik's Mask</t>
  </si>
  <si>
    <t>Rising Island Chain</t>
  </si>
  <si>
    <t>Miner's Mask</t>
  </si>
  <si>
    <t>West Hebra Sky Archipelago 1</t>
  </si>
  <si>
    <t>Miner's Top</t>
  </si>
  <si>
    <t>West Hebra Sky Archipelago 2</t>
  </si>
  <si>
    <t>Miner's Trousers</t>
  </si>
  <si>
    <t>Ravio's Hood</t>
  </si>
  <si>
    <t>Biggoron's Sword</t>
  </si>
  <si>
    <t>North Akkala Sky Archipelago 1</t>
  </si>
  <si>
    <t>Trousers of Twilight</t>
  </si>
  <si>
    <t>North Akkala Sky Archipelago 2</t>
  </si>
  <si>
    <t>Cap of Twilight</t>
  </si>
  <si>
    <t>Tunic of Twilight</t>
  </si>
  <si>
    <t>Wellspring Island 1</t>
  </si>
  <si>
    <t>Trousers of the Wind</t>
  </si>
  <si>
    <t>Wellspring Island 2</t>
  </si>
  <si>
    <t>Cap of the Wind</t>
  </si>
  <si>
    <t>Tunic of the Wind</t>
  </si>
  <si>
    <t>South Lanayru Sky Archipelago 1</t>
  </si>
  <si>
    <t>Midna's Helmet</t>
  </si>
  <si>
    <t>South Lanayru Sky Archipelago 2</t>
  </si>
  <si>
    <t>Zant's Helmet</t>
  </si>
  <si>
    <t>North Necluda Sky Archipelago 1</t>
  </si>
  <si>
    <t>Tunic of Time</t>
  </si>
  <si>
    <t>North Necluda Sky Archipelago 2</t>
  </si>
  <si>
    <t>Trousers of Time</t>
  </si>
  <si>
    <t>East Necluda Sky</t>
  </si>
  <si>
    <t>Sea-Breeze Shield</t>
  </si>
  <si>
    <t>Sea-Breeze Boomerang</t>
  </si>
  <si>
    <t>Tunic of the Sky</t>
  </si>
  <si>
    <t>Thunderhead Isles 1</t>
  </si>
  <si>
    <t>Trousers of the Sky</t>
  </si>
  <si>
    <t>Thunderhead Isles 2</t>
  </si>
  <si>
    <t>Cap of the Sky</t>
  </si>
  <si>
    <t>Majora's Mask</t>
  </si>
  <si>
    <t>Sword of the Hero</t>
  </si>
  <si>
    <t>Tunic of the Wild</t>
  </si>
  <si>
    <t>Tabantha Sky Archipelago 1</t>
  </si>
  <si>
    <t>Trousers of the Wild</t>
  </si>
  <si>
    <t>Tabantha Sky Archipelago 2</t>
  </si>
  <si>
    <t>Cap of the Wild</t>
  </si>
  <si>
    <t>Old Map</t>
  </si>
  <si>
    <t>&lt;strong&gt;Treasure:&lt;/strong&gt; Korok Mask</t>
  </si>
  <si>
    <t>&lt;strong&gt;Treasure:&lt;/strong&gt; Cap of Time</t>
  </si>
  <si>
    <t>&lt;strong&gt;Treasure:&lt;/strong&gt; Trousers of the Hero</t>
  </si>
  <si>
    <t>&lt;strong&gt;Treasure:&lt;/strong&gt; Tunic of the Hero</t>
  </si>
  <si>
    <t>&lt;strong&gt;Treasure:&lt;/strong&gt; Cap of the Hero</t>
  </si>
  <si>
    <t>&lt;strong&gt;Treasure:&lt;/strong&gt; Sheik's Mask</t>
  </si>
  <si>
    <t>&lt;strong&gt;Treasure:&lt;/strong&gt; Miner's Mask</t>
  </si>
  <si>
    <t>&lt;strong&gt;Treasure:&lt;/strong&gt; Miner's Top</t>
  </si>
  <si>
    <t>&lt;strong&gt;Treasure:&lt;/strong&gt; Miner's Trousers</t>
  </si>
  <si>
    <t>&lt;strong&gt;Treasure:&lt;/strong&gt; Ravio's Hood</t>
  </si>
  <si>
    <t>&lt;strong&gt;Treasure:&lt;/strong&gt; Biggoron's Sword</t>
  </si>
  <si>
    <t>&lt;strong&gt;Treasure:&lt;/strong&gt; Trousers of Twilight</t>
  </si>
  <si>
    <t>&lt;strong&gt;Treasure:&lt;/strong&gt; Cap of Twilight</t>
  </si>
  <si>
    <t>&lt;strong&gt;Treasure:&lt;/strong&gt; Tunic of Twilight</t>
  </si>
  <si>
    <t>&lt;strong&gt;Treasure:&lt;/strong&gt; Trousers of the Wind</t>
  </si>
  <si>
    <t>&lt;strong&gt;Treasure:&lt;/strong&gt; Cap of the Wind</t>
  </si>
  <si>
    <t>&lt;strong&gt;Treasure:&lt;/strong&gt; Tunic of the Wind</t>
  </si>
  <si>
    <t>&lt;strong&gt;Treasure:&lt;/strong&gt; Midna's Helmet</t>
  </si>
  <si>
    <t>&lt;strong&gt;Treasure:&lt;/strong&gt; Zant's Helmet</t>
  </si>
  <si>
    <t>&lt;strong&gt;Treasure:&lt;/strong&gt; Tunic of Time</t>
  </si>
  <si>
    <t>&lt;strong&gt;Treasure:&lt;/strong&gt; Trousers of Time</t>
  </si>
  <si>
    <t>&lt;strong&gt;Treasure:&lt;/strong&gt; Sea-Breeze Boomerang</t>
  </si>
  <si>
    <t>&lt;strong&gt;Treasure:&lt;/strong&gt; Tunic of the Sky</t>
  </si>
  <si>
    <t>&lt;strong&gt;Treasure:&lt;/strong&gt; Trousers of the Sky</t>
  </si>
  <si>
    <t>&lt;strong&gt;Treasure:&lt;/strong&gt; Cap of the Sky</t>
  </si>
  <si>
    <t>&lt;strong&gt;Treasure:&lt;/strong&gt; Majora's Mask</t>
  </si>
  <si>
    <t>&lt;strong&gt;Treasure:&lt;/strong&gt; Sword of the Hero</t>
  </si>
  <si>
    <t>&lt;strong&gt;Treasure:&lt;/strong&gt; Tunic of the Wild</t>
  </si>
  <si>
    <t>&lt;strong&gt;Treasure:&lt;/strong&gt; Trousers of the Wild</t>
  </si>
  <si>
    <t>&lt;strong&gt;Treasure:&lt;/strong&gt; Cap of the Wild</t>
  </si>
  <si>
    <t>&lt;strong&gt;Old Map:&lt;/strong&gt; North Hyrule Sky Archipelago</t>
  </si>
  <si>
    <t>&lt;strong&gt;Old Map:&lt;/strong&gt; Central Hyrule Sky Archipelago</t>
  </si>
  <si>
    <t>&lt;strong&gt;Old Map:&lt;/strong&gt; South Hyrule Sky Archipelago 1</t>
  </si>
  <si>
    <t>&lt;strong&gt;Old Map:&lt;/strong&gt; South Hyrule Sky Archipelago 2</t>
  </si>
  <si>
    <t>&lt;strong&gt;Old Map:&lt;/strong&gt; South Hyrule Sky Archipelago 3</t>
  </si>
  <si>
    <t>&lt;strong&gt;Old Map:&lt;/strong&gt; South Hyrule Sky Archipelago 4</t>
  </si>
  <si>
    <t>&lt;strong&gt;Old Map:&lt;/strong&gt; Rising Island Chain</t>
  </si>
  <si>
    <t>&lt;strong&gt;Old Map:&lt;/strong&gt; West Hebra Sky Archipelago 1</t>
  </si>
  <si>
    <t>&lt;strong&gt;Old Map:&lt;/strong&gt; West Hebra Sky Archipelago 2</t>
  </si>
  <si>
    <t>&lt;strong&gt;Old Map:&lt;/strong&gt; East Hebra Sky Archipelago</t>
  </si>
  <si>
    <t>&lt;strong&gt;Old Map:&lt;/strong&gt; South Eldin Sky Archipelago</t>
  </si>
  <si>
    <t>&lt;strong&gt;Old Map:&lt;/strong&gt; North Akkala Sky Archipelago 1</t>
  </si>
  <si>
    <t>&lt;strong&gt;Old Map:&lt;/strong&gt; North Akkala Sky Archipelago 2</t>
  </si>
  <si>
    <t>&lt;strong&gt;Old Map:&lt;/strong&gt; Sokkala Sky Archipelago</t>
  </si>
  <si>
    <t>&lt;strong&gt;Old Map:&lt;/strong&gt; Wellspring Island 1</t>
  </si>
  <si>
    <t>&lt;strong&gt;Old Map:&lt;/strong&gt; Wellspring Island 2</t>
  </si>
  <si>
    <t>&lt;strong&gt;Old Map:&lt;/strong&gt; Lanayru Sky Archipelago</t>
  </si>
  <si>
    <t>&lt;strong&gt;Old Map:&lt;/strong&gt; South Lanayru Sky Archipelago 1</t>
  </si>
  <si>
    <t>&lt;strong&gt;Old Map:&lt;/strong&gt; South Lanayru Sky Archipelago 2</t>
  </si>
  <si>
    <t>&lt;strong&gt;Old Map:&lt;/strong&gt; North Necluda Sky Archipelago 1</t>
  </si>
  <si>
    <t>&lt;strong&gt;Old Map:&lt;/strong&gt; North Necluda Sky Archipelago 2</t>
  </si>
  <si>
    <t>&lt;strong&gt;Old Map:&lt;/strong&gt; Necluda Sky Archipelago</t>
  </si>
  <si>
    <t>&lt;strong&gt;Old Map:&lt;/strong&gt; West Necluda Sky Archipelago</t>
  </si>
  <si>
    <t>&lt;strong&gt;Old Map:&lt;/strong&gt; Thunderhead Isles 1</t>
  </si>
  <si>
    <t>&lt;strong&gt;Old Map:&lt;/strong&gt; Thunderhead Isles 2</t>
  </si>
  <si>
    <t>&lt;strong&gt;Old Map:&lt;/strong&gt; North Gerudo Sky Archipelago</t>
  </si>
  <si>
    <t>&lt;strong&gt;Old Map:&lt;/strong&gt; East Gerudo Sky Archipelago</t>
  </si>
  <si>
    <t>&lt;strong&gt;Old Map:&lt;/strong&gt; North Tabantha Sky Archipelago</t>
  </si>
  <si>
    <t>&lt;strong&gt;Old Map:&lt;/strong&gt; Tabantha Sky Archipelago 1</t>
  </si>
  <si>
    <t>&lt;strong&gt;Old Map:&lt;/strong&gt; Tabantha Sky Archipelago 2</t>
  </si>
  <si>
    <t>{ name: "Hyrule Castle Town Ruins", landmark: "Hudson Sign", type: "Hudson Sign", region: 1, level: "Surface", x: -268, y: 383, z: 33, details: "" },</t>
  </si>
  <si>
    <t>{ name: "Mabe Prairie", landmark: "Hudson Sign", type: "Hudson Sign", region: 1, level: "Surface", x: 186, y: 268, z: 39, details: "" },</t>
  </si>
  <si>
    <t>{ name: "Mount Gustaf", landmark: "Hudson Sign", type: "Hudson Sign", region: 1, level: "Surface", x: -755, y: 243, z: 31, details: "" },</t>
  </si>
  <si>
    <t>{ name: "Rebonae Bridge", landmark: "Hudson Sign", type: "Hudson Sign", region: 1, level: "Surface", x: 674, y: 138, z: 38, details: "" },</t>
  </si>
  <si>
    <t>{ name: "Exchange Ruins", landmark: "Hudson Sign", type: "Hudson Sign", region: 2, level: "Surface", x: -678, y: -864, z: 53, details: "" },</t>
  </si>
  <si>
    <t>{ name: "Forest of Spirits", landmark: "Hudson Sign", type: "Hudson Sign", region: 2, level: "Surface", x: -873, y: -1472, z: 35, details: "" },</t>
  </si>
  <si>
    <t>{ name: "Manhala Bridge", landmark: "Hudson Sign", type: "Hudson Sign", region: 2, level: "Surface", x: -1437, y: -1059, z: 50, details: "" },</t>
  </si>
  <si>
    <t>{ name: "Nima Plain", landmark: "Hudson Sign", type: "Hudson Sign", region: 2, level: "Surface", x: -1603, y: -490, z: 125, details: "" },</t>
  </si>
  <si>
    <t>{ name: "Scout's Hill", landmark: "Hudson Sign", type: "Hudson Sign", region: 2, level: "Surface", x: -150, y: -2125, z: 30, details: "" },</t>
  </si>
  <si>
    <t>{ name: "Hyrule Ridge", landmark: "Hudson Sign", type: "Hudson Sign", region: 3, level: "Surface", x: -2504, y: 190, z: 155, details: "" },</t>
  </si>
  <si>
    <t>{ name: "Kolami Bridge", landmark: "Hudson Sign", type: "Hudson Sign", region: 3, level: "Surface", x: -3134, y: 1224, z: 227, details: "" },</t>
  </si>
  <si>
    <t>{ name: "Lake Totori", landmark: "Hudson Sign", type: "Hudson Sign", region: 3, level: "Surface", x: -3559, y: 1549, z: 148, details: "" },</t>
  </si>
  <si>
    <t>{ name: "Ludfo's Bog", landmark: "Hudson Sign", type: "Hudson Sign", region: 3, level: "Surface", x: -1783, y: 660, z: 160, details: "" },</t>
  </si>
  <si>
    <t>{ name: "Mount Rhoam", landmark: "Hudson Sign", type: "Hudson Sign", region: 3, level: "Surface", x: -2700, y: 771, z: 315, details: "" },</t>
  </si>
  <si>
    <t>{ name: "Rowan Plain", landmark: "Hudson Sign", type: "Hudson Sign", region: 3, level: "Surface", x: -1011, y: 2023, z: 126, details: "" },</t>
  </si>
  <si>
    <t>{ name: "Salari Hill", landmark: "Hudson Sign", type: "Hudson Sign", region: 3, level: "Surface", x: -1451, y: 1177, z: 150, details: "" },</t>
  </si>
  <si>
    <t>{ name: "Tabantha Great Bridge", landmark: "Hudson Sign", type: "Hudson Sign", region: 3, level: "Surface", x: -3321, y: 505, z: 179, details: "" },</t>
  </si>
  <si>
    <t>{ name: "Hebra Trailhead Lodge", landmark: "Hudson Sign", type: "Hudson Sign", region: 4, level: "Surface", x: -3613, y: 2188, z: 154, details: "" },</t>
  </si>
  <si>
    <t>{ name: "Sturnida Secret Hot Spring", landmark: "Hudson Sign", type: "Hudson Sign", region: 4, level: "Surface", x: -4113, y: 2759, z: 37, details: "" },</t>
  </si>
  <si>
    <t>{ name: "Talonto Peak", landmark: "Hudson Sign", type: "Hudson Sign", region: 4, level: "Surface", x: -3256, y: 2571, z: 452, details: "" },</t>
  </si>
  <si>
    <t>{ name: "Mount Drena", landmark: "Hudson Sign", type: "Hudson Sign", region: 5, level: "Surface", x: -1075, y: 2797, z: 190, details: "" },</t>
  </si>
  <si>
    <t>{ name: "North Tabantha Snowfield", landmark: "Hudson Sign", type: "Hudson Sign", region: 5, level: "Surface", x: -1612, y: 3339, z: 250, details: "" },</t>
  </si>
  <si>
    <t>{ name: "Pikida Stonegrove", landmark: "Hudson Sign", type: "Hudson Sign", region: 5, level: "Surface", x: -2211, y: 2929, z: 396, details: "" },</t>
  </si>
  <si>
    <t>{ name: "South Tabantha Snowfield", landmark: "Hudson Sign", type: "Hudson Sign", region: 5, level: "Surface", x: -1870, y: 2324, z: 246, details: "" },</t>
  </si>
  <si>
    <t>{ name: "Drenan Highlands", landmark: "Hudson Sign", type: "Hudson Sign", region: 6, level: "Surface", x: -458, y: 3042, z: 119, details: "" },</t>
  </si>
  <si>
    <t>{ name: "Eldin Mountains", landmark: "Hudson Sign", type: "Hudson Sign", region: 6, level: "Surface", x: 1024, y: 3110, z: 282, details: "" },</t>
  </si>
  <si>
    <t>{ name: "Hyrule Castle Moat", landmark: "Hudson Sign", type: "Hudson Sign", region: 6, level: "Surface", x: -333, y: 1344, z: 22, details: "" },</t>
  </si>
  <si>
    <t>{ name: "Thyphlo Ruins", landmark: "Hudson Sign", type: "Hudson Sign", region: 6, level: "Surface", x: 493, y: 2939, z: 187, details: "" },</t>
  </si>
  <si>
    <t>{ name: "Bridge of Eldin", landmark: "Hudson Sign", type: "Hudson Sign", region: 7, level: "Surface", x: 2268, y: 2317, z: 523, details: "" },</t>
  </si>
  <si>
    <t>{ name: "Death Mountain", landmark: "Hudson Sign", type: "Hudson Sign", region: 7, level: "Surface", x: 2797, y: 2655, z: 670, details: "" },</t>
  </si>
  <si>
    <t>{ name: "Death Mountain West Site", landmark: "Hudson Sign", type: "Hudson Sign", region: 7, level: "Surface", x: 1980, y: 2656, z: 463, details: "" },</t>
  </si>
  <si>
    <t>{ name: "Foothill Stable", landmark: "Hudson Sign", type: "Hudson Sign", region: 7, level: "Surface", x: 2572, y: 1100, z: 147, details: "" },</t>
  </si>
  <si>
    <t>{ name: "Gut Check Rock", landmark: "Hudson Sign", type: "Hudson Sign", region: 7, level: "Surface", x: 2820, y: 3549, z: 247, details: "" },</t>
  </si>
  <si>
    <t>{ name: "Mercay Island", landmark: "Hudson Sign", type: "Hudson Sign", region: 7, level: "Surface", x: 1710, y: 965, z: 59, details: "" },</t>
  </si>
  <si>
    <t>{ name: "Pico Pond", landmark: "Hudson Sign", type: "Hudson Sign", region: 7, level: "Surface", x: 1310, y: 1222, z: 126, details: "" },</t>
  </si>
  <si>
    <t>{ name: "Southern Mine", landmark: "Hudson Sign", type: "Hudson Sign", region: 7, level: "Surface", x: 1573, y: 2164, z: 346, details: "" },</t>
  </si>
  <si>
    <t>{ name: "Thims Bridge", landmark: "Hudson Sign", type: "Hudson Sign", region: 7, level: "Surface", x: 1346, y: 800, z: 33, details: "" },</t>
  </si>
  <si>
    <t>{ name: "Akkala Ancient Tech Lab", landmark: "Hudson Sign", type: "Hudson Sign", region: 8, level: "Surface", x: 4450, y: 3075, z: 225, details: "" },</t>
  </si>
  <si>
    <t>{ name: "East Akkala Stable", landmark: "Hudson Sign", type: "Hudson Sign", region: 8, level: "Surface", x: 4237, y: 2648, z: 129, details: "" },</t>
  </si>
  <si>
    <t>{ name: "Lake Akkala", landmark: "Hudson Sign", type: "Hudson Sign", region: 8, level: "Surface", x: 4086, y: 1874, z: 107, details: "" },</t>
  </si>
  <si>
    <t>{ name: "Octorok Lake", landmark: "Hudson Sign", type: "Hudson Sign", region: 8, level: "Surface", x: 3873, y: 2476, z: 65, details: "" },</t>
  </si>
  <si>
    <t>{ name: "Skull Lake", landmark: "Hudson Sign", type: "Hudson Sign", region: 8, level: "Surface", x: 3422, y: 3526, z: 218, details: "" },</t>
  </si>
  <si>
    <t>{ name: "South Akkala Stable", landmark: "Hudson Sign", type: "Hudson Sign", region: 8, level: "Surface", x: 3163, y: 1625, z: 212, details: "" },</t>
  </si>
  <si>
    <t>{ name: "Brynna Plain", landmark: "Hudson Sign", type: "Hudson Sign", region: 9, level: "Surface", x: 3973, y: -295, z: 43, details: "" },</t>
  </si>
  <si>
    <t>{ name: "Lodrum Headland", landmark: "Hudson Sign", type: "Hudson Sign", region: 9, level: "Surface", x: 4334, y: -570, z: 71, details: "" },</t>
  </si>
  <si>
    <t>{ name: "Ruto Lake", landmark: "Hudson Sign", type: "Hudson Sign", region: 9, level: "Surface", x: 3208, y: 131, z: 147, details: "" },</t>
  </si>
  <si>
    <t>{ name: "Samasa Plain", landmark: "Hudson Sign", type: "Hudson Sign", region: 9, level: "Surface", x: 3229, y: -656, z: 13, details: "" },</t>
  </si>
  <si>
    <t>{ name: "Ulria Grotto", landmark: "Hudson Sign", type: "Hudson Sign", region: 9, level: "Surface", x: 4296, y: 578, z: 283, details: "" },</t>
  </si>
  <si>
    <t>{ name: "Upland Zorana", landmark: "Hudson Sign", type: "Hudson Sign", region: 9, level: "Surface", x: 2933, y: 704, z: 359, details: "" },</t>
  </si>
  <si>
    <t>{ name: "Zora River", landmark: "Hudson Sign", type: "Hudson Sign", region: 9, level: "Surface", x: 2094, y: 216, z: 28, details: "" },</t>
  </si>
  <si>
    <t>{ name: "Lanayru Road - West Gate", landmark: "Hudson Sign", type: "Hudson Sign", region: 10, level: "Surface", x: 2374, y: -679, z: 133, details: "" },</t>
  </si>
  <si>
    <t>{ name: "Pillars of Levia", landmark: "Hudson Sign", type: "Hudson Sign", region: 10, level: "Surface", x: 2097, y: -1265, z: 143, details: "" },</t>
  </si>
  <si>
    <t>{ name: "Sahasra Slope", landmark: "Hudson Sign", type: "Hudson Sign", region: 10, level: "Surface", x: 1490, y: -989, z: 164, details: "" },</t>
  </si>
  <si>
    <t>{ name: "Cliffs of Quince", landmark: "Hudson Sign", type: "Hudson Sign", region: 11, level: "Surface", x: 2674, y: -1722, z: 52, details: "" },</t>
  </si>
  <si>
    <t>{ name: "Mapla Point", landmark: "Hudson Sign", type: "Hudson Sign", region: 11, level: "Surface", x: 4651, y: -2337, z: 67, details: "" },</t>
  </si>
  <si>
    <t>{ name: "Midla Woods", landmark: "Hudson Sign", type: "Hudson Sign", region: 11, level: "Surface", x: 3142, y: -2138, z: 74, details: "" },</t>
  </si>
  <si>
    <t>{ name: "Mount Lanayru", landmark: "Hudson Sign", type: "Hudson Sign", region: 11, level: "Surface", x: 4103, y: -1144, z: 325, details: "" },</t>
  </si>
  <si>
    <t>{ name: "Nirvata Lake", landmark: "Hudson Sign", type: "Hudson Sign", region: 11, level: "Surface", x: 3145, y: -1819, z: 81, details: "" },</t>
  </si>
  <si>
    <t>{ name: "Ash Swamp", landmark: "Hudson Sign", type: "Hudson Sign", region: 12, level: "Surface", x: 1969, y: -1899, z: 36, details: "" },</t>
  </si>
  <si>
    <t>{ name: "Koto Pond", landmark: "Hudson Sign", type: "Hudson Sign", region: 12, level: "Surface", x: 2616, y: -2595, z: 163, details: "" },</t>
  </si>
  <si>
    <t>{ name: "Palmorae Beach", landmark: "Hudson Sign", type: "Hudson Sign", region: 12, level: "Surface", x: 3359, y: -3494, z: 50, details: "" },</t>
  </si>
  <si>
    <t>{ name: "Temto Hill", landmark: "Hudson Sign", type: "Hudson Sign", region: 12, level: "Surface", x: 2214, y: -3369, z: 41, details: "" },</t>
  </si>
  <si>
    <t>{ name: "Eagus Bridge", landmark: "Hudson Sign", type: "Hudson Sign", region: 13, level: "Surface", x: 922, y: -995, z: 48, details: "" },</t>
  </si>
  <si>
    <t>{ name: "Haran Lake", landmark: "Hudson Sign", type: "Hudson Sign", region: 13, level: "Surface", x: 254, y: -3456, z: 89, details: "" },</t>
  </si>
  <si>
    <t>{ name: "Lake Hylia", landmark: "Hudson Sign", type: "Hudson Sign", region: 13, level: "Surface", x: 104, y: -2674, z: -2, details: "" },</t>
  </si>
  <si>
    <t>{ name: "Lakeside Stable", landmark: "Hudson Sign", type: "Hudson Sign", region: 13, level: "Surface", x: 1595, y: -3470, z: 71, details: "" },</t>
  </si>
  <si>
    <t>{ name: "Owlan Bridge", landmark: "Hudson Sign", type: "Hudson Sign", region: 13, level: "Surface", x: 389, y: -1273, z: 27, details: "" },</t>
  </si>
  <si>
    <t>{ name: "Pappetto Grove", landmark: "Hudson Sign", type: "Hudson Sign", region: 13, level: "Surface", x: -204, y: -3488, z: 35, details: "" },</t>
  </si>
  <si>
    <t>{ name: "Spring of Courage", landmark: "Hudson Sign", type: "Hudson Sign", region: 13, level: "Surface", x: 824, y: -2329, z: 131, details: "" },</t>
  </si>
  <si>
    <t>{ name: "East Barrens", landmark: "Hudson Sign", type: "Hudson Sign", region: 14, level: "Surface", x: -2963, y: -3793, z: 42, details: "" },</t>
  </si>
  <si>
    <t>{ name: "Gerudo Canyon", landmark: "Hudson Sign", type: "Hudson Sign", region: 14, level: "Surface", x: -2396, y: -2161, z: 276, details: "" },</t>
  </si>
  <si>
    <t>{ name: "Gerudo Canyon Pass", landmark: "Hudson Sign", type: "Hudson Sign", region: 14, level: "Surface", x: -1609, y: -2249, z: -4, details: "" },</t>
  </si>
  <si>
    <t>{ name: "Gerudo Canyon Stable", landmark: "Hudson Sign", type: "Hudson Sign", region: 14, level: "Surface", x: -2758, y: -2263, z: 46, details: "" },</t>
  </si>
  <si>
    <t>{ name: "Koukot Plateau", landmark: "Hudson Sign", type: "Hudson Sign", region: 14, level: "Surface", x: -2087, y: -1952, z: 149, details: "" },</t>
  </si>
  <si>
    <t>{ name: "Mount Granajh", landmark: "Hudson Sign", type: "Hudson Sign", region: 14, level: "Surface", x: -1076, y: -3351, z: 166, details: "" },</t>
  </si>
  <si>
    <t>{ name: "Palu Wasteland", landmark: "Hudson Sign", type: "Hudson Sign", region: 14, level: "Surface", x: -3438, y: -3123, z: 66, details: "" },</t>
  </si>
  <si>
    <t>{ name: "Yarna Valley", landmark: "Hudson Sign", type: "Hudson Sign", region: 14, level: "Surface", x: -1800, y: -2616, z: 169, details: "" },</t>
  </si>
  <si>
    <t>{ name: "Lake Illumeni", landmark: "Hudson Sign", type: "Hudson Sign", region: 15, level: "Surface", x: -3382, y: -220, z: 79, details: "" },</t>
  </si>
  <si>
    <t>{ name: "Meadela's Mantle", landmark: "Hudson Sign", type: "Hudson Sign", region: 15, level: "Surface", x: -4108, y: -1389, z: 459, details: "" },</t>
  </si>
  <si>
    <t>{ name: "Tamio River", landmark: "Hudson Sign", type: "Hudson Sign", region: 15, level: "Surface", x: -2676, y: -426, z: 22, details: "" },</t>
  </si>
  <si>
    <t>East Necluda Sky Archipelago</t>
  </si>
  <si>
    <t>&lt;strong&gt;Treasure:&lt;/strong&gt; Sea-Breeze Shield</t>
  </si>
  <si>
    <t>&lt;strong&gt;Old Map:&lt;/strong&gt; East Necluda Sky Archipelago</t>
  </si>
  <si>
    <t>Yiga Schematic</t>
  </si>
  <si>
    <t>Schema Stone</t>
  </si>
  <si>
    <t>Complete &lt;em&gt;Mystery in the Depths&lt;/em&gt; Quest</t>
  </si>
  <si>
    <t>Found in the &lt;em&gt;Cave of Resurrection&lt;/em&gt;</t>
  </si>
  <si>
    <t>{ name: "Beam Cycle", landmark: "Schematic", type: "Schema Stone", region: 2, level: "Surface", x: -1122, y: -1902, z: 101, details: "Found in the &lt;em&gt;Cave of Resurrection&lt;/em&gt;" },</t>
  </si>
  <si>
    <t>{ name: "Fanplane", landmark: "Schematic", type: "Schema Stone", region: 2, level: "Depths", x: -821, y: -1940, z: -523, details: "" },</t>
  </si>
  <si>
    <t>{ name: "Three Wheeler", landmark: "Schematic", type: "Yiga Schematic", region: 2, level: "Depths", x: -1856, y: -735, z: -527, details: "" },</t>
  </si>
  <si>
    <t>{ name: "All-Purpose Raft", landmark: "Schematic", type: "Yiga Schematic", region: 3, level: "Depths", x: -3380, y: 665, z: -619, details: "" },</t>
  </si>
  <si>
    <t>{ name: "Bomb Boquet", landmark: "Schematic", type: "Yiga Schematic", region: 3, level: "Depths", x: -1620, y: 247, z: -482, details: "" },</t>
  </si>
  <si>
    <t>{ name: "Cargo Carrier", landmark: "Schematic", type: "Yiga Schematic", region: 3, level: "Depths", x: -1332, y: 1496, z: -597, details: "" },</t>
  </si>
  <si>
    <t>{ name: "Flamethrower Baloon", landmark: "Schematic", type: "Yiga Schematic", region: 3, level: "Depths", x: -2822, y: 902, z: -565, details: "" },</t>
  </si>
  <si>
    <t>{ name: "Excavator", landmark: "Schematic", type: "Yiga Schematic", region: 4, level: "Depths", x: -3708, y: 3099, z: -782, details: "" },</t>
  </si>
  <si>
    <t>{ name: "Floodlights", landmark: "Schematic", type: "Yiga Schematic", region: 4, level: "Depths", x: -2865, y: 2918, z: -931, details: "" },</t>
  </si>
  <si>
    <t>{ name: "Rocket Platform", landmark: "Schematic", type: "Schema Stone", region: 4, level: "Depths", x: -3480, y: 1883, z: -417, details: "" },</t>
  </si>
  <si>
    <t>{ name: "Sprinkler System", landmark: "Schematic", type: "Yiga Schematic", region: 5, level: "Depths", x: -1903, y: 2095, z: -682, details: "" },</t>
  </si>
  <si>
    <t>{ name: "Whirling Basher", landmark: "Schematic", type: "Yiga Schematic", region: 5, level: "Depths", x: -1751, y: 3107, z: -679, details: "" },</t>
  </si>
  <si>
    <t>{ name: "Aerial Cannon", landmark: "Schematic", type: "Yiga Schematic", region: 6, level: "Depths", x: -130, y: 2867, z: -634, details: "" },</t>
  </si>
  <si>
    <t>{ name: "Charged Charger", landmark: "Schematic", type: "Yiga Schematic", region: 6, level: "Depths", x: 622, y: 3698, z: -540, details: "" },</t>
  </si>
  <si>
    <t>{ name: "Fishing Trawler", landmark: "Schematic", type: "Yiga Schematic", region: 6, level: "Depths", x: -397, y: 1776, z: -623, details: "" },</t>
  </si>
  <si>
    <t>{ name: "Automated Ally", landmark: "Schematic", type: "Schema Stone", region: 7, level: "Depths", x: 1641, y: 2397, z: -824, details: "" },</t>
  </si>
  <si>
    <t>{ name: "Big Rig", landmark: "Schematic", type: "Yiga Schematic", region: 7, level: "Depths", x: 2667, y: 1578, z: -591, details: "" },</t>
  </si>
  <si>
    <t>{ name: "Rainmaker", landmark: "Schematic", type: "Yiga Schematic", region: 7, level: "Depths", x: 1539, y: 692, z: -439, details: "" },</t>
  </si>
  <si>
    <t>{ name: "Assault Cart", landmark: "Schematic", type: "Yiga Schematic", region: 8, level: "Depths", x: 3273, y: 3697, z: -660, details: "" },</t>
  </si>
  <si>
    <t>{ name: "Headlight Raft", landmark: "Schematic", type: "Yiga Schematic", region: 8, level: "Depths", x: 4112, y: 3215, z: -611, details: "" },</t>
  </si>
  <si>
    <t>{ name: "Instant Cannon", landmark: "Schematic", type: "Schema Stone", region: 8, level: "Depths", x: 3986, y: 1583, z: -576, details: "" },</t>
  </si>
  <si>
    <t>{ name: "Wagon", landmark: "Schematic", type: "Yiga Schematic", region: 8, level: "Depths", x: 3606, y: 2281, z: -478, details: "" },</t>
  </si>
  <si>
    <t>{ name: "Bolt Boat", landmark: "Schematic", type: "Schema Stone", region: 9, level: "Depths", x: 3257, y: 593, z: -750, details: "" },</t>
  </si>
  <si>
    <t>{ name: "Icebreaker", landmark: "Schematic", type: "Yiga Schematic", region: 9, level: "Depths", x: 3618, y: -569, z: -455, details: "" },</t>
  </si>
  <si>
    <t>{ name: "Triple Cannon", landmark: "Schematic", type: "Yiga Schematic", region: 9, level: "Depths", x: 4412, y: 637, z: -709, details: "" },</t>
  </si>
  <si>
    <t>{ name: "Instant Kitchen", landmark: "Schematic", type: "Yiga Schematic", region: 10, level: "Depths", x: 1168, y: 600, z: -408, details: "" },</t>
  </si>
  <si>
    <t>{ name: "Launch Pad", landmark: "Schematic", type: "Schema Stone", region: 10, level: "Depths", x: 1796, y: -1226, z: -629, details: "" },</t>
  </si>
  <si>
    <t>{ name: "Scatter Trap", landmark: "Schematic", type: "Yiga Schematic", region: 10, level: "Depths", x: 2078, y: -1625, z: -464, details: "" },</t>
  </si>
  <si>
    <t>{ name: "Super Spring", landmark: "Schematic", type: "Yiga Schematic", region: 10, level: "Depths", x: 2542, y: -544, z: -476, details: "" },</t>
  </si>
  <si>
    <t>{ name: "Bridge", landmark: "Schematic", type: "Schema Stone", region: 11, level: "Depths", x: 3562, y: -2209, z: -588, details: "" },</t>
  </si>
  <si>
    <t>{ name: "Tank", landmark: "Schematic", type: "Yiga Schematic", region: 11, level: "Depths", x: 3261, y: -1445, z: -657, details: "" },</t>
  </si>
  <si>
    <t>{ name: "Dirigible", landmark: "Schematic", type: "Schema Stone", region: 12, level: "Depths", x: 2946, y: -3338, z: -453, details: "" },</t>
  </si>
  <si>
    <t>{ name: "Liftoff Glider", landmark: "Schematic", type: "Yiga Schematic", region: 12, level: "Depths", x: 2963, y: -2571, z: -507, details: "" },</t>
  </si>
  <si>
    <t>{ name: "Beam Spinner", landmark: "Schematic", type: "Yiga Schematic", region: 13, level: "Depths", x: 246, y: -2170, z: -486, details: "" },</t>
  </si>
  <si>
    <t>{ name: "Monocycle", landmark: "Schematic", type: "Yiga Schematic", region: 13, level: "Depths", x: -1225, y: -2611, z: -480, details: "" },</t>
  </si>
  <si>
    <t>{ name: "Water Freezer", landmark: "Schematic", type: "Yiga Schematic", region: 13, level: "Depths", x: 417, y: -3673, z: -498, details: "" },</t>
  </si>
  <si>
    <t>{ name: "Beam Turret", landmark: "Schematic", type: "Yiga Schematic", region: 14, level: "Depths", x: -2409, y: -3485, z: -394, details: "" },</t>
  </si>
  <si>
    <t>{ name: "Hovercraft", landmark: "Schematic", type: "Schema Stone", region: 14, level: "Depths", x: -3846, y: -2941, z: -487, details: "" },</t>
  </si>
  <si>
    <t>{ name: "Instant Scaffold (pillar)", landmark: "Schematic", type: "Schema Stone", region: 14, level: "Depths", x: -3210, y: -2473, z: -475, details: "" },</t>
  </si>
  <si>
    <t>{ name: "Raiding Plane", landmark: "Schematic", type: "Yiga Schematic", region: 14, level: "Depths", x: -4546, y: -2170, z: -489, details: "" },</t>
  </si>
  <si>
    <t>{ name: "Shock Trap", landmark: "Schematic", type: "Yiga Schematic", region: 14, level: "Depths", x: -2694, y: -2882, z: -467, details: "" },</t>
  </si>
  <si>
    <t>{ name: "Vertical Escape", landmark: "Schematic", type: "Yiga Schematic", region: 14, level: "Depths", x: -3262, y: -3780, z: -494, details: "" },</t>
  </si>
  <si>
    <t>{ name: "Fanboat", landmark: "Schematic", type: "Yiga Schematic", region: 15, level: "Depths", x: -3075, y: -1580, z: -913, details: "" },</t>
  </si>
  <si>
    <t>{ name: "Instant Scaffold (stairs)", landmark: "Schematic", type: "Yiga Schematic", region: 15, level: "Depths", x: -3403, y: -222, z: -482, details: "" },</t>
  </si>
  <si>
    <t>{ name: "Smoke Rocket", landmark: "Schematic", type: "Yiga Schematic", region: 15, level: "Depths", x: -4457, y: -994, z: -861, details: "" },</t>
  </si>
  <si>
    <t xml:space="preserve">North Hyrule Field </t>
  </si>
  <si>
    <t xml:space="preserve"> Hyrule Castle</t>
  </si>
  <si>
    <t xml:space="preserve">Hebra Mountains </t>
  </si>
  <si>
    <t xml:space="preserve"> Rito Village</t>
  </si>
  <si>
    <t xml:space="preserve">Eldin Canyon </t>
  </si>
  <si>
    <t xml:space="preserve"> Death Mountain</t>
  </si>
  <si>
    <t xml:space="preserve">Akkala Highlands </t>
  </si>
  <si>
    <t xml:space="preserve"> Deep Akkala</t>
  </si>
  <si>
    <t xml:space="preserve">Zora's Domain </t>
  </si>
  <si>
    <t xml:space="preserve"> Lanayru Great Spring</t>
  </si>
  <si>
    <t xml:space="preserve">Mount Lanayru </t>
  </si>
  <si>
    <t xml:space="preserve"> Naydra Snowfield</t>
  </si>
  <si>
    <t xml:space="preserve">East Necluda </t>
  </si>
  <si>
    <t xml:space="preserve"> Eventide Island</t>
  </si>
  <si>
    <t xml:space="preserve">Faron Grasslands </t>
  </si>
  <si>
    <t xml:space="preserve"> Lake Hylia</t>
  </si>
  <si>
    <t xml:space="preserve">Gerudo Canyon </t>
  </si>
  <si>
    <t xml:space="preserve"> Gerudo Desert</t>
  </si>
  <si>
    <t>Brazen Beak</t>
  </si>
  <si>
    <t>Enchanted</t>
  </si>
  <si>
    <t>Mubs's Armor Shop</t>
  </si>
  <si>
    <t>Rogaro's Shop</t>
  </si>
  <si>
    <t>Saula's Shop</t>
  </si>
  <si>
    <t>Ventest Clothing Boutique</t>
  </si>
  <si>
    <t>Central Hyrule Depths</t>
  </si>
  <si>
    <t>Gerudo Desert Depths</t>
  </si>
  <si>
    <t>Coliseum</t>
  </si>
  <si>
    <t>Great Hyrule Forest Depths</t>
  </si>
  <si>
    <t>Necluda Sea Depths</t>
  </si>
  <si>
    <t>West Necluda Depths</t>
  </si>
  <si>
    <t>Abandoned Central Mine</t>
  </si>
  <si>
    <t>Depths Mine</t>
  </si>
  <si>
    <t>Eldin Canyon Depths</t>
  </si>
  <si>
    <t>East Necluda Depths</t>
  </si>
  <si>
    <t>Tabantha Frontier Depths</t>
  </si>
  <si>
    <t>Lanayru Great Spring Depths</t>
  </si>
  <si>
    <t>Akkala Highlands Depths</t>
  </si>
  <si>
    <t>Hebra Mountains Depths</t>
  </si>
  <si>
    <t>Gerudo Highlands Depths</t>
  </si>
  <si>
    <t>Faron Grasslands Depths</t>
  </si>
  <si>
    <t>Gerudo Canyon Mine (the Depths)</t>
  </si>
  <si>
    <t>Hyrule Ridge Depths</t>
  </si>
  <si>
    <t>Mount Lanayru Depths</t>
  </si>
  <si>
    <t>Ardin's Shop</t>
  </si>
  <si>
    <t>Danda's Shop</t>
  </si>
  <si>
    <t>Daz's Shop and Natie's Shop</t>
  </si>
  <si>
    <t>East Wind: General Goods</t>
  </si>
  <si>
    <t>Emri's Shop</t>
  </si>
  <si>
    <t>Estan's Shop</t>
  </si>
  <si>
    <t>Fyson's Shop</t>
  </si>
  <si>
    <t>Garini's Shop</t>
  </si>
  <si>
    <t>High Spirits Produce</t>
  </si>
  <si>
    <t>Kachoo's Shop</t>
  </si>
  <si>
    <t>Lorn's Shop</t>
  </si>
  <si>
    <t>Maike's Shop</t>
  </si>
  <si>
    <t>Marot Mart</t>
  </si>
  <si>
    <t>Mubs's General Store</t>
  </si>
  <si>
    <t>Spera's Shop</t>
  </si>
  <si>
    <t>Tanko's Shop</t>
  </si>
  <si>
    <t>The Curious Quiver</t>
  </si>
  <si>
    <t>The Slippery Falcon</t>
  </si>
  <si>
    <t>Chessica's Inn</t>
  </si>
  <si>
    <t>Hotel Oasis</t>
  </si>
  <si>
    <t>Kapson's Inn</t>
  </si>
  <si>
    <t>Pepp's Inn</t>
  </si>
  <si>
    <t>Pyle's Inn</t>
  </si>
  <si>
    <t>Seabed Inn</t>
  </si>
  <si>
    <t>Shaillu's Inn</t>
  </si>
  <si>
    <t>Shuteye Inn</t>
  </si>
  <si>
    <t>Swallow's Roost</t>
  </si>
  <si>
    <t>The Great Ton Pu Inn</t>
  </si>
  <si>
    <t>Akkala Sea Depths</t>
  </si>
  <si>
    <t>Labyrinth</t>
  </si>
  <si>
    <t>Akkala Sea Sky</t>
  </si>
  <si>
    <t>Hebra Mountains Sky</t>
  </si>
  <si>
    <t>Gerudo Highlands Sky</t>
  </si>
  <si>
    <t>Lake Hylia Depths</t>
  </si>
  <si>
    <t>Eldin Mountains Depths</t>
  </si>
  <si>
    <t>Lanayru Wetlands Depths</t>
  </si>
  <si>
    <t>Deep Akkala Depths</t>
  </si>
  <si>
    <t>Ancient Tablet #1</t>
  </si>
  <si>
    <t>Ancient Tablet #10</t>
  </si>
  <si>
    <t>Ancient Tablet #11</t>
  </si>
  <si>
    <t>Ancient Tablet #12</t>
  </si>
  <si>
    <t>Ancient Tablet #2</t>
  </si>
  <si>
    <t>Ancient Tablet #3</t>
  </si>
  <si>
    <t>Ancient Tablet #4</t>
  </si>
  <si>
    <t>Ancient Tablet #5</t>
  </si>
  <si>
    <t>Ancient Tablet #6</t>
  </si>
  <si>
    <t>Ancient Tablet #7</t>
  </si>
  <si>
    <t>Ancient Tablet #8</t>
  </si>
  <si>
    <t>Ancient Tablet #9</t>
  </si>
  <si>
    <t>Hyrule Ridge Sky</t>
  </si>
  <si>
    <t>Device Dispenser</t>
  </si>
  <si>
    <t>Thunderhead Isles (Central)</t>
  </si>
  <si>
    <t>Thunderhead Isles (East)</t>
  </si>
  <si>
    <t>Beneath Water Temple</t>
  </si>
  <si>
    <t>Emergency Shelter</t>
  </si>
  <si>
    <t>Lake Hylia Sky</t>
  </si>
  <si>
    <t>Forgotten Foundation</t>
  </si>
  <si>
    <t>Gloom's Approach</t>
  </si>
  <si>
    <t>Gloom's Lair</t>
  </si>
  <si>
    <t>Imprisoning Chamber</t>
  </si>
  <si>
    <t>Tabantha Frontier Sky</t>
  </si>
  <si>
    <t>Lost Woods</t>
  </si>
  <si>
    <t>Deep Akkala Sky</t>
  </si>
  <si>
    <t>Room of Awakening</t>
  </si>
  <si>
    <t>Faron Grassland</t>
  </si>
  <si>
    <t>Statue of the Eighth Heroine Room</t>
  </si>
  <si>
    <t>Settlement</t>
  </si>
  <si>
    <t>Azure Bay Restaurant</t>
  </si>
  <si>
    <t>Shop</t>
  </si>
  <si>
    <t>East Sand-Seal Rental Shop</t>
  </si>
  <si>
    <t>Gerudo Secret Club</t>
  </si>
  <si>
    <t>Kochi Dye Shop</t>
  </si>
  <si>
    <t>Northeast Sand-Seal Rental Shop</t>
  </si>
  <si>
    <t>Spirit Temple</t>
  </si>
  <si>
    <t>Starlight Memories: A Jewelry Shop</t>
  </si>
  <si>
    <t>The Noble Canteen</t>
  </si>
  <si>
    <t>West Sand-Seal Rental Shop</t>
  </si>
  <si>
    <t>Fire Temple</t>
  </si>
  <si>
    <t>Lightning Temple</t>
  </si>
  <si>
    <t>Water Temple</t>
  </si>
  <si>
    <t>Wind Temple</t>
  </si>
  <si>
    <t>Lanayru Great Spring Sky</t>
  </si>
  <si>
    <t>Faron Grasslands Sky</t>
  </si>
  <si>
    <t>Eldin Canyon Sky</t>
  </si>
  <si>
    <t>Great Hyrule Forest Sky</t>
  </si>
  <si>
    <t>IGN Thinks</t>
  </si>
  <si>
    <t>approx 35%</t>
  </si>
  <si>
    <t>Specialty Shops &amp; Bargainer Statues</t>
  </si>
  <si>
    <t>approx 1.72%</t>
  </si>
  <si>
    <t>Akkala Highlands Sky</t>
  </si>
  <si>
    <t>Map Completion</t>
  </si>
  <si>
    <t>Manually Enter</t>
  </si>
  <si>
    <t>Koroks</t>
  </si>
  <si>
    <t>Bargainer Statues</t>
  </si>
  <si>
    <t>Buildings</t>
  </si>
  <si>
    <t>Constructs</t>
  </si>
  <si>
    <t>Device Dispensers</t>
  </si>
  <si>
    <t>Fairy Fountains</t>
  </si>
  <si>
    <t>Landmarks</t>
  </si>
  <si>
    <t>Main Stables</t>
  </si>
  <si>
    <t>Skyview Towers</t>
  </si>
  <si>
    <t>Temples</t>
  </si>
  <si>
    <t>Villages</t>
  </si>
  <si>
    <t>Cherry Trees</t>
  </si>
  <si>
    <t>Recipes</t>
  </si>
  <si>
    <t>Signs</t>
  </si>
  <si>
    <t>Should be 2500 things</t>
  </si>
  <si>
    <t>Cherry Blossom Tree</t>
  </si>
  <si>
    <t>Eldin Mountain Flank</t>
  </si>
  <si>
    <t>{ name: "Satori Mountain", landmark: "Cherry Tree", type: "Cherry Blossom Tree", region: 2, level: "Surface", x: -2299, y: -341, z: 336, details: "" },</t>
  </si>
  <si>
    <t>{ name: "Passer Hill", landmark: "Cherry Tree", type: "Cherry Blossom Tree", region: 4, level: "Surface", x: -4050, y: 1690, z: 185, details: "" },</t>
  </si>
  <si>
    <t>{ name: "Eldin Mountain Flank", landmark: "Cherry Tree", type: "Cherry Blossom Tree", region: 7, level: "Surface", x: 1239, y: 2957, z: 406, details: "" },</t>
  </si>
  <si>
    <t>{ name: "Zodobon Highlands", landmark: "Cherry Tree", type: "Cherry Blossom Tree", region: 9, level: "Surface", x: 2531, y: -5, z: 130, details: "" },</t>
  </si>
  <si>
    <t>{ name: "Ebon Mountain", landmark: "Cherry Tree", type: "Cherry Blossom Tree", region: 11, level: "Surface", x: 3358, y: -2479, z: 267, details: "" },</t>
  </si>
  <si>
    <t>{ name: "Guchini Plain", landmark: "Cherry Tree", type: "Cherry Blossom Tree", region: 13, level: "Surface", x: 799, y: -3502, z: 45, details: "" },</t>
  </si>
  <si>
    <t>{ name: "Gerudo Canyon", landmark: "Cherry Tree", type: "Cherry Blossom Tree", region: 14, level: "Surface", x: -2315, y: -2158, z: 237, details: "" },</t>
  </si>
  <si>
    <t>Village</t>
  </si>
  <si>
    <t>Gerudo Town Shelter</t>
  </si>
  <si>
    <t>Great Fairy Mija</t>
  </si>
  <si>
    <t>Great Fairy Kaysa</t>
  </si>
  <si>
    <t>Great Fairy Cotera</t>
  </si>
  <si>
    <t>Great Fairy Tera</t>
  </si>
  <si>
    <t>{ name: "Rito Village", landmark: "Village", type: "Village", region: 4, level: "Surface", x: -3621, y: 1800, z: 103, details: "" },</t>
  </si>
  <si>
    <t>{ name: "Korok Forest", landmark: "Village", type: "Village", region: 6, level: "Surface", x: 419, y: 2140, z: -106, details: "" },</t>
  </si>
  <si>
    <t>{ name: "Goron City", landmark: "Village", type: "Village", region: 7, level: "Surface", x: 1657, y: 2440, z: 340, details: "" },</t>
  </si>
  <si>
    <t>{ name: "Tarrey Town", landmark: "Village", type: "Village", region: 8, level: "Surface", x: 3966, y: 1611, z: 128, details: "" },</t>
  </si>
  <si>
    <t>{ name: "Zora's Domain", landmark: "Village", type: "Village", region: 9, level: "Surface", x: 3331, y: 545, z: 137, details: "" },</t>
  </si>
  <si>
    <t>{ name: "Kakariko Village", landmark: "Village", type: "Village", region: 10, level: "Surface", x: 1800, y: -1067, z: 115, details: "" },</t>
  </si>
  <si>
    <t>{ name: "Hateno Village", landmark: "Village", type: "Village", region: 11, level: "Surface", x: 3545, y: -2090, z: 232, details: "" },</t>
  </si>
  <si>
    <t>{ name: "Lurelin Village", landmark: "Village", type: "Village", region: 12, level: "Surface", x: 2850, y: -3321, z: 60, details: "" },</t>
  </si>
  <si>
    <t>{ name: "Gerudo Town", landmark: "Village", type: "Village", region: 14, level: "Surface", x: -3859, y: -2941, z: 33, details: "" },</t>
  </si>
  <si>
    <t>{ name: "Kara Kara Bazaar", landmark: "Village", type: "Village", region: 14, level: "Surface", x: -3269, y: -2558, z: 23, details: "" },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</si>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</sst>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2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6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Fill="1"/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10" fontId="0" fillId="0" borderId="0" xfId="0" applyNumberFormat="1" applyFill="1" applyAlignment="1">
      <alignment horizontal="center"/>
    </xf>
    <xf numFmtId="0" fontId="12" fillId="0" borderId="0" xfId="0" applyFont="1"/>
    <xf numFmtId="0" fontId="13" fillId="0" borderId="0" xfId="0" applyFont="1"/>
    <xf numFmtId="10" fontId="12" fillId="0" borderId="0" xfId="0" applyNumberFormat="1" applyFont="1"/>
    <xf numFmtId="0" fontId="12" fillId="0" borderId="0" xfId="0" applyFont="1" applyAlignment="1">
      <alignment textRotation="90"/>
    </xf>
    <xf numFmtId="0" fontId="0" fillId="0" borderId="0" xfId="0" applyAlignment="1">
      <alignment textRotation="90"/>
    </xf>
    <xf numFmtId="0" fontId="0" fillId="4" borderId="0" xfId="0" applyFill="1"/>
    <xf numFmtId="0" fontId="12" fillId="2" borderId="0" xfId="0" applyFont="1" applyFill="1"/>
    <xf numFmtId="0" fontId="12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I21"/>
  <sheetViews>
    <sheetView workbookViewId="0">
      <selection activeCell="B10" sqref="B10"/>
    </sheetView>
  </sheetViews>
  <sheetFormatPr baseColWidth="10" defaultRowHeight="16" x14ac:dyDescent="0.2"/>
  <cols>
    <col min="1" max="1" width="30.5" bestFit="1" customWidth="1"/>
    <col min="2" max="2" width="10.83203125" style="2"/>
    <col min="3" max="4" width="10.83203125" style="26"/>
    <col min="5" max="5" width="10.83203125" style="2"/>
    <col min="6" max="6" width="10.83203125" style="14"/>
  </cols>
  <sheetData>
    <row r="1" spans="1:7" x14ac:dyDescent="0.2">
      <c r="A1" s="6" t="s">
        <v>850</v>
      </c>
      <c r="B1" s="4" t="s">
        <v>2110</v>
      </c>
      <c r="C1" s="25"/>
      <c r="D1" s="25"/>
      <c r="E1" s="4" t="s">
        <v>2955</v>
      </c>
      <c r="F1" s="13" t="s">
        <v>2106</v>
      </c>
    </row>
    <row r="2" spans="1:7" x14ac:dyDescent="0.2">
      <c r="A2" t="s">
        <v>2105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2107</v>
      </c>
      <c r="B3" s="2">
        <f>COUNTA('Named Locations'!A:A)</f>
        <v>957</v>
      </c>
      <c r="C3" s="14">
        <f t="shared" ref="C3:C16" si="0">B3*0.0004</f>
        <v>0.38280000000000003</v>
      </c>
      <c r="E3" s="2">
        <v>700</v>
      </c>
      <c r="F3" s="14">
        <f t="shared" ref="F3:F16" si="1">E3*0.0004</f>
        <v>0.28000000000000003</v>
      </c>
      <c r="G3" t="s">
        <v>2956</v>
      </c>
    </row>
    <row r="4" spans="1:7" x14ac:dyDescent="0.2">
      <c r="A4" t="s">
        <v>848</v>
      </c>
      <c r="B4" s="2">
        <v>197</v>
      </c>
      <c r="C4" s="14">
        <f t="shared" si="0"/>
        <v>7.8800000000000009E-2</v>
      </c>
      <c r="E4" s="24">
        <v>194</v>
      </c>
      <c r="F4" s="14">
        <f t="shared" si="1"/>
        <v>7.7600000000000002E-2</v>
      </c>
    </row>
    <row r="5" spans="1:7" x14ac:dyDescent="0.2">
      <c r="A5" t="s">
        <v>2108</v>
      </c>
      <c r="B5" s="15">
        <v>152</v>
      </c>
      <c r="C5" s="14">
        <f t="shared" si="0"/>
        <v>6.08E-2</v>
      </c>
      <c r="E5" s="2">
        <v>152</v>
      </c>
      <c r="F5" s="14">
        <f t="shared" si="1"/>
        <v>6.08E-2</v>
      </c>
    </row>
    <row r="6" spans="1:7" x14ac:dyDescent="0.2">
      <c r="A6" t="s">
        <v>2109</v>
      </c>
      <c r="B6" s="15">
        <v>120</v>
      </c>
      <c r="C6" s="14">
        <f t="shared" si="0"/>
        <v>4.8000000000000001E-2</v>
      </c>
      <c r="E6" s="2">
        <v>120</v>
      </c>
      <c r="F6" s="14">
        <f t="shared" si="1"/>
        <v>4.8000000000000001E-2</v>
      </c>
    </row>
    <row r="7" spans="1:7" x14ac:dyDescent="0.2">
      <c r="A7" t="s">
        <v>2111</v>
      </c>
      <c r="B7" s="15">
        <v>58</v>
      </c>
      <c r="C7" s="14">
        <f t="shared" si="0"/>
        <v>2.3200000000000002E-2</v>
      </c>
      <c r="E7" s="2">
        <v>58</v>
      </c>
      <c r="F7" s="14">
        <f t="shared" si="1"/>
        <v>2.3200000000000002E-2</v>
      </c>
    </row>
    <row r="8" spans="1:7" x14ac:dyDescent="0.2">
      <c r="A8" t="s">
        <v>2112</v>
      </c>
      <c r="B8" s="2">
        <v>39</v>
      </c>
      <c r="C8" s="14">
        <f t="shared" si="0"/>
        <v>1.5600000000000001E-2</v>
      </c>
      <c r="E8" s="24">
        <v>35</v>
      </c>
      <c r="F8" s="14">
        <f t="shared" si="1"/>
        <v>1.4E-2</v>
      </c>
    </row>
    <row r="9" spans="1:7" x14ac:dyDescent="0.2">
      <c r="A9" t="s">
        <v>2113</v>
      </c>
      <c r="B9" s="2">
        <v>27</v>
      </c>
      <c r="C9" s="14">
        <f t="shared" si="0"/>
        <v>1.0800000000000001E-2</v>
      </c>
      <c r="E9" s="2">
        <v>35</v>
      </c>
      <c r="F9" s="14">
        <f t="shared" si="1"/>
        <v>1.4E-2</v>
      </c>
    </row>
    <row r="10" spans="1:7" x14ac:dyDescent="0.2">
      <c r="A10" t="s">
        <v>2957</v>
      </c>
      <c r="C10" s="14">
        <f t="shared" si="0"/>
        <v>0</v>
      </c>
      <c r="E10" s="2">
        <v>43</v>
      </c>
      <c r="F10" s="14">
        <f t="shared" si="1"/>
        <v>1.72E-2</v>
      </c>
      <c r="G10" t="s">
        <v>2958</v>
      </c>
    </row>
    <row r="11" spans="1:7" x14ac:dyDescent="0.2">
      <c r="A11" t="s">
        <v>2114</v>
      </c>
      <c r="B11" s="15">
        <v>30</v>
      </c>
      <c r="C11" s="14">
        <f t="shared" si="0"/>
        <v>1.2E-2</v>
      </c>
      <c r="E11" s="2">
        <v>30</v>
      </c>
      <c r="F11" s="14">
        <f t="shared" si="1"/>
        <v>1.2E-2</v>
      </c>
    </row>
    <row r="12" spans="1:7" x14ac:dyDescent="0.2">
      <c r="A12" t="s">
        <v>2115</v>
      </c>
      <c r="B12" s="15">
        <v>15</v>
      </c>
      <c r="C12" s="14">
        <f t="shared" si="0"/>
        <v>6.0000000000000001E-3</v>
      </c>
      <c r="E12" s="2">
        <v>15</v>
      </c>
      <c r="F12" s="14">
        <f t="shared" si="1"/>
        <v>6.0000000000000001E-3</v>
      </c>
    </row>
    <row r="13" spans="1:7" x14ac:dyDescent="0.2">
      <c r="A13" t="s">
        <v>2116</v>
      </c>
      <c r="C13" s="14">
        <f t="shared" si="0"/>
        <v>0</v>
      </c>
      <c r="E13" s="2">
        <v>14</v>
      </c>
      <c r="F13" s="14">
        <f t="shared" si="1"/>
        <v>5.5999999999999999E-3</v>
      </c>
    </row>
    <row r="14" spans="1:7" x14ac:dyDescent="0.2">
      <c r="A14" t="s">
        <v>2117</v>
      </c>
      <c r="C14" s="14">
        <f t="shared" si="0"/>
        <v>0</v>
      </c>
      <c r="E14" s="2">
        <v>12</v>
      </c>
      <c r="F14" s="14">
        <f t="shared" si="1"/>
        <v>4.8000000000000004E-3</v>
      </c>
    </row>
    <row r="15" spans="1:7" x14ac:dyDescent="0.2">
      <c r="A15" t="s">
        <v>2118</v>
      </c>
      <c r="C15" s="14">
        <f t="shared" si="0"/>
        <v>0</v>
      </c>
      <c r="E15" s="2">
        <v>12</v>
      </c>
      <c r="F15" s="14">
        <f t="shared" si="1"/>
        <v>4.8000000000000004E-3</v>
      </c>
    </row>
    <row r="16" spans="1:7" x14ac:dyDescent="0.2">
      <c r="A16" t="s">
        <v>2119</v>
      </c>
      <c r="C16" s="14">
        <f t="shared" si="0"/>
        <v>0</v>
      </c>
      <c r="E16" s="2">
        <v>5</v>
      </c>
      <c r="F16" s="14">
        <f t="shared" si="1"/>
        <v>2E-3</v>
      </c>
    </row>
    <row r="17" spans="2:9" x14ac:dyDescent="0.2">
      <c r="B17" s="2">
        <f>SUM(B2:B16)</f>
        <v>2495</v>
      </c>
      <c r="C17" s="27">
        <f>SUM(C2:C16)</f>
        <v>0.99800000000000011</v>
      </c>
      <c r="E17" s="2">
        <f>SUM(E2:E16)</f>
        <v>2325</v>
      </c>
      <c r="F17" s="14">
        <f>SUM(F2:F16)</f>
        <v>0.93000000000000027</v>
      </c>
    </row>
    <row r="21" spans="2:9" x14ac:dyDescent="0.2">
      <c r="I21" t="s">
        <v>2976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966E-68E9-AC47-ABDE-A41FF98303E5}">
  <sheetPr codeName="Sheet4"/>
  <dimension ref="A1:BL23"/>
  <sheetViews>
    <sheetView workbookViewId="0">
      <selection activeCell="D17" sqref="B17:D17"/>
    </sheetView>
  </sheetViews>
  <sheetFormatPr baseColWidth="10" defaultRowHeight="16" x14ac:dyDescent="0.2"/>
  <cols>
    <col min="2" max="2" width="15.1640625" bestFit="1" customWidth="1"/>
    <col min="3" max="3" width="10.83203125" style="23"/>
    <col min="7" max="20" width="3.5" bestFit="1" customWidth="1"/>
    <col min="22" max="42" width="3.5" bestFit="1" customWidth="1"/>
    <col min="44" max="64" width="3.5" bestFit="1" customWidth="1"/>
  </cols>
  <sheetData>
    <row r="1" spans="1:64" s="32" customFormat="1" ht="137" x14ac:dyDescent="0.2">
      <c r="A1" s="31"/>
      <c r="B1" s="31"/>
      <c r="C1" s="31"/>
      <c r="D1" s="31"/>
      <c r="E1" s="31"/>
      <c r="F1" s="31"/>
      <c r="G1" s="31" t="s">
        <v>2959</v>
      </c>
      <c r="H1" s="31" t="s">
        <v>2900</v>
      </c>
      <c r="I1" s="31" t="s">
        <v>1173</v>
      </c>
      <c r="J1" s="31" t="s">
        <v>2619</v>
      </c>
      <c r="K1" s="31" t="s">
        <v>2953</v>
      </c>
      <c r="L1" s="31" t="s">
        <v>2952</v>
      </c>
      <c r="M1" s="31" t="s">
        <v>2902</v>
      </c>
      <c r="N1" s="31" t="s">
        <v>2954</v>
      </c>
      <c r="O1" s="31" t="s">
        <v>997</v>
      </c>
      <c r="P1" s="31" t="s">
        <v>2901</v>
      </c>
      <c r="Q1" s="31" t="s">
        <v>2919</v>
      </c>
      <c r="R1" s="31" t="s">
        <v>2951</v>
      </c>
      <c r="S1" s="31" t="s">
        <v>2930</v>
      </c>
      <c r="T1" s="31" t="s">
        <v>2482</v>
      </c>
      <c r="U1" s="31"/>
      <c r="V1" s="31" t="s">
        <v>782</v>
      </c>
      <c r="W1" s="31" t="s">
        <v>784</v>
      </c>
      <c r="X1" s="31" t="s">
        <v>793</v>
      </c>
      <c r="Y1" s="31" t="s">
        <v>786</v>
      </c>
      <c r="Z1" s="31" t="s">
        <v>805</v>
      </c>
      <c r="AA1" s="31" t="s">
        <v>791</v>
      </c>
      <c r="AB1" s="31" t="s">
        <v>792</v>
      </c>
      <c r="AC1" s="31" t="s">
        <v>794</v>
      </c>
      <c r="AD1" s="31" t="s">
        <v>798</v>
      </c>
      <c r="AE1" s="31" t="s">
        <v>797</v>
      </c>
      <c r="AF1" s="31" t="s">
        <v>789</v>
      </c>
      <c r="AG1" s="31" t="s">
        <v>800</v>
      </c>
      <c r="AH1" s="31" t="s">
        <v>790</v>
      </c>
      <c r="AI1" s="31" t="s">
        <v>787</v>
      </c>
      <c r="AJ1" s="31" t="s">
        <v>796</v>
      </c>
      <c r="AK1" s="31" t="s">
        <v>801</v>
      </c>
      <c r="AL1" s="31" t="s">
        <v>803</v>
      </c>
      <c r="AM1" s="31" t="s">
        <v>804</v>
      </c>
      <c r="AN1" s="31" t="s">
        <v>807</v>
      </c>
      <c r="AO1" s="31" t="s">
        <v>799</v>
      </c>
      <c r="AP1" s="31" t="s">
        <v>806</v>
      </c>
      <c r="AQ1" s="31"/>
      <c r="AR1" s="31" t="s">
        <v>2863</v>
      </c>
      <c r="AS1" s="31" t="s">
        <v>2898</v>
      </c>
      <c r="AT1" s="31" t="s">
        <v>2851</v>
      </c>
      <c r="AU1" s="31" t="s">
        <v>1001</v>
      </c>
      <c r="AV1" s="31" t="s">
        <v>2906</v>
      </c>
      <c r="AW1" s="31" t="s">
        <v>2860</v>
      </c>
      <c r="AX1" s="31" t="s">
        <v>2859</v>
      </c>
      <c r="AY1" s="31" t="s">
        <v>2904</v>
      </c>
      <c r="AZ1" s="31" t="s">
        <v>2866</v>
      </c>
      <c r="BA1" s="31" t="s">
        <v>2852</v>
      </c>
      <c r="BB1" s="31" t="s">
        <v>2865</v>
      </c>
      <c r="BC1" s="31" t="s">
        <v>2854</v>
      </c>
      <c r="BD1" s="31" t="s">
        <v>2864</v>
      </c>
      <c r="BE1" s="31" t="s">
        <v>2868</v>
      </c>
      <c r="BF1" s="31" t="s">
        <v>2903</v>
      </c>
      <c r="BG1" s="31" t="s">
        <v>2862</v>
      </c>
      <c r="BH1" s="31" t="s">
        <v>2905</v>
      </c>
      <c r="BI1" s="31" t="s">
        <v>2869</v>
      </c>
      <c r="BJ1" s="31" t="s">
        <v>2855</v>
      </c>
      <c r="BK1" s="31" t="s">
        <v>2861</v>
      </c>
      <c r="BL1" s="31" t="s">
        <v>2856</v>
      </c>
    </row>
    <row r="2" spans="1:64" ht="26" x14ac:dyDescent="0.3">
      <c r="A2" s="28"/>
      <c r="B2" s="29" t="s">
        <v>2960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</row>
    <row r="3" spans="1:64" x14ac:dyDescent="0.2">
      <c r="A3" s="28" t="s">
        <v>2961</v>
      </c>
      <c r="B3" s="28" t="s">
        <v>2962</v>
      </c>
      <c r="C3" s="28">
        <v>0</v>
      </c>
      <c r="D3" s="28">
        <v>1000</v>
      </c>
      <c r="E3" s="30">
        <f t="shared" ref="E3:E18" si="0">C3*0.0004</f>
        <v>0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</row>
    <row r="4" spans="1:64" x14ac:dyDescent="0.2">
      <c r="A4" s="28"/>
      <c r="B4" s="28" t="s">
        <v>2963</v>
      </c>
      <c r="C4" s="28">
        <v>0</v>
      </c>
      <c r="D4" s="28">
        <v>7</v>
      </c>
      <c r="E4" s="30">
        <f t="shared" si="0"/>
        <v>0</v>
      </c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>
        <v>1</v>
      </c>
      <c r="AI4" s="28"/>
      <c r="AJ4" s="28"/>
      <c r="AK4" s="28"/>
      <c r="AL4" s="28"/>
      <c r="AM4" s="28"/>
      <c r="AN4" s="28"/>
      <c r="AO4" s="28"/>
      <c r="AP4" s="28"/>
      <c r="AQ4" s="28"/>
      <c r="AR4" s="28">
        <v>1</v>
      </c>
      <c r="AS4" s="28"/>
      <c r="AT4" s="28">
        <v>2</v>
      </c>
      <c r="AU4" s="28"/>
      <c r="AV4" s="28"/>
      <c r="AW4" s="28"/>
      <c r="AX4" s="28"/>
      <c r="AY4" s="28"/>
      <c r="AZ4" s="28">
        <v>1</v>
      </c>
      <c r="BA4" s="28"/>
      <c r="BB4" s="28"/>
      <c r="BC4" s="28"/>
      <c r="BD4" s="28"/>
      <c r="BE4" s="28"/>
      <c r="BF4" s="28"/>
      <c r="BG4" s="28"/>
      <c r="BH4" s="28"/>
      <c r="BI4" s="28">
        <v>1</v>
      </c>
      <c r="BJ4" s="28"/>
      <c r="BK4" s="28">
        <v>1</v>
      </c>
      <c r="BL4" s="28"/>
    </row>
    <row r="5" spans="1:64" x14ac:dyDescent="0.2">
      <c r="A5" s="28"/>
      <c r="B5" s="28" t="s">
        <v>2964</v>
      </c>
      <c r="C5" s="28">
        <v>0</v>
      </c>
      <c r="D5" s="28">
        <v>62</v>
      </c>
      <c r="E5" s="30">
        <f t="shared" si="0"/>
        <v>0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>
        <v>7</v>
      </c>
      <c r="W5" s="28"/>
      <c r="X5" s="28"/>
      <c r="Y5" s="28"/>
      <c r="Z5" s="28">
        <v>12</v>
      </c>
      <c r="AA5" s="28">
        <v>6</v>
      </c>
      <c r="AB5" s="28"/>
      <c r="AC5" s="28"/>
      <c r="AD5" s="28">
        <v>17</v>
      </c>
      <c r="AE5" s="28">
        <v>1</v>
      </c>
      <c r="AF5" s="28">
        <v>2</v>
      </c>
      <c r="AG5" s="28">
        <v>1</v>
      </c>
      <c r="AH5" s="28">
        <v>3</v>
      </c>
      <c r="AI5" s="28"/>
      <c r="AJ5" s="28"/>
      <c r="AK5" s="28">
        <v>2</v>
      </c>
      <c r="AL5" s="28"/>
      <c r="AM5" s="28"/>
      <c r="AN5" s="28"/>
      <c r="AO5" s="28">
        <v>6</v>
      </c>
      <c r="AP5" s="28">
        <v>5</v>
      </c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</row>
    <row r="6" spans="1:64" x14ac:dyDescent="0.2">
      <c r="A6" s="28"/>
      <c r="B6" s="34" t="s">
        <v>848</v>
      </c>
      <c r="C6" s="34">
        <v>197</v>
      </c>
      <c r="D6" s="34">
        <v>197</v>
      </c>
      <c r="E6" s="30">
        <f t="shared" si="0"/>
        <v>7.8800000000000009E-2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</row>
    <row r="7" spans="1:64" x14ac:dyDescent="0.2">
      <c r="A7" s="28"/>
      <c r="B7" s="34" t="s">
        <v>2112</v>
      </c>
      <c r="C7" s="34">
        <v>36</v>
      </c>
      <c r="D7" s="34">
        <v>36</v>
      </c>
      <c r="E7" s="30">
        <f t="shared" si="0"/>
        <v>1.4400000000000001E-2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>
        <v>2</v>
      </c>
      <c r="W7" s="28">
        <v>2</v>
      </c>
      <c r="X7" s="28">
        <v>1</v>
      </c>
      <c r="Y7" s="28">
        <v>1</v>
      </c>
      <c r="Z7" s="28">
        <v>1</v>
      </c>
      <c r="AA7" s="28"/>
      <c r="AB7" s="28"/>
      <c r="AC7" s="28"/>
      <c r="AD7" s="28"/>
      <c r="AE7" s="28">
        <v>5</v>
      </c>
      <c r="AF7" s="28">
        <v>4</v>
      </c>
      <c r="AG7" s="28">
        <v>1</v>
      </c>
      <c r="AH7" s="28">
        <v>9</v>
      </c>
      <c r="AI7" s="28">
        <v>1</v>
      </c>
      <c r="AJ7" s="28">
        <v>1</v>
      </c>
      <c r="AK7" s="28">
        <v>1</v>
      </c>
      <c r="AL7" s="28">
        <v>1</v>
      </c>
      <c r="AM7" s="28">
        <v>1</v>
      </c>
      <c r="AN7" s="28">
        <v>1</v>
      </c>
      <c r="AO7" s="28">
        <v>1</v>
      </c>
      <c r="AP7" s="28">
        <v>3</v>
      </c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</row>
    <row r="8" spans="1:64" x14ac:dyDescent="0.2">
      <c r="A8" s="28"/>
      <c r="B8" s="28" t="s">
        <v>2965</v>
      </c>
      <c r="C8" s="28">
        <v>0</v>
      </c>
      <c r="D8" s="28">
        <v>14</v>
      </c>
      <c r="E8" s="30">
        <f t="shared" si="0"/>
        <v>0</v>
      </c>
      <c r="F8" s="28"/>
      <c r="G8" s="28"/>
      <c r="H8" s="28"/>
      <c r="I8" s="28"/>
      <c r="J8" s="28"/>
      <c r="K8" s="28"/>
      <c r="L8" s="28"/>
      <c r="M8" s="28"/>
      <c r="N8" s="28"/>
      <c r="O8" s="28">
        <v>2</v>
      </c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>
        <v>1</v>
      </c>
      <c r="AS8" s="28"/>
      <c r="AT8" s="28">
        <v>1</v>
      </c>
      <c r="AU8" s="28"/>
      <c r="AV8" s="28"/>
      <c r="AW8" s="28">
        <v>2</v>
      </c>
      <c r="AX8" s="28">
        <v>1</v>
      </c>
      <c r="AY8" s="28"/>
      <c r="AZ8" s="28">
        <v>1</v>
      </c>
      <c r="BA8" s="28">
        <v>2</v>
      </c>
      <c r="BB8" s="28"/>
      <c r="BC8" s="28"/>
      <c r="BD8" s="28"/>
      <c r="BE8" s="28"/>
      <c r="BF8" s="28"/>
      <c r="BG8" s="28">
        <v>1</v>
      </c>
      <c r="BH8" s="28"/>
      <c r="BI8" s="28"/>
      <c r="BJ8" s="28"/>
      <c r="BK8" s="28">
        <v>1</v>
      </c>
      <c r="BL8" s="28">
        <v>1</v>
      </c>
    </row>
    <row r="9" spans="1:64" x14ac:dyDescent="0.2">
      <c r="A9" s="28"/>
      <c r="B9" s="34" t="s">
        <v>2966</v>
      </c>
      <c r="C9" s="34">
        <v>30</v>
      </c>
      <c r="D9" s="34">
        <v>30</v>
      </c>
      <c r="E9" s="30">
        <f t="shared" si="0"/>
        <v>1.2E-2</v>
      </c>
      <c r="F9" s="28"/>
      <c r="G9" s="28">
        <v>1</v>
      </c>
      <c r="H9" s="28">
        <v>1</v>
      </c>
      <c r="I9" s="28">
        <v>1</v>
      </c>
      <c r="J9" s="28">
        <v>2</v>
      </c>
      <c r="K9" s="28">
        <v>1</v>
      </c>
      <c r="L9" s="28">
        <v>2</v>
      </c>
      <c r="M9" s="28">
        <v>2</v>
      </c>
      <c r="N9" s="28">
        <v>2</v>
      </c>
      <c r="O9" s="28">
        <v>2</v>
      </c>
      <c r="P9" s="28">
        <v>2</v>
      </c>
      <c r="Q9" s="28">
        <v>1</v>
      </c>
      <c r="R9" s="28">
        <v>4</v>
      </c>
      <c r="S9" s="28">
        <v>2</v>
      </c>
      <c r="T9" s="28">
        <v>2</v>
      </c>
      <c r="U9" s="28"/>
      <c r="V9" s="28">
        <v>1</v>
      </c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>
        <v>1</v>
      </c>
      <c r="AI9" s="28"/>
      <c r="AJ9" s="28"/>
      <c r="AK9" s="28"/>
      <c r="AL9" s="28"/>
      <c r="AM9" s="28"/>
      <c r="AN9" s="28"/>
      <c r="AO9" s="28"/>
      <c r="AP9" s="28">
        <v>1</v>
      </c>
      <c r="AQ9" s="28"/>
      <c r="AR9" s="28"/>
      <c r="AS9" s="28"/>
      <c r="AT9" s="28"/>
      <c r="AU9" s="28">
        <v>1</v>
      </c>
      <c r="AV9" s="28"/>
      <c r="AW9" s="28"/>
      <c r="AX9" s="28"/>
      <c r="AY9" s="28"/>
      <c r="AZ9" s="28">
        <v>1</v>
      </c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</row>
    <row r="10" spans="1:64" x14ac:dyDescent="0.2">
      <c r="A10" s="28"/>
      <c r="B10" s="28" t="s">
        <v>2967</v>
      </c>
      <c r="C10" s="28">
        <v>0</v>
      </c>
      <c r="D10" s="28">
        <v>5</v>
      </c>
      <c r="E10" s="30">
        <f t="shared" si="0"/>
        <v>0</v>
      </c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>
        <v>1</v>
      </c>
      <c r="Z10" s="28"/>
      <c r="AA10" s="28">
        <v>1</v>
      </c>
      <c r="AB10" s="28"/>
      <c r="AC10" s="28"/>
      <c r="AD10" s="28"/>
      <c r="AE10" s="28"/>
      <c r="AF10" s="28"/>
      <c r="AG10" s="28">
        <v>1</v>
      </c>
      <c r="AH10" s="28">
        <v>1</v>
      </c>
      <c r="AI10" s="28"/>
      <c r="AJ10" s="28"/>
      <c r="AK10" s="28"/>
      <c r="AL10" s="28"/>
      <c r="AM10" s="28"/>
      <c r="AN10" s="28"/>
      <c r="AO10" s="28"/>
      <c r="AP10" s="28">
        <v>1</v>
      </c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</row>
    <row r="11" spans="1:64" x14ac:dyDescent="0.2">
      <c r="A11" s="28"/>
      <c r="B11" s="28" t="s">
        <v>2968</v>
      </c>
      <c r="C11" s="28">
        <v>0</v>
      </c>
      <c r="D11" s="28">
        <v>258</v>
      </c>
      <c r="E11" s="30">
        <f t="shared" si="0"/>
        <v>0</v>
      </c>
      <c r="F11" s="28"/>
      <c r="G11" s="28">
        <v>3</v>
      </c>
      <c r="H11" s="28">
        <v>1</v>
      </c>
      <c r="I11" s="28">
        <v>1</v>
      </c>
      <c r="J11" s="28">
        <v>2</v>
      </c>
      <c r="K11" s="28">
        <v>2</v>
      </c>
      <c r="L11" s="28">
        <v>2</v>
      </c>
      <c r="M11" s="28">
        <v>2</v>
      </c>
      <c r="N11" s="28">
        <v>3</v>
      </c>
      <c r="O11" s="28">
        <v>1</v>
      </c>
      <c r="P11" s="28">
        <v>5</v>
      </c>
      <c r="Q11" s="28">
        <v>1</v>
      </c>
      <c r="R11" s="28">
        <v>4</v>
      </c>
      <c r="S11" s="28">
        <v>5</v>
      </c>
      <c r="T11" s="28">
        <v>4</v>
      </c>
      <c r="U11" s="28"/>
      <c r="V11" s="28">
        <v>7</v>
      </c>
      <c r="W11" s="28">
        <v>1</v>
      </c>
      <c r="X11" s="28"/>
      <c r="Y11" s="28">
        <v>0</v>
      </c>
      <c r="Z11" s="28">
        <v>4</v>
      </c>
      <c r="AA11" s="28">
        <v>6</v>
      </c>
      <c r="AB11" s="28">
        <v>1</v>
      </c>
      <c r="AC11" s="28">
        <v>5</v>
      </c>
      <c r="AD11" s="28">
        <v>8</v>
      </c>
      <c r="AE11" s="28">
        <v>3</v>
      </c>
      <c r="AF11" s="28">
        <v>2</v>
      </c>
      <c r="AG11" s="28">
        <v>6</v>
      </c>
      <c r="AH11" s="28">
        <v>51</v>
      </c>
      <c r="AI11" s="28">
        <v>5</v>
      </c>
      <c r="AJ11" s="28">
        <v>1</v>
      </c>
      <c r="AK11" s="28">
        <v>6</v>
      </c>
      <c r="AL11" s="28">
        <v>2</v>
      </c>
      <c r="AM11" s="28"/>
      <c r="AN11" s="28">
        <v>1</v>
      </c>
      <c r="AO11" s="28">
        <v>6</v>
      </c>
      <c r="AP11" s="28">
        <v>12</v>
      </c>
      <c r="AQ11" s="28"/>
      <c r="AR11" s="28">
        <v>5</v>
      </c>
      <c r="AS11" s="28"/>
      <c r="AT11" s="28">
        <v>11</v>
      </c>
      <c r="AU11" s="28"/>
      <c r="AV11" s="28">
        <v>2</v>
      </c>
      <c r="AW11" s="28">
        <v>14</v>
      </c>
      <c r="AX11" s="28">
        <v>2</v>
      </c>
      <c r="AY11" s="28">
        <v>1</v>
      </c>
      <c r="AZ11" s="28">
        <v>7</v>
      </c>
      <c r="BA11" s="28">
        <v>5</v>
      </c>
      <c r="BB11" s="28">
        <v>6</v>
      </c>
      <c r="BC11" s="28">
        <v>4</v>
      </c>
      <c r="BD11" s="28">
        <v>7</v>
      </c>
      <c r="BE11" s="28">
        <v>4</v>
      </c>
      <c r="BF11" s="28"/>
      <c r="BG11" s="28">
        <v>4</v>
      </c>
      <c r="BH11" s="28"/>
      <c r="BI11" s="28">
        <v>4</v>
      </c>
      <c r="BJ11" s="28">
        <v>1</v>
      </c>
      <c r="BK11" s="28">
        <v>2</v>
      </c>
      <c r="BL11" s="28">
        <v>9</v>
      </c>
    </row>
    <row r="12" spans="1:64" x14ac:dyDescent="0.2">
      <c r="A12" s="28"/>
      <c r="B12" s="34" t="s">
        <v>2109</v>
      </c>
      <c r="C12" s="34">
        <v>120</v>
      </c>
      <c r="D12" s="34">
        <v>120</v>
      </c>
      <c r="E12" s="30">
        <f t="shared" si="0"/>
        <v>4.8000000000000001E-2</v>
      </c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>
        <v>5</v>
      </c>
      <c r="AS12" s="28">
        <v>3</v>
      </c>
      <c r="AT12" s="28">
        <v>19</v>
      </c>
      <c r="AU12" s="28">
        <v>1</v>
      </c>
      <c r="AV12" s="28">
        <v>2</v>
      </c>
      <c r="AW12" s="28">
        <v>7</v>
      </c>
      <c r="AX12" s="28">
        <v>10</v>
      </c>
      <c r="AY12" s="28">
        <v>3</v>
      </c>
      <c r="AZ12" s="28">
        <v>3</v>
      </c>
      <c r="BA12" s="28">
        <v>8</v>
      </c>
      <c r="BB12" s="28">
        <v>8</v>
      </c>
      <c r="BC12" s="28">
        <v>7</v>
      </c>
      <c r="BD12" s="28">
        <v>10</v>
      </c>
      <c r="BE12" s="28">
        <v>5</v>
      </c>
      <c r="BF12" s="28">
        <v>1</v>
      </c>
      <c r="BG12" s="28">
        <v>7</v>
      </c>
      <c r="BH12" s="28">
        <v>4</v>
      </c>
      <c r="BI12" s="28">
        <v>2</v>
      </c>
      <c r="BJ12" s="28">
        <v>1</v>
      </c>
      <c r="BK12" s="28">
        <v>8</v>
      </c>
      <c r="BL12" s="28">
        <v>6</v>
      </c>
    </row>
    <row r="13" spans="1:64" x14ac:dyDescent="0.2">
      <c r="A13" s="28"/>
      <c r="B13" s="35" t="s">
        <v>2969</v>
      </c>
      <c r="C13" s="35">
        <v>17</v>
      </c>
      <c r="D13" s="35">
        <v>16</v>
      </c>
      <c r="E13" s="30">
        <f t="shared" si="0"/>
        <v>6.8000000000000005E-3</v>
      </c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>
        <v>1</v>
      </c>
      <c r="W13" s="28"/>
      <c r="X13" s="28"/>
      <c r="Y13" s="28">
        <v>1</v>
      </c>
      <c r="Z13" s="28"/>
      <c r="AA13" s="28">
        <v>2</v>
      </c>
      <c r="AB13" s="28"/>
      <c r="AC13" s="28">
        <v>2</v>
      </c>
      <c r="AD13" s="28"/>
      <c r="AE13" s="28">
        <v>1</v>
      </c>
      <c r="AF13" s="28"/>
      <c r="AG13" s="28">
        <v>1</v>
      </c>
      <c r="AH13" s="28">
        <v>5</v>
      </c>
      <c r="AI13" s="28">
        <v>1</v>
      </c>
      <c r="AJ13" s="28"/>
      <c r="AK13" s="28"/>
      <c r="AL13" s="28">
        <v>1</v>
      </c>
      <c r="AM13" s="28"/>
      <c r="AN13" s="28"/>
      <c r="AO13" s="28"/>
      <c r="AP13" s="28">
        <v>1</v>
      </c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x14ac:dyDescent="0.2">
      <c r="A14" s="28"/>
      <c r="B14" s="34" t="s">
        <v>2108</v>
      </c>
      <c r="C14" s="34">
        <v>152</v>
      </c>
      <c r="D14" s="34">
        <v>152</v>
      </c>
      <c r="E14" s="30">
        <f t="shared" si="0"/>
        <v>6.08E-2</v>
      </c>
      <c r="F14" s="28"/>
      <c r="G14" s="28">
        <v>1</v>
      </c>
      <c r="H14" s="28">
        <v>2</v>
      </c>
      <c r="I14" s="28">
        <v>1</v>
      </c>
      <c r="J14" s="28">
        <v>2</v>
      </c>
      <c r="K14" s="28">
        <v>1</v>
      </c>
      <c r="L14" s="28">
        <v>2</v>
      </c>
      <c r="M14" s="28">
        <v>3</v>
      </c>
      <c r="N14" s="28">
        <v>2</v>
      </c>
      <c r="O14" s="28">
        <v>4</v>
      </c>
      <c r="P14" s="28">
        <v>5</v>
      </c>
      <c r="Q14" s="28">
        <v>1</v>
      </c>
      <c r="R14" s="28">
        <v>4</v>
      </c>
      <c r="S14" s="28">
        <v>2</v>
      </c>
      <c r="T14" s="28">
        <v>2</v>
      </c>
      <c r="U14" s="28"/>
      <c r="V14" s="28">
        <v>5</v>
      </c>
      <c r="W14" s="28"/>
      <c r="X14" s="28"/>
      <c r="Y14" s="28">
        <v>7</v>
      </c>
      <c r="Z14" s="28">
        <v>7</v>
      </c>
      <c r="AA14" s="28">
        <v>7</v>
      </c>
      <c r="AB14" s="28">
        <v>4</v>
      </c>
      <c r="AC14" s="28">
        <v>3</v>
      </c>
      <c r="AD14" s="28">
        <v>9</v>
      </c>
      <c r="AE14" s="28">
        <v>7</v>
      </c>
      <c r="AF14" s="28">
        <v>8</v>
      </c>
      <c r="AG14" s="28">
        <v>10</v>
      </c>
      <c r="AH14" s="28">
        <v>19</v>
      </c>
      <c r="AI14" s="28">
        <v>7</v>
      </c>
      <c r="AJ14" s="28"/>
      <c r="AK14" s="28">
        <v>5</v>
      </c>
      <c r="AL14" s="28">
        <v>4</v>
      </c>
      <c r="AM14" s="28">
        <v>3</v>
      </c>
      <c r="AN14" s="28"/>
      <c r="AO14" s="28">
        <v>6</v>
      </c>
      <c r="AP14" s="28">
        <v>9</v>
      </c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x14ac:dyDescent="0.2">
      <c r="A15" s="28"/>
      <c r="B15" s="34" t="s">
        <v>2970</v>
      </c>
      <c r="C15" s="34">
        <v>15</v>
      </c>
      <c r="D15" s="34">
        <v>15</v>
      </c>
      <c r="E15" s="30">
        <f t="shared" si="0"/>
        <v>6.0000000000000001E-3</v>
      </c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>
        <v>1</v>
      </c>
      <c r="W15" s="28"/>
      <c r="X15" s="28"/>
      <c r="Y15" s="28"/>
      <c r="Z15" s="28">
        <v>1</v>
      </c>
      <c r="AA15" s="28">
        <v>1</v>
      </c>
      <c r="AB15" s="28"/>
      <c r="AC15" s="28"/>
      <c r="AD15" s="28"/>
      <c r="AE15" s="28">
        <v>2</v>
      </c>
      <c r="AF15" s="28">
        <v>1</v>
      </c>
      <c r="AG15" s="28">
        <v>2</v>
      </c>
      <c r="AH15" s="28">
        <v>2</v>
      </c>
      <c r="AI15" s="28">
        <v>1</v>
      </c>
      <c r="AJ15" s="28"/>
      <c r="AK15" s="28">
        <v>1</v>
      </c>
      <c r="AL15" s="28"/>
      <c r="AM15" s="28">
        <v>1</v>
      </c>
      <c r="AN15" s="28"/>
      <c r="AO15" s="28"/>
      <c r="AP15" s="28">
        <v>2</v>
      </c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x14ac:dyDescent="0.2">
      <c r="A16" s="28"/>
      <c r="B16" s="28" t="s">
        <v>2971</v>
      </c>
      <c r="C16" s="28">
        <v>0</v>
      </c>
      <c r="D16" s="28">
        <v>5</v>
      </c>
      <c r="E16" s="30">
        <f t="shared" si="0"/>
        <v>0</v>
      </c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>
        <v>1</v>
      </c>
      <c r="Q16" s="28"/>
      <c r="R16" s="28">
        <v>1</v>
      </c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>
        <v>1</v>
      </c>
      <c r="AD16" s="28">
        <v>1</v>
      </c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>
        <v>1</v>
      </c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x14ac:dyDescent="0.2">
      <c r="A17" s="28"/>
      <c r="B17" s="28" t="s">
        <v>2972</v>
      </c>
      <c r="C17" s="28">
        <v>0</v>
      </c>
      <c r="D17" s="28">
        <v>11</v>
      </c>
      <c r="E17" s="30">
        <f t="shared" si="0"/>
        <v>0</v>
      </c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>
        <v>1</v>
      </c>
      <c r="W17" s="28"/>
      <c r="X17" s="28"/>
      <c r="Y17" s="28"/>
      <c r="Z17" s="28">
        <v>2</v>
      </c>
      <c r="AA17" s="28">
        <v>1</v>
      </c>
      <c r="AB17" s="28"/>
      <c r="AC17" s="28"/>
      <c r="AD17" s="28">
        <v>2</v>
      </c>
      <c r="AE17" s="28">
        <v>1</v>
      </c>
      <c r="AF17" s="28"/>
      <c r="AG17" s="28"/>
      <c r="AH17" s="28">
        <v>1</v>
      </c>
      <c r="AI17" s="28"/>
      <c r="AJ17" s="28"/>
      <c r="AK17" s="28">
        <v>1</v>
      </c>
      <c r="AL17" s="28"/>
      <c r="AM17" s="28"/>
      <c r="AN17" s="28"/>
      <c r="AO17" s="28">
        <v>1</v>
      </c>
      <c r="AP17" s="28">
        <v>1</v>
      </c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x14ac:dyDescent="0.2">
      <c r="A18" s="28"/>
      <c r="B18" s="28" t="s">
        <v>2111</v>
      </c>
      <c r="C18" s="28">
        <v>0</v>
      </c>
      <c r="D18" s="28">
        <v>58</v>
      </c>
      <c r="E18" s="30">
        <f t="shared" si="0"/>
        <v>0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x14ac:dyDescent="0.2">
      <c r="A19" s="28"/>
      <c r="B19" s="28" t="s">
        <v>2106</v>
      </c>
      <c r="C19" s="28">
        <v>1928</v>
      </c>
      <c r="D19" s="28">
        <v>1928</v>
      </c>
      <c r="E19" s="30">
        <f>C19*0.0004</f>
        <v>0.7712</v>
      </c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x14ac:dyDescent="0.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x14ac:dyDescent="0.2">
      <c r="A21" s="28"/>
      <c r="B21" s="28" t="s">
        <v>2973</v>
      </c>
      <c r="C21" s="28">
        <v>0</v>
      </c>
      <c r="D21" s="28">
        <v>8</v>
      </c>
      <c r="E21" s="30">
        <v>0</v>
      </c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>
        <v>1</v>
      </c>
      <c r="AA21" s="28"/>
      <c r="AB21" s="28">
        <v>1</v>
      </c>
      <c r="AC21" s="28">
        <v>1</v>
      </c>
      <c r="AD21" s="28"/>
      <c r="AE21" s="28">
        <v>1</v>
      </c>
      <c r="AF21" s="28"/>
      <c r="AG21" s="28"/>
      <c r="AH21" s="28">
        <v>1</v>
      </c>
      <c r="AI21" s="28">
        <v>1</v>
      </c>
      <c r="AJ21" s="28"/>
      <c r="AK21" s="28">
        <v>1</v>
      </c>
      <c r="AL21" s="28"/>
      <c r="AM21" s="28"/>
      <c r="AN21" s="28"/>
      <c r="AO21" s="28">
        <v>1</v>
      </c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x14ac:dyDescent="0.2">
      <c r="A22" s="28"/>
      <c r="B22" s="28" t="s">
        <v>2974</v>
      </c>
      <c r="C22" s="28">
        <v>0</v>
      </c>
      <c r="D22" s="28">
        <v>228</v>
      </c>
      <c r="E22" s="30">
        <v>0</v>
      </c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x14ac:dyDescent="0.2">
      <c r="A23" s="28"/>
      <c r="B23" s="28" t="s">
        <v>2975</v>
      </c>
      <c r="C23" s="28"/>
      <c r="D23" s="28">
        <v>81</v>
      </c>
      <c r="E23" s="30">
        <v>0</v>
      </c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/>
  <dimension ref="A1:J957"/>
  <sheetViews>
    <sheetView tabSelected="1" topLeftCell="A57" workbookViewId="0">
      <selection activeCell="A228" sqref="A228"/>
    </sheetView>
  </sheetViews>
  <sheetFormatPr baseColWidth="10" defaultRowHeight="16" x14ac:dyDescent="0.2"/>
  <cols>
    <col min="1" max="1" width="33.83203125" bestFit="1" customWidth="1"/>
    <col min="2" max="2" width="17.83203125" bestFit="1" customWidth="1"/>
    <col min="3" max="3" width="26.33203125" bestFit="1" customWidth="1"/>
  </cols>
  <sheetData>
    <row r="1" spans="1:10" s="6" customFormat="1" x14ac:dyDescent="0.2">
      <c r="A1" s="6" t="s">
        <v>781</v>
      </c>
      <c r="B1" s="6" t="s">
        <v>2141</v>
      </c>
      <c r="C1" s="6" t="s">
        <v>8</v>
      </c>
      <c r="D1" s="6" t="s">
        <v>2132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2139</v>
      </c>
      <c r="J1" s="6" t="s">
        <v>2133</v>
      </c>
    </row>
    <row r="2" spans="1:10" x14ac:dyDescent="0.2">
      <c r="A2" t="s">
        <v>1140</v>
      </c>
      <c r="B2" t="s">
        <v>1140</v>
      </c>
      <c r="C2" t="s">
        <v>1750</v>
      </c>
      <c r="E2" t="s">
        <v>785</v>
      </c>
    </row>
    <row r="3" spans="1:10" x14ac:dyDescent="0.2">
      <c r="A3" t="s">
        <v>1140</v>
      </c>
      <c r="B3" t="s">
        <v>1140</v>
      </c>
      <c r="C3" t="s">
        <v>1337</v>
      </c>
      <c r="E3" t="s">
        <v>785</v>
      </c>
    </row>
    <row r="4" spans="1:10" x14ac:dyDescent="0.2">
      <c r="A4" t="s">
        <v>1140</v>
      </c>
      <c r="B4" t="s">
        <v>1140</v>
      </c>
      <c r="C4" t="s">
        <v>1748</v>
      </c>
      <c r="E4" t="s">
        <v>785</v>
      </c>
    </row>
    <row r="5" spans="1:10" x14ac:dyDescent="0.2">
      <c r="A5" t="s">
        <v>1140</v>
      </c>
      <c r="B5" t="s">
        <v>1140</v>
      </c>
      <c r="C5" t="s">
        <v>1749</v>
      </c>
      <c r="E5" t="s">
        <v>785</v>
      </c>
    </row>
    <row r="6" spans="1:10" x14ac:dyDescent="0.2">
      <c r="A6" t="s">
        <v>1140</v>
      </c>
      <c r="B6" t="s">
        <v>1140</v>
      </c>
      <c r="C6" t="s">
        <v>1472</v>
      </c>
      <c r="E6" t="s">
        <v>785</v>
      </c>
      <c r="F6">
        <v>-251</v>
      </c>
      <c r="G6">
        <v>155</v>
      </c>
      <c r="H6">
        <v>21</v>
      </c>
    </row>
    <row r="7" spans="1:10" x14ac:dyDescent="0.2">
      <c r="A7" t="s">
        <v>1179</v>
      </c>
      <c r="B7" t="s">
        <v>1140</v>
      </c>
      <c r="E7" t="s">
        <v>2430</v>
      </c>
      <c r="F7">
        <v>-1034</v>
      </c>
      <c r="G7">
        <v>2679</v>
      </c>
      <c r="H7">
        <v>-238</v>
      </c>
    </row>
    <row r="8" spans="1:10" x14ac:dyDescent="0.2">
      <c r="A8" t="s">
        <v>1577</v>
      </c>
      <c r="B8" t="s">
        <v>1140</v>
      </c>
      <c r="C8" t="s">
        <v>2851</v>
      </c>
      <c r="E8" t="s">
        <v>1002</v>
      </c>
      <c r="F8">
        <v>456</v>
      </c>
      <c r="G8">
        <v>-831</v>
      </c>
      <c r="H8">
        <v>-457</v>
      </c>
    </row>
    <row r="9" spans="1:10" x14ac:dyDescent="0.2">
      <c r="A9" t="s">
        <v>1211</v>
      </c>
      <c r="B9" t="s">
        <v>2853</v>
      </c>
      <c r="C9" t="s">
        <v>2852</v>
      </c>
      <c r="E9" t="s">
        <v>1002</v>
      </c>
      <c r="F9">
        <v>-4243</v>
      </c>
      <c r="G9">
        <v>-3721</v>
      </c>
      <c r="H9">
        <v>-469</v>
      </c>
    </row>
    <row r="10" spans="1:10" x14ac:dyDescent="0.2">
      <c r="A10" t="s">
        <v>1289</v>
      </c>
      <c r="B10" t="s">
        <v>2853</v>
      </c>
      <c r="C10" t="s">
        <v>2851</v>
      </c>
      <c r="E10" t="s">
        <v>1002</v>
      </c>
      <c r="F10">
        <v>-1127</v>
      </c>
      <c r="G10">
        <v>-1174</v>
      </c>
      <c r="H10">
        <v>-499</v>
      </c>
    </row>
    <row r="11" spans="1:10" x14ac:dyDescent="0.2">
      <c r="A11" t="s">
        <v>1297</v>
      </c>
      <c r="B11" t="s">
        <v>2853</v>
      </c>
      <c r="C11" t="s">
        <v>2854</v>
      </c>
      <c r="E11" t="s">
        <v>1002</v>
      </c>
      <c r="F11">
        <v>-121</v>
      </c>
      <c r="G11">
        <v>2449</v>
      </c>
      <c r="H11">
        <v>-621</v>
      </c>
    </row>
    <row r="12" spans="1:10" x14ac:dyDescent="0.2">
      <c r="A12" t="s">
        <v>1471</v>
      </c>
      <c r="B12" t="s">
        <v>2853</v>
      </c>
      <c r="C12" t="s">
        <v>2855</v>
      </c>
      <c r="E12" t="s">
        <v>1002</v>
      </c>
      <c r="F12">
        <v>4585</v>
      </c>
      <c r="G12">
        <v>-3608</v>
      </c>
      <c r="H12">
        <v>-378</v>
      </c>
    </row>
    <row r="13" spans="1:10" x14ac:dyDescent="0.2">
      <c r="A13" t="s">
        <v>1648</v>
      </c>
      <c r="B13" t="s">
        <v>2853</v>
      </c>
      <c r="C13" t="s">
        <v>1001</v>
      </c>
      <c r="E13" t="s">
        <v>1002</v>
      </c>
      <c r="F13">
        <v>2145</v>
      </c>
      <c r="G13">
        <v>3182</v>
      </c>
      <c r="H13">
        <v>-838</v>
      </c>
    </row>
    <row r="14" spans="1:10" x14ac:dyDescent="0.2">
      <c r="A14" t="s">
        <v>1649</v>
      </c>
      <c r="B14" t="s">
        <v>2853</v>
      </c>
      <c r="C14" t="s">
        <v>2856</v>
      </c>
      <c r="E14" t="s">
        <v>1002</v>
      </c>
      <c r="F14">
        <v>2165</v>
      </c>
      <c r="G14">
        <v>-1862</v>
      </c>
      <c r="H14">
        <v>-467</v>
      </c>
    </row>
    <row r="15" spans="1:10" x14ac:dyDescent="0.2">
      <c r="A15" t="s">
        <v>2857</v>
      </c>
      <c r="B15" t="s">
        <v>2858</v>
      </c>
      <c r="E15" t="s">
        <v>2430</v>
      </c>
      <c r="F15" t="s">
        <v>2430</v>
      </c>
      <c r="G15" t="s">
        <v>2430</v>
      </c>
      <c r="H15" t="s">
        <v>2430</v>
      </c>
    </row>
    <row r="16" spans="1:10" x14ac:dyDescent="0.2">
      <c r="A16" t="s">
        <v>1102</v>
      </c>
      <c r="B16" t="s">
        <v>2858</v>
      </c>
      <c r="C16" t="s">
        <v>2859</v>
      </c>
      <c r="E16" t="s">
        <v>1002</v>
      </c>
      <c r="F16">
        <v>1649</v>
      </c>
      <c r="G16">
        <v>2364</v>
      </c>
      <c r="H16">
        <v>-749</v>
      </c>
    </row>
    <row r="17" spans="1:8" x14ac:dyDescent="0.2">
      <c r="A17" t="s">
        <v>1103</v>
      </c>
      <c r="B17" t="s">
        <v>2858</v>
      </c>
      <c r="C17" t="s">
        <v>2852</v>
      </c>
      <c r="E17" t="s">
        <v>1002</v>
      </c>
      <c r="F17">
        <v>-3816</v>
      </c>
      <c r="G17">
        <v>-2890</v>
      </c>
      <c r="H17">
        <v>-383</v>
      </c>
    </row>
    <row r="18" spans="1:8" x14ac:dyDescent="0.2">
      <c r="A18" t="s">
        <v>1104</v>
      </c>
      <c r="B18" t="s">
        <v>2858</v>
      </c>
      <c r="C18" t="s">
        <v>2860</v>
      </c>
      <c r="E18" t="s">
        <v>1002</v>
      </c>
      <c r="F18">
        <v>3548</v>
      </c>
      <c r="G18">
        <v>-2228</v>
      </c>
      <c r="H18">
        <v>-485</v>
      </c>
    </row>
    <row r="19" spans="1:8" x14ac:dyDescent="0.2">
      <c r="A19" t="s">
        <v>1105</v>
      </c>
      <c r="B19" t="s">
        <v>2858</v>
      </c>
      <c r="C19" t="s">
        <v>2861</v>
      </c>
      <c r="E19" t="s">
        <v>1002</v>
      </c>
      <c r="F19">
        <v>-3596</v>
      </c>
      <c r="G19">
        <v>1800</v>
      </c>
      <c r="H19">
        <v>-415</v>
      </c>
    </row>
    <row r="20" spans="1:8" x14ac:dyDescent="0.2">
      <c r="A20" t="s">
        <v>1106</v>
      </c>
      <c r="B20" t="s">
        <v>2858</v>
      </c>
      <c r="C20" t="s">
        <v>2856</v>
      </c>
      <c r="E20" t="s">
        <v>1002</v>
      </c>
      <c r="F20">
        <v>1819</v>
      </c>
      <c r="G20">
        <v>-1299</v>
      </c>
      <c r="H20">
        <v>-566</v>
      </c>
    </row>
    <row r="21" spans="1:8" x14ac:dyDescent="0.2">
      <c r="A21" t="s">
        <v>1107</v>
      </c>
      <c r="B21" t="s">
        <v>2858</v>
      </c>
      <c r="C21" t="s">
        <v>2852</v>
      </c>
      <c r="E21" t="s">
        <v>1002</v>
      </c>
      <c r="F21">
        <v>-3171</v>
      </c>
      <c r="G21">
        <v>-2311</v>
      </c>
      <c r="H21">
        <v>-475</v>
      </c>
    </row>
    <row r="22" spans="1:8" x14ac:dyDescent="0.2">
      <c r="A22" t="s">
        <v>1108</v>
      </c>
      <c r="B22" t="s">
        <v>2858</v>
      </c>
      <c r="C22" t="s">
        <v>2862</v>
      </c>
      <c r="E22" t="s">
        <v>1002</v>
      </c>
      <c r="F22">
        <v>3223</v>
      </c>
      <c r="G22">
        <v>581</v>
      </c>
      <c r="H22">
        <v>-741</v>
      </c>
    </row>
    <row r="23" spans="1:8" x14ac:dyDescent="0.2">
      <c r="A23" t="s">
        <v>1109</v>
      </c>
      <c r="B23" t="s">
        <v>2858</v>
      </c>
      <c r="C23" t="s">
        <v>2860</v>
      </c>
      <c r="E23" t="s">
        <v>1002</v>
      </c>
      <c r="F23">
        <v>2967</v>
      </c>
      <c r="G23">
        <v>-3606</v>
      </c>
      <c r="H23">
        <v>-306</v>
      </c>
    </row>
    <row r="24" spans="1:8" x14ac:dyDescent="0.2">
      <c r="A24" t="s">
        <v>1110</v>
      </c>
      <c r="B24" t="s">
        <v>2858</v>
      </c>
      <c r="C24" t="s">
        <v>2863</v>
      </c>
      <c r="E24" t="s">
        <v>1002</v>
      </c>
      <c r="F24">
        <v>3969</v>
      </c>
      <c r="G24">
        <v>1715</v>
      </c>
      <c r="H24">
        <v>-306</v>
      </c>
    </row>
    <row r="25" spans="1:8" x14ac:dyDescent="0.2">
      <c r="A25" t="s">
        <v>1127</v>
      </c>
      <c r="B25" t="s">
        <v>2858</v>
      </c>
      <c r="C25" t="s">
        <v>2863</v>
      </c>
      <c r="E25" t="s">
        <v>1002</v>
      </c>
      <c r="F25">
        <v>3338</v>
      </c>
      <c r="G25">
        <v>1517</v>
      </c>
      <c r="H25">
        <v>-851</v>
      </c>
    </row>
    <row r="26" spans="1:8" x14ac:dyDescent="0.2">
      <c r="A26" t="s">
        <v>1166</v>
      </c>
      <c r="B26" t="s">
        <v>2858</v>
      </c>
      <c r="C26" t="s">
        <v>2860</v>
      </c>
      <c r="E26" t="s">
        <v>1002</v>
      </c>
      <c r="F26">
        <v>2935</v>
      </c>
      <c r="G26">
        <v>-1404</v>
      </c>
      <c r="H26">
        <v>-839</v>
      </c>
    </row>
    <row r="27" spans="1:8" x14ac:dyDescent="0.2">
      <c r="A27" t="s">
        <v>1187</v>
      </c>
      <c r="B27" t="s">
        <v>2858</v>
      </c>
      <c r="C27" t="s">
        <v>2864</v>
      </c>
      <c r="E27" t="s">
        <v>1002</v>
      </c>
      <c r="F27">
        <v>-3335</v>
      </c>
      <c r="G27">
        <v>2353</v>
      </c>
      <c r="H27">
        <v>-805</v>
      </c>
    </row>
    <row r="28" spans="1:8" x14ac:dyDescent="0.2">
      <c r="A28" t="s">
        <v>1190</v>
      </c>
      <c r="B28" t="s">
        <v>2858</v>
      </c>
      <c r="C28" t="s">
        <v>2851</v>
      </c>
      <c r="E28" t="s">
        <v>1002</v>
      </c>
      <c r="F28">
        <v>1154</v>
      </c>
      <c r="G28">
        <v>381</v>
      </c>
      <c r="H28">
        <v>-523</v>
      </c>
    </row>
    <row r="29" spans="1:8" x14ac:dyDescent="0.2">
      <c r="A29" t="s">
        <v>1193</v>
      </c>
      <c r="B29" t="s">
        <v>2858</v>
      </c>
      <c r="C29" t="s">
        <v>2860</v>
      </c>
      <c r="E29" t="s">
        <v>1002</v>
      </c>
      <c r="F29">
        <v>3574</v>
      </c>
      <c r="G29">
        <v>-3792</v>
      </c>
      <c r="H29">
        <v>-452</v>
      </c>
    </row>
    <row r="30" spans="1:8" x14ac:dyDescent="0.2">
      <c r="A30" t="s">
        <v>1195</v>
      </c>
      <c r="B30" t="s">
        <v>2858</v>
      </c>
      <c r="C30" t="s">
        <v>2861</v>
      </c>
      <c r="E30" t="s">
        <v>1002</v>
      </c>
      <c r="F30">
        <v>-3789</v>
      </c>
      <c r="G30">
        <v>1343</v>
      </c>
      <c r="H30">
        <v>-682</v>
      </c>
    </row>
    <row r="31" spans="1:8" x14ac:dyDescent="0.2">
      <c r="A31" t="s">
        <v>1200</v>
      </c>
      <c r="B31" t="s">
        <v>2858</v>
      </c>
      <c r="C31" t="s">
        <v>2851</v>
      </c>
      <c r="E31" t="s">
        <v>1002</v>
      </c>
      <c r="F31">
        <v>-1065</v>
      </c>
      <c r="G31">
        <v>-574</v>
      </c>
      <c r="H31">
        <v>-482</v>
      </c>
    </row>
    <row r="32" spans="1:8" x14ac:dyDescent="0.2">
      <c r="A32" t="s">
        <v>1204</v>
      </c>
      <c r="B32" t="s">
        <v>2858</v>
      </c>
      <c r="C32" t="s">
        <v>2865</v>
      </c>
      <c r="E32" t="s">
        <v>1002</v>
      </c>
      <c r="F32">
        <v>-1391</v>
      </c>
      <c r="G32">
        <v>-3604</v>
      </c>
      <c r="H32">
        <v>-917</v>
      </c>
    </row>
    <row r="33" spans="1:8" x14ac:dyDescent="0.2">
      <c r="A33" t="s">
        <v>1239</v>
      </c>
      <c r="B33" t="s">
        <v>2858</v>
      </c>
      <c r="C33" t="s">
        <v>2854</v>
      </c>
      <c r="E33" t="s">
        <v>1002</v>
      </c>
      <c r="F33">
        <v>-561</v>
      </c>
      <c r="G33">
        <v>2584</v>
      </c>
      <c r="H33">
        <v>-844</v>
      </c>
    </row>
    <row r="34" spans="1:8" x14ac:dyDescent="0.2">
      <c r="A34" t="s">
        <v>1243</v>
      </c>
      <c r="B34" t="s">
        <v>2858</v>
      </c>
      <c r="C34" t="s">
        <v>2856</v>
      </c>
      <c r="E34" t="s">
        <v>1002</v>
      </c>
      <c r="F34">
        <v>1285</v>
      </c>
      <c r="G34">
        <v>-1811</v>
      </c>
      <c r="H34">
        <v>-784</v>
      </c>
    </row>
    <row r="35" spans="1:8" x14ac:dyDescent="0.2">
      <c r="A35" t="s">
        <v>1247</v>
      </c>
      <c r="B35" t="s">
        <v>2858</v>
      </c>
      <c r="C35" t="s">
        <v>2860</v>
      </c>
      <c r="E35" t="s">
        <v>1002</v>
      </c>
      <c r="F35">
        <v>3153</v>
      </c>
      <c r="G35">
        <v>-3276</v>
      </c>
      <c r="H35">
        <v>-709</v>
      </c>
    </row>
    <row r="36" spans="1:8" x14ac:dyDescent="0.2">
      <c r="A36" t="s">
        <v>1262</v>
      </c>
      <c r="B36" t="s">
        <v>2858</v>
      </c>
      <c r="C36" t="s">
        <v>2860</v>
      </c>
      <c r="E36" t="s">
        <v>1002</v>
      </c>
      <c r="F36">
        <v>3329</v>
      </c>
      <c r="G36">
        <v>-2514</v>
      </c>
      <c r="H36">
        <v>-777</v>
      </c>
    </row>
    <row r="37" spans="1:8" x14ac:dyDescent="0.2">
      <c r="A37" t="s">
        <v>1276</v>
      </c>
      <c r="B37" t="s">
        <v>2858</v>
      </c>
      <c r="C37" t="s">
        <v>2866</v>
      </c>
      <c r="E37" t="s">
        <v>1002</v>
      </c>
      <c r="F37">
        <v>-971</v>
      </c>
      <c r="G37">
        <v>-2601</v>
      </c>
      <c r="H37">
        <v>-683</v>
      </c>
    </row>
    <row r="38" spans="1:8" x14ac:dyDescent="0.2">
      <c r="A38" t="s">
        <v>2867</v>
      </c>
      <c r="B38" t="s">
        <v>2858</v>
      </c>
      <c r="C38" t="s">
        <v>2865</v>
      </c>
      <c r="E38" t="s">
        <v>1002</v>
      </c>
      <c r="F38">
        <v>-4084</v>
      </c>
      <c r="G38">
        <v>-842</v>
      </c>
      <c r="H38">
        <v>-1113</v>
      </c>
    </row>
    <row r="39" spans="1:8" x14ac:dyDescent="0.2">
      <c r="A39" t="s">
        <v>1336</v>
      </c>
      <c r="B39" t="s">
        <v>2858</v>
      </c>
      <c r="C39" t="s">
        <v>2865</v>
      </c>
      <c r="E39" t="s">
        <v>1002</v>
      </c>
      <c r="F39">
        <v>-1317</v>
      </c>
      <c r="G39">
        <v>-3432</v>
      </c>
      <c r="H39">
        <v>-819</v>
      </c>
    </row>
    <row r="40" spans="1:8" x14ac:dyDescent="0.2">
      <c r="A40" t="s">
        <v>1337</v>
      </c>
      <c r="B40" t="s">
        <v>2858</v>
      </c>
      <c r="C40" t="s">
        <v>2851</v>
      </c>
      <c r="E40" t="s">
        <v>1002</v>
      </c>
      <c r="F40">
        <v>-731</v>
      </c>
      <c r="G40">
        <v>-1861</v>
      </c>
      <c r="H40">
        <v>-405</v>
      </c>
    </row>
    <row r="41" spans="1:8" x14ac:dyDescent="0.2">
      <c r="A41" t="s">
        <v>1364</v>
      </c>
      <c r="B41" t="s">
        <v>2858</v>
      </c>
      <c r="C41" t="s">
        <v>2864</v>
      </c>
      <c r="E41" t="s">
        <v>1002</v>
      </c>
      <c r="F41">
        <v>-2733</v>
      </c>
      <c r="G41">
        <v>2918</v>
      </c>
      <c r="H41">
        <v>-1100</v>
      </c>
    </row>
    <row r="42" spans="1:8" x14ac:dyDescent="0.2">
      <c r="A42" t="s">
        <v>1389</v>
      </c>
      <c r="B42" t="s">
        <v>2858</v>
      </c>
      <c r="C42" t="s">
        <v>2851</v>
      </c>
      <c r="E42" t="s">
        <v>1002</v>
      </c>
      <c r="F42">
        <v>-1293</v>
      </c>
      <c r="G42">
        <v>-2194</v>
      </c>
      <c r="H42">
        <v>-605</v>
      </c>
    </row>
    <row r="43" spans="1:8" x14ac:dyDescent="0.2">
      <c r="A43" t="s">
        <v>1461</v>
      </c>
      <c r="B43" t="s">
        <v>2858</v>
      </c>
      <c r="C43" t="s">
        <v>2868</v>
      </c>
      <c r="E43" t="s">
        <v>1002</v>
      </c>
      <c r="F43">
        <v>-2079</v>
      </c>
      <c r="G43">
        <v>1323</v>
      </c>
      <c r="H43">
        <v>-687</v>
      </c>
    </row>
    <row r="44" spans="1:8" x14ac:dyDescent="0.2">
      <c r="A44" t="s">
        <v>1488</v>
      </c>
      <c r="B44" t="s">
        <v>2858</v>
      </c>
      <c r="C44" t="s">
        <v>2869</v>
      </c>
      <c r="E44" t="s">
        <v>1002</v>
      </c>
      <c r="F44">
        <v>3889</v>
      </c>
      <c r="G44">
        <v>-1668</v>
      </c>
      <c r="H44">
        <v>-865</v>
      </c>
    </row>
    <row r="45" spans="1:8" x14ac:dyDescent="0.2">
      <c r="A45" t="s">
        <v>1497</v>
      </c>
      <c r="B45" t="s">
        <v>2858</v>
      </c>
      <c r="C45" t="s">
        <v>2860</v>
      </c>
      <c r="E45" t="s">
        <v>1002</v>
      </c>
      <c r="F45">
        <v>2512</v>
      </c>
      <c r="G45">
        <v>-2483</v>
      </c>
      <c r="H45">
        <v>-503</v>
      </c>
    </row>
    <row r="46" spans="1:8" x14ac:dyDescent="0.2">
      <c r="A46" t="s">
        <v>1533</v>
      </c>
      <c r="B46" t="s">
        <v>2858</v>
      </c>
      <c r="C46" t="s">
        <v>2865</v>
      </c>
      <c r="E46" t="s">
        <v>1002</v>
      </c>
      <c r="F46">
        <v>-1802</v>
      </c>
      <c r="G46">
        <v>-2089</v>
      </c>
      <c r="H46">
        <v>-603</v>
      </c>
    </row>
    <row r="47" spans="1:8" x14ac:dyDescent="0.2">
      <c r="A47" t="s">
        <v>1578</v>
      </c>
      <c r="B47" t="s">
        <v>2858</v>
      </c>
      <c r="C47" t="s">
        <v>2862</v>
      </c>
      <c r="E47" t="s">
        <v>1002</v>
      </c>
      <c r="F47">
        <v>3790</v>
      </c>
      <c r="G47">
        <v>560</v>
      </c>
      <c r="H47">
        <v>-859</v>
      </c>
    </row>
    <row r="48" spans="1:8" x14ac:dyDescent="0.2">
      <c r="A48" t="s">
        <v>1606</v>
      </c>
      <c r="B48" t="s">
        <v>2858</v>
      </c>
      <c r="C48" t="s">
        <v>2868</v>
      </c>
      <c r="E48" t="s">
        <v>1002</v>
      </c>
      <c r="F48">
        <v>-2687</v>
      </c>
      <c r="G48">
        <v>785</v>
      </c>
      <c r="H48">
        <v>-783</v>
      </c>
    </row>
    <row r="49" spans="1:8" x14ac:dyDescent="0.2">
      <c r="A49" t="s">
        <v>1615</v>
      </c>
      <c r="B49" t="s">
        <v>2858</v>
      </c>
      <c r="C49" t="s">
        <v>2863</v>
      </c>
      <c r="E49" t="s">
        <v>1002</v>
      </c>
      <c r="F49">
        <v>4719</v>
      </c>
      <c r="G49">
        <v>1940</v>
      </c>
      <c r="H49">
        <v>-454</v>
      </c>
    </row>
    <row r="50" spans="1:8" x14ac:dyDescent="0.2">
      <c r="A50" t="s">
        <v>1629</v>
      </c>
      <c r="B50" t="s">
        <v>2858</v>
      </c>
      <c r="C50" t="s">
        <v>2856</v>
      </c>
      <c r="E50" t="s">
        <v>1002</v>
      </c>
      <c r="F50">
        <v>2368</v>
      </c>
      <c r="G50">
        <v>-2201</v>
      </c>
      <c r="H50">
        <v>-597</v>
      </c>
    </row>
    <row r="51" spans="1:8" x14ac:dyDescent="0.2">
      <c r="A51" t="s">
        <v>1634</v>
      </c>
      <c r="B51" t="s">
        <v>2858</v>
      </c>
      <c r="C51" t="s">
        <v>2862</v>
      </c>
      <c r="E51" t="s">
        <v>1002</v>
      </c>
      <c r="F51">
        <v>3294</v>
      </c>
      <c r="G51">
        <v>-32</v>
      </c>
      <c r="H51">
        <v>-841</v>
      </c>
    </row>
    <row r="52" spans="1:8" x14ac:dyDescent="0.2">
      <c r="A52" t="s">
        <v>1730</v>
      </c>
      <c r="B52" t="s">
        <v>2858</v>
      </c>
      <c r="C52" t="s">
        <v>2860</v>
      </c>
      <c r="E52" t="s">
        <v>1002</v>
      </c>
      <c r="F52">
        <v>2520</v>
      </c>
      <c r="G52">
        <v>-3602</v>
      </c>
      <c r="H52">
        <v>-626</v>
      </c>
    </row>
    <row r="53" spans="1:8" x14ac:dyDescent="0.2">
      <c r="A53" t="s">
        <v>1744</v>
      </c>
      <c r="B53" t="s">
        <v>2858</v>
      </c>
      <c r="C53" t="s">
        <v>2869</v>
      </c>
      <c r="E53" t="s">
        <v>1002</v>
      </c>
      <c r="F53">
        <v>4223</v>
      </c>
      <c r="G53">
        <v>-1912</v>
      </c>
      <c r="H53">
        <v>-804</v>
      </c>
    </row>
    <row r="54" spans="1:8" x14ac:dyDescent="0.2">
      <c r="A54" t="s">
        <v>2888</v>
      </c>
      <c r="B54" t="s">
        <v>1401</v>
      </c>
      <c r="C54" t="s">
        <v>1480</v>
      </c>
      <c r="E54" t="s">
        <v>785</v>
      </c>
      <c r="F54">
        <v>2943</v>
      </c>
      <c r="G54">
        <v>-3433</v>
      </c>
      <c r="H54">
        <v>6</v>
      </c>
    </row>
    <row r="55" spans="1:8" x14ac:dyDescent="0.2">
      <c r="A55" t="s">
        <v>2889</v>
      </c>
      <c r="B55" t="s">
        <v>1401</v>
      </c>
      <c r="C55" t="s">
        <v>1313</v>
      </c>
      <c r="E55" t="s">
        <v>785</v>
      </c>
      <c r="F55">
        <v>-3839</v>
      </c>
      <c r="G55">
        <v>-2897</v>
      </c>
      <c r="H55">
        <v>43</v>
      </c>
    </row>
    <row r="56" spans="1:8" x14ac:dyDescent="0.2">
      <c r="A56" t="s">
        <v>2890</v>
      </c>
      <c r="B56" t="s">
        <v>1401</v>
      </c>
      <c r="C56" t="s">
        <v>1707</v>
      </c>
      <c r="E56" t="s">
        <v>785</v>
      </c>
      <c r="F56">
        <v>3996</v>
      </c>
      <c r="G56">
        <v>1598</v>
      </c>
      <c r="H56">
        <v>129</v>
      </c>
    </row>
    <row r="57" spans="1:8" x14ac:dyDescent="0.2">
      <c r="A57" t="s">
        <v>2891</v>
      </c>
      <c r="B57" t="s">
        <v>1401</v>
      </c>
      <c r="C57" t="s">
        <v>1429</v>
      </c>
      <c r="E57" t="s">
        <v>785</v>
      </c>
      <c r="F57">
        <v>413</v>
      </c>
      <c r="G57">
        <v>2177</v>
      </c>
      <c r="H57">
        <v>154</v>
      </c>
    </row>
    <row r="58" spans="1:8" x14ac:dyDescent="0.2">
      <c r="A58" t="s">
        <v>2892</v>
      </c>
      <c r="B58" t="s">
        <v>1401</v>
      </c>
      <c r="C58" t="s">
        <v>1331</v>
      </c>
      <c r="E58" t="s">
        <v>785</v>
      </c>
      <c r="F58">
        <v>1683</v>
      </c>
      <c r="G58">
        <v>2421</v>
      </c>
      <c r="H58">
        <v>384</v>
      </c>
    </row>
    <row r="59" spans="1:8" x14ac:dyDescent="0.2">
      <c r="A59" t="s">
        <v>2893</v>
      </c>
      <c r="B59" t="s">
        <v>1401</v>
      </c>
      <c r="C59" t="s">
        <v>1780</v>
      </c>
      <c r="E59" t="s">
        <v>785</v>
      </c>
      <c r="F59" t="s">
        <v>2430</v>
      </c>
      <c r="G59" t="s">
        <v>2430</v>
      </c>
      <c r="H59" t="s">
        <v>2430</v>
      </c>
    </row>
    <row r="60" spans="1:8" x14ac:dyDescent="0.2">
      <c r="A60" t="s">
        <v>2894</v>
      </c>
      <c r="B60" t="s">
        <v>1401</v>
      </c>
      <c r="C60" t="s">
        <v>1415</v>
      </c>
      <c r="E60" t="s">
        <v>785</v>
      </c>
      <c r="F60">
        <v>-3267</v>
      </c>
      <c r="G60">
        <v>-2608</v>
      </c>
      <c r="H60">
        <v>25</v>
      </c>
    </row>
    <row r="61" spans="1:8" x14ac:dyDescent="0.2">
      <c r="A61" t="s">
        <v>2895</v>
      </c>
      <c r="B61" t="s">
        <v>1401</v>
      </c>
      <c r="C61" t="s">
        <v>1009</v>
      </c>
      <c r="E61" t="s">
        <v>785</v>
      </c>
      <c r="F61">
        <v>1825</v>
      </c>
      <c r="G61">
        <v>-1012</v>
      </c>
      <c r="H61">
        <v>114</v>
      </c>
    </row>
    <row r="62" spans="1:8" x14ac:dyDescent="0.2">
      <c r="A62" t="s">
        <v>2896</v>
      </c>
      <c r="B62" t="s">
        <v>1401</v>
      </c>
      <c r="C62" t="s">
        <v>847</v>
      </c>
      <c r="E62" t="s">
        <v>785</v>
      </c>
      <c r="F62">
        <v>-3610</v>
      </c>
      <c r="G62">
        <v>1827</v>
      </c>
      <c r="H62">
        <v>182</v>
      </c>
    </row>
    <row r="63" spans="1:8" x14ac:dyDescent="0.2">
      <c r="A63" t="s">
        <v>2897</v>
      </c>
      <c r="B63" t="s">
        <v>1401</v>
      </c>
      <c r="C63" t="s">
        <v>1358</v>
      </c>
      <c r="E63" t="s">
        <v>785</v>
      </c>
      <c r="F63" t="s">
        <v>2430</v>
      </c>
      <c r="G63" t="s">
        <v>2430</v>
      </c>
      <c r="H63" t="s">
        <v>2430</v>
      </c>
    </row>
    <row r="64" spans="1:8" x14ac:dyDescent="0.2">
      <c r="A64" t="s">
        <v>1468</v>
      </c>
      <c r="B64" t="s">
        <v>2899</v>
      </c>
      <c r="C64" t="s">
        <v>2898</v>
      </c>
      <c r="E64" t="s">
        <v>1002</v>
      </c>
      <c r="F64">
        <v>4655</v>
      </c>
      <c r="G64">
        <v>3699</v>
      </c>
      <c r="H64">
        <v>-403</v>
      </c>
    </row>
    <row r="65" spans="1:8" x14ac:dyDescent="0.2">
      <c r="A65" t="s">
        <v>1470</v>
      </c>
      <c r="B65" t="s">
        <v>2899</v>
      </c>
      <c r="C65" t="s">
        <v>2900</v>
      </c>
      <c r="E65" t="s">
        <v>783</v>
      </c>
      <c r="F65">
        <v>4655</v>
      </c>
      <c r="G65">
        <v>3515</v>
      </c>
      <c r="H65">
        <v>1010</v>
      </c>
    </row>
    <row r="66" spans="1:8" x14ac:dyDescent="0.2">
      <c r="A66" t="s">
        <v>1551</v>
      </c>
      <c r="B66" t="s">
        <v>2899</v>
      </c>
      <c r="C66" t="s">
        <v>2901</v>
      </c>
      <c r="E66" t="s">
        <v>783</v>
      </c>
      <c r="F66">
        <v>-1048</v>
      </c>
      <c r="G66">
        <v>3541</v>
      </c>
      <c r="H66">
        <v>972</v>
      </c>
    </row>
    <row r="67" spans="1:8" x14ac:dyDescent="0.2">
      <c r="A67" t="s">
        <v>1552</v>
      </c>
      <c r="B67" t="s">
        <v>2899</v>
      </c>
      <c r="C67" t="s">
        <v>2864</v>
      </c>
      <c r="E67" t="s">
        <v>1002</v>
      </c>
      <c r="F67">
        <v>-910</v>
      </c>
      <c r="G67">
        <v>3515</v>
      </c>
      <c r="H67">
        <v>-682</v>
      </c>
    </row>
    <row r="68" spans="1:8" x14ac:dyDescent="0.2">
      <c r="A68" t="s">
        <v>1553</v>
      </c>
      <c r="B68" t="s">
        <v>2899</v>
      </c>
      <c r="C68" t="s">
        <v>800</v>
      </c>
      <c r="E68" t="s">
        <v>785</v>
      </c>
      <c r="F68">
        <v>-1004</v>
      </c>
      <c r="G68">
        <v>3529</v>
      </c>
      <c r="H68">
        <v>227</v>
      </c>
    </row>
    <row r="69" spans="1:8" x14ac:dyDescent="0.2">
      <c r="A69" t="s">
        <v>1670</v>
      </c>
      <c r="B69" t="s">
        <v>2899</v>
      </c>
      <c r="C69" t="s">
        <v>2902</v>
      </c>
      <c r="E69" t="s">
        <v>783</v>
      </c>
      <c r="F69">
        <v>-1815</v>
      </c>
      <c r="G69">
        <v>-3235</v>
      </c>
      <c r="H69">
        <v>1208</v>
      </c>
    </row>
    <row r="70" spans="1:8" x14ac:dyDescent="0.2">
      <c r="A70" t="s">
        <v>1671</v>
      </c>
      <c r="B70" t="s">
        <v>2899</v>
      </c>
      <c r="C70" t="s">
        <v>2865</v>
      </c>
      <c r="E70" t="s">
        <v>1002</v>
      </c>
      <c r="F70">
        <v>-1795</v>
      </c>
      <c r="G70">
        <v>-3579</v>
      </c>
      <c r="H70">
        <v>-539</v>
      </c>
    </row>
    <row r="71" spans="1:8" x14ac:dyDescent="0.2">
      <c r="A71" t="s">
        <v>1115</v>
      </c>
      <c r="B71" t="s">
        <v>850</v>
      </c>
      <c r="C71" t="s">
        <v>782</v>
      </c>
      <c r="E71" t="s">
        <v>785</v>
      </c>
      <c r="F71">
        <v>3324</v>
      </c>
      <c r="G71">
        <v>1535</v>
      </c>
      <c r="H71">
        <v>508</v>
      </c>
    </row>
    <row r="72" spans="1:8" x14ac:dyDescent="0.2">
      <c r="A72" t="s">
        <v>1118</v>
      </c>
      <c r="B72" t="s">
        <v>850</v>
      </c>
      <c r="C72" t="s">
        <v>782</v>
      </c>
      <c r="E72" t="s">
        <v>785</v>
      </c>
      <c r="F72">
        <v>3308</v>
      </c>
      <c r="G72">
        <v>1236</v>
      </c>
      <c r="H72">
        <v>112</v>
      </c>
    </row>
    <row r="73" spans="1:8" x14ac:dyDescent="0.2">
      <c r="A73" t="s">
        <v>1123</v>
      </c>
      <c r="B73" t="s">
        <v>850</v>
      </c>
      <c r="C73" t="s">
        <v>799</v>
      </c>
      <c r="E73" t="s">
        <v>785</v>
      </c>
      <c r="F73">
        <v>-3478</v>
      </c>
      <c r="G73">
        <v>480</v>
      </c>
      <c r="H73">
        <v>275</v>
      </c>
    </row>
    <row r="74" spans="1:8" x14ac:dyDescent="0.2">
      <c r="A74" t="s">
        <v>1124</v>
      </c>
      <c r="B74" t="s">
        <v>850</v>
      </c>
      <c r="C74" t="s">
        <v>2860</v>
      </c>
      <c r="E74" t="s">
        <v>1002</v>
      </c>
      <c r="F74">
        <v>2589</v>
      </c>
      <c r="G74">
        <v>-3504</v>
      </c>
      <c r="H74">
        <v>-630</v>
      </c>
    </row>
    <row r="75" spans="1:8" x14ac:dyDescent="0.2">
      <c r="A75" t="s">
        <v>2907</v>
      </c>
      <c r="B75" t="s">
        <v>850</v>
      </c>
      <c r="E75" t="s">
        <v>2430</v>
      </c>
      <c r="F75" t="s">
        <v>2430</v>
      </c>
      <c r="G75" t="s">
        <v>2430</v>
      </c>
      <c r="H75" t="s">
        <v>2430</v>
      </c>
    </row>
    <row r="76" spans="1:8" x14ac:dyDescent="0.2">
      <c r="A76" t="s">
        <v>2908</v>
      </c>
      <c r="B76" t="s">
        <v>850</v>
      </c>
      <c r="E76" t="s">
        <v>2430</v>
      </c>
      <c r="F76" t="s">
        <v>2430</v>
      </c>
      <c r="G76" t="s">
        <v>2430</v>
      </c>
      <c r="H76" t="s">
        <v>2430</v>
      </c>
    </row>
    <row r="77" spans="1:8" x14ac:dyDescent="0.2">
      <c r="A77" t="s">
        <v>2909</v>
      </c>
      <c r="B77" t="s">
        <v>850</v>
      </c>
      <c r="E77" t="s">
        <v>2430</v>
      </c>
      <c r="F77" t="s">
        <v>2430</v>
      </c>
      <c r="G77" t="s">
        <v>2430</v>
      </c>
      <c r="H77" t="s">
        <v>2430</v>
      </c>
    </row>
    <row r="78" spans="1:8" x14ac:dyDescent="0.2">
      <c r="A78" t="s">
        <v>2910</v>
      </c>
      <c r="B78" t="s">
        <v>850</v>
      </c>
      <c r="E78" t="s">
        <v>2430</v>
      </c>
      <c r="F78" t="s">
        <v>2430</v>
      </c>
      <c r="G78" t="s">
        <v>2430</v>
      </c>
      <c r="H78" t="s">
        <v>2430</v>
      </c>
    </row>
    <row r="79" spans="1:8" x14ac:dyDescent="0.2">
      <c r="A79" t="s">
        <v>2911</v>
      </c>
      <c r="B79" t="s">
        <v>850</v>
      </c>
      <c r="E79" t="s">
        <v>2430</v>
      </c>
      <c r="F79" t="s">
        <v>2430</v>
      </c>
      <c r="G79" t="s">
        <v>2430</v>
      </c>
      <c r="H79" t="s">
        <v>2430</v>
      </c>
    </row>
    <row r="80" spans="1:8" x14ac:dyDescent="0.2">
      <c r="A80" t="s">
        <v>2912</v>
      </c>
      <c r="B80" t="s">
        <v>850</v>
      </c>
      <c r="E80" t="s">
        <v>2430</v>
      </c>
      <c r="F80" t="s">
        <v>2430</v>
      </c>
      <c r="G80" t="s">
        <v>2430</v>
      </c>
      <c r="H80" t="s">
        <v>2430</v>
      </c>
    </row>
    <row r="81" spans="1:8" x14ac:dyDescent="0.2">
      <c r="A81" t="s">
        <v>2913</v>
      </c>
      <c r="B81" t="s">
        <v>850</v>
      </c>
      <c r="E81" t="s">
        <v>2430</v>
      </c>
      <c r="F81" t="s">
        <v>2430</v>
      </c>
      <c r="G81" t="s">
        <v>2430</v>
      </c>
      <c r="H81" t="s">
        <v>2430</v>
      </c>
    </row>
    <row r="82" spans="1:8" x14ac:dyDescent="0.2">
      <c r="A82" t="s">
        <v>2914</v>
      </c>
      <c r="B82" t="s">
        <v>850</v>
      </c>
      <c r="E82" t="s">
        <v>2430</v>
      </c>
      <c r="F82" t="s">
        <v>2430</v>
      </c>
      <c r="G82" t="s">
        <v>2430</v>
      </c>
      <c r="H82" t="s">
        <v>2430</v>
      </c>
    </row>
    <row r="83" spans="1:8" x14ac:dyDescent="0.2">
      <c r="A83" t="s">
        <v>2915</v>
      </c>
      <c r="B83" t="s">
        <v>850</v>
      </c>
      <c r="E83" t="s">
        <v>2430</v>
      </c>
      <c r="F83" t="s">
        <v>2430</v>
      </c>
      <c r="G83" t="s">
        <v>2430</v>
      </c>
      <c r="H83" t="s">
        <v>2430</v>
      </c>
    </row>
    <row r="84" spans="1:8" x14ac:dyDescent="0.2">
      <c r="A84" t="s">
        <v>2916</v>
      </c>
      <c r="B84" t="s">
        <v>850</v>
      </c>
      <c r="E84" t="s">
        <v>2430</v>
      </c>
      <c r="F84" t="s">
        <v>2430</v>
      </c>
      <c r="G84" t="s">
        <v>2430</v>
      </c>
      <c r="H84" t="s">
        <v>2430</v>
      </c>
    </row>
    <row r="85" spans="1:8" x14ac:dyDescent="0.2">
      <c r="A85" t="s">
        <v>2917</v>
      </c>
      <c r="B85" t="s">
        <v>850</v>
      </c>
      <c r="E85" t="s">
        <v>2430</v>
      </c>
      <c r="F85" t="s">
        <v>2430</v>
      </c>
      <c r="G85" t="s">
        <v>2430</v>
      </c>
      <c r="H85" t="s">
        <v>2430</v>
      </c>
    </row>
    <row r="86" spans="1:8" x14ac:dyDescent="0.2">
      <c r="A86" t="s">
        <v>2918</v>
      </c>
      <c r="B86" t="s">
        <v>850</v>
      </c>
      <c r="E86" t="s">
        <v>2430</v>
      </c>
      <c r="F86" t="s">
        <v>2430</v>
      </c>
      <c r="G86" t="s">
        <v>2430</v>
      </c>
      <c r="H86" t="s">
        <v>2430</v>
      </c>
    </row>
    <row r="87" spans="1:8" x14ac:dyDescent="0.2">
      <c r="A87" t="s">
        <v>1126</v>
      </c>
      <c r="B87" t="s">
        <v>850</v>
      </c>
      <c r="C87" t="s">
        <v>790</v>
      </c>
      <c r="E87" t="s">
        <v>785</v>
      </c>
      <c r="F87">
        <v>-1112</v>
      </c>
      <c r="G87">
        <v>-415</v>
      </c>
      <c r="H87">
        <v>63</v>
      </c>
    </row>
    <row r="88" spans="1:8" x14ac:dyDescent="0.2">
      <c r="A88" t="s">
        <v>1131</v>
      </c>
      <c r="B88" t="s">
        <v>850</v>
      </c>
      <c r="C88" t="s">
        <v>790</v>
      </c>
      <c r="E88" t="s">
        <v>785</v>
      </c>
      <c r="F88">
        <v>-1128</v>
      </c>
      <c r="G88">
        <v>-956</v>
      </c>
      <c r="H88">
        <v>46</v>
      </c>
    </row>
    <row r="89" spans="1:8" x14ac:dyDescent="0.2">
      <c r="A89" t="s">
        <v>1148</v>
      </c>
      <c r="B89" t="s">
        <v>850</v>
      </c>
      <c r="C89" t="s">
        <v>2868</v>
      </c>
      <c r="E89" t="s">
        <v>1002</v>
      </c>
      <c r="F89">
        <v>-2232</v>
      </c>
      <c r="G89">
        <v>-385</v>
      </c>
      <c r="H89">
        <v>-750</v>
      </c>
    </row>
    <row r="90" spans="1:8" x14ac:dyDescent="0.2">
      <c r="A90" t="s">
        <v>1151</v>
      </c>
      <c r="B90" t="s">
        <v>850</v>
      </c>
      <c r="C90" t="s">
        <v>790</v>
      </c>
      <c r="E90" t="s">
        <v>785</v>
      </c>
      <c r="F90">
        <v>270</v>
      </c>
      <c r="G90">
        <v>712</v>
      </c>
      <c r="H90">
        <v>4</v>
      </c>
    </row>
    <row r="91" spans="1:8" x14ac:dyDescent="0.2">
      <c r="A91" t="s">
        <v>999</v>
      </c>
      <c r="B91" t="s">
        <v>850</v>
      </c>
      <c r="C91" t="s">
        <v>1013</v>
      </c>
      <c r="E91" t="s">
        <v>783</v>
      </c>
      <c r="F91">
        <v>210</v>
      </c>
      <c r="G91">
        <v>2037</v>
      </c>
      <c r="H91">
        <v>1989</v>
      </c>
    </row>
    <row r="92" spans="1:8" x14ac:dyDescent="0.2">
      <c r="A92" t="s">
        <v>1032</v>
      </c>
      <c r="B92" t="s">
        <v>850</v>
      </c>
      <c r="C92" t="s">
        <v>791</v>
      </c>
      <c r="E92" t="s">
        <v>785</v>
      </c>
      <c r="F92">
        <v>2214</v>
      </c>
      <c r="G92">
        <v>2356</v>
      </c>
      <c r="H92">
        <v>526</v>
      </c>
    </row>
    <row r="93" spans="1:8" x14ac:dyDescent="0.2">
      <c r="A93" t="s">
        <v>1158</v>
      </c>
      <c r="B93" t="s">
        <v>850</v>
      </c>
      <c r="C93" t="s">
        <v>790</v>
      </c>
      <c r="E93" t="s">
        <v>785</v>
      </c>
      <c r="F93">
        <v>-134</v>
      </c>
      <c r="G93">
        <v>-2293</v>
      </c>
      <c r="H93">
        <v>39</v>
      </c>
    </row>
    <row r="94" spans="1:8" x14ac:dyDescent="0.2">
      <c r="A94" t="s">
        <v>1162</v>
      </c>
      <c r="B94" t="s">
        <v>850</v>
      </c>
      <c r="C94" t="s">
        <v>2856</v>
      </c>
      <c r="E94" t="s">
        <v>1002</v>
      </c>
      <c r="F94">
        <v>2020</v>
      </c>
      <c r="G94">
        <v>-2102</v>
      </c>
      <c r="H94">
        <v>-601</v>
      </c>
    </row>
    <row r="95" spans="1:8" x14ac:dyDescent="0.2">
      <c r="A95" t="s">
        <v>1169</v>
      </c>
      <c r="B95" t="s">
        <v>850</v>
      </c>
      <c r="C95" t="s">
        <v>790</v>
      </c>
      <c r="E95" t="s">
        <v>785</v>
      </c>
      <c r="F95">
        <v>-1044</v>
      </c>
      <c r="G95">
        <v>427</v>
      </c>
      <c r="H95">
        <v>35</v>
      </c>
    </row>
    <row r="96" spans="1:8" x14ac:dyDescent="0.2">
      <c r="A96" t="s">
        <v>1175</v>
      </c>
      <c r="B96" t="s">
        <v>850</v>
      </c>
      <c r="C96" t="s">
        <v>790</v>
      </c>
      <c r="E96" t="s">
        <v>785</v>
      </c>
      <c r="F96">
        <v>-224</v>
      </c>
      <c r="G96">
        <v>446</v>
      </c>
      <c r="H96">
        <v>21</v>
      </c>
    </row>
    <row r="97" spans="1:8" x14ac:dyDescent="0.2">
      <c r="A97" t="s">
        <v>1182</v>
      </c>
      <c r="B97" t="s">
        <v>850</v>
      </c>
      <c r="C97" t="s">
        <v>790</v>
      </c>
      <c r="E97" t="s">
        <v>785</v>
      </c>
      <c r="F97">
        <v>-1136</v>
      </c>
      <c r="G97">
        <v>-1233</v>
      </c>
      <c r="H97">
        <v>156</v>
      </c>
    </row>
    <row r="98" spans="1:8" x14ac:dyDescent="0.2">
      <c r="A98" t="s">
        <v>1000</v>
      </c>
      <c r="B98" t="s">
        <v>850</v>
      </c>
      <c r="C98" t="s">
        <v>2919</v>
      </c>
      <c r="E98" t="s">
        <v>783</v>
      </c>
      <c r="F98">
        <v>-2266</v>
      </c>
      <c r="G98">
        <v>728</v>
      </c>
      <c r="H98">
        <v>1895</v>
      </c>
    </row>
    <row r="99" spans="1:8" x14ac:dyDescent="0.2">
      <c r="A99" t="s">
        <v>1198</v>
      </c>
      <c r="B99" t="s">
        <v>850</v>
      </c>
      <c r="C99" t="s">
        <v>2868</v>
      </c>
      <c r="E99" t="s">
        <v>1002</v>
      </c>
      <c r="F99">
        <v>-2219</v>
      </c>
      <c r="G99">
        <v>-957</v>
      </c>
      <c r="H99">
        <v>-542</v>
      </c>
    </row>
    <row r="100" spans="1:8" x14ac:dyDescent="0.2">
      <c r="A100" t="s">
        <v>1212</v>
      </c>
      <c r="B100" t="s">
        <v>850</v>
      </c>
      <c r="C100" t="s">
        <v>798</v>
      </c>
      <c r="E100" t="s">
        <v>785</v>
      </c>
      <c r="F100">
        <v>-3515</v>
      </c>
      <c r="G100">
        <v>-2731</v>
      </c>
      <c r="H100">
        <v>-26</v>
      </c>
    </row>
    <row r="101" spans="1:8" x14ac:dyDescent="0.2">
      <c r="A101" t="s">
        <v>2920</v>
      </c>
      <c r="B101" t="s">
        <v>850</v>
      </c>
      <c r="C101" t="s">
        <v>2921</v>
      </c>
      <c r="E101" t="s">
        <v>785</v>
      </c>
      <c r="F101" t="s">
        <v>2430</v>
      </c>
      <c r="G101" t="s">
        <v>2430</v>
      </c>
      <c r="H101" t="s">
        <v>2430</v>
      </c>
    </row>
    <row r="102" spans="1:8" x14ac:dyDescent="0.2">
      <c r="A102" t="s">
        <v>2920</v>
      </c>
      <c r="B102" t="s">
        <v>850</v>
      </c>
      <c r="C102" t="s">
        <v>1014</v>
      </c>
      <c r="E102" t="s">
        <v>783</v>
      </c>
      <c r="F102" t="s">
        <v>2430</v>
      </c>
      <c r="G102" t="s">
        <v>2430</v>
      </c>
      <c r="H102" t="s">
        <v>2430</v>
      </c>
    </row>
    <row r="103" spans="1:8" x14ac:dyDescent="0.2">
      <c r="A103" t="s">
        <v>2920</v>
      </c>
      <c r="B103" t="s">
        <v>850</v>
      </c>
      <c r="C103" t="s">
        <v>1219</v>
      </c>
      <c r="E103" t="s">
        <v>785</v>
      </c>
      <c r="F103">
        <v>-1626</v>
      </c>
      <c r="G103">
        <v>-1888</v>
      </c>
      <c r="H103">
        <v>2</v>
      </c>
    </row>
    <row r="104" spans="1:8" x14ac:dyDescent="0.2">
      <c r="A104" t="s">
        <v>2920</v>
      </c>
      <c r="B104" t="s">
        <v>850</v>
      </c>
      <c r="C104" t="s">
        <v>1009</v>
      </c>
      <c r="E104" t="s">
        <v>785</v>
      </c>
      <c r="F104" t="s">
        <v>2430</v>
      </c>
      <c r="G104" t="s">
        <v>2430</v>
      </c>
      <c r="H104" t="s">
        <v>2430</v>
      </c>
    </row>
    <row r="105" spans="1:8" x14ac:dyDescent="0.2">
      <c r="A105" t="s">
        <v>2920</v>
      </c>
      <c r="B105" t="s">
        <v>850</v>
      </c>
      <c r="C105" t="s">
        <v>1707</v>
      </c>
      <c r="E105" t="s">
        <v>785</v>
      </c>
      <c r="F105" t="s">
        <v>2430</v>
      </c>
      <c r="G105" t="s">
        <v>2430</v>
      </c>
      <c r="H105" t="s">
        <v>2430</v>
      </c>
    </row>
    <row r="106" spans="1:8" x14ac:dyDescent="0.2">
      <c r="A106" t="s">
        <v>2920</v>
      </c>
      <c r="B106" t="s">
        <v>850</v>
      </c>
      <c r="C106" t="s">
        <v>1537</v>
      </c>
      <c r="E106" t="s">
        <v>783</v>
      </c>
      <c r="F106" t="s">
        <v>2430</v>
      </c>
      <c r="G106" t="s">
        <v>2430</v>
      </c>
      <c r="H106" t="s">
        <v>2430</v>
      </c>
    </row>
    <row r="107" spans="1:8" x14ac:dyDescent="0.2">
      <c r="A107" t="s">
        <v>2920</v>
      </c>
      <c r="B107" t="s">
        <v>850</v>
      </c>
      <c r="C107" t="s">
        <v>1012</v>
      </c>
      <c r="E107" t="s">
        <v>785</v>
      </c>
      <c r="F107" t="s">
        <v>2430</v>
      </c>
      <c r="G107" t="s">
        <v>2430</v>
      </c>
      <c r="H107" t="s">
        <v>2430</v>
      </c>
    </row>
    <row r="108" spans="1:8" x14ac:dyDescent="0.2">
      <c r="A108" t="s">
        <v>2920</v>
      </c>
      <c r="B108" t="s">
        <v>850</v>
      </c>
      <c r="C108" t="s">
        <v>1010</v>
      </c>
      <c r="E108" t="s">
        <v>783</v>
      </c>
      <c r="F108" t="s">
        <v>2430</v>
      </c>
      <c r="G108" t="s">
        <v>2430</v>
      </c>
      <c r="H108" t="s">
        <v>2430</v>
      </c>
    </row>
    <row r="109" spans="1:8" x14ac:dyDescent="0.2">
      <c r="A109" t="s">
        <v>2920</v>
      </c>
      <c r="B109" t="s">
        <v>850</v>
      </c>
      <c r="C109" t="s">
        <v>1006</v>
      </c>
      <c r="E109" t="s">
        <v>783</v>
      </c>
      <c r="F109" t="s">
        <v>2430</v>
      </c>
      <c r="G109" t="s">
        <v>2430</v>
      </c>
      <c r="H109" t="s">
        <v>2430</v>
      </c>
    </row>
    <row r="110" spans="1:8" x14ac:dyDescent="0.2">
      <c r="A110" t="s">
        <v>2920</v>
      </c>
      <c r="B110" t="s">
        <v>850</v>
      </c>
      <c r="C110" t="s">
        <v>1007</v>
      </c>
      <c r="E110" t="s">
        <v>783</v>
      </c>
      <c r="F110" t="s">
        <v>2430</v>
      </c>
      <c r="G110" t="s">
        <v>2430</v>
      </c>
      <c r="H110" t="s">
        <v>2430</v>
      </c>
    </row>
    <row r="111" spans="1:8" x14ac:dyDescent="0.2">
      <c r="A111" t="s">
        <v>2920</v>
      </c>
      <c r="B111" t="s">
        <v>850</v>
      </c>
      <c r="C111" t="s">
        <v>1022</v>
      </c>
      <c r="E111" t="s">
        <v>783</v>
      </c>
      <c r="F111" t="s">
        <v>2430</v>
      </c>
      <c r="G111" t="s">
        <v>2430</v>
      </c>
      <c r="H111" t="s">
        <v>2430</v>
      </c>
    </row>
    <row r="112" spans="1:8" x14ac:dyDescent="0.2">
      <c r="A112" t="s">
        <v>2920</v>
      </c>
      <c r="B112" t="s">
        <v>850</v>
      </c>
      <c r="C112" t="s">
        <v>2922</v>
      </c>
      <c r="E112" t="s">
        <v>785</v>
      </c>
      <c r="F112" t="s">
        <v>2430</v>
      </c>
      <c r="G112" t="s">
        <v>2430</v>
      </c>
      <c r="H112" t="s">
        <v>2430</v>
      </c>
    </row>
    <row r="113" spans="1:8" x14ac:dyDescent="0.2">
      <c r="A113" t="s">
        <v>2920</v>
      </c>
      <c r="B113" t="s">
        <v>850</v>
      </c>
      <c r="C113" t="s">
        <v>2923</v>
      </c>
      <c r="E113" t="s">
        <v>785</v>
      </c>
      <c r="F113" t="s">
        <v>2430</v>
      </c>
      <c r="G113" t="s">
        <v>2430</v>
      </c>
      <c r="H113" t="s">
        <v>2430</v>
      </c>
    </row>
    <row r="114" spans="1:8" x14ac:dyDescent="0.2">
      <c r="A114" t="s">
        <v>2920</v>
      </c>
      <c r="B114" t="s">
        <v>850</v>
      </c>
      <c r="C114" t="s">
        <v>1016</v>
      </c>
      <c r="E114" t="s">
        <v>783</v>
      </c>
      <c r="F114" t="s">
        <v>2430</v>
      </c>
      <c r="G114" t="s">
        <v>2430</v>
      </c>
      <c r="H114" t="s">
        <v>2430</v>
      </c>
    </row>
    <row r="115" spans="1:8" x14ac:dyDescent="0.2">
      <c r="A115" t="s">
        <v>2920</v>
      </c>
      <c r="B115" t="s">
        <v>850</v>
      </c>
      <c r="C115" t="s">
        <v>1015</v>
      </c>
      <c r="E115" t="s">
        <v>783</v>
      </c>
      <c r="F115" t="s">
        <v>2430</v>
      </c>
      <c r="G115" t="s">
        <v>2430</v>
      </c>
      <c r="H115" t="s">
        <v>2430</v>
      </c>
    </row>
    <row r="116" spans="1:8" x14ac:dyDescent="0.2">
      <c r="A116" t="s">
        <v>2920</v>
      </c>
      <c r="B116" t="s">
        <v>850</v>
      </c>
      <c r="C116" t="s">
        <v>1024</v>
      </c>
      <c r="E116" t="s">
        <v>785</v>
      </c>
      <c r="F116" t="s">
        <v>2430</v>
      </c>
      <c r="G116" t="s">
        <v>2430</v>
      </c>
      <c r="H116" t="s">
        <v>2430</v>
      </c>
    </row>
    <row r="117" spans="1:8" x14ac:dyDescent="0.2">
      <c r="A117" t="s">
        <v>2920</v>
      </c>
      <c r="B117" t="s">
        <v>850</v>
      </c>
      <c r="C117" t="s">
        <v>1018</v>
      </c>
      <c r="E117" t="s">
        <v>783</v>
      </c>
      <c r="F117" t="s">
        <v>2430</v>
      </c>
      <c r="G117" t="s">
        <v>2430</v>
      </c>
      <c r="H117" t="s">
        <v>2430</v>
      </c>
    </row>
    <row r="118" spans="1:8" x14ac:dyDescent="0.2">
      <c r="A118" t="s">
        <v>2920</v>
      </c>
      <c r="B118" t="s">
        <v>850</v>
      </c>
      <c r="C118" t="s">
        <v>1021</v>
      </c>
      <c r="E118" t="s">
        <v>785</v>
      </c>
      <c r="F118" t="s">
        <v>2430</v>
      </c>
      <c r="G118" t="s">
        <v>2430</v>
      </c>
      <c r="H118" t="s">
        <v>2430</v>
      </c>
    </row>
    <row r="119" spans="1:8" x14ac:dyDescent="0.2">
      <c r="A119" t="s">
        <v>2920</v>
      </c>
      <c r="B119" t="s">
        <v>850</v>
      </c>
      <c r="C119" t="s">
        <v>1017</v>
      </c>
      <c r="E119" t="s">
        <v>783</v>
      </c>
      <c r="F119" t="s">
        <v>2430</v>
      </c>
      <c r="G119" t="s">
        <v>2430</v>
      </c>
      <c r="H119" t="s">
        <v>2430</v>
      </c>
    </row>
    <row r="120" spans="1:8" x14ac:dyDescent="0.2">
      <c r="A120" t="s">
        <v>2920</v>
      </c>
      <c r="B120" t="s">
        <v>850</v>
      </c>
      <c r="C120" t="s">
        <v>1019</v>
      </c>
      <c r="E120" t="s">
        <v>783</v>
      </c>
      <c r="F120" t="s">
        <v>2430</v>
      </c>
      <c r="G120" t="s">
        <v>2430</v>
      </c>
      <c r="H120" t="s">
        <v>2430</v>
      </c>
    </row>
    <row r="121" spans="1:8" x14ac:dyDescent="0.2">
      <c r="A121" t="s">
        <v>2920</v>
      </c>
      <c r="B121" t="s">
        <v>850</v>
      </c>
      <c r="C121" t="s">
        <v>1028</v>
      </c>
      <c r="E121" t="s">
        <v>785</v>
      </c>
      <c r="F121" t="s">
        <v>2430</v>
      </c>
      <c r="G121" t="s">
        <v>2430</v>
      </c>
      <c r="H121" t="s">
        <v>2430</v>
      </c>
    </row>
    <row r="122" spans="1:8" x14ac:dyDescent="0.2">
      <c r="A122" t="s">
        <v>2920</v>
      </c>
      <c r="B122" t="s">
        <v>850</v>
      </c>
      <c r="C122" t="s">
        <v>1003</v>
      </c>
      <c r="E122" t="s">
        <v>783</v>
      </c>
      <c r="F122" t="s">
        <v>2430</v>
      </c>
      <c r="G122" t="s">
        <v>2430</v>
      </c>
      <c r="H122" t="s">
        <v>2430</v>
      </c>
    </row>
    <row r="123" spans="1:8" x14ac:dyDescent="0.2">
      <c r="A123" t="s">
        <v>2920</v>
      </c>
      <c r="B123" t="s">
        <v>850</v>
      </c>
      <c r="C123" t="s">
        <v>1013</v>
      </c>
      <c r="E123" t="s">
        <v>783</v>
      </c>
      <c r="F123" t="s">
        <v>2430</v>
      </c>
      <c r="G123" t="s">
        <v>2430</v>
      </c>
      <c r="H123" t="s">
        <v>2430</v>
      </c>
    </row>
    <row r="124" spans="1:8" x14ac:dyDescent="0.2">
      <c r="A124" t="s">
        <v>2920</v>
      </c>
      <c r="B124" t="s">
        <v>850</v>
      </c>
      <c r="C124" t="s">
        <v>1026</v>
      </c>
      <c r="E124" t="s">
        <v>783</v>
      </c>
      <c r="F124" t="s">
        <v>2430</v>
      </c>
      <c r="G124" t="s">
        <v>2430</v>
      </c>
      <c r="H124" t="s">
        <v>2430</v>
      </c>
    </row>
    <row r="125" spans="1:8" x14ac:dyDescent="0.2">
      <c r="A125" t="s">
        <v>2920</v>
      </c>
      <c r="B125" t="s">
        <v>850</v>
      </c>
      <c r="C125" t="s">
        <v>1183</v>
      </c>
      <c r="E125" t="s">
        <v>785</v>
      </c>
      <c r="F125" t="s">
        <v>2430</v>
      </c>
      <c r="G125" t="s">
        <v>2430</v>
      </c>
      <c r="H125" t="s">
        <v>2430</v>
      </c>
    </row>
    <row r="126" spans="1:8" x14ac:dyDescent="0.2">
      <c r="A126" t="s">
        <v>2920</v>
      </c>
      <c r="B126" t="s">
        <v>850</v>
      </c>
      <c r="C126" t="s">
        <v>1001</v>
      </c>
      <c r="E126" t="s">
        <v>1002</v>
      </c>
      <c r="F126" t="s">
        <v>2430</v>
      </c>
      <c r="G126" t="s">
        <v>2430</v>
      </c>
      <c r="H126" t="s">
        <v>2430</v>
      </c>
    </row>
    <row r="127" spans="1:8" x14ac:dyDescent="0.2">
      <c r="A127" t="s">
        <v>2920</v>
      </c>
      <c r="B127" t="s">
        <v>850</v>
      </c>
      <c r="C127" t="s">
        <v>999</v>
      </c>
      <c r="E127" t="s">
        <v>785</v>
      </c>
      <c r="F127" t="s">
        <v>2430</v>
      </c>
      <c r="G127" t="s">
        <v>2430</v>
      </c>
      <c r="H127" t="s">
        <v>2430</v>
      </c>
    </row>
    <row r="128" spans="1:8" x14ac:dyDescent="0.2">
      <c r="A128" t="s">
        <v>2920</v>
      </c>
      <c r="B128" t="s">
        <v>850</v>
      </c>
      <c r="C128" t="s">
        <v>1000</v>
      </c>
      <c r="E128" t="s">
        <v>785</v>
      </c>
      <c r="F128" t="s">
        <v>2430</v>
      </c>
      <c r="G128" t="s">
        <v>2430</v>
      </c>
      <c r="H128" t="s">
        <v>2430</v>
      </c>
    </row>
    <row r="129" spans="1:8" x14ac:dyDescent="0.2">
      <c r="A129" t="s">
        <v>2920</v>
      </c>
      <c r="B129" t="s">
        <v>850</v>
      </c>
      <c r="C129" t="s">
        <v>1004</v>
      </c>
      <c r="E129" t="s">
        <v>783</v>
      </c>
      <c r="F129" t="s">
        <v>2430</v>
      </c>
      <c r="G129" t="s">
        <v>2430</v>
      </c>
      <c r="H129" t="s">
        <v>2430</v>
      </c>
    </row>
    <row r="130" spans="1:8" x14ac:dyDescent="0.2">
      <c r="A130" t="s">
        <v>1214</v>
      </c>
      <c r="B130" t="s">
        <v>850</v>
      </c>
      <c r="C130" t="s">
        <v>806</v>
      </c>
      <c r="E130" t="s">
        <v>785</v>
      </c>
      <c r="F130">
        <v>291</v>
      </c>
      <c r="G130">
        <v>-1869</v>
      </c>
      <c r="H130">
        <v>22</v>
      </c>
    </row>
    <row r="131" spans="1:8" x14ac:dyDescent="0.2">
      <c r="A131" t="s">
        <v>1219</v>
      </c>
      <c r="B131" t="s">
        <v>850</v>
      </c>
      <c r="C131" t="s">
        <v>790</v>
      </c>
      <c r="E131" t="s">
        <v>785</v>
      </c>
      <c r="F131">
        <v>-1661</v>
      </c>
      <c r="G131">
        <v>-1531</v>
      </c>
      <c r="H131">
        <v>55</v>
      </c>
    </row>
    <row r="132" spans="1:8" x14ac:dyDescent="0.2">
      <c r="A132" t="s">
        <v>1220</v>
      </c>
      <c r="B132" t="s">
        <v>850</v>
      </c>
      <c r="C132" t="s">
        <v>790</v>
      </c>
      <c r="E132" t="s">
        <v>785</v>
      </c>
      <c r="F132">
        <v>-112</v>
      </c>
      <c r="G132">
        <v>852</v>
      </c>
      <c r="H132">
        <v>105</v>
      </c>
    </row>
    <row r="133" spans="1:8" x14ac:dyDescent="0.2">
      <c r="A133" t="s">
        <v>1225</v>
      </c>
      <c r="B133" t="s">
        <v>850</v>
      </c>
      <c r="C133" t="s">
        <v>799</v>
      </c>
      <c r="E133" t="s">
        <v>785</v>
      </c>
      <c r="F133">
        <v>-4140</v>
      </c>
      <c r="G133">
        <v>1677</v>
      </c>
      <c r="H133">
        <v>130</v>
      </c>
    </row>
    <row r="134" spans="1:8" x14ac:dyDescent="0.2">
      <c r="A134" t="s">
        <v>1037</v>
      </c>
      <c r="B134" t="s">
        <v>850</v>
      </c>
      <c r="C134" t="s">
        <v>2129</v>
      </c>
      <c r="E134" t="s">
        <v>785</v>
      </c>
      <c r="F134">
        <v>1006</v>
      </c>
      <c r="G134">
        <v>-886</v>
      </c>
      <c r="H134">
        <v>36</v>
      </c>
    </row>
    <row r="135" spans="1:8" x14ac:dyDescent="0.2">
      <c r="A135" t="s">
        <v>1255</v>
      </c>
      <c r="B135" t="s">
        <v>850</v>
      </c>
      <c r="C135" t="s">
        <v>798</v>
      </c>
      <c r="E135" t="s">
        <v>785</v>
      </c>
      <c r="F135">
        <v>-2799</v>
      </c>
      <c r="G135">
        <v>-2855</v>
      </c>
      <c r="H135">
        <v>23</v>
      </c>
    </row>
    <row r="136" spans="1:8" x14ac:dyDescent="0.2">
      <c r="A136" t="s">
        <v>845</v>
      </c>
      <c r="B136" t="s">
        <v>850</v>
      </c>
      <c r="C136" t="s">
        <v>806</v>
      </c>
      <c r="E136" t="s">
        <v>785</v>
      </c>
      <c r="F136">
        <v>1844</v>
      </c>
      <c r="G136">
        <v>-903</v>
      </c>
      <c r="H136">
        <v>154</v>
      </c>
    </row>
    <row r="137" spans="1:8" x14ac:dyDescent="0.2">
      <c r="A137" t="s">
        <v>1257</v>
      </c>
      <c r="B137" t="s">
        <v>850</v>
      </c>
      <c r="C137" t="s">
        <v>790</v>
      </c>
      <c r="E137" t="s">
        <v>785</v>
      </c>
      <c r="F137">
        <v>18</v>
      </c>
      <c r="G137">
        <v>-1561</v>
      </c>
      <c r="H137">
        <v>-47</v>
      </c>
    </row>
    <row r="138" spans="1:8" x14ac:dyDescent="0.2">
      <c r="A138" t="s">
        <v>1266</v>
      </c>
      <c r="B138" t="s">
        <v>850</v>
      </c>
      <c r="C138" t="s">
        <v>2904</v>
      </c>
      <c r="E138" t="s">
        <v>1002</v>
      </c>
      <c r="F138">
        <v>1327</v>
      </c>
      <c r="G138">
        <v>3730</v>
      </c>
      <c r="H138">
        <v>-560</v>
      </c>
    </row>
    <row r="139" spans="1:8" x14ac:dyDescent="0.2">
      <c r="A139" t="s">
        <v>1267</v>
      </c>
      <c r="B139" t="s">
        <v>850</v>
      </c>
      <c r="C139" t="s">
        <v>792</v>
      </c>
      <c r="E139" t="s">
        <v>785</v>
      </c>
      <c r="F139">
        <v>1502</v>
      </c>
      <c r="G139">
        <v>3763</v>
      </c>
      <c r="H139">
        <v>104</v>
      </c>
    </row>
    <row r="140" spans="1:8" x14ac:dyDescent="0.2">
      <c r="A140" s="16" t="s">
        <v>2924</v>
      </c>
      <c r="B140" t="s">
        <v>850</v>
      </c>
      <c r="C140" t="s">
        <v>790</v>
      </c>
      <c r="E140" t="s">
        <v>785</v>
      </c>
      <c r="F140" t="s">
        <v>2430</v>
      </c>
      <c r="G140" t="s">
        <v>2430</v>
      </c>
      <c r="H140" t="s">
        <v>2430</v>
      </c>
    </row>
    <row r="141" spans="1:8" x14ac:dyDescent="0.2">
      <c r="A141" t="s">
        <v>1274</v>
      </c>
      <c r="B141" t="s">
        <v>850</v>
      </c>
      <c r="C141" t="s">
        <v>807</v>
      </c>
      <c r="E141" t="s">
        <v>785</v>
      </c>
      <c r="F141">
        <v>4527</v>
      </c>
      <c r="G141">
        <v>-3343</v>
      </c>
      <c r="H141">
        <v>0</v>
      </c>
    </row>
    <row r="142" spans="1:8" x14ac:dyDescent="0.2">
      <c r="A142" t="s">
        <v>1280</v>
      </c>
      <c r="B142" t="s">
        <v>850</v>
      </c>
      <c r="C142" t="s">
        <v>2925</v>
      </c>
      <c r="E142" t="s">
        <v>783</v>
      </c>
      <c r="F142">
        <v>144</v>
      </c>
      <c r="G142">
        <v>-2473</v>
      </c>
      <c r="H142">
        <v>959</v>
      </c>
    </row>
    <row r="143" spans="1:8" x14ac:dyDescent="0.2">
      <c r="A143" t="s">
        <v>1281</v>
      </c>
      <c r="B143" t="s">
        <v>850</v>
      </c>
      <c r="C143" t="s">
        <v>806</v>
      </c>
      <c r="E143" t="s">
        <v>785</v>
      </c>
      <c r="F143">
        <v>407</v>
      </c>
      <c r="G143">
        <v>-3002</v>
      </c>
      <c r="H143">
        <v>12</v>
      </c>
    </row>
    <row r="144" spans="1:8" x14ac:dyDescent="0.2">
      <c r="A144" t="s">
        <v>1287</v>
      </c>
      <c r="B144" t="s">
        <v>850</v>
      </c>
      <c r="C144" t="s">
        <v>790</v>
      </c>
      <c r="E144" t="s">
        <v>785</v>
      </c>
      <c r="F144">
        <v>-356</v>
      </c>
      <c r="G144">
        <v>829</v>
      </c>
      <c r="H144">
        <v>110</v>
      </c>
    </row>
    <row r="145" spans="1:8" x14ac:dyDescent="0.2">
      <c r="A145" t="s">
        <v>2926</v>
      </c>
      <c r="B145" t="s">
        <v>850</v>
      </c>
      <c r="C145" t="s">
        <v>2851</v>
      </c>
      <c r="E145" t="s">
        <v>1002</v>
      </c>
      <c r="F145">
        <v>-332</v>
      </c>
      <c r="G145">
        <v>787</v>
      </c>
      <c r="H145">
        <v>-1249</v>
      </c>
    </row>
    <row r="146" spans="1:8" x14ac:dyDescent="0.2">
      <c r="A146" t="s">
        <v>1005</v>
      </c>
      <c r="B146" t="s">
        <v>850</v>
      </c>
      <c r="C146" t="s">
        <v>790</v>
      </c>
      <c r="E146" t="s">
        <v>785</v>
      </c>
      <c r="F146">
        <v>-1652</v>
      </c>
      <c r="G146">
        <v>-2012</v>
      </c>
      <c r="H146">
        <v>-15</v>
      </c>
    </row>
    <row r="147" spans="1:8" x14ac:dyDescent="0.2">
      <c r="A147" t="s">
        <v>1309</v>
      </c>
      <c r="B147" t="s">
        <v>850</v>
      </c>
      <c r="C147" t="s">
        <v>2852</v>
      </c>
      <c r="E147" t="s">
        <v>1002</v>
      </c>
      <c r="F147">
        <v>-4548</v>
      </c>
      <c r="G147">
        <v>-3718</v>
      </c>
      <c r="H147">
        <v>-477</v>
      </c>
    </row>
    <row r="148" spans="1:8" x14ac:dyDescent="0.2">
      <c r="A148" s="16" t="s">
        <v>2987</v>
      </c>
      <c r="B148" t="s">
        <v>850</v>
      </c>
      <c r="D148">
        <v>14</v>
      </c>
      <c r="E148" t="s">
        <v>785</v>
      </c>
      <c r="F148">
        <v>-3888</v>
      </c>
      <c r="G148">
        <v>-2970</v>
      </c>
      <c r="H148">
        <v>33</v>
      </c>
    </row>
    <row r="149" spans="1:8" x14ac:dyDescent="0.2">
      <c r="A149" t="s">
        <v>1314</v>
      </c>
      <c r="B149" t="s">
        <v>850</v>
      </c>
      <c r="C149" t="s">
        <v>2852</v>
      </c>
      <c r="E149" t="s">
        <v>1002</v>
      </c>
      <c r="F149">
        <v>-4124</v>
      </c>
      <c r="G149">
        <v>-3798</v>
      </c>
      <c r="H149">
        <v>-471</v>
      </c>
    </row>
    <row r="150" spans="1:8" x14ac:dyDescent="0.2">
      <c r="A150" t="s">
        <v>1319</v>
      </c>
      <c r="B150" t="s">
        <v>850</v>
      </c>
      <c r="C150" t="s">
        <v>799</v>
      </c>
      <c r="E150" t="s">
        <v>785</v>
      </c>
      <c r="F150">
        <v>-3947</v>
      </c>
      <c r="G150">
        <v>1127</v>
      </c>
      <c r="H150">
        <v>102</v>
      </c>
    </row>
    <row r="151" spans="1:8" x14ac:dyDescent="0.2">
      <c r="A151" t="s">
        <v>1321</v>
      </c>
      <c r="B151" t="s">
        <v>850</v>
      </c>
      <c r="C151" t="s">
        <v>2854</v>
      </c>
      <c r="E151" t="s">
        <v>1002</v>
      </c>
      <c r="F151">
        <v>133</v>
      </c>
      <c r="G151">
        <v>3125</v>
      </c>
      <c r="H151">
        <v>-622</v>
      </c>
    </row>
    <row r="152" spans="1:8" x14ac:dyDescent="0.2">
      <c r="A152" t="s">
        <v>2927</v>
      </c>
      <c r="B152" t="s">
        <v>850</v>
      </c>
      <c r="C152" t="s">
        <v>2851</v>
      </c>
      <c r="E152" t="s">
        <v>1002</v>
      </c>
      <c r="F152" t="s">
        <v>2430</v>
      </c>
      <c r="G152" t="s">
        <v>2430</v>
      </c>
      <c r="H152" t="s">
        <v>2430</v>
      </c>
    </row>
    <row r="153" spans="1:8" x14ac:dyDescent="0.2">
      <c r="A153" t="s">
        <v>2928</v>
      </c>
      <c r="B153" t="s">
        <v>850</v>
      </c>
      <c r="C153" t="s">
        <v>2851</v>
      </c>
      <c r="E153" t="s">
        <v>1002</v>
      </c>
      <c r="F153">
        <v>-263</v>
      </c>
      <c r="G153">
        <v>1035</v>
      </c>
      <c r="H153">
        <v>-1614</v>
      </c>
    </row>
    <row r="154" spans="1:8" x14ac:dyDescent="0.2">
      <c r="A154" t="s">
        <v>1323</v>
      </c>
      <c r="B154" t="s">
        <v>850</v>
      </c>
      <c r="C154" t="s">
        <v>800</v>
      </c>
      <c r="E154" t="s">
        <v>785</v>
      </c>
      <c r="F154">
        <v>-3442</v>
      </c>
      <c r="G154">
        <v>3546</v>
      </c>
      <c r="H154">
        <v>-106</v>
      </c>
    </row>
    <row r="155" spans="1:8" x14ac:dyDescent="0.2">
      <c r="A155" t="s">
        <v>1327</v>
      </c>
      <c r="B155" t="s">
        <v>850</v>
      </c>
      <c r="C155" t="s">
        <v>803</v>
      </c>
      <c r="E155" t="s">
        <v>785</v>
      </c>
      <c r="F155">
        <v>1620</v>
      </c>
      <c r="G155">
        <v>-282</v>
      </c>
      <c r="H155">
        <v>4</v>
      </c>
    </row>
    <row r="156" spans="1:8" x14ac:dyDescent="0.2">
      <c r="A156" t="s">
        <v>1345</v>
      </c>
      <c r="B156" t="s">
        <v>850</v>
      </c>
      <c r="C156" t="s">
        <v>790</v>
      </c>
      <c r="E156" t="s">
        <v>785</v>
      </c>
      <c r="F156">
        <v>-369</v>
      </c>
      <c r="G156">
        <v>847</v>
      </c>
      <c r="H156">
        <v>72</v>
      </c>
    </row>
    <row r="157" spans="1:8" x14ac:dyDescent="0.2">
      <c r="A157" t="s">
        <v>1347</v>
      </c>
      <c r="B157" t="s">
        <v>850</v>
      </c>
      <c r="C157" t="s">
        <v>794</v>
      </c>
      <c r="E157" t="s">
        <v>785</v>
      </c>
      <c r="F157">
        <v>1004</v>
      </c>
      <c r="G157">
        <v>-3457</v>
      </c>
      <c r="H157">
        <v>-91</v>
      </c>
    </row>
    <row r="158" spans="1:8" x14ac:dyDescent="0.2">
      <c r="A158" t="s">
        <v>1045</v>
      </c>
      <c r="B158" t="s">
        <v>850</v>
      </c>
      <c r="C158" t="s">
        <v>791</v>
      </c>
      <c r="E158" t="s">
        <v>785</v>
      </c>
      <c r="F158">
        <v>2616</v>
      </c>
      <c r="G158">
        <v>3464</v>
      </c>
      <c r="H158">
        <v>338</v>
      </c>
    </row>
    <row r="159" spans="1:8" x14ac:dyDescent="0.2">
      <c r="A159" t="s">
        <v>1353</v>
      </c>
      <c r="B159" t="s">
        <v>850</v>
      </c>
      <c r="C159" t="s">
        <v>805</v>
      </c>
      <c r="E159" t="s">
        <v>785</v>
      </c>
      <c r="F159">
        <v>3778</v>
      </c>
      <c r="G159">
        <v>-2127</v>
      </c>
      <c r="H159">
        <v>230</v>
      </c>
    </row>
    <row r="160" spans="1:8" x14ac:dyDescent="0.2">
      <c r="A160" t="s">
        <v>1356</v>
      </c>
      <c r="B160" t="s">
        <v>850</v>
      </c>
      <c r="C160" t="s">
        <v>1358</v>
      </c>
      <c r="E160" t="s">
        <v>785</v>
      </c>
      <c r="F160">
        <v>3619</v>
      </c>
      <c r="G160">
        <v>-2095</v>
      </c>
      <c r="H160">
        <v>178</v>
      </c>
    </row>
    <row r="161" spans="1:8" x14ac:dyDescent="0.2">
      <c r="A161" t="s">
        <v>1357</v>
      </c>
      <c r="B161" t="s">
        <v>850</v>
      </c>
      <c r="C161" t="s">
        <v>1358</v>
      </c>
      <c r="E161" t="s">
        <v>785</v>
      </c>
      <c r="F161">
        <v>3367</v>
      </c>
      <c r="G161">
        <v>-1975</v>
      </c>
      <c r="H161">
        <v>142</v>
      </c>
    </row>
    <row r="162" spans="1:8" x14ac:dyDescent="0.2">
      <c r="A162" t="s">
        <v>1365</v>
      </c>
      <c r="B162" t="s">
        <v>850</v>
      </c>
      <c r="C162" t="s">
        <v>2864</v>
      </c>
      <c r="E162" t="s">
        <v>1002</v>
      </c>
      <c r="F162">
        <v>-3633</v>
      </c>
      <c r="G162">
        <v>3708</v>
      </c>
      <c r="H162">
        <v>-785</v>
      </c>
    </row>
    <row r="163" spans="1:8" x14ac:dyDescent="0.2">
      <c r="A163" t="s">
        <v>1047</v>
      </c>
      <c r="B163" t="s">
        <v>850</v>
      </c>
      <c r="C163" t="s">
        <v>800</v>
      </c>
      <c r="E163" t="s">
        <v>785</v>
      </c>
      <c r="F163">
        <v>-3584</v>
      </c>
      <c r="G163">
        <v>2246</v>
      </c>
      <c r="H163">
        <v>140</v>
      </c>
    </row>
    <row r="164" spans="1:8" x14ac:dyDescent="0.2">
      <c r="A164" t="s">
        <v>1377</v>
      </c>
      <c r="B164" t="s">
        <v>850</v>
      </c>
      <c r="C164" t="s">
        <v>789</v>
      </c>
      <c r="E164" t="s">
        <v>785</v>
      </c>
      <c r="F164">
        <v>396</v>
      </c>
      <c r="G164">
        <v>1154</v>
      </c>
      <c r="H164">
        <v>20</v>
      </c>
    </row>
    <row r="165" spans="1:8" x14ac:dyDescent="0.2">
      <c r="A165" t="s">
        <v>1388</v>
      </c>
      <c r="B165" t="s">
        <v>850</v>
      </c>
      <c r="C165" t="s">
        <v>806</v>
      </c>
      <c r="E165" t="s">
        <v>785</v>
      </c>
      <c r="F165">
        <v>709</v>
      </c>
      <c r="G165">
        <v>-993</v>
      </c>
      <c r="H165">
        <v>12</v>
      </c>
    </row>
    <row r="166" spans="1:8" x14ac:dyDescent="0.2">
      <c r="A166" t="s">
        <v>1049</v>
      </c>
      <c r="B166" t="s">
        <v>850</v>
      </c>
      <c r="C166" t="s">
        <v>790</v>
      </c>
      <c r="E166" t="s">
        <v>785</v>
      </c>
      <c r="F166">
        <v>-254</v>
      </c>
      <c r="G166">
        <v>376</v>
      </c>
      <c r="H166">
        <v>-147</v>
      </c>
    </row>
    <row r="167" spans="1:8" x14ac:dyDescent="0.2">
      <c r="A167" t="s">
        <v>1396</v>
      </c>
      <c r="B167" t="s">
        <v>850</v>
      </c>
      <c r="C167" t="s">
        <v>790</v>
      </c>
      <c r="E167" t="s">
        <v>785</v>
      </c>
      <c r="F167">
        <v>192</v>
      </c>
      <c r="G167">
        <v>926</v>
      </c>
      <c r="H167">
        <v>47</v>
      </c>
    </row>
    <row r="168" spans="1:8" x14ac:dyDescent="0.2">
      <c r="A168" t="s">
        <v>2929</v>
      </c>
      <c r="B168" t="s">
        <v>850</v>
      </c>
      <c r="C168" t="s">
        <v>2851</v>
      </c>
      <c r="E168" t="s">
        <v>1002</v>
      </c>
      <c r="F168">
        <v>-267</v>
      </c>
      <c r="G168">
        <v>997</v>
      </c>
      <c r="H168">
        <v>-1294</v>
      </c>
    </row>
    <row r="169" spans="1:8" x14ac:dyDescent="0.2">
      <c r="A169" t="s">
        <v>1402</v>
      </c>
      <c r="B169" t="s">
        <v>850</v>
      </c>
      <c r="C169" t="s">
        <v>801</v>
      </c>
      <c r="E169" t="s">
        <v>785</v>
      </c>
      <c r="F169">
        <v>2344</v>
      </c>
      <c r="G169">
        <v>249</v>
      </c>
      <c r="H169">
        <v>14</v>
      </c>
    </row>
    <row r="170" spans="1:8" x14ac:dyDescent="0.2">
      <c r="A170" t="s">
        <v>1407</v>
      </c>
      <c r="B170" t="s">
        <v>850</v>
      </c>
      <c r="C170" t="s">
        <v>790</v>
      </c>
      <c r="E170" t="s">
        <v>785</v>
      </c>
      <c r="F170">
        <v>-1690</v>
      </c>
      <c r="G170">
        <v>-131</v>
      </c>
      <c r="H170">
        <v>85</v>
      </c>
    </row>
    <row r="171" spans="1:8" x14ac:dyDescent="0.2">
      <c r="A171" t="s">
        <v>1411</v>
      </c>
      <c r="B171" t="s">
        <v>850</v>
      </c>
      <c r="C171" t="s">
        <v>806</v>
      </c>
      <c r="E171" t="s">
        <v>785</v>
      </c>
      <c r="F171">
        <v>1800</v>
      </c>
      <c r="G171">
        <v>-1484</v>
      </c>
      <c r="H171">
        <v>26</v>
      </c>
    </row>
    <row r="172" spans="1:8" x14ac:dyDescent="0.2">
      <c r="A172" t="s">
        <v>1425</v>
      </c>
      <c r="B172" t="s">
        <v>850</v>
      </c>
      <c r="C172" t="s">
        <v>790</v>
      </c>
      <c r="E172" t="s">
        <v>785</v>
      </c>
      <c r="F172">
        <v>-436</v>
      </c>
      <c r="G172">
        <v>-1278</v>
      </c>
      <c r="H172">
        <v>30</v>
      </c>
    </row>
    <row r="173" spans="1:8" x14ac:dyDescent="0.2">
      <c r="A173" t="s">
        <v>1429</v>
      </c>
      <c r="B173" t="s">
        <v>850</v>
      </c>
      <c r="C173" t="s">
        <v>789</v>
      </c>
      <c r="E173" t="s">
        <v>785</v>
      </c>
      <c r="F173">
        <v>419</v>
      </c>
      <c r="G173">
        <v>2140</v>
      </c>
      <c r="H173">
        <v>-106</v>
      </c>
    </row>
    <row r="174" spans="1:8" x14ac:dyDescent="0.2">
      <c r="A174" t="s">
        <v>1430</v>
      </c>
      <c r="B174" t="s">
        <v>850</v>
      </c>
      <c r="C174" t="s">
        <v>2854</v>
      </c>
      <c r="E174" t="s">
        <v>1002</v>
      </c>
      <c r="F174">
        <v>406</v>
      </c>
      <c r="G174">
        <v>2100</v>
      </c>
      <c r="H174">
        <v>-560</v>
      </c>
    </row>
    <row r="175" spans="1:8" x14ac:dyDescent="0.2">
      <c r="A175" t="s">
        <v>1452</v>
      </c>
      <c r="B175" t="s">
        <v>850</v>
      </c>
      <c r="C175" t="s">
        <v>805</v>
      </c>
      <c r="E175" t="s">
        <v>785</v>
      </c>
      <c r="F175">
        <v>3222</v>
      </c>
      <c r="G175">
        <v>-1172</v>
      </c>
      <c r="H175">
        <v>157</v>
      </c>
    </row>
    <row r="176" spans="1:8" x14ac:dyDescent="0.2">
      <c r="A176" t="s">
        <v>1459</v>
      </c>
      <c r="B176" t="s">
        <v>850</v>
      </c>
      <c r="C176" t="s">
        <v>2866</v>
      </c>
      <c r="E176" t="s">
        <v>1002</v>
      </c>
      <c r="F176">
        <v>706</v>
      </c>
      <c r="G176">
        <v>-2432</v>
      </c>
      <c r="H176">
        <v>-524</v>
      </c>
    </row>
    <row r="177" spans="1:8" x14ac:dyDescent="0.2">
      <c r="A177" t="s">
        <v>1011</v>
      </c>
      <c r="B177" t="s">
        <v>850</v>
      </c>
      <c r="C177" t="s">
        <v>2866</v>
      </c>
      <c r="E177" t="s">
        <v>1002</v>
      </c>
      <c r="F177">
        <v>1016</v>
      </c>
      <c r="G177">
        <v>-2293</v>
      </c>
      <c r="H177">
        <v>-533</v>
      </c>
    </row>
    <row r="178" spans="1:8" x14ac:dyDescent="0.2">
      <c r="A178" t="s">
        <v>1012</v>
      </c>
      <c r="B178" t="s">
        <v>850</v>
      </c>
      <c r="C178" t="s">
        <v>2930</v>
      </c>
      <c r="E178" t="s">
        <v>783</v>
      </c>
      <c r="F178">
        <v>-3593</v>
      </c>
      <c r="G178">
        <v>943</v>
      </c>
      <c r="H178">
        <v>1731</v>
      </c>
    </row>
    <row r="179" spans="1:8" x14ac:dyDescent="0.2">
      <c r="A179" t="s">
        <v>1465</v>
      </c>
      <c r="B179" t="s">
        <v>850</v>
      </c>
      <c r="C179" t="s">
        <v>782</v>
      </c>
      <c r="E179" t="s">
        <v>785</v>
      </c>
      <c r="F179">
        <v>4208</v>
      </c>
      <c r="G179">
        <v>1380</v>
      </c>
      <c r="H179">
        <v>208</v>
      </c>
    </row>
    <row r="180" spans="1:8" x14ac:dyDescent="0.2">
      <c r="A180" t="s">
        <v>2931</v>
      </c>
      <c r="B180" t="s">
        <v>850</v>
      </c>
      <c r="C180" t="s">
        <v>789</v>
      </c>
      <c r="E180" t="s">
        <v>785</v>
      </c>
      <c r="F180" t="s">
        <v>2430</v>
      </c>
      <c r="G180" t="s">
        <v>2430</v>
      </c>
      <c r="H180" t="s">
        <v>2430</v>
      </c>
    </row>
    <row r="181" spans="1:8" x14ac:dyDescent="0.2">
      <c r="A181" s="16" t="s">
        <v>1477</v>
      </c>
      <c r="B181" t="s">
        <v>850</v>
      </c>
      <c r="C181" t="s">
        <v>799</v>
      </c>
      <c r="E181" t="s">
        <v>785</v>
      </c>
      <c r="F181">
        <v>-3256</v>
      </c>
      <c r="G181">
        <v>1758</v>
      </c>
      <c r="H181">
        <v>151</v>
      </c>
    </row>
    <row r="182" spans="1:8" x14ac:dyDescent="0.2">
      <c r="A182" t="s">
        <v>1482</v>
      </c>
      <c r="B182" t="s">
        <v>850</v>
      </c>
      <c r="C182" t="s">
        <v>1480</v>
      </c>
      <c r="E182" t="s">
        <v>785</v>
      </c>
      <c r="F182">
        <v>2978</v>
      </c>
      <c r="G182">
        <v>-3690</v>
      </c>
      <c r="H182">
        <v>2</v>
      </c>
    </row>
    <row r="183" spans="1:8" x14ac:dyDescent="0.2">
      <c r="A183" t="s">
        <v>1485</v>
      </c>
      <c r="B183" t="s">
        <v>850</v>
      </c>
      <c r="C183" t="s">
        <v>790</v>
      </c>
      <c r="E183" t="s">
        <v>785</v>
      </c>
      <c r="F183">
        <v>-37</v>
      </c>
      <c r="G183">
        <v>-186</v>
      </c>
      <c r="H183">
        <v>-106</v>
      </c>
    </row>
    <row r="184" spans="1:8" x14ac:dyDescent="0.2">
      <c r="A184" t="s">
        <v>1493</v>
      </c>
      <c r="B184" t="s">
        <v>850</v>
      </c>
      <c r="C184" t="s">
        <v>790</v>
      </c>
      <c r="E184" t="s">
        <v>785</v>
      </c>
      <c r="F184">
        <v>-1813</v>
      </c>
      <c r="G184">
        <v>1612</v>
      </c>
      <c r="H184">
        <v>106</v>
      </c>
    </row>
    <row r="185" spans="1:8" x14ac:dyDescent="0.2">
      <c r="A185" t="s">
        <v>1498</v>
      </c>
      <c r="B185" t="s">
        <v>850</v>
      </c>
      <c r="C185" t="s">
        <v>2856</v>
      </c>
      <c r="E185" t="s">
        <v>1002</v>
      </c>
      <c r="F185">
        <v>2253</v>
      </c>
      <c r="G185">
        <v>-2366</v>
      </c>
      <c r="H185">
        <v>-556</v>
      </c>
    </row>
    <row r="186" spans="1:8" x14ac:dyDescent="0.2">
      <c r="A186" t="s">
        <v>1509</v>
      </c>
      <c r="B186" t="s">
        <v>850</v>
      </c>
      <c r="C186" t="s">
        <v>790</v>
      </c>
      <c r="E186" t="s">
        <v>785</v>
      </c>
      <c r="F186">
        <v>-1687</v>
      </c>
      <c r="G186">
        <v>-1668</v>
      </c>
      <c r="H186">
        <v>20</v>
      </c>
    </row>
    <row r="187" spans="1:8" x14ac:dyDescent="0.2">
      <c r="A187" t="s">
        <v>1514</v>
      </c>
      <c r="B187" t="s">
        <v>850</v>
      </c>
      <c r="C187" t="s">
        <v>790</v>
      </c>
      <c r="E187" t="s">
        <v>785</v>
      </c>
      <c r="F187">
        <v>599</v>
      </c>
      <c r="G187">
        <v>660</v>
      </c>
      <c r="H187">
        <v>21</v>
      </c>
    </row>
    <row r="188" spans="1:8" x14ac:dyDescent="0.2">
      <c r="A188" t="s">
        <v>1516</v>
      </c>
      <c r="B188" t="s">
        <v>850</v>
      </c>
      <c r="C188" t="s">
        <v>1707</v>
      </c>
      <c r="E188" t="s">
        <v>785</v>
      </c>
      <c r="F188">
        <v>3960</v>
      </c>
      <c r="G188">
        <v>1653</v>
      </c>
      <c r="H188">
        <v>129</v>
      </c>
    </row>
    <row r="189" spans="1:8" x14ac:dyDescent="0.2">
      <c r="A189" t="s">
        <v>1517</v>
      </c>
      <c r="B189" t="s">
        <v>850</v>
      </c>
      <c r="C189" t="s">
        <v>803</v>
      </c>
      <c r="E189" t="s">
        <v>785</v>
      </c>
      <c r="F189">
        <v>1527</v>
      </c>
      <c r="G189">
        <v>218</v>
      </c>
      <c r="H189">
        <v>-38</v>
      </c>
    </row>
    <row r="190" spans="1:8" x14ac:dyDescent="0.2">
      <c r="A190" t="s">
        <v>1546</v>
      </c>
      <c r="B190" t="s">
        <v>850</v>
      </c>
      <c r="C190" t="s">
        <v>2932</v>
      </c>
      <c r="E190" t="s">
        <v>783</v>
      </c>
      <c r="F190">
        <v>4310</v>
      </c>
      <c r="G190">
        <v>2930</v>
      </c>
      <c r="H190">
        <v>1008</v>
      </c>
    </row>
    <row r="191" spans="1:8" x14ac:dyDescent="0.2">
      <c r="A191" t="s">
        <v>1548</v>
      </c>
      <c r="B191" t="s">
        <v>850</v>
      </c>
      <c r="C191" t="s">
        <v>798</v>
      </c>
      <c r="E191" t="s">
        <v>785</v>
      </c>
      <c r="F191">
        <v>-3763</v>
      </c>
      <c r="G191">
        <v>-2701</v>
      </c>
      <c r="H191">
        <v>35</v>
      </c>
    </row>
    <row r="192" spans="1:8" x14ac:dyDescent="0.2">
      <c r="A192" t="s">
        <v>1555</v>
      </c>
      <c r="B192" t="s">
        <v>850</v>
      </c>
      <c r="C192" t="s">
        <v>798</v>
      </c>
      <c r="E192" t="s">
        <v>785</v>
      </c>
      <c r="F192">
        <v>-3749</v>
      </c>
      <c r="G192">
        <v>-2291</v>
      </c>
      <c r="H192">
        <v>26</v>
      </c>
    </row>
    <row r="193" spans="1:8" x14ac:dyDescent="0.2">
      <c r="A193" t="s">
        <v>1560</v>
      </c>
      <c r="B193" t="s">
        <v>850</v>
      </c>
      <c r="C193" t="s">
        <v>790</v>
      </c>
      <c r="E193" t="s">
        <v>785</v>
      </c>
      <c r="F193">
        <v>517</v>
      </c>
      <c r="G193">
        <v>497</v>
      </c>
      <c r="H193">
        <v>-15</v>
      </c>
    </row>
    <row r="194" spans="1:8" x14ac:dyDescent="0.2">
      <c r="A194" t="s">
        <v>1568</v>
      </c>
      <c r="B194" t="s">
        <v>850</v>
      </c>
      <c r="C194" t="s">
        <v>805</v>
      </c>
      <c r="E194" t="s">
        <v>785</v>
      </c>
      <c r="F194">
        <v>3548</v>
      </c>
      <c r="G194">
        <v>-3407</v>
      </c>
      <c r="H194">
        <v>8</v>
      </c>
    </row>
    <row r="195" spans="1:8" x14ac:dyDescent="0.2">
      <c r="A195" t="s">
        <v>1586</v>
      </c>
      <c r="B195" t="s">
        <v>850</v>
      </c>
      <c r="C195" t="s">
        <v>790</v>
      </c>
      <c r="E195" t="s">
        <v>785</v>
      </c>
      <c r="F195">
        <v>153</v>
      </c>
      <c r="G195">
        <v>-1604</v>
      </c>
      <c r="H195">
        <v>23</v>
      </c>
    </row>
    <row r="196" spans="1:8" x14ac:dyDescent="0.2">
      <c r="A196" t="s">
        <v>1598</v>
      </c>
      <c r="B196" t="s">
        <v>850</v>
      </c>
      <c r="C196" t="s">
        <v>789</v>
      </c>
      <c r="E196" t="s">
        <v>785</v>
      </c>
      <c r="F196">
        <v>676</v>
      </c>
      <c r="G196">
        <v>1283</v>
      </c>
      <c r="H196">
        <v>40</v>
      </c>
    </row>
    <row r="197" spans="1:8" x14ac:dyDescent="0.2">
      <c r="A197" t="s">
        <v>1081</v>
      </c>
      <c r="B197" t="s">
        <v>850</v>
      </c>
      <c r="C197" t="s">
        <v>790</v>
      </c>
      <c r="E197" t="s">
        <v>785</v>
      </c>
      <c r="F197">
        <v>821</v>
      </c>
      <c r="G197">
        <v>-21</v>
      </c>
      <c r="H197">
        <v>26</v>
      </c>
    </row>
    <row r="198" spans="1:8" x14ac:dyDescent="0.2">
      <c r="A198" t="s">
        <v>1605</v>
      </c>
      <c r="B198" t="s">
        <v>850</v>
      </c>
      <c r="C198" t="s">
        <v>2860</v>
      </c>
      <c r="E198" t="s">
        <v>1002</v>
      </c>
      <c r="F198">
        <v>3832</v>
      </c>
      <c r="G198">
        <v>-2028</v>
      </c>
      <c r="H198">
        <v>-458</v>
      </c>
    </row>
    <row r="199" spans="1:8" x14ac:dyDescent="0.2">
      <c r="A199" t="s">
        <v>1607</v>
      </c>
      <c r="B199" t="s">
        <v>850</v>
      </c>
      <c r="C199" t="s">
        <v>2856</v>
      </c>
      <c r="E199" t="s">
        <v>1002</v>
      </c>
      <c r="F199">
        <v>569</v>
      </c>
      <c r="G199">
        <v>-2112</v>
      </c>
      <c r="H199">
        <v>-509</v>
      </c>
    </row>
    <row r="200" spans="1:8" x14ac:dyDescent="0.2">
      <c r="A200" t="s">
        <v>1608</v>
      </c>
      <c r="B200" t="s">
        <v>850</v>
      </c>
      <c r="C200" t="s">
        <v>2856</v>
      </c>
      <c r="E200" t="s">
        <v>1002</v>
      </c>
      <c r="F200">
        <v>1144</v>
      </c>
      <c r="G200">
        <v>-2117</v>
      </c>
      <c r="H200">
        <v>-440</v>
      </c>
    </row>
    <row r="201" spans="1:8" x14ac:dyDescent="0.2">
      <c r="A201" t="s">
        <v>1612</v>
      </c>
      <c r="B201" t="s">
        <v>850</v>
      </c>
      <c r="C201" t="s">
        <v>806</v>
      </c>
      <c r="E201" t="s">
        <v>785</v>
      </c>
      <c r="F201">
        <v>1812</v>
      </c>
      <c r="G201">
        <v>-952</v>
      </c>
      <c r="H201">
        <v>113</v>
      </c>
    </row>
    <row r="202" spans="1:8" x14ac:dyDescent="0.2">
      <c r="A202" t="s">
        <v>2593</v>
      </c>
      <c r="B202" t="s">
        <v>850</v>
      </c>
      <c r="C202" t="s">
        <v>2901</v>
      </c>
      <c r="E202" t="s">
        <v>783</v>
      </c>
      <c r="F202">
        <v>-2721</v>
      </c>
      <c r="G202">
        <v>2941</v>
      </c>
      <c r="H202">
        <v>890</v>
      </c>
    </row>
    <row r="203" spans="1:8" x14ac:dyDescent="0.2">
      <c r="A203" t="s">
        <v>2933</v>
      </c>
      <c r="B203" t="s">
        <v>850</v>
      </c>
      <c r="C203" t="s">
        <v>997</v>
      </c>
      <c r="E203" t="s">
        <v>783</v>
      </c>
      <c r="F203" t="s">
        <v>2430</v>
      </c>
      <c r="G203" t="s">
        <v>2430</v>
      </c>
      <c r="H203" t="s">
        <v>2430</v>
      </c>
    </row>
    <row r="204" spans="1:8" x14ac:dyDescent="0.2">
      <c r="A204" t="s">
        <v>1628</v>
      </c>
      <c r="B204" t="s">
        <v>850</v>
      </c>
      <c r="C204" t="s">
        <v>790</v>
      </c>
      <c r="E204" t="s">
        <v>785</v>
      </c>
      <c r="F204">
        <v>-1210</v>
      </c>
      <c r="G204">
        <v>1118</v>
      </c>
      <c r="H204">
        <v>102</v>
      </c>
    </row>
    <row r="205" spans="1:8" x14ac:dyDescent="0.2">
      <c r="A205" t="s">
        <v>1638</v>
      </c>
      <c r="B205" t="s">
        <v>850</v>
      </c>
      <c r="C205" t="s">
        <v>790</v>
      </c>
      <c r="E205" t="s">
        <v>785</v>
      </c>
      <c r="F205">
        <v>-1352</v>
      </c>
      <c r="G205">
        <v>-217</v>
      </c>
      <c r="H205">
        <v>-106</v>
      </c>
    </row>
    <row r="206" spans="1:8" x14ac:dyDescent="0.2">
      <c r="A206" t="s">
        <v>1645</v>
      </c>
      <c r="B206" t="s">
        <v>850</v>
      </c>
      <c r="C206" t="s">
        <v>806</v>
      </c>
      <c r="E206" t="s">
        <v>785</v>
      </c>
      <c r="F206">
        <v>1025</v>
      </c>
      <c r="G206">
        <v>-3235</v>
      </c>
      <c r="H206">
        <v>20</v>
      </c>
    </row>
    <row r="207" spans="1:8" x14ac:dyDescent="0.2">
      <c r="A207" t="s">
        <v>1650</v>
      </c>
      <c r="B207" t="s">
        <v>850</v>
      </c>
      <c r="C207" t="s">
        <v>790</v>
      </c>
      <c r="E207" t="s">
        <v>785</v>
      </c>
      <c r="F207">
        <v>-179</v>
      </c>
      <c r="G207">
        <v>872</v>
      </c>
      <c r="H207">
        <v>292</v>
      </c>
    </row>
    <row r="208" spans="1:8" x14ac:dyDescent="0.2">
      <c r="A208" t="s">
        <v>1651</v>
      </c>
      <c r="B208" t="s">
        <v>850</v>
      </c>
      <c r="C208" t="s">
        <v>2851</v>
      </c>
      <c r="E208" t="s">
        <v>1002</v>
      </c>
      <c r="F208">
        <v>-1099</v>
      </c>
      <c r="G208">
        <v>-1898</v>
      </c>
      <c r="H208">
        <v>-745</v>
      </c>
    </row>
    <row r="209" spans="1:8" x14ac:dyDescent="0.2">
      <c r="A209" t="s">
        <v>1652</v>
      </c>
      <c r="B209" t="s">
        <v>850</v>
      </c>
      <c r="E209" t="s">
        <v>2430</v>
      </c>
      <c r="F209">
        <v>-2958</v>
      </c>
      <c r="G209">
        <v>3136</v>
      </c>
      <c r="H209">
        <v>571</v>
      </c>
    </row>
    <row r="210" spans="1:8" x14ac:dyDescent="0.2">
      <c r="A210" t="s">
        <v>1654</v>
      </c>
      <c r="B210" t="s">
        <v>850</v>
      </c>
      <c r="C210" t="s">
        <v>791</v>
      </c>
      <c r="E210" t="s">
        <v>785</v>
      </c>
      <c r="F210">
        <v>3045</v>
      </c>
      <c r="G210">
        <v>2281</v>
      </c>
      <c r="H210">
        <v>339</v>
      </c>
    </row>
    <row r="211" spans="1:8" x14ac:dyDescent="0.2">
      <c r="A211" t="s">
        <v>1659</v>
      </c>
      <c r="B211" t="s">
        <v>850</v>
      </c>
      <c r="C211" t="s">
        <v>800</v>
      </c>
      <c r="E211" t="s">
        <v>785</v>
      </c>
      <c r="F211">
        <v>-4320</v>
      </c>
      <c r="G211">
        <v>3495</v>
      </c>
      <c r="H211">
        <v>355</v>
      </c>
    </row>
    <row r="212" spans="1:8" x14ac:dyDescent="0.2">
      <c r="A212" t="s">
        <v>1015</v>
      </c>
      <c r="B212" t="s">
        <v>850</v>
      </c>
      <c r="C212" t="s">
        <v>2900</v>
      </c>
      <c r="E212" t="s">
        <v>783</v>
      </c>
      <c r="F212">
        <v>4603</v>
      </c>
      <c r="G212">
        <v>2129</v>
      </c>
      <c r="H212">
        <v>1302</v>
      </c>
    </row>
    <row r="213" spans="1:8" x14ac:dyDescent="0.2">
      <c r="A213" t="s">
        <v>1668</v>
      </c>
      <c r="B213" t="s">
        <v>850</v>
      </c>
      <c r="C213" t="s">
        <v>2930</v>
      </c>
      <c r="E213" t="s">
        <v>783</v>
      </c>
      <c r="F213">
        <v>-3079</v>
      </c>
      <c r="G213">
        <v>2142</v>
      </c>
      <c r="H213">
        <v>647</v>
      </c>
    </row>
    <row r="214" spans="1:8" x14ac:dyDescent="0.2">
      <c r="A214" t="s">
        <v>1676</v>
      </c>
      <c r="B214" t="s">
        <v>850</v>
      </c>
      <c r="C214" t="s">
        <v>798</v>
      </c>
      <c r="E214" t="s">
        <v>785</v>
      </c>
      <c r="F214">
        <v>-3665</v>
      </c>
      <c r="G214">
        <v>-3631</v>
      </c>
      <c r="H214">
        <v>34</v>
      </c>
    </row>
    <row r="215" spans="1:8" x14ac:dyDescent="0.2">
      <c r="A215" t="s">
        <v>1090</v>
      </c>
      <c r="B215" t="s">
        <v>850</v>
      </c>
      <c r="C215" t="s">
        <v>2934</v>
      </c>
      <c r="E215" t="s">
        <v>785</v>
      </c>
      <c r="F215">
        <v>880</v>
      </c>
      <c r="G215">
        <v>-2388</v>
      </c>
      <c r="H215">
        <v>18</v>
      </c>
    </row>
    <row r="216" spans="1:8" x14ac:dyDescent="0.2">
      <c r="A216" t="s">
        <v>1021</v>
      </c>
      <c r="B216" t="s">
        <v>850</v>
      </c>
      <c r="C216" t="s">
        <v>2902</v>
      </c>
      <c r="E216" t="s">
        <v>783</v>
      </c>
      <c r="F216">
        <v>-3489</v>
      </c>
      <c r="G216">
        <v>-317</v>
      </c>
      <c r="H216">
        <v>1906</v>
      </c>
    </row>
    <row r="217" spans="1:8" x14ac:dyDescent="0.2">
      <c r="A217" t="s">
        <v>1683</v>
      </c>
      <c r="B217" t="s">
        <v>850</v>
      </c>
      <c r="C217" t="s">
        <v>797</v>
      </c>
      <c r="E217" t="s">
        <v>785</v>
      </c>
      <c r="F217">
        <v>-4363</v>
      </c>
      <c r="G217">
        <v>-502</v>
      </c>
      <c r="H217">
        <v>465</v>
      </c>
    </row>
    <row r="218" spans="1:8" x14ac:dyDescent="0.2">
      <c r="A218" t="s">
        <v>2935</v>
      </c>
      <c r="B218" t="s">
        <v>850</v>
      </c>
      <c r="C218" t="s">
        <v>798</v>
      </c>
      <c r="E218" t="s">
        <v>785</v>
      </c>
      <c r="F218" t="s">
        <v>2430</v>
      </c>
      <c r="G218" t="s">
        <v>2430</v>
      </c>
      <c r="H218" t="s">
        <v>2430</v>
      </c>
    </row>
    <row r="219" spans="1:8" x14ac:dyDescent="0.2">
      <c r="A219" t="s">
        <v>1685</v>
      </c>
      <c r="B219" t="s">
        <v>850</v>
      </c>
      <c r="C219" t="s">
        <v>791</v>
      </c>
      <c r="E219" t="s">
        <v>785</v>
      </c>
      <c r="F219">
        <v>1627</v>
      </c>
      <c r="G219">
        <v>2478</v>
      </c>
      <c r="H219">
        <v>454</v>
      </c>
    </row>
    <row r="220" spans="1:8" x14ac:dyDescent="0.2">
      <c r="A220" t="s">
        <v>1688</v>
      </c>
      <c r="B220" t="s">
        <v>850</v>
      </c>
      <c r="C220" t="s">
        <v>2864</v>
      </c>
      <c r="E220" t="s">
        <v>1002</v>
      </c>
      <c r="F220">
        <v>-4186</v>
      </c>
      <c r="G220">
        <v>2663</v>
      </c>
      <c r="H220">
        <v>-564</v>
      </c>
    </row>
    <row r="221" spans="1:8" x14ac:dyDescent="0.2">
      <c r="A221" t="s">
        <v>1092</v>
      </c>
      <c r="B221" t="s">
        <v>850</v>
      </c>
      <c r="C221" t="s">
        <v>787</v>
      </c>
      <c r="E221" t="s">
        <v>785</v>
      </c>
      <c r="F221">
        <v>-3111</v>
      </c>
      <c r="G221">
        <v>584</v>
      </c>
      <c r="H221">
        <v>159</v>
      </c>
    </row>
    <row r="222" spans="1:8" x14ac:dyDescent="0.2">
      <c r="A222" t="s">
        <v>1697</v>
      </c>
      <c r="B222" t="s">
        <v>850</v>
      </c>
      <c r="C222" t="s">
        <v>799</v>
      </c>
      <c r="E222" t="s">
        <v>785</v>
      </c>
      <c r="F222">
        <v>-2324</v>
      </c>
      <c r="G222">
        <v>1895</v>
      </c>
      <c r="H222">
        <v>172</v>
      </c>
    </row>
    <row r="223" spans="1:8" x14ac:dyDescent="0.2">
      <c r="A223" t="s">
        <v>1702</v>
      </c>
      <c r="B223" t="s">
        <v>850</v>
      </c>
      <c r="C223" t="s">
        <v>799</v>
      </c>
      <c r="E223" t="s">
        <v>785</v>
      </c>
      <c r="F223">
        <v>-2918</v>
      </c>
      <c r="G223">
        <v>1181</v>
      </c>
      <c r="H223">
        <v>-106</v>
      </c>
    </row>
    <row r="224" spans="1:8" x14ac:dyDescent="0.2">
      <c r="A224" t="s">
        <v>1708</v>
      </c>
      <c r="B224" t="s">
        <v>850</v>
      </c>
      <c r="C224" t="s">
        <v>1707</v>
      </c>
      <c r="E224" t="s">
        <v>785</v>
      </c>
      <c r="F224">
        <v>3744</v>
      </c>
      <c r="G224">
        <v>1679</v>
      </c>
      <c r="H224">
        <v>93</v>
      </c>
    </row>
    <row r="225" spans="1:8" x14ac:dyDescent="0.2">
      <c r="A225" t="s">
        <v>1712</v>
      </c>
      <c r="B225" t="s">
        <v>850</v>
      </c>
      <c r="C225" t="s">
        <v>790</v>
      </c>
      <c r="E225" t="s">
        <v>785</v>
      </c>
      <c r="F225">
        <v>-859</v>
      </c>
      <c r="G225">
        <v>-2035</v>
      </c>
      <c r="H225">
        <v>144</v>
      </c>
    </row>
    <row r="226" spans="1:8" x14ac:dyDescent="0.2">
      <c r="A226" t="s">
        <v>1096</v>
      </c>
      <c r="B226" t="s">
        <v>850</v>
      </c>
      <c r="C226" t="s">
        <v>790</v>
      </c>
      <c r="E226" t="s">
        <v>785</v>
      </c>
      <c r="F226">
        <v>1284</v>
      </c>
      <c r="G226">
        <v>690</v>
      </c>
      <c r="H226">
        <v>22</v>
      </c>
    </row>
    <row r="227" spans="1:8" x14ac:dyDescent="0.2">
      <c r="A227" t="s">
        <v>1097</v>
      </c>
      <c r="B227" t="s">
        <v>850</v>
      </c>
      <c r="C227" t="s">
        <v>789</v>
      </c>
      <c r="E227" t="s">
        <v>785</v>
      </c>
      <c r="F227">
        <v>327</v>
      </c>
      <c r="G227">
        <v>3080</v>
      </c>
      <c r="H227">
        <v>-106</v>
      </c>
    </row>
    <row r="228" spans="1:8" x14ac:dyDescent="0.2">
      <c r="A228" t="s">
        <v>1738</v>
      </c>
      <c r="B228" t="s">
        <v>850</v>
      </c>
      <c r="C228" t="s">
        <v>799</v>
      </c>
      <c r="E228" t="s">
        <v>785</v>
      </c>
      <c r="F228">
        <v>-3169</v>
      </c>
      <c r="G228">
        <v>678</v>
      </c>
      <c r="H228">
        <v>-98</v>
      </c>
    </row>
    <row r="229" spans="1:8" x14ac:dyDescent="0.2">
      <c r="A229" t="s">
        <v>1778</v>
      </c>
      <c r="B229" t="s">
        <v>850</v>
      </c>
      <c r="C229" t="s">
        <v>794</v>
      </c>
      <c r="E229" t="s">
        <v>785</v>
      </c>
      <c r="F229">
        <v>898</v>
      </c>
      <c r="G229">
        <v>-2987</v>
      </c>
      <c r="H229">
        <v>16</v>
      </c>
    </row>
    <row r="230" spans="1:8" x14ac:dyDescent="0.2">
      <c r="A230" t="s">
        <v>1779</v>
      </c>
      <c r="B230" t="s">
        <v>850</v>
      </c>
      <c r="C230" t="s">
        <v>1009</v>
      </c>
      <c r="E230" t="s">
        <v>785</v>
      </c>
      <c r="F230">
        <v>1829</v>
      </c>
      <c r="G230">
        <v>-956</v>
      </c>
      <c r="H230">
        <v>116</v>
      </c>
    </row>
    <row r="231" spans="1:8" x14ac:dyDescent="0.2">
      <c r="A231" t="s">
        <v>1028</v>
      </c>
      <c r="B231" t="s">
        <v>850</v>
      </c>
      <c r="C231" t="s">
        <v>1537</v>
      </c>
      <c r="E231" t="s">
        <v>783</v>
      </c>
      <c r="F231">
        <v>2315</v>
      </c>
      <c r="G231">
        <v>-1736</v>
      </c>
      <c r="H231">
        <v>1475</v>
      </c>
    </row>
    <row r="232" spans="1:8" x14ac:dyDescent="0.2">
      <c r="A232" t="s">
        <v>1780</v>
      </c>
      <c r="B232" t="s">
        <v>850</v>
      </c>
      <c r="C232" t="s">
        <v>801</v>
      </c>
      <c r="E232" t="s">
        <v>785</v>
      </c>
      <c r="F232">
        <v>3331</v>
      </c>
      <c r="G232">
        <v>545</v>
      </c>
      <c r="H232">
        <v>137</v>
      </c>
    </row>
    <row r="233" spans="1:8" x14ac:dyDescent="0.2">
      <c r="A233" s="16" t="s">
        <v>1143</v>
      </c>
      <c r="B233" t="s">
        <v>2936</v>
      </c>
      <c r="C233" t="s">
        <v>791</v>
      </c>
      <c r="E233" t="s">
        <v>785</v>
      </c>
      <c r="F233">
        <v>1689</v>
      </c>
      <c r="G233">
        <v>1555</v>
      </c>
      <c r="H233">
        <v>279</v>
      </c>
    </row>
    <row r="234" spans="1:8" x14ac:dyDescent="0.2">
      <c r="A234" s="16" t="s">
        <v>1288</v>
      </c>
      <c r="B234" t="s">
        <v>2936</v>
      </c>
      <c r="C234" t="s">
        <v>800</v>
      </c>
      <c r="E234" t="s">
        <v>785</v>
      </c>
      <c r="F234">
        <v>-3839</v>
      </c>
      <c r="G234">
        <v>2302</v>
      </c>
      <c r="H234">
        <v>180</v>
      </c>
    </row>
    <row r="235" spans="1:8" x14ac:dyDescent="0.2">
      <c r="A235" s="16" t="s">
        <v>1299</v>
      </c>
      <c r="B235" t="s">
        <v>2936</v>
      </c>
      <c r="C235" t="s">
        <v>799</v>
      </c>
      <c r="E235" t="s">
        <v>785</v>
      </c>
      <c r="F235">
        <v>-1578</v>
      </c>
      <c r="G235">
        <v>2107</v>
      </c>
      <c r="H235">
        <v>-106</v>
      </c>
    </row>
    <row r="236" spans="1:8" x14ac:dyDescent="0.2">
      <c r="A236" s="16" t="s">
        <v>1008</v>
      </c>
      <c r="B236" t="s">
        <v>2936</v>
      </c>
      <c r="C236" t="s">
        <v>782</v>
      </c>
      <c r="E236" t="s">
        <v>785</v>
      </c>
      <c r="F236">
        <v>3724</v>
      </c>
      <c r="G236">
        <v>1612</v>
      </c>
      <c r="H236">
        <v>114</v>
      </c>
    </row>
    <row r="237" spans="1:8" x14ac:dyDescent="0.2">
      <c r="A237" s="16" t="s">
        <v>964</v>
      </c>
      <c r="B237" t="s">
        <v>2936</v>
      </c>
      <c r="C237" t="s">
        <v>791</v>
      </c>
      <c r="E237" t="s">
        <v>785</v>
      </c>
      <c r="F237">
        <v>1801</v>
      </c>
      <c r="G237">
        <v>1983</v>
      </c>
      <c r="H237">
        <v>320</v>
      </c>
    </row>
    <row r="238" spans="1:8" x14ac:dyDescent="0.2">
      <c r="A238" s="16" t="s">
        <v>840</v>
      </c>
      <c r="B238" t="s">
        <v>2936</v>
      </c>
      <c r="C238" t="s">
        <v>797</v>
      </c>
      <c r="E238" t="s">
        <v>785</v>
      </c>
      <c r="F238">
        <v>-3686</v>
      </c>
      <c r="G238">
        <v>-1366</v>
      </c>
      <c r="H238">
        <v>331</v>
      </c>
    </row>
    <row r="239" spans="1:8" x14ac:dyDescent="0.2">
      <c r="A239" s="16" t="s">
        <v>1769</v>
      </c>
      <c r="B239" t="s">
        <v>2936</v>
      </c>
      <c r="C239" t="s">
        <v>791</v>
      </c>
      <c r="E239" t="s">
        <v>785</v>
      </c>
      <c r="F239">
        <v>1602</v>
      </c>
      <c r="G239">
        <v>2832</v>
      </c>
      <c r="H239">
        <v>412</v>
      </c>
    </row>
    <row r="240" spans="1:8" x14ac:dyDescent="0.2">
      <c r="A240" t="s">
        <v>1111</v>
      </c>
      <c r="B240" t="s">
        <v>3002</v>
      </c>
      <c r="E240" t="s">
        <v>785</v>
      </c>
      <c r="F240">
        <v>4603</v>
      </c>
      <c r="G240">
        <v>-1830</v>
      </c>
      <c r="H240">
        <v>-106</v>
      </c>
    </row>
    <row r="241" spans="1:8" x14ac:dyDescent="0.2">
      <c r="A241" t="s">
        <v>1112</v>
      </c>
      <c r="B241" t="s">
        <v>3002</v>
      </c>
      <c r="E241" t="s">
        <v>1002</v>
      </c>
      <c r="F241">
        <v>-4786</v>
      </c>
      <c r="G241">
        <v>-728</v>
      </c>
      <c r="H241">
        <v>-1215</v>
      </c>
    </row>
    <row r="242" spans="1:8" x14ac:dyDescent="0.2">
      <c r="A242" t="s">
        <v>1113</v>
      </c>
      <c r="B242" t="s">
        <v>3002</v>
      </c>
      <c r="E242" t="s">
        <v>785</v>
      </c>
      <c r="F242">
        <v>3557</v>
      </c>
      <c r="G242">
        <v>3039</v>
      </c>
      <c r="H242">
        <v>-106</v>
      </c>
    </row>
    <row r="243" spans="1:8" x14ac:dyDescent="0.2">
      <c r="A243" t="s">
        <v>1029</v>
      </c>
      <c r="B243" t="s">
        <v>3002</v>
      </c>
      <c r="E243" t="s">
        <v>785</v>
      </c>
      <c r="F243">
        <v>4522</v>
      </c>
      <c r="G243">
        <v>3167</v>
      </c>
      <c r="H243">
        <v>199</v>
      </c>
    </row>
    <row r="244" spans="1:8" x14ac:dyDescent="0.2">
      <c r="A244" t="s">
        <v>1114</v>
      </c>
      <c r="B244" t="s">
        <v>3002</v>
      </c>
      <c r="E244" t="s">
        <v>785</v>
      </c>
      <c r="F244">
        <v>3162</v>
      </c>
      <c r="G244">
        <v>1417</v>
      </c>
      <c r="H244">
        <v>277</v>
      </c>
    </row>
    <row r="245" spans="1:8" x14ac:dyDescent="0.2">
      <c r="A245" t="s">
        <v>849</v>
      </c>
      <c r="B245" t="s">
        <v>3002</v>
      </c>
      <c r="E245" t="s">
        <v>785</v>
      </c>
      <c r="F245">
        <v>3244</v>
      </c>
      <c r="G245">
        <v>1457</v>
      </c>
      <c r="H245">
        <v>294</v>
      </c>
    </row>
    <row r="246" spans="1:8" x14ac:dyDescent="0.2">
      <c r="A246" t="s">
        <v>851</v>
      </c>
      <c r="B246" t="s">
        <v>3002</v>
      </c>
      <c r="E246" t="s">
        <v>785</v>
      </c>
      <c r="F246">
        <v>3293</v>
      </c>
      <c r="G246">
        <v>1492</v>
      </c>
      <c r="H246">
        <v>395</v>
      </c>
    </row>
    <row r="247" spans="1:8" x14ac:dyDescent="0.2">
      <c r="A247" t="s">
        <v>1116</v>
      </c>
      <c r="B247" t="s">
        <v>3002</v>
      </c>
      <c r="E247" t="s">
        <v>785</v>
      </c>
      <c r="F247">
        <v>3732</v>
      </c>
      <c r="G247">
        <v>1171</v>
      </c>
      <c r="H247">
        <v>-106</v>
      </c>
    </row>
    <row r="248" spans="1:8" x14ac:dyDescent="0.2">
      <c r="A248" t="s">
        <v>782</v>
      </c>
      <c r="B248" t="s">
        <v>3002</v>
      </c>
      <c r="E248" t="s">
        <v>785</v>
      </c>
      <c r="F248">
        <v>3477</v>
      </c>
      <c r="G248">
        <v>2206</v>
      </c>
      <c r="H248">
        <v>-106</v>
      </c>
    </row>
    <row r="249" spans="1:8" x14ac:dyDescent="0.2">
      <c r="A249" t="s">
        <v>1117</v>
      </c>
      <c r="B249" t="s">
        <v>3002</v>
      </c>
      <c r="E249" t="s">
        <v>1002</v>
      </c>
      <c r="F249">
        <v>3254</v>
      </c>
      <c r="G249">
        <v>3493</v>
      </c>
      <c r="H249">
        <v>-320</v>
      </c>
    </row>
    <row r="250" spans="1:8" x14ac:dyDescent="0.2">
      <c r="A250" t="s">
        <v>784</v>
      </c>
      <c r="B250" t="s">
        <v>3002</v>
      </c>
      <c r="E250" t="s">
        <v>785</v>
      </c>
      <c r="F250">
        <v>4812</v>
      </c>
      <c r="G250">
        <v>3429</v>
      </c>
      <c r="H250">
        <v>-106</v>
      </c>
    </row>
    <row r="251" spans="1:8" x14ac:dyDescent="0.2">
      <c r="A251" t="s">
        <v>1119</v>
      </c>
      <c r="B251" t="s">
        <v>3002</v>
      </c>
      <c r="E251" t="s">
        <v>783</v>
      </c>
      <c r="F251">
        <v>3950</v>
      </c>
      <c r="G251">
        <v>2576</v>
      </c>
      <c r="H251">
        <v>1895</v>
      </c>
    </row>
    <row r="252" spans="1:8" x14ac:dyDescent="0.2">
      <c r="A252" t="s">
        <v>1120</v>
      </c>
      <c r="B252" t="s">
        <v>3002</v>
      </c>
      <c r="E252" t="s">
        <v>785</v>
      </c>
      <c r="F252">
        <v>3009</v>
      </c>
      <c r="G252">
        <v>1232</v>
      </c>
      <c r="H252">
        <v>226</v>
      </c>
    </row>
    <row r="253" spans="1:8" x14ac:dyDescent="0.2">
      <c r="A253" t="s">
        <v>1121</v>
      </c>
      <c r="B253" t="s">
        <v>3002</v>
      </c>
      <c r="E253" t="s">
        <v>785</v>
      </c>
      <c r="F253">
        <v>3744</v>
      </c>
      <c r="G253">
        <v>3349</v>
      </c>
      <c r="H253">
        <v>-106</v>
      </c>
    </row>
    <row r="254" spans="1:8" x14ac:dyDescent="0.2">
      <c r="A254" t="s">
        <v>1122</v>
      </c>
      <c r="B254" t="s">
        <v>3002</v>
      </c>
      <c r="E254" t="s">
        <v>785</v>
      </c>
      <c r="F254">
        <v>-736</v>
      </c>
      <c r="G254">
        <v>2080</v>
      </c>
      <c r="H254">
        <v>-106</v>
      </c>
    </row>
    <row r="255" spans="1:8" x14ac:dyDescent="0.2">
      <c r="A255" t="s">
        <v>852</v>
      </c>
      <c r="B255" t="s">
        <v>3002</v>
      </c>
      <c r="E255" t="s">
        <v>785</v>
      </c>
      <c r="F255">
        <v>-2536</v>
      </c>
      <c r="G255">
        <v>-3626</v>
      </c>
      <c r="H255">
        <v>-48</v>
      </c>
    </row>
    <row r="256" spans="1:8" x14ac:dyDescent="0.2">
      <c r="A256" t="s">
        <v>853</v>
      </c>
      <c r="B256" t="s">
        <v>3002</v>
      </c>
      <c r="E256" t="s">
        <v>785</v>
      </c>
      <c r="F256">
        <v>-3465</v>
      </c>
      <c r="G256">
        <v>449</v>
      </c>
      <c r="H256">
        <v>254</v>
      </c>
    </row>
    <row r="257" spans="1:8" x14ac:dyDescent="0.2">
      <c r="A257" t="s">
        <v>854</v>
      </c>
      <c r="B257" t="s">
        <v>3002</v>
      </c>
      <c r="E257" t="s">
        <v>785</v>
      </c>
      <c r="F257">
        <v>-3099</v>
      </c>
      <c r="G257">
        <v>-3064</v>
      </c>
      <c r="H257">
        <v>-52</v>
      </c>
    </row>
    <row r="258" spans="1:8" x14ac:dyDescent="0.2">
      <c r="A258" t="s">
        <v>1125</v>
      </c>
      <c r="B258" t="s">
        <v>3002</v>
      </c>
      <c r="E258" t="s">
        <v>783</v>
      </c>
      <c r="F258">
        <v>2217</v>
      </c>
      <c r="G258">
        <v>989</v>
      </c>
      <c r="H258">
        <v>1149</v>
      </c>
    </row>
    <row r="259" spans="1:8" x14ac:dyDescent="0.2">
      <c r="A259" t="s">
        <v>855</v>
      </c>
      <c r="B259" t="s">
        <v>3002</v>
      </c>
      <c r="E259" t="s">
        <v>785</v>
      </c>
      <c r="F259">
        <v>-1112</v>
      </c>
      <c r="G259">
        <v>-432</v>
      </c>
      <c r="H259">
        <v>23</v>
      </c>
    </row>
    <row r="260" spans="1:8" x14ac:dyDescent="0.2">
      <c r="A260" t="s">
        <v>856</v>
      </c>
      <c r="B260" t="s">
        <v>3002</v>
      </c>
      <c r="E260" t="s">
        <v>785</v>
      </c>
      <c r="F260">
        <v>3607</v>
      </c>
      <c r="G260">
        <v>122</v>
      </c>
      <c r="H260">
        <v>-2</v>
      </c>
    </row>
    <row r="261" spans="1:8" x14ac:dyDescent="0.2">
      <c r="A261" t="s">
        <v>1128</v>
      </c>
      <c r="B261" t="s">
        <v>3002</v>
      </c>
      <c r="E261" t="s">
        <v>785</v>
      </c>
      <c r="F261">
        <v>1716</v>
      </c>
      <c r="G261">
        <v>-2620</v>
      </c>
      <c r="H261">
        <v>-106</v>
      </c>
    </row>
    <row r="262" spans="1:8" x14ac:dyDescent="0.2">
      <c r="A262" t="s">
        <v>1129</v>
      </c>
      <c r="B262" t="s">
        <v>3002</v>
      </c>
      <c r="E262" t="s">
        <v>785</v>
      </c>
      <c r="F262">
        <v>4652</v>
      </c>
      <c r="G262">
        <v>1027</v>
      </c>
      <c r="H262">
        <v>-106</v>
      </c>
    </row>
    <row r="263" spans="1:8" x14ac:dyDescent="0.2">
      <c r="A263" t="s">
        <v>1030</v>
      </c>
      <c r="B263" t="s">
        <v>3002</v>
      </c>
      <c r="E263" t="s">
        <v>785</v>
      </c>
      <c r="F263">
        <v>553</v>
      </c>
      <c r="G263">
        <v>289</v>
      </c>
      <c r="H263">
        <v>-106</v>
      </c>
    </row>
    <row r="264" spans="1:8" x14ac:dyDescent="0.2">
      <c r="A264" t="s">
        <v>1130</v>
      </c>
      <c r="B264" t="s">
        <v>3002</v>
      </c>
      <c r="E264" t="s">
        <v>1002</v>
      </c>
      <c r="F264">
        <v>553</v>
      </c>
      <c r="G264">
        <v>260</v>
      </c>
      <c r="H264">
        <v>-610</v>
      </c>
    </row>
    <row r="265" spans="1:8" x14ac:dyDescent="0.2">
      <c r="A265" t="s">
        <v>1132</v>
      </c>
      <c r="B265" t="s">
        <v>3002</v>
      </c>
      <c r="E265" t="s">
        <v>785</v>
      </c>
      <c r="F265">
        <v>-1304</v>
      </c>
      <c r="G265">
        <v>-1095</v>
      </c>
      <c r="H265">
        <v>-106</v>
      </c>
    </row>
    <row r="266" spans="1:8" x14ac:dyDescent="0.2">
      <c r="A266" t="s">
        <v>1134</v>
      </c>
      <c r="B266" t="s">
        <v>3002</v>
      </c>
      <c r="E266" t="s">
        <v>785</v>
      </c>
      <c r="F266">
        <v>-4157</v>
      </c>
      <c r="G266">
        <v>-3803</v>
      </c>
      <c r="H266">
        <v>28</v>
      </c>
    </row>
    <row r="267" spans="1:8" x14ac:dyDescent="0.2">
      <c r="A267" t="s">
        <v>1135</v>
      </c>
      <c r="B267" t="s">
        <v>3002</v>
      </c>
      <c r="E267" t="s">
        <v>785</v>
      </c>
      <c r="F267">
        <v>1936</v>
      </c>
      <c r="G267">
        <v>-3879</v>
      </c>
      <c r="H267">
        <v>-106</v>
      </c>
    </row>
    <row r="268" spans="1:8" x14ac:dyDescent="0.2">
      <c r="A268" t="s">
        <v>1136</v>
      </c>
      <c r="B268" t="s">
        <v>3002</v>
      </c>
      <c r="E268" t="s">
        <v>785</v>
      </c>
      <c r="F268">
        <v>-206</v>
      </c>
      <c r="G268" t="s">
        <v>1781</v>
      </c>
      <c r="H268">
        <v>20</v>
      </c>
    </row>
    <row r="269" spans="1:8" x14ac:dyDescent="0.2">
      <c r="A269" t="s">
        <v>1031</v>
      </c>
      <c r="B269" t="s">
        <v>3002</v>
      </c>
      <c r="E269" t="s">
        <v>785</v>
      </c>
      <c r="F269">
        <v>1978</v>
      </c>
      <c r="G269">
        <v>-1842</v>
      </c>
      <c r="H269">
        <v>-106</v>
      </c>
    </row>
    <row r="270" spans="1:8" x14ac:dyDescent="0.2">
      <c r="A270" t="s">
        <v>1137</v>
      </c>
      <c r="B270" t="s">
        <v>3002</v>
      </c>
      <c r="E270" t="s">
        <v>785</v>
      </c>
      <c r="F270">
        <v>2469</v>
      </c>
      <c r="G270">
        <v>-3260</v>
      </c>
      <c r="H270">
        <v>-106</v>
      </c>
    </row>
    <row r="271" spans="1:8" x14ac:dyDescent="0.2">
      <c r="A271" t="s">
        <v>857</v>
      </c>
      <c r="B271" t="s">
        <v>3002</v>
      </c>
      <c r="E271" t="s">
        <v>785</v>
      </c>
      <c r="F271">
        <v>2454</v>
      </c>
      <c r="G271">
        <v>-3193</v>
      </c>
      <c r="H271">
        <v>65</v>
      </c>
    </row>
    <row r="272" spans="1:8" x14ac:dyDescent="0.2">
      <c r="A272" t="s">
        <v>1138</v>
      </c>
      <c r="B272" t="s">
        <v>3002</v>
      </c>
      <c r="E272" t="s">
        <v>785</v>
      </c>
      <c r="F272">
        <v>2752</v>
      </c>
      <c r="G272" t="s">
        <v>1782</v>
      </c>
      <c r="H272">
        <v>-106</v>
      </c>
    </row>
    <row r="273" spans="1:8" x14ac:dyDescent="0.2">
      <c r="A273" t="s">
        <v>1139</v>
      </c>
      <c r="B273" t="s">
        <v>3002</v>
      </c>
      <c r="E273" t="s">
        <v>785</v>
      </c>
      <c r="F273">
        <v>1774</v>
      </c>
      <c r="G273">
        <v>-384</v>
      </c>
      <c r="H273">
        <v>-106</v>
      </c>
    </row>
    <row r="274" spans="1:8" x14ac:dyDescent="0.2">
      <c r="A274" t="s">
        <v>1141</v>
      </c>
      <c r="B274" t="s">
        <v>3002</v>
      </c>
      <c r="E274" t="s">
        <v>785</v>
      </c>
      <c r="F274">
        <v>193</v>
      </c>
      <c r="G274">
        <v>-3135</v>
      </c>
      <c r="H274">
        <v>-106</v>
      </c>
    </row>
    <row r="275" spans="1:8" x14ac:dyDescent="0.2">
      <c r="A275" t="s">
        <v>1142</v>
      </c>
      <c r="B275" t="s">
        <v>3002</v>
      </c>
      <c r="E275" t="s">
        <v>785</v>
      </c>
      <c r="F275">
        <v>563</v>
      </c>
      <c r="G275">
        <v>-1234</v>
      </c>
      <c r="H275">
        <v>-106</v>
      </c>
    </row>
    <row r="276" spans="1:8" x14ac:dyDescent="0.2">
      <c r="A276" t="s">
        <v>1144</v>
      </c>
      <c r="B276" t="s">
        <v>3002</v>
      </c>
      <c r="E276" t="s">
        <v>785</v>
      </c>
      <c r="F276">
        <v>1673</v>
      </c>
      <c r="G276">
        <v>-2033</v>
      </c>
      <c r="H276">
        <v>-22</v>
      </c>
    </row>
    <row r="277" spans="1:8" x14ac:dyDescent="0.2">
      <c r="A277" t="s">
        <v>838</v>
      </c>
      <c r="B277" t="s">
        <v>3002</v>
      </c>
      <c r="E277" t="s">
        <v>785</v>
      </c>
      <c r="F277">
        <v>-3476</v>
      </c>
      <c r="G277">
        <v>-1868</v>
      </c>
      <c r="H277">
        <v>-106</v>
      </c>
    </row>
    <row r="278" spans="1:8" x14ac:dyDescent="0.2">
      <c r="A278" t="s">
        <v>1145</v>
      </c>
      <c r="B278" t="s">
        <v>3002</v>
      </c>
      <c r="E278" t="s">
        <v>785</v>
      </c>
      <c r="F278">
        <v>-3719</v>
      </c>
      <c r="G278">
        <v>2982</v>
      </c>
      <c r="H278">
        <v>-106</v>
      </c>
    </row>
    <row r="279" spans="1:8" x14ac:dyDescent="0.2">
      <c r="A279" t="s">
        <v>1146</v>
      </c>
      <c r="B279" t="s">
        <v>3002</v>
      </c>
      <c r="E279" t="s">
        <v>785</v>
      </c>
      <c r="F279">
        <v>2133</v>
      </c>
      <c r="G279">
        <v>-1914</v>
      </c>
      <c r="H279">
        <v>-106</v>
      </c>
    </row>
    <row r="280" spans="1:8" x14ac:dyDescent="0.2">
      <c r="A280" t="s">
        <v>1147</v>
      </c>
      <c r="B280" t="s">
        <v>3002</v>
      </c>
      <c r="E280" t="s">
        <v>785</v>
      </c>
      <c r="F280">
        <v>4268</v>
      </c>
      <c r="G280">
        <v>3017</v>
      </c>
      <c r="H280">
        <v>-106</v>
      </c>
    </row>
    <row r="281" spans="1:8" x14ac:dyDescent="0.2">
      <c r="A281" t="s">
        <v>1149</v>
      </c>
      <c r="B281" t="s">
        <v>3002</v>
      </c>
      <c r="E281" t="s">
        <v>785</v>
      </c>
      <c r="F281">
        <v>2084</v>
      </c>
      <c r="G281" t="s">
        <v>1783</v>
      </c>
      <c r="H281">
        <v>-106</v>
      </c>
    </row>
    <row r="282" spans="1:8" x14ac:dyDescent="0.2">
      <c r="A282" t="s">
        <v>1150</v>
      </c>
      <c r="B282" t="s">
        <v>3002</v>
      </c>
      <c r="E282" t="s">
        <v>785</v>
      </c>
      <c r="F282">
        <v>2185</v>
      </c>
      <c r="G282">
        <v>142</v>
      </c>
      <c r="H282">
        <v>37</v>
      </c>
    </row>
    <row r="283" spans="1:8" x14ac:dyDescent="0.2">
      <c r="A283" t="s">
        <v>1152</v>
      </c>
      <c r="B283" t="s">
        <v>3002</v>
      </c>
      <c r="E283" t="s">
        <v>785</v>
      </c>
      <c r="F283">
        <v>2153</v>
      </c>
      <c r="G283">
        <v>-1130</v>
      </c>
      <c r="H283">
        <v>-106</v>
      </c>
    </row>
    <row r="284" spans="1:8" x14ac:dyDescent="0.2">
      <c r="A284" t="s">
        <v>859</v>
      </c>
      <c r="B284" t="s">
        <v>3002</v>
      </c>
      <c r="E284" t="s">
        <v>783</v>
      </c>
      <c r="F284">
        <v>712</v>
      </c>
      <c r="G284">
        <v>-1449</v>
      </c>
      <c r="H284">
        <v>1486</v>
      </c>
    </row>
    <row r="285" spans="1:8" x14ac:dyDescent="0.2">
      <c r="A285" t="s">
        <v>1153</v>
      </c>
      <c r="B285" t="s">
        <v>3002</v>
      </c>
      <c r="E285" t="s">
        <v>785</v>
      </c>
      <c r="F285">
        <v>510</v>
      </c>
      <c r="G285">
        <v>-582</v>
      </c>
      <c r="H285">
        <v>-106</v>
      </c>
    </row>
    <row r="286" spans="1:8" x14ac:dyDescent="0.2">
      <c r="A286" t="s">
        <v>1155</v>
      </c>
      <c r="B286" t="s">
        <v>3002</v>
      </c>
      <c r="E286" t="s">
        <v>785</v>
      </c>
      <c r="F286">
        <v>-1437</v>
      </c>
      <c r="G286">
        <v>554</v>
      </c>
      <c r="H286">
        <v>-106</v>
      </c>
    </row>
    <row r="287" spans="1:8" x14ac:dyDescent="0.2">
      <c r="A287" t="s">
        <v>1157</v>
      </c>
      <c r="B287" t="s">
        <v>3002</v>
      </c>
      <c r="E287" t="s">
        <v>785</v>
      </c>
      <c r="F287">
        <v>2135</v>
      </c>
      <c r="G287">
        <v>-2578</v>
      </c>
      <c r="H287">
        <v>-106</v>
      </c>
    </row>
    <row r="288" spans="1:8" x14ac:dyDescent="0.2">
      <c r="A288" t="s">
        <v>860</v>
      </c>
      <c r="B288" t="s">
        <v>3002</v>
      </c>
      <c r="E288" t="s">
        <v>785</v>
      </c>
      <c r="F288">
        <v>-3006</v>
      </c>
      <c r="G288">
        <v>1635</v>
      </c>
      <c r="H288">
        <v>199</v>
      </c>
    </row>
    <row r="289" spans="1:8" x14ac:dyDescent="0.2">
      <c r="A289" t="s">
        <v>1159</v>
      </c>
      <c r="B289" t="s">
        <v>3002</v>
      </c>
      <c r="E289" t="s">
        <v>785</v>
      </c>
      <c r="F289">
        <v>2701</v>
      </c>
      <c r="G289">
        <v>1770</v>
      </c>
      <c r="H289">
        <v>-106</v>
      </c>
    </row>
    <row r="290" spans="1:8" x14ac:dyDescent="0.2">
      <c r="A290" t="s">
        <v>1160</v>
      </c>
      <c r="B290" t="s">
        <v>3002</v>
      </c>
      <c r="E290" t="s">
        <v>785</v>
      </c>
      <c r="F290">
        <v>1478</v>
      </c>
      <c r="G290">
        <v>-3254</v>
      </c>
      <c r="H290">
        <v>-106</v>
      </c>
    </row>
    <row r="291" spans="1:8" x14ac:dyDescent="0.2">
      <c r="A291" t="s">
        <v>1033</v>
      </c>
      <c r="B291" t="s">
        <v>3002</v>
      </c>
      <c r="E291" t="s">
        <v>785</v>
      </c>
      <c r="F291">
        <v>3927</v>
      </c>
      <c r="G291">
        <v>-382</v>
      </c>
      <c r="H291">
        <v>-106</v>
      </c>
    </row>
    <row r="292" spans="1:8" x14ac:dyDescent="0.2">
      <c r="A292" t="s">
        <v>1161</v>
      </c>
      <c r="B292" t="s">
        <v>3002</v>
      </c>
      <c r="E292" t="s">
        <v>785</v>
      </c>
      <c r="F292">
        <v>2085</v>
      </c>
      <c r="G292">
        <v>-2094</v>
      </c>
      <c r="H292">
        <v>-106</v>
      </c>
    </row>
    <row r="293" spans="1:8" x14ac:dyDescent="0.2">
      <c r="A293" t="s">
        <v>861</v>
      </c>
      <c r="B293" t="s">
        <v>3002</v>
      </c>
      <c r="E293" t="s">
        <v>785</v>
      </c>
      <c r="F293">
        <v>1617</v>
      </c>
      <c r="G293">
        <v>-1260</v>
      </c>
      <c r="H293">
        <v>7</v>
      </c>
    </row>
    <row r="294" spans="1:8" x14ac:dyDescent="0.2">
      <c r="A294" t="s">
        <v>1163</v>
      </c>
      <c r="B294" t="s">
        <v>3002</v>
      </c>
      <c r="E294" t="s">
        <v>785</v>
      </c>
      <c r="F294">
        <v>2020</v>
      </c>
      <c r="G294">
        <v>-3216</v>
      </c>
      <c r="H294">
        <v>-106</v>
      </c>
    </row>
    <row r="295" spans="1:8" x14ac:dyDescent="0.2">
      <c r="A295" t="s">
        <v>862</v>
      </c>
      <c r="B295" t="s">
        <v>3002</v>
      </c>
      <c r="E295" t="s">
        <v>785</v>
      </c>
      <c r="F295">
        <v>1959</v>
      </c>
      <c r="G295">
        <v>-3033</v>
      </c>
      <c r="H295">
        <v>193</v>
      </c>
    </row>
    <row r="296" spans="1:8" x14ac:dyDescent="0.2">
      <c r="A296" t="s">
        <v>1164</v>
      </c>
      <c r="B296" t="s">
        <v>3002</v>
      </c>
      <c r="E296" t="s">
        <v>785</v>
      </c>
      <c r="F296">
        <v>3062</v>
      </c>
      <c r="G296">
        <v>-2042</v>
      </c>
      <c r="H296">
        <v>-106</v>
      </c>
    </row>
    <row r="297" spans="1:8" x14ac:dyDescent="0.2">
      <c r="A297" t="s">
        <v>1165</v>
      </c>
      <c r="B297" t="s">
        <v>3002</v>
      </c>
      <c r="E297" t="s">
        <v>785</v>
      </c>
      <c r="F297">
        <v>-3857</v>
      </c>
      <c r="G297">
        <v>-2857</v>
      </c>
      <c r="H297">
        <v>48</v>
      </c>
    </row>
    <row r="298" spans="1:8" x14ac:dyDescent="0.2">
      <c r="A298" t="s">
        <v>1167</v>
      </c>
      <c r="B298" t="s">
        <v>3002</v>
      </c>
      <c r="E298" t="s">
        <v>785</v>
      </c>
      <c r="F298">
        <v>3545</v>
      </c>
      <c r="G298">
        <v>-3261</v>
      </c>
      <c r="H298">
        <v>-106</v>
      </c>
    </row>
    <row r="299" spans="1:8" x14ac:dyDescent="0.2">
      <c r="A299" t="s">
        <v>863</v>
      </c>
      <c r="B299" t="s">
        <v>3002</v>
      </c>
      <c r="E299" t="s">
        <v>785</v>
      </c>
      <c r="F299">
        <v>3650</v>
      </c>
      <c r="G299">
        <v>-3211</v>
      </c>
      <c r="H299">
        <v>-6</v>
      </c>
    </row>
    <row r="300" spans="1:8" x14ac:dyDescent="0.2">
      <c r="A300" t="s">
        <v>1168</v>
      </c>
      <c r="B300" t="s">
        <v>3002</v>
      </c>
      <c r="E300" t="s">
        <v>785</v>
      </c>
      <c r="F300">
        <v>3421</v>
      </c>
      <c r="G300">
        <v>-3807</v>
      </c>
      <c r="H300">
        <v>-106</v>
      </c>
    </row>
    <row r="301" spans="1:8" x14ac:dyDescent="0.2">
      <c r="A301" t="s">
        <v>1171</v>
      </c>
      <c r="B301" t="s">
        <v>3002</v>
      </c>
      <c r="E301" t="s">
        <v>785</v>
      </c>
      <c r="F301">
        <v>-677</v>
      </c>
      <c r="G301">
        <v>837</v>
      </c>
      <c r="H301">
        <v>-13</v>
      </c>
    </row>
    <row r="302" spans="1:8" x14ac:dyDescent="0.2">
      <c r="A302" t="s">
        <v>1172</v>
      </c>
      <c r="B302" t="s">
        <v>3002</v>
      </c>
      <c r="E302" t="s">
        <v>785</v>
      </c>
      <c r="F302">
        <v>80</v>
      </c>
      <c r="G302">
        <v>411</v>
      </c>
      <c r="H302">
        <v>12</v>
      </c>
    </row>
    <row r="303" spans="1:8" x14ac:dyDescent="0.2">
      <c r="A303" t="s">
        <v>864</v>
      </c>
      <c r="B303" t="s">
        <v>3002</v>
      </c>
      <c r="E303" t="s">
        <v>785</v>
      </c>
      <c r="F303">
        <v>3241</v>
      </c>
      <c r="G303">
        <v>374</v>
      </c>
      <c r="H303">
        <v>76</v>
      </c>
    </row>
    <row r="304" spans="1:8" x14ac:dyDescent="0.2">
      <c r="A304" t="s">
        <v>865</v>
      </c>
      <c r="B304" t="s">
        <v>3002</v>
      </c>
      <c r="E304" t="s">
        <v>785</v>
      </c>
      <c r="F304">
        <v>-3679</v>
      </c>
      <c r="G304">
        <v>-3255</v>
      </c>
      <c r="H304">
        <v>-18</v>
      </c>
    </row>
    <row r="305" spans="1:8" x14ac:dyDescent="0.2">
      <c r="A305" t="s">
        <v>788</v>
      </c>
      <c r="B305" t="s">
        <v>3002</v>
      </c>
      <c r="E305" t="s">
        <v>785</v>
      </c>
      <c r="F305">
        <v>-256</v>
      </c>
      <c r="G305">
        <v>-116</v>
      </c>
      <c r="H305">
        <v>-106</v>
      </c>
    </row>
    <row r="306" spans="1:8" x14ac:dyDescent="0.2">
      <c r="A306" t="s">
        <v>1173</v>
      </c>
      <c r="B306" t="s">
        <v>3002</v>
      </c>
      <c r="E306" t="s">
        <v>783</v>
      </c>
      <c r="F306">
        <v>-248</v>
      </c>
      <c r="G306" t="s">
        <v>1784</v>
      </c>
      <c r="H306">
        <v>1895</v>
      </c>
    </row>
    <row r="307" spans="1:8" x14ac:dyDescent="0.2">
      <c r="A307" t="s">
        <v>1174</v>
      </c>
      <c r="B307" t="s">
        <v>3002</v>
      </c>
      <c r="E307" t="s">
        <v>783</v>
      </c>
      <c r="F307">
        <v>132</v>
      </c>
      <c r="G307">
        <v>-92</v>
      </c>
      <c r="H307">
        <v>1949</v>
      </c>
    </row>
    <row r="308" spans="1:8" x14ac:dyDescent="0.2">
      <c r="A308" t="s">
        <v>1176</v>
      </c>
      <c r="B308" t="s">
        <v>3002</v>
      </c>
      <c r="E308" t="s">
        <v>785</v>
      </c>
      <c r="F308">
        <v>2751</v>
      </c>
      <c r="G308">
        <v>1481</v>
      </c>
      <c r="H308">
        <v>-106</v>
      </c>
    </row>
    <row r="309" spans="1:8" x14ac:dyDescent="0.2">
      <c r="A309" t="s">
        <v>866</v>
      </c>
      <c r="B309" t="s">
        <v>3002</v>
      </c>
      <c r="E309" t="s">
        <v>785</v>
      </c>
      <c r="F309">
        <v>2594</v>
      </c>
      <c r="G309">
        <v>1330</v>
      </c>
      <c r="H309">
        <v>151</v>
      </c>
    </row>
    <row r="310" spans="1:8" x14ac:dyDescent="0.2">
      <c r="A310" t="s">
        <v>1177</v>
      </c>
      <c r="B310" t="s">
        <v>3002</v>
      </c>
      <c r="E310" t="s">
        <v>785</v>
      </c>
      <c r="F310">
        <v>-2042</v>
      </c>
      <c r="G310">
        <v>-3194</v>
      </c>
      <c r="H310">
        <v>-106</v>
      </c>
    </row>
    <row r="311" spans="1:8" x14ac:dyDescent="0.2">
      <c r="A311" t="s">
        <v>1178</v>
      </c>
      <c r="B311" t="s">
        <v>3002</v>
      </c>
      <c r="E311" t="s">
        <v>785</v>
      </c>
      <c r="F311">
        <v>2585</v>
      </c>
      <c r="G311">
        <v>-3897</v>
      </c>
      <c r="H311">
        <v>-106</v>
      </c>
    </row>
    <row r="312" spans="1:8" x14ac:dyDescent="0.2">
      <c r="A312" t="s">
        <v>1034</v>
      </c>
      <c r="B312" t="s">
        <v>3002</v>
      </c>
      <c r="E312" t="s">
        <v>785</v>
      </c>
      <c r="F312">
        <v>2601</v>
      </c>
      <c r="G312">
        <v>-1780</v>
      </c>
      <c r="H312">
        <v>-106</v>
      </c>
    </row>
    <row r="313" spans="1:8" x14ac:dyDescent="0.2">
      <c r="A313" t="s">
        <v>1180</v>
      </c>
      <c r="B313" t="s">
        <v>3002</v>
      </c>
      <c r="E313" t="s">
        <v>785</v>
      </c>
      <c r="F313">
        <v>-3392</v>
      </c>
      <c r="G313">
        <v>-610</v>
      </c>
      <c r="H313">
        <v>-106</v>
      </c>
    </row>
    <row r="314" spans="1:8" x14ac:dyDescent="0.2">
      <c r="A314" t="s">
        <v>1181</v>
      </c>
      <c r="B314" t="s">
        <v>3002</v>
      </c>
      <c r="E314" t="s">
        <v>785</v>
      </c>
      <c r="F314">
        <v>-3066</v>
      </c>
      <c r="G314">
        <v>2954</v>
      </c>
      <c r="H314">
        <v>-106</v>
      </c>
    </row>
    <row r="315" spans="1:8" x14ac:dyDescent="0.2">
      <c r="A315" t="s">
        <v>867</v>
      </c>
      <c r="B315" t="s">
        <v>3002</v>
      </c>
      <c r="E315" t="s">
        <v>785</v>
      </c>
      <c r="F315">
        <v>-1167</v>
      </c>
      <c r="G315">
        <v>-1311</v>
      </c>
      <c r="H315">
        <v>22</v>
      </c>
    </row>
    <row r="316" spans="1:8" x14ac:dyDescent="0.2">
      <c r="A316" t="s">
        <v>1183</v>
      </c>
      <c r="B316" t="s">
        <v>3002</v>
      </c>
      <c r="E316" t="s">
        <v>1002</v>
      </c>
      <c r="F316">
        <v>869</v>
      </c>
      <c r="G316">
        <v>-2174</v>
      </c>
      <c r="H316">
        <v>-571</v>
      </c>
    </row>
    <row r="317" spans="1:8" x14ac:dyDescent="0.2">
      <c r="A317" t="s">
        <v>868</v>
      </c>
      <c r="B317" t="s">
        <v>3002</v>
      </c>
      <c r="E317" t="s">
        <v>785</v>
      </c>
      <c r="F317">
        <v>3679</v>
      </c>
      <c r="G317">
        <v>1538</v>
      </c>
      <c r="H317">
        <v>74</v>
      </c>
    </row>
    <row r="318" spans="1:8" x14ac:dyDescent="0.2">
      <c r="A318" t="s">
        <v>1185</v>
      </c>
      <c r="B318" t="s">
        <v>3002</v>
      </c>
      <c r="E318" t="s">
        <v>785</v>
      </c>
      <c r="F318">
        <v>-48</v>
      </c>
      <c r="G318">
        <v>-3056</v>
      </c>
      <c r="H318">
        <v>-106</v>
      </c>
    </row>
    <row r="319" spans="1:8" x14ac:dyDescent="0.2">
      <c r="A319" t="s">
        <v>869</v>
      </c>
      <c r="B319" t="s">
        <v>3002</v>
      </c>
      <c r="E319" t="s">
        <v>785</v>
      </c>
      <c r="F319">
        <v>-256</v>
      </c>
      <c r="G319">
        <v>-2940</v>
      </c>
      <c r="H319">
        <v>-19</v>
      </c>
    </row>
    <row r="320" spans="1:8" x14ac:dyDescent="0.2">
      <c r="A320" t="s">
        <v>1186</v>
      </c>
      <c r="B320" t="s">
        <v>3002</v>
      </c>
      <c r="E320" t="s">
        <v>785</v>
      </c>
      <c r="F320">
        <v>1686</v>
      </c>
      <c r="G320">
        <v>-3089</v>
      </c>
      <c r="H320">
        <v>-106</v>
      </c>
    </row>
    <row r="321" spans="1:8" x14ac:dyDescent="0.2">
      <c r="A321" t="s">
        <v>870</v>
      </c>
      <c r="B321" t="s">
        <v>3002</v>
      </c>
      <c r="E321" t="s">
        <v>785</v>
      </c>
      <c r="F321">
        <v>1677</v>
      </c>
      <c r="G321">
        <v>-3039</v>
      </c>
      <c r="H321">
        <v>164</v>
      </c>
    </row>
    <row r="322" spans="1:8" x14ac:dyDescent="0.2">
      <c r="A322" t="s">
        <v>1188</v>
      </c>
      <c r="B322" t="s">
        <v>3002</v>
      </c>
      <c r="E322" t="s">
        <v>785</v>
      </c>
      <c r="F322">
        <v>-3243</v>
      </c>
      <c r="G322">
        <v>2423</v>
      </c>
      <c r="H322">
        <v>-106</v>
      </c>
    </row>
    <row r="323" spans="1:8" x14ac:dyDescent="0.2">
      <c r="A323" t="s">
        <v>1189</v>
      </c>
      <c r="B323" t="s">
        <v>3002</v>
      </c>
      <c r="E323" t="s">
        <v>785</v>
      </c>
      <c r="F323">
        <v>2270</v>
      </c>
      <c r="G323">
        <v>-2942</v>
      </c>
      <c r="H323">
        <v>-106</v>
      </c>
    </row>
    <row r="324" spans="1:8" x14ac:dyDescent="0.2">
      <c r="A324" t="s">
        <v>1191</v>
      </c>
      <c r="B324" t="s">
        <v>3002</v>
      </c>
      <c r="E324" t="s">
        <v>785</v>
      </c>
      <c r="F324">
        <v>681</v>
      </c>
      <c r="G324">
        <v>909</v>
      </c>
      <c r="H324">
        <v>-106</v>
      </c>
    </row>
    <row r="325" spans="1:8" x14ac:dyDescent="0.2">
      <c r="A325" t="s">
        <v>871</v>
      </c>
      <c r="B325" t="s">
        <v>3002</v>
      </c>
      <c r="E325" t="s">
        <v>785</v>
      </c>
      <c r="F325">
        <v>494</v>
      </c>
      <c r="G325">
        <v>731</v>
      </c>
      <c r="H325">
        <v>41</v>
      </c>
    </row>
    <row r="326" spans="1:8" x14ac:dyDescent="0.2">
      <c r="A326" t="s">
        <v>1192</v>
      </c>
      <c r="B326" t="s">
        <v>3002</v>
      </c>
      <c r="E326" t="s">
        <v>785</v>
      </c>
      <c r="F326">
        <v>1170</v>
      </c>
      <c r="G326">
        <v>419</v>
      </c>
      <c r="H326">
        <v>-106</v>
      </c>
    </row>
    <row r="327" spans="1:8" x14ac:dyDescent="0.2">
      <c r="A327" t="s">
        <v>872</v>
      </c>
      <c r="B327" t="s">
        <v>3002</v>
      </c>
      <c r="E327" t="s">
        <v>785</v>
      </c>
      <c r="F327">
        <v>1145</v>
      </c>
      <c r="G327">
        <v>247</v>
      </c>
      <c r="H327">
        <v>58</v>
      </c>
    </row>
    <row r="328" spans="1:8" x14ac:dyDescent="0.2">
      <c r="A328" t="s">
        <v>873</v>
      </c>
      <c r="B328" t="s">
        <v>3002</v>
      </c>
      <c r="E328" t="s">
        <v>785</v>
      </c>
      <c r="F328">
        <v>1877</v>
      </c>
      <c r="G328">
        <v>-1160</v>
      </c>
      <c r="H328">
        <v>199</v>
      </c>
    </row>
    <row r="329" spans="1:8" x14ac:dyDescent="0.2">
      <c r="A329" t="s">
        <v>1196</v>
      </c>
      <c r="B329" t="s">
        <v>3002</v>
      </c>
      <c r="E329" t="s">
        <v>785</v>
      </c>
      <c r="F329">
        <v>-3834</v>
      </c>
      <c r="G329">
        <v>1327</v>
      </c>
      <c r="H329">
        <v>-106</v>
      </c>
    </row>
    <row r="330" spans="1:8" x14ac:dyDescent="0.2">
      <c r="A330" t="s">
        <v>1197</v>
      </c>
      <c r="B330" t="s">
        <v>3002</v>
      </c>
      <c r="E330" t="s">
        <v>785</v>
      </c>
      <c r="F330">
        <v>-2051</v>
      </c>
      <c r="G330">
        <v>-1139</v>
      </c>
      <c r="H330">
        <v>-106</v>
      </c>
    </row>
    <row r="331" spans="1:8" x14ac:dyDescent="0.2">
      <c r="A331" t="s">
        <v>1199</v>
      </c>
      <c r="B331" t="s">
        <v>3002</v>
      </c>
      <c r="E331" t="s">
        <v>785</v>
      </c>
      <c r="F331">
        <v>832</v>
      </c>
      <c r="G331">
        <v>-2700</v>
      </c>
      <c r="H331">
        <v>-106</v>
      </c>
    </row>
    <row r="332" spans="1:8" x14ac:dyDescent="0.2">
      <c r="A332" t="s">
        <v>1201</v>
      </c>
      <c r="B332" t="s">
        <v>3002</v>
      </c>
      <c r="E332" t="s">
        <v>785</v>
      </c>
      <c r="F332">
        <v>2336</v>
      </c>
      <c r="G332">
        <v>2043</v>
      </c>
      <c r="H332">
        <v>-106</v>
      </c>
    </row>
    <row r="333" spans="1:8" x14ac:dyDescent="0.2">
      <c r="A333" t="s">
        <v>1202</v>
      </c>
      <c r="B333" t="s">
        <v>3002</v>
      </c>
      <c r="E333" t="s">
        <v>785</v>
      </c>
      <c r="F333">
        <v>1405</v>
      </c>
      <c r="G333">
        <v>2842</v>
      </c>
      <c r="H333">
        <v>-106</v>
      </c>
    </row>
    <row r="334" spans="1:8" x14ac:dyDescent="0.2">
      <c r="A334" t="s">
        <v>1203</v>
      </c>
      <c r="B334" t="s">
        <v>3002</v>
      </c>
      <c r="E334" t="s">
        <v>785</v>
      </c>
      <c r="F334">
        <v>-333</v>
      </c>
      <c r="G334">
        <v>-3683</v>
      </c>
      <c r="H334">
        <v>-106</v>
      </c>
    </row>
    <row r="335" spans="1:8" x14ac:dyDescent="0.2">
      <c r="A335" t="s">
        <v>1205</v>
      </c>
      <c r="B335" t="s">
        <v>3002</v>
      </c>
      <c r="E335" t="s">
        <v>785</v>
      </c>
      <c r="F335">
        <v>-1391</v>
      </c>
      <c r="G335">
        <v>-3600</v>
      </c>
      <c r="H335">
        <v>-106</v>
      </c>
    </row>
    <row r="336" spans="1:8" x14ac:dyDescent="0.2">
      <c r="A336" t="s">
        <v>1206</v>
      </c>
      <c r="B336" t="s">
        <v>3002</v>
      </c>
      <c r="E336" t="s">
        <v>785</v>
      </c>
      <c r="F336">
        <v>4637</v>
      </c>
      <c r="G336">
        <v>608</v>
      </c>
      <c r="H336">
        <v>-106</v>
      </c>
    </row>
    <row r="337" spans="1:8" x14ac:dyDescent="0.2">
      <c r="A337" t="s">
        <v>1207</v>
      </c>
      <c r="B337" t="s">
        <v>3002</v>
      </c>
      <c r="E337" t="s">
        <v>785</v>
      </c>
      <c r="F337">
        <v>2563</v>
      </c>
      <c r="G337">
        <v>2971</v>
      </c>
      <c r="H337">
        <v>-106</v>
      </c>
    </row>
    <row r="338" spans="1:8" x14ac:dyDescent="0.2">
      <c r="A338" t="s">
        <v>793</v>
      </c>
      <c r="B338" t="s">
        <v>3002</v>
      </c>
      <c r="E338" t="s">
        <v>785</v>
      </c>
      <c r="F338">
        <v>2530</v>
      </c>
      <c r="G338">
        <v>2479</v>
      </c>
      <c r="H338">
        <v>-106</v>
      </c>
    </row>
    <row r="339" spans="1:8" x14ac:dyDescent="0.2">
      <c r="A339" t="s">
        <v>874</v>
      </c>
      <c r="B339" t="s">
        <v>3002</v>
      </c>
      <c r="E339" t="s">
        <v>785</v>
      </c>
      <c r="F339">
        <v>2768</v>
      </c>
      <c r="G339">
        <v>2778</v>
      </c>
      <c r="H339">
        <v>521</v>
      </c>
    </row>
    <row r="340" spans="1:8" x14ac:dyDescent="0.2">
      <c r="A340" t="s">
        <v>875</v>
      </c>
      <c r="B340" t="s">
        <v>3002</v>
      </c>
      <c r="E340" t="s">
        <v>785</v>
      </c>
      <c r="F340">
        <v>1950</v>
      </c>
      <c r="G340">
        <v>2687</v>
      </c>
      <c r="H340">
        <v>426</v>
      </c>
    </row>
    <row r="341" spans="1:8" x14ac:dyDescent="0.2">
      <c r="A341" t="s">
        <v>1035</v>
      </c>
      <c r="B341" t="s">
        <v>3002</v>
      </c>
      <c r="E341" t="s">
        <v>785</v>
      </c>
      <c r="F341">
        <v>2169</v>
      </c>
      <c r="G341">
        <v>2730</v>
      </c>
      <c r="H341">
        <v>530</v>
      </c>
    </row>
    <row r="342" spans="1:8" x14ac:dyDescent="0.2">
      <c r="A342" t="s">
        <v>876</v>
      </c>
      <c r="B342" t="s">
        <v>3002</v>
      </c>
      <c r="E342" t="s">
        <v>785</v>
      </c>
      <c r="F342">
        <v>2239</v>
      </c>
      <c r="G342">
        <v>2682</v>
      </c>
      <c r="H342">
        <v>521</v>
      </c>
    </row>
    <row r="343" spans="1:8" x14ac:dyDescent="0.2">
      <c r="A343" t="s">
        <v>786</v>
      </c>
      <c r="B343" t="s">
        <v>3002</v>
      </c>
      <c r="E343" t="s">
        <v>785</v>
      </c>
      <c r="F343">
        <v>3602</v>
      </c>
      <c r="G343">
        <v>3186</v>
      </c>
      <c r="H343">
        <v>-106</v>
      </c>
    </row>
    <row r="344" spans="1:8" x14ac:dyDescent="0.2">
      <c r="A344" t="s">
        <v>1208</v>
      </c>
      <c r="B344" t="s">
        <v>3002</v>
      </c>
      <c r="E344" t="s">
        <v>785</v>
      </c>
      <c r="F344">
        <v>4283</v>
      </c>
      <c r="G344">
        <v>-2355</v>
      </c>
      <c r="H344">
        <v>-106</v>
      </c>
    </row>
    <row r="345" spans="1:8" x14ac:dyDescent="0.2">
      <c r="A345" t="s">
        <v>877</v>
      </c>
      <c r="B345" t="s">
        <v>3002</v>
      </c>
      <c r="E345" t="s">
        <v>785</v>
      </c>
      <c r="F345">
        <v>4213</v>
      </c>
      <c r="G345">
        <v>-2263</v>
      </c>
      <c r="H345">
        <v>0</v>
      </c>
    </row>
    <row r="346" spans="1:8" x14ac:dyDescent="0.2">
      <c r="A346" t="s">
        <v>1210</v>
      </c>
      <c r="B346" t="s">
        <v>3002</v>
      </c>
      <c r="E346" t="s">
        <v>785</v>
      </c>
      <c r="F346">
        <v>336</v>
      </c>
      <c r="G346">
        <v>3693</v>
      </c>
      <c r="H346">
        <v>-106</v>
      </c>
    </row>
    <row r="347" spans="1:8" x14ac:dyDescent="0.2">
      <c r="A347" t="s">
        <v>878</v>
      </c>
      <c r="B347" t="s">
        <v>3002</v>
      </c>
      <c r="E347" t="s">
        <v>785</v>
      </c>
      <c r="F347">
        <v>307</v>
      </c>
      <c r="G347">
        <v>3579</v>
      </c>
      <c r="H347">
        <v>88</v>
      </c>
    </row>
    <row r="348" spans="1:8" x14ac:dyDescent="0.2">
      <c r="A348" t="s">
        <v>1213</v>
      </c>
      <c r="B348" t="s">
        <v>3002</v>
      </c>
      <c r="E348" t="s">
        <v>785</v>
      </c>
      <c r="F348">
        <v>366</v>
      </c>
      <c r="G348">
        <v>-1883</v>
      </c>
      <c r="H348">
        <v>-106</v>
      </c>
    </row>
    <row r="349" spans="1:8" x14ac:dyDescent="0.2">
      <c r="A349" t="s">
        <v>1221</v>
      </c>
      <c r="B349" t="s">
        <v>3002</v>
      </c>
      <c r="E349" t="s">
        <v>785</v>
      </c>
      <c r="F349">
        <v>-252</v>
      </c>
      <c r="G349">
        <v>1188</v>
      </c>
      <c r="H349">
        <v>21</v>
      </c>
    </row>
    <row r="350" spans="1:8" x14ac:dyDescent="0.2">
      <c r="A350" t="s">
        <v>1222</v>
      </c>
      <c r="B350" t="s">
        <v>3002</v>
      </c>
      <c r="E350" t="s">
        <v>1002</v>
      </c>
      <c r="F350">
        <v>906</v>
      </c>
      <c r="G350">
        <v>-2556</v>
      </c>
      <c r="H350">
        <v>-467</v>
      </c>
    </row>
    <row r="351" spans="1:8" x14ac:dyDescent="0.2">
      <c r="A351" t="s">
        <v>1223</v>
      </c>
      <c r="B351" t="s">
        <v>3002</v>
      </c>
      <c r="E351" t="s">
        <v>785</v>
      </c>
      <c r="F351">
        <v>928</v>
      </c>
      <c r="G351">
        <v>-2583</v>
      </c>
      <c r="H351">
        <v>-106</v>
      </c>
    </row>
    <row r="352" spans="1:8" x14ac:dyDescent="0.2">
      <c r="A352" t="s">
        <v>1224</v>
      </c>
      <c r="B352" t="s">
        <v>3002</v>
      </c>
      <c r="E352" t="s">
        <v>785</v>
      </c>
      <c r="F352">
        <v>1024</v>
      </c>
      <c r="G352">
        <v>-2763</v>
      </c>
      <c r="H352">
        <v>-106</v>
      </c>
    </row>
    <row r="353" spans="1:8" x14ac:dyDescent="0.2">
      <c r="A353" t="s">
        <v>795</v>
      </c>
      <c r="B353" t="s">
        <v>3002</v>
      </c>
      <c r="E353" t="s">
        <v>783</v>
      </c>
      <c r="F353">
        <v>1460</v>
      </c>
      <c r="G353">
        <v>-3381</v>
      </c>
      <c r="H353">
        <v>1895</v>
      </c>
    </row>
    <row r="354" spans="1:8" x14ac:dyDescent="0.2">
      <c r="A354" t="s">
        <v>1226</v>
      </c>
      <c r="B354" t="s">
        <v>3002</v>
      </c>
      <c r="E354" t="s">
        <v>785</v>
      </c>
      <c r="F354">
        <v>-4785</v>
      </c>
      <c r="G354">
        <v>-3509</v>
      </c>
      <c r="H354">
        <v>-106</v>
      </c>
    </row>
    <row r="355" spans="1:8" x14ac:dyDescent="0.2">
      <c r="A355" t="s">
        <v>1227</v>
      </c>
      <c r="B355" t="s">
        <v>3002</v>
      </c>
      <c r="E355" t="s">
        <v>785</v>
      </c>
      <c r="F355">
        <v>-1413</v>
      </c>
      <c r="G355">
        <v>966</v>
      </c>
      <c r="H355">
        <v>124</v>
      </c>
    </row>
    <row r="356" spans="1:8" x14ac:dyDescent="0.2">
      <c r="A356" t="s">
        <v>1228</v>
      </c>
      <c r="B356" t="s">
        <v>3002</v>
      </c>
      <c r="E356" t="s">
        <v>785</v>
      </c>
      <c r="F356">
        <v>-2551</v>
      </c>
      <c r="G356">
        <v>1889</v>
      </c>
      <c r="H356">
        <v>320</v>
      </c>
    </row>
    <row r="357" spans="1:8" x14ac:dyDescent="0.2">
      <c r="A357" t="s">
        <v>1229</v>
      </c>
      <c r="B357" t="s">
        <v>3002</v>
      </c>
      <c r="E357" t="s">
        <v>785</v>
      </c>
      <c r="F357">
        <v>1828</v>
      </c>
      <c r="G357">
        <v>738</v>
      </c>
      <c r="H357">
        <v>90</v>
      </c>
    </row>
    <row r="358" spans="1:8" x14ac:dyDescent="0.2">
      <c r="A358" t="s">
        <v>1230</v>
      </c>
      <c r="B358" t="s">
        <v>3002</v>
      </c>
      <c r="E358" t="s">
        <v>785</v>
      </c>
      <c r="F358">
        <v>695</v>
      </c>
      <c r="G358">
        <v>-1309</v>
      </c>
      <c r="H358">
        <v>54</v>
      </c>
    </row>
    <row r="359" spans="1:8" x14ac:dyDescent="0.2">
      <c r="A359" t="s">
        <v>1231</v>
      </c>
      <c r="B359" t="s">
        <v>3002</v>
      </c>
      <c r="E359" t="s">
        <v>785</v>
      </c>
      <c r="F359">
        <v>-3178</v>
      </c>
      <c r="G359">
        <v>-1700</v>
      </c>
      <c r="H359">
        <v>419</v>
      </c>
    </row>
    <row r="360" spans="1:8" x14ac:dyDescent="0.2">
      <c r="A360" t="s">
        <v>1232</v>
      </c>
      <c r="B360" t="s">
        <v>3002</v>
      </c>
      <c r="E360" t="s">
        <v>785</v>
      </c>
      <c r="F360">
        <v>-3096</v>
      </c>
      <c r="G360">
        <v>-77</v>
      </c>
      <c r="H360">
        <v>212</v>
      </c>
    </row>
    <row r="361" spans="1:8" x14ac:dyDescent="0.2">
      <c r="A361" t="s">
        <v>1233</v>
      </c>
      <c r="B361" t="s">
        <v>3002</v>
      </c>
      <c r="E361" t="s">
        <v>785</v>
      </c>
      <c r="F361">
        <v>3326</v>
      </c>
      <c r="G361">
        <v>-3566</v>
      </c>
      <c r="H361">
        <v>5</v>
      </c>
    </row>
    <row r="362" spans="1:8" x14ac:dyDescent="0.2">
      <c r="A362" t="s">
        <v>1234</v>
      </c>
      <c r="B362" t="s">
        <v>3002</v>
      </c>
      <c r="E362" t="s">
        <v>785</v>
      </c>
      <c r="F362">
        <v>-1864</v>
      </c>
      <c r="G362">
        <v>3622</v>
      </c>
      <c r="H362">
        <v>237</v>
      </c>
    </row>
    <row r="363" spans="1:8" x14ac:dyDescent="0.2">
      <c r="A363" t="s">
        <v>1235</v>
      </c>
      <c r="B363" t="s">
        <v>3002</v>
      </c>
      <c r="E363" t="s">
        <v>785</v>
      </c>
      <c r="F363">
        <v>4468</v>
      </c>
      <c r="G363">
        <v>-305</v>
      </c>
      <c r="H363">
        <v>75</v>
      </c>
    </row>
    <row r="364" spans="1:8" x14ac:dyDescent="0.2">
      <c r="A364" t="s">
        <v>1236</v>
      </c>
      <c r="B364" t="s">
        <v>3002</v>
      </c>
      <c r="E364" t="s">
        <v>785</v>
      </c>
      <c r="F364">
        <v>-649</v>
      </c>
      <c r="G364">
        <v>-2683</v>
      </c>
      <c r="H364">
        <v>69</v>
      </c>
    </row>
    <row r="365" spans="1:8" x14ac:dyDescent="0.2">
      <c r="A365" t="s">
        <v>1237</v>
      </c>
      <c r="B365" t="s">
        <v>3002</v>
      </c>
      <c r="E365" t="s">
        <v>785</v>
      </c>
      <c r="F365">
        <v>892</v>
      </c>
      <c r="G365">
        <v>2952</v>
      </c>
      <c r="H365">
        <v>363</v>
      </c>
    </row>
    <row r="366" spans="1:8" x14ac:dyDescent="0.2">
      <c r="A366" t="s">
        <v>1238</v>
      </c>
      <c r="B366" t="s">
        <v>3002</v>
      </c>
      <c r="E366" t="s">
        <v>785</v>
      </c>
      <c r="F366">
        <v>4535</v>
      </c>
      <c r="G366">
        <v>2144</v>
      </c>
      <c r="H366">
        <v>1</v>
      </c>
    </row>
    <row r="367" spans="1:8" x14ac:dyDescent="0.2">
      <c r="A367" t="s">
        <v>1036</v>
      </c>
      <c r="B367" t="s">
        <v>3002</v>
      </c>
      <c r="E367" t="s">
        <v>785</v>
      </c>
      <c r="F367">
        <v>-344</v>
      </c>
      <c r="G367">
        <v>3121</v>
      </c>
      <c r="H367">
        <v>-106</v>
      </c>
    </row>
    <row r="368" spans="1:8" x14ac:dyDescent="0.2">
      <c r="A368" t="s">
        <v>1241</v>
      </c>
      <c r="B368" t="s">
        <v>3002</v>
      </c>
      <c r="E368" t="s">
        <v>785</v>
      </c>
      <c r="F368">
        <v>-3793</v>
      </c>
      <c r="G368">
        <v>2236</v>
      </c>
      <c r="H368">
        <v>-106</v>
      </c>
    </row>
    <row r="369" spans="1:8" x14ac:dyDescent="0.2">
      <c r="A369" t="s">
        <v>1244</v>
      </c>
      <c r="B369" t="s">
        <v>3002</v>
      </c>
      <c r="E369" t="s">
        <v>785</v>
      </c>
      <c r="F369">
        <v>1358</v>
      </c>
      <c r="G369">
        <v>-1782</v>
      </c>
      <c r="H369">
        <v>-106</v>
      </c>
    </row>
    <row r="370" spans="1:8" x14ac:dyDescent="0.2">
      <c r="A370" t="s">
        <v>879</v>
      </c>
      <c r="B370" t="s">
        <v>3002</v>
      </c>
      <c r="E370" t="s">
        <v>785</v>
      </c>
      <c r="F370">
        <v>1194</v>
      </c>
      <c r="G370">
        <v>-1854</v>
      </c>
      <c r="H370">
        <v>158</v>
      </c>
    </row>
    <row r="371" spans="1:8" x14ac:dyDescent="0.2">
      <c r="A371" t="s">
        <v>880</v>
      </c>
      <c r="B371" t="s">
        <v>3002</v>
      </c>
      <c r="E371" t="s">
        <v>785</v>
      </c>
      <c r="F371">
        <v>1183</v>
      </c>
      <c r="G371">
        <v>-1948</v>
      </c>
      <c r="H371">
        <v>246</v>
      </c>
    </row>
    <row r="372" spans="1:8" x14ac:dyDescent="0.2">
      <c r="A372" t="s">
        <v>1245</v>
      </c>
      <c r="B372" t="s">
        <v>3002</v>
      </c>
      <c r="E372" t="s">
        <v>785</v>
      </c>
      <c r="F372">
        <v>1757</v>
      </c>
      <c r="G372">
        <v>-1924</v>
      </c>
      <c r="H372">
        <v>53</v>
      </c>
    </row>
    <row r="373" spans="1:8" x14ac:dyDescent="0.2">
      <c r="A373" t="s">
        <v>1248</v>
      </c>
      <c r="B373" t="s">
        <v>3002</v>
      </c>
      <c r="E373" t="s">
        <v>785</v>
      </c>
      <c r="F373">
        <v>3003</v>
      </c>
      <c r="G373">
        <v>-3082</v>
      </c>
      <c r="H373">
        <v>-106</v>
      </c>
    </row>
    <row r="374" spans="1:8" x14ac:dyDescent="0.2">
      <c r="A374" t="s">
        <v>1249</v>
      </c>
      <c r="B374" t="s">
        <v>3002</v>
      </c>
      <c r="E374" t="s">
        <v>785</v>
      </c>
      <c r="F374">
        <v>3404</v>
      </c>
      <c r="G374">
        <v>-2152</v>
      </c>
      <c r="H374">
        <v>133</v>
      </c>
    </row>
    <row r="375" spans="1:8" x14ac:dyDescent="0.2">
      <c r="A375" t="s">
        <v>1250</v>
      </c>
      <c r="B375" t="s">
        <v>3002</v>
      </c>
      <c r="E375" t="s">
        <v>785</v>
      </c>
      <c r="F375">
        <v>4354</v>
      </c>
      <c r="G375">
        <v>2400</v>
      </c>
      <c r="H375">
        <v>-106</v>
      </c>
    </row>
    <row r="376" spans="1:8" x14ac:dyDescent="0.2">
      <c r="A376" t="s">
        <v>834</v>
      </c>
      <c r="B376" t="s">
        <v>3002</v>
      </c>
      <c r="E376" t="s">
        <v>785</v>
      </c>
      <c r="F376">
        <v>4096</v>
      </c>
      <c r="G376">
        <v>2149</v>
      </c>
      <c r="H376">
        <v>-106</v>
      </c>
    </row>
    <row r="377" spans="1:8" x14ac:dyDescent="0.2">
      <c r="A377" t="s">
        <v>1038</v>
      </c>
      <c r="B377" t="s">
        <v>3002</v>
      </c>
      <c r="E377" t="s">
        <v>785</v>
      </c>
      <c r="F377">
        <v>4231</v>
      </c>
      <c r="G377">
        <v>2746</v>
      </c>
      <c r="H377">
        <v>170</v>
      </c>
    </row>
    <row r="378" spans="1:8" x14ac:dyDescent="0.2">
      <c r="A378" t="s">
        <v>1039</v>
      </c>
      <c r="B378" t="s">
        <v>3002</v>
      </c>
      <c r="E378" t="s">
        <v>785</v>
      </c>
      <c r="F378">
        <v>-2538</v>
      </c>
      <c r="G378">
        <v>-3539</v>
      </c>
      <c r="H378">
        <v>-106</v>
      </c>
    </row>
    <row r="379" spans="1:8" x14ac:dyDescent="0.2">
      <c r="A379" t="s">
        <v>881</v>
      </c>
      <c r="B379" t="s">
        <v>3002</v>
      </c>
      <c r="E379" t="s">
        <v>785</v>
      </c>
      <c r="F379">
        <v>-3555</v>
      </c>
      <c r="G379">
        <v>3088</v>
      </c>
      <c r="H379">
        <v>273</v>
      </c>
    </row>
    <row r="380" spans="1:8" x14ac:dyDescent="0.2">
      <c r="A380" t="s">
        <v>1252</v>
      </c>
      <c r="B380" t="s">
        <v>3002</v>
      </c>
      <c r="E380" t="s">
        <v>785</v>
      </c>
      <c r="F380">
        <v>-14</v>
      </c>
      <c r="G380">
        <v>458</v>
      </c>
      <c r="H380">
        <v>-106</v>
      </c>
    </row>
    <row r="381" spans="1:8" x14ac:dyDescent="0.2">
      <c r="A381" t="s">
        <v>1253</v>
      </c>
      <c r="B381" t="s">
        <v>3002</v>
      </c>
      <c r="E381" t="s">
        <v>785</v>
      </c>
      <c r="F381">
        <v>1126</v>
      </c>
      <c r="G381">
        <v>3673</v>
      </c>
      <c r="H381">
        <v>-106</v>
      </c>
    </row>
    <row r="382" spans="1:8" x14ac:dyDescent="0.2">
      <c r="A382" t="s">
        <v>1254</v>
      </c>
      <c r="B382" t="s">
        <v>3002</v>
      </c>
      <c r="E382" t="s">
        <v>785</v>
      </c>
      <c r="F382">
        <v>-1577</v>
      </c>
      <c r="G382">
        <v>-2988</v>
      </c>
      <c r="H382">
        <v>-106</v>
      </c>
    </row>
    <row r="383" spans="1:8" x14ac:dyDescent="0.2">
      <c r="A383" t="s">
        <v>882</v>
      </c>
      <c r="B383" t="s">
        <v>3002</v>
      </c>
      <c r="E383" t="s">
        <v>785</v>
      </c>
      <c r="F383">
        <v>-2696</v>
      </c>
      <c r="G383">
        <v>-2809</v>
      </c>
      <c r="H383">
        <v>-67</v>
      </c>
    </row>
    <row r="384" spans="1:8" x14ac:dyDescent="0.2">
      <c r="A384" t="s">
        <v>1003</v>
      </c>
      <c r="B384" t="s">
        <v>3002</v>
      </c>
      <c r="E384" t="s">
        <v>783</v>
      </c>
      <c r="F384">
        <v>-1866</v>
      </c>
      <c r="G384">
        <v>-2316</v>
      </c>
      <c r="H384">
        <v>1895</v>
      </c>
    </row>
    <row r="385" spans="1:8" x14ac:dyDescent="0.2">
      <c r="A385" t="s">
        <v>1004</v>
      </c>
      <c r="B385" t="s">
        <v>3002</v>
      </c>
      <c r="E385" t="s">
        <v>783</v>
      </c>
      <c r="F385">
        <v>-1729</v>
      </c>
      <c r="G385">
        <v>3171</v>
      </c>
      <c r="H385">
        <v>1895</v>
      </c>
    </row>
    <row r="386" spans="1:8" x14ac:dyDescent="0.2">
      <c r="A386" t="s">
        <v>805</v>
      </c>
      <c r="B386" t="s">
        <v>3002</v>
      </c>
      <c r="E386" t="s">
        <v>785</v>
      </c>
      <c r="F386">
        <v>2679</v>
      </c>
      <c r="G386">
        <v>-2507</v>
      </c>
      <c r="H386">
        <v>-106</v>
      </c>
    </row>
    <row r="387" spans="1:8" x14ac:dyDescent="0.2">
      <c r="A387" t="s">
        <v>1256</v>
      </c>
      <c r="B387" t="s">
        <v>3002</v>
      </c>
      <c r="E387" t="s">
        <v>785</v>
      </c>
      <c r="F387">
        <v>-120</v>
      </c>
      <c r="G387">
        <v>975</v>
      </c>
      <c r="H387">
        <v>27</v>
      </c>
    </row>
    <row r="388" spans="1:8" x14ac:dyDescent="0.2">
      <c r="A388" t="s">
        <v>1258</v>
      </c>
      <c r="B388" t="s">
        <v>3002</v>
      </c>
      <c r="E388" t="s">
        <v>785</v>
      </c>
      <c r="F388">
        <v>3668</v>
      </c>
      <c r="G388">
        <v>180</v>
      </c>
      <c r="H388">
        <v>219</v>
      </c>
    </row>
    <row r="389" spans="1:8" x14ac:dyDescent="0.2">
      <c r="A389" t="s">
        <v>883</v>
      </c>
      <c r="B389" t="s">
        <v>3002</v>
      </c>
      <c r="E389" t="s">
        <v>785</v>
      </c>
      <c r="F389">
        <v>1854</v>
      </c>
      <c r="G389">
        <v>1720</v>
      </c>
      <c r="H389">
        <v>292</v>
      </c>
    </row>
    <row r="390" spans="1:8" x14ac:dyDescent="0.2">
      <c r="A390" t="s">
        <v>1259</v>
      </c>
      <c r="B390" t="s">
        <v>3002</v>
      </c>
      <c r="E390" t="s">
        <v>785</v>
      </c>
      <c r="F390">
        <v>3861</v>
      </c>
      <c r="G390">
        <v>1095</v>
      </c>
      <c r="H390">
        <v>206</v>
      </c>
    </row>
    <row r="391" spans="1:8" x14ac:dyDescent="0.2">
      <c r="A391" t="s">
        <v>1260</v>
      </c>
      <c r="B391" t="s">
        <v>3002</v>
      </c>
      <c r="E391" t="s">
        <v>785</v>
      </c>
      <c r="F391">
        <v>-531</v>
      </c>
      <c r="G391">
        <v>-1960</v>
      </c>
      <c r="H391">
        <v>-106</v>
      </c>
    </row>
    <row r="392" spans="1:8" x14ac:dyDescent="0.2">
      <c r="A392" t="s">
        <v>1261</v>
      </c>
      <c r="B392" t="s">
        <v>3002</v>
      </c>
      <c r="E392" t="s">
        <v>785</v>
      </c>
      <c r="F392">
        <v>1885</v>
      </c>
      <c r="G392">
        <v>-3326</v>
      </c>
      <c r="H392">
        <v>-106</v>
      </c>
    </row>
    <row r="393" spans="1:8" x14ac:dyDescent="0.2">
      <c r="A393" t="s">
        <v>1263</v>
      </c>
      <c r="B393" t="s">
        <v>3002</v>
      </c>
      <c r="E393" t="s">
        <v>785</v>
      </c>
      <c r="F393">
        <v>3351</v>
      </c>
      <c r="G393">
        <v>-2531</v>
      </c>
      <c r="H393">
        <v>-106</v>
      </c>
    </row>
    <row r="394" spans="1:8" x14ac:dyDescent="0.2">
      <c r="A394" t="s">
        <v>1264</v>
      </c>
      <c r="B394" t="s">
        <v>3002</v>
      </c>
      <c r="E394" t="s">
        <v>785</v>
      </c>
      <c r="F394">
        <v>1935</v>
      </c>
      <c r="G394">
        <v>2232</v>
      </c>
      <c r="H394">
        <v>-106</v>
      </c>
    </row>
    <row r="395" spans="1:8" x14ac:dyDescent="0.2">
      <c r="A395" t="s">
        <v>791</v>
      </c>
      <c r="B395" t="s">
        <v>3002</v>
      </c>
      <c r="E395" t="s">
        <v>785</v>
      </c>
      <c r="F395">
        <v>1853</v>
      </c>
      <c r="G395">
        <v>1401</v>
      </c>
      <c r="H395">
        <v>-106</v>
      </c>
    </row>
    <row r="396" spans="1:8" x14ac:dyDescent="0.2">
      <c r="A396" t="s">
        <v>1265</v>
      </c>
      <c r="B396" t="s">
        <v>3002</v>
      </c>
      <c r="E396" t="s">
        <v>785</v>
      </c>
      <c r="F396">
        <v>1642</v>
      </c>
      <c r="G396">
        <v>1191</v>
      </c>
      <c r="H396">
        <v>219</v>
      </c>
    </row>
    <row r="397" spans="1:8" x14ac:dyDescent="0.2">
      <c r="A397" t="s">
        <v>792</v>
      </c>
      <c r="B397" t="s">
        <v>3002</v>
      </c>
      <c r="E397" t="s">
        <v>785</v>
      </c>
      <c r="F397">
        <v>1310</v>
      </c>
      <c r="G397">
        <v>3376</v>
      </c>
      <c r="H397">
        <v>-106</v>
      </c>
    </row>
    <row r="398" spans="1:8" x14ac:dyDescent="0.2">
      <c r="A398" t="s">
        <v>1268</v>
      </c>
      <c r="B398" t="s">
        <v>3002</v>
      </c>
      <c r="E398" t="s">
        <v>783</v>
      </c>
      <c r="F398">
        <v>1979</v>
      </c>
      <c r="G398">
        <v>2089</v>
      </c>
      <c r="H398">
        <v>1895</v>
      </c>
    </row>
    <row r="399" spans="1:8" x14ac:dyDescent="0.2">
      <c r="A399" t="s">
        <v>1269</v>
      </c>
      <c r="B399" t="s">
        <v>3002</v>
      </c>
      <c r="E399" t="s">
        <v>783</v>
      </c>
      <c r="F399">
        <v>1777</v>
      </c>
      <c r="G399">
        <v>2706</v>
      </c>
      <c r="H399">
        <v>1895</v>
      </c>
    </row>
    <row r="400" spans="1:8" x14ac:dyDescent="0.2">
      <c r="A400" t="s">
        <v>1270</v>
      </c>
      <c r="B400" t="s">
        <v>3002</v>
      </c>
      <c r="E400" t="s">
        <v>785</v>
      </c>
      <c r="F400">
        <v>2293</v>
      </c>
      <c r="G400">
        <v>3679</v>
      </c>
      <c r="H400">
        <v>-106</v>
      </c>
    </row>
    <row r="401" spans="1:8" x14ac:dyDescent="0.2">
      <c r="A401" t="s">
        <v>1271</v>
      </c>
      <c r="B401" t="s">
        <v>3002</v>
      </c>
      <c r="E401" t="s">
        <v>785</v>
      </c>
      <c r="F401">
        <v>-415</v>
      </c>
      <c r="G401">
        <v>1797</v>
      </c>
      <c r="H401">
        <v>-106</v>
      </c>
    </row>
    <row r="402" spans="1:8" x14ac:dyDescent="0.2">
      <c r="A402" t="s">
        <v>884</v>
      </c>
      <c r="B402" t="s">
        <v>3002</v>
      </c>
      <c r="E402" t="s">
        <v>785</v>
      </c>
      <c r="F402">
        <v>4753</v>
      </c>
      <c r="G402">
        <v>-3782</v>
      </c>
      <c r="H402">
        <v>-6</v>
      </c>
    </row>
    <row r="403" spans="1:8" x14ac:dyDescent="0.2">
      <c r="A403" t="s">
        <v>1040</v>
      </c>
      <c r="B403" t="s">
        <v>3002</v>
      </c>
      <c r="E403" t="s">
        <v>785</v>
      </c>
      <c r="F403">
        <v>-750</v>
      </c>
      <c r="G403">
        <v>-860</v>
      </c>
      <c r="H403">
        <v>191</v>
      </c>
    </row>
    <row r="404" spans="1:8" x14ac:dyDescent="0.2">
      <c r="A404" t="s">
        <v>1277</v>
      </c>
      <c r="B404" t="s">
        <v>3002</v>
      </c>
      <c r="E404" t="s">
        <v>785</v>
      </c>
      <c r="F404">
        <v>969</v>
      </c>
      <c r="G404">
        <v>-2825</v>
      </c>
      <c r="H404">
        <v>-106</v>
      </c>
    </row>
    <row r="405" spans="1:8" x14ac:dyDescent="0.2">
      <c r="A405" t="s">
        <v>794</v>
      </c>
      <c r="B405" t="s">
        <v>3002</v>
      </c>
      <c r="E405" t="s">
        <v>785</v>
      </c>
      <c r="F405">
        <v>-423</v>
      </c>
      <c r="G405">
        <v>-3156</v>
      </c>
      <c r="H405">
        <v>-106</v>
      </c>
    </row>
    <row r="406" spans="1:8" x14ac:dyDescent="0.2">
      <c r="A406" t="s">
        <v>1278</v>
      </c>
      <c r="B406" t="s">
        <v>3002</v>
      </c>
      <c r="E406" t="s">
        <v>785</v>
      </c>
      <c r="F406">
        <v>-51</v>
      </c>
      <c r="G406">
        <v>-3986</v>
      </c>
      <c r="H406">
        <v>-106</v>
      </c>
    </row>
    <row r="407" spans="1:8" x14ac:dyDescent="0.2">
      <c r="A407" t="s">
        <v>1279</v>
      </c>
      <c r="B407" t="s">
        <v>3002</v>
      </c>
      <c r="E407" t="s">
        <v>783</v>
      </c>
      <c r="F407">
        <v>969</v>
      </c>
      <c r="G407">
        <v>-2825</v>
      </c>
      <c r="H407">
        <v>895</v>
      </c>
    </row>
    <row r="408" spans="1:8" x14ac:dyDescent="0.2">
      <c r="A408" t="s">
        <v>1282</v>
      </c>
      <c r="B408" t="s">
        <v>3002</v>
      </c>
      <c r="E408" t="s">
        <v>785</v>
      </c>
      <c r="F408">
        <v>556</v>
      </c>
      <c r="G408">
        <v>-2488</v>
      </c>
      <c r="H408">
        <v>-106</v>
      </c>
    </row>
    <row r="409" spans="1:8" x14ac:dyDescent="0.2">
      <c r="A409" t="s">
        <v>1283</v>
      </c>
      <c r="B409" t="s">
        <v>3002</v>
      </c>
      <c r="E409" t="s">
        <v>785</v>
      </c>
      <c r="F409">
        <v>423</v>
      </c>
      <c r="G409">
        <v>-2953</v>
      </c>
      <c r="H409">
        <v>-106</v>
      </c>
    </row>
    <row r="410" spans="1:8" x14ac:dyDescent="0.2">
      <c r="A410" t="s">
        <v>885</v>
      </c>
      <c r="B410" t="s">
        <v>3002</v>
      </c>
      <c r="E410" t="s">
        <v>785</v>
      </c>
      <c r="F410">
        <v>569</v>
      </c>
      <c r="G410">
        <v>-2982</v>
      </c>
      <c r="H410">
        <v>13</v>
      </c>
    </row>
    <row r="411" spans="1:8" x14ac:dyDescent="0.2">
      <c r="A411" t="s">
        <v>1284</v>
      </c>
      <c r="B411" t="s">
        <v>3002</v>
      </c>
      <c r="E411" t="s">
        <v>785</v>
      </c>
      <c r="F411">
        <v>2822</v>
      </c>
      <c r="G411">
        <v>-1952</v>
      </c>
      <c r="H411">
        <v>-106</v>
      </c>
    </row>
    <row r="412" spans="1:8" x14ac:dyDescent="0.2">
      <c r="A412" t="s">
        <v>1285</v>
      </c>
      <c r="B412" t="s">
        <v>3002</v>
      </c>
      <c r="E412" t="s">
        <v>785</v>
      </c>
      <c r="F412">
        <v>2949</v>
      </c>
      <c r="G412">
        <v>-2380</v>
      </c>
      <c r="H412">
        <v>-106</v>
      </c>
    </row>
    <row r="413" spans="1:8" x14ac:dyDescent="0.2">
      <c r="A413" t="s">
        <v>1286</v>
      </c>
      <c r="B413" t="s">
        <v>3002</v>
      </c>
      <c r="E413" t="s">
        <v>785</v>
      </c>
      <c r="F413">
        <v>3266</v>
      </c>
      <c r="G413">
        <v>-2233</v>
      </c>
      <c r="H413">
        <v>-106</v>
      </c>
    </row>
    <row r="414" spans="1:8" x14ac:dyDescent="0.2">
      <c r="A414" t="s">
        <v>1290</v>
      </c>
      <c r="B414" t="s">
        <v>3002</v>
      </c>
      <c r="E414" t="s">
        <v>783</v>
      </c>
      <c r="F414">
        <v>4077</v>
      </c>
      <c r="G414">
        <v>536</v>
      </c>
      <c r="H414">
        <v>896</v>
      </c>
    </row>
    <row r="415" spans="1:8" x14ac:dyDescent="0.2">
      <c r="A415" t="s">
        <v>1291</v>
      </c>
      <c r="B415" t="s">
        <v>3002</v>
      </c>
      <c r="E415" t="s">
        <v>785</v>
      </c>
      <c r="F415">
        <v>854</v>
      </c>
      <c r="G415">
        <v>-837</v>
      </c>
      <c r="H415">
        <v>-46</v>
      </c>
    </row>
    <row r="416" spans="1:8" x14ac:dyDescent="0.2">
      <c r="A416" t="s">
        <v>1292</v>
      </c>
      <c r="B416" t="s">
        <v>3002</v>
      </c>
      <c r="E416" t="s">
        <v>785</v>
      </c>
      <c r="F416">
        <v>1731</v>
      </c>
      <c r="G416">
        <v>-3455</v>
      </c>
      <c r="H416">
        <v>54</v>
      </c>
    </row>
    <row r="417" spans="1:8" x14ac:dyDescent="0.2">
      <c r="A417" t="s">
        <v>1293</v>
      </c>
      <c r="B417" t="s">
        <v>3002</v>
      </c>
      <c r="E417" t="s">
        <v>1002</v>
      </c>
      <c r="F417">
        <v>1936</v>
      </c>
      <c r="G417">
        <v>-2779</v>
      </c>
      <c r="H417">
        <v>-854</v>
      </c>
    </row>
    <row r="418" spans="1:8" x14ac:dyDescent="0.2">
      <c r="A418" t="s">
        <v>1294</v>
      </c>
      <c r="B418" t="s">
        <v>3002</v>
      </c>
      <c r="E418" t="s">
        <v>785</v>
      </c>
      <c r="F418">
        <v>1773</v>
      </c>
      <c r="G418">
        <v>-3256</v>
      </c>
      <c r="H418">
        <v>-106</v>
      </c>
    </row>
    <row r="419" spans="1:8" x14ac:dyDescent="0.2">
      <c r="A419" t="s">
        <v>1295</v>
      </c>
      <c r="B419" t="s">
        <v>3002</v>
      </c>
      <c r="E419" t="s">
        <v>785</v>
      </c>
      <c r="F419">
        <v>1277</v>
      </c>
      <c r="G419">
        <v>-3327</v>
      </c>
      <c r="H419">
        <v>-106</v>
      </c>
    </row>
    <row r="420" spans="1:8" x14ac:dyDescent="0.2">
      <c r="A420" t="s">
        <v>886</v>
      </c>
      <c r="B420" t="s">
        <v>3002</v>
      </c>
      <c r="E420" t="s">
        <v>785</v>
      </c>
      <c r="F420">
        <v>810</v>
      </c>
      <c r="G420">
        <v>-2972</v>
      </c>
      <c r="H420">
        <v>11</v>
      </c>
    </row>
    <row r="421" spans="1:8" x14ac:dyDescent="0.2">
      <c r="A421" t="s">
        <v>887</v>
      </c>
      <c r="B421" t="s">
        <v>3002</v>
      </c>
      <c r="E421" t="s">
        <v>785</v>
      </c>
      <c r="F421">
        <v>2275</v>
      </c>
      <c r="G421">
        <v>1520</v>
      </c>
      <c r="H421">
        <v>157</v>
      </c>
    </row>
    <row r="422" spans="1:8" x14ac:dyDescent="0.2">
      <c r="A422" t="s">
        <v>1041</v>
      </c>
      <c r="B422" t="s">
        <v>3002</v>
      </c>
      <c r="E422" t="s">
        <v>785</v>
      </c>
      <c r="F422">
        <v>2613</v>
      </c>
      <c r="G422">
        <v>1144</v>
      </c>
      <c r="H422">
        <v>148</v>
      </c>
    </row>
    <row r="423" spans="1:8" x14ac:dyDescent="0.2">
      <c r="A423" t="s">
        <v>1042</v>
      </c>
      <c r="B423" t="s">
        <v>3002</v>
      </c>
      <c r="E423" t="s">
        <v>785</v>
      </c>
      <c r="F423">
        <v>-963</v>
      </c>
      <c r="G423">
        <v>-1705</v>
      </c>
      <c r="H423">
        <v>-106</v>
      </c>
    </row>
    <row r="424" spans="1:8" x14ac:dyDescent="0.2">
      <c r="A424" t="s">
        <v>841</v>
      </c>
      <c r="B424" t="s">
        <v>3002</v>
      </c>
      <c r="E424" t="s">
        <v>785</v>
      </c>
      <c r="F424">
        <v>-368</v>
      </c>
      <c r="G424">
        <v>-1525</v>
      </c>
      <c r="H424">
        <v>-106</v>
      </c>
    </row>
    <row r="425" spans="1:8" x14ac:dyDescent="0.2">
      <c r="A425" t="s">
        <v>1300</v>
      </c>
      <c r="B425" t="s">
        <v>3002</v>
      </c>
      <c r="E425" t="s">
        <v>785</v>
      </c>
      <c r="F425">
        <v>2324</v>
      </c>
      <c r="G425">
        <v>-1837</v>
      </c>
      <c r="H425">
        <v>-28</v>
      </c>
    </row>
    <row r="426" spans="1:8" x14ac:dyDescent="0.2">
      <c r="A426" t="s">
        <v>888</v>
      </c>
      <c r="B426" t="s">
        <v>3002</v>
      </c>
      <c r="E426" t="s">
        <v>785</v>
      </c>
      <c r="F426">
        <v>2243</v>
      </c>
      <c r="G426">
        <v>-1690</v>
      </c>
      <c r="H426">
        <v>24</v>
      </c>
    </row>
    <row r="427" spans="1:8" x14ac:dyDescent="0.2">
      <c r="A427" t="s">
        <v>1301</v>
      </c>
      <c r="B427" t="s">
        <v>3002</v>
      </c>
      <c r="E427" t="s">
        <v>785</v>
      </c>
      <c r="F427">
        <v>447</v>
      </c>
      <c r="G427">
        <v>-3335</v>
      </c>
      <c r="H427">
        <v>-106</v>
      </c>
    </row>
    <row r="428" spans="1:8" x14ac:dyDescent="0.2">
      <c r="A428" t="s">
        <v>1302</v>
      </c>
      <c r="B428" t="s">
        <v>3002</v>
      </c>
      <c r="E428" t="s">
        <v>785</v>
      </c>
      <c r="F428">
        <v>3274</v>
      </c>
      <c r="G428">
        <v>-3412</v>
      </c>
      <c r="H428">
        <v>-106</v>
      </c>
    </row>
    <row r="429" spans="1:8" x14ac:dyDescent="0.2">
      <c r="A429" t="s">
        <v>1303</v>
      </c>
      <c r="B429" t="s">
        <v>3002</v>
      </c>
      <c r="E429" t="s">
        <v>785</v>
      </c>
      <c r="F429">
        <v>-538</v>
      </c>
      <c r="G429">
        <v>-1445</v>
      </c>
      <c r="H429">
        <v>1</v>
      </c>
    </row>
    <row r="430" spans="1:8" x14ac:dyDescent="0.2">
      <c r="A430" t="s">
        <v>1304</v>
      </c>
      <c r="B430" t="s">
        <v>3002</v>
      </c>
      <c r="E430" t="s">
        <v>785</v>
      </c>
      <c r="F430">
        <v>-206</v>
      </c>
      <c r="G430" t="s">
        <v>1785</v>
      </c>
      <c r="H430">
        <v>20</v>
      </c>
    </row>
    <row r="431" spans="1:8" x14ac:dyDescent="0.2">
      <c r="A431" t="s">
        <v>1305</v>
      </c>
      <c r="B431" t="s">
        <v>3002</v>
      </c>
      <c r="E431" t="s">
        <v>785</v>
      </c>
      <c r="F431">
        <v>2428</v>
      </c>
      <c r="G431">
        <v>1729</v>
      </c>
      <c r="H431">
        <v>-106</v>
      </c>
    </row>
    <row r="432" spans="1:8" x14ac:dyDescent="0.2">
      <c r="A432" t="s">
        <v>1306</v>
      </c>
      <c r="B432" t="s">
        <v>3002</v>
      </c>
      <c r="E432" t="s">
        <v>785</v>
      </c>
      <c r="F432">
        <v>-3989</v>
      </c>
      <c r="G432">
        <v>-3257</v>
      </c>
      <c r="H432">
        <v>-106</v>
      </c>
    </row>
    <row r="433" spans="1:8" x14ac:dyDescent="0.2">
      <c r="A433" t="s">
        <v>1043</v>
      </c>
      <c r="B433" t="s">
        <v>3002</v>
      </c>
      <c r="E433" t="s">
        <v>785</v>
      </c>
      <c r="F433">
        <v>-2308</v>
      </c>
      <c r="G433">
        <v>-2216</v>
      </c>
      <c r="H433">
        <v>-106</v>
      </c>
    </row>
    <row r="434" spans="1:8" x14ac:dyDescent="0.2">
      <c r="A434" t="s">
        <v>889</v>
      </c>
      <c r="B434" t="s">
        <v>3002</v>
      </c>
      <c r="E434" t="s">
        <v>1002</v>
      </c>
      <c r="F434">
        <v>-4175</v>
      </c>
      <c r="G434">
        <v>-739</v>
      </c>
      <c r="H434">
        <v>-1063</v>
      </c>
    </row>
    <row r="435" spans="1:8" x14ac:dyDescent="0.2">
      <c r="A435" t="s">
        <v>1307</v>
      </c>
      <c r="B435" t="s">
        <v>3002</v>
      </c>
      <c r="E435" t="s">
        <v>785</v>
      </c>
      <c r="F435">
        <v>-2439</v>
      </c>
      <c r="G435">
        <v>-2183</v>
      </c>
      <c r="H435">
        <v>300</v>
      </c>
    </row>
    <row r="436" spans="1:8" x14ac:dyDescent="0.2">
      <c r="A436" t="s">
        <v>1044</v>
      </c>
      <c r="B436" t="s">
        <v>3002</v>
      </c>
      <c r="E436" t="s">
        <v>785</v>
      </c>
      <c r="F436">
        <v>-2804</v>
      </c>
      <c r="G436">
        <v>-2226</v>
      </c>
      <c r="H436">
        <v>73</v>
      </c>
    </row>
    <row r="437" spans="1:8" x14ac:dyDescent="0.2">
      <c r="A437" t="s">
        <v>798</v>
      </c>
      <c r="B437" t="s">
        <v>3002</v>
      </c>
      <c r="E437" t="s">
        <v>785</v>
      </c>
      <c r="F437">
        <v>-3682</v>
      </c>
      <c r="G437">
        <v>-3429</v>
      </c>
      <c r="H437">
        <v>-106</v>
      </c>
    </row>
    <row r="438" spans="1:8" x14ac:dyDescent="0.2">
      <c r="A438" t="s">
        <v>1310</v>
      </c>
      <c r="B438" t="s">
        <v>3002</v>
      </c>
      <c r="E438" t="s">
        <v>785</v>
      </c>
      <c r="F438">
        <v>-2924</v>
      </c>
      <c r="G438">
        <v>-2329</v>
      </c>
      <c r="H438">
        <v>33</v>
      </c>
    </row>
    <row r="439" spans="1:8" x14ac:dyDescent="0.2">
      <c r="A439" t="s">
        <v>890</v>
      </c>
      <c r="B439" t="s">
        <v>3002</v>
      </c>
      <c r="E439" t="s">
        <v>785</v>
      </c>
      <c r="F439">
        <v>-4814</v>
      </c>
      <c r="G439">
        <v>-3875</v>
      </c>
      <c r="H439">
        <v>-1</v>
      </c>
    </row>
    <row r="440" spans="1:8" x14ac:dyDescent="0.2">
      <c r="A440" t="s">
        <v>797</v>
      </c>
      <c r="B440" t="s">
        <v>3002</v>
      </c>
      <c r="E440" t="s">
        <v>785</v>
      </c>
      <c r="F440">
        <v>-4089</v>
      </c>
      <c r="G440">
        <v>-843</v>
      </c>
      <c r="H440">
        <v>-106</v>
      </c>
    </row>
    <row r="441" spans="1:8" x14ac:dyDescent="0.2">
      <c r="A441" t="s">
        <v>1311</v>
      </c>
      <c r="B441" t="s">
        <v>3002</v>
      </c>
      <c r="E441" t="s">
        <v>785</v>
      </c>
      <c r="F441">
        <v>-3961</v>
      </c>
      <c r="G441">
        <v>-1306</v>
      </c>
      <c r="H441">
        <v>416</v>
      </c>
    </row>
    <row r="442" spans="1:8" x14ac:dyDescent="0.2">
      <c r="A442" t="s">
        <v>891</v>
      </c>
      <c r="B442" t="s">
        <v>3002</v>
      </c>
      <c r="E442" t="s">
        <v>785</v>
      </c>
      <c r="F442">
        <v>-3763</v>
      </c>
      <c r="G442">
        <v>-2699</v>
      </c>
      <c r="H442">
        <v>15</v>
      </c>
    </row>
    <row r="443" spans="1:8" x14ac:dyDescent="0.2">
      <c r="A443" t="s">
        <v>1312</v>
      </c>
      <c r="B443" t="s">
        <v>3002</v>
      </c>
      <c r="E443" t="s">
        <v>783</v>
      </c>
      <c r="F443">
        <v>-3625</v>
      </c>
      <c r="G443">
        <v>-2759</v>
      </c>
      <c r="H443">
        <v>1895</v>
      </c>
    </row>
    <row r="444" spans="1:8" x14ac:dyDescent="0.2">
      <c r="A444" t="s">
        <v>839</v>
      </c>
      <c r="B444" t="s">
        <v>3002</v>
      </c>
      <c r="E444" t="s">
        <v>785</v>
      </c>
      <c r="F444">
        <v>-4105</v>
      </c>
      <c r="G444">
        <v>-699</v>
      </c>
      <c r="H444">
        <v>-106</v>
      </c>
    </row>
    <row r="445" spans="1:8" x14ac:dyDescent="0.2">
      <c r="A445" t="s">
        <v>1313</v>
      </c>
      <c r="B445" t="s">
        <v>3002</v>
      </c>
      <c r="E445" t="s">
        <v>785</v>
      </c>
      <c r="F445">
        <v>-3859</v>
      </c>
      <c r="G445">
        <v>-2941</v>
      </c>
      <c r="H445">
        <v>33</v>
      </c>
    </row>
    <row r="446" spans="1:8" x14ac:dyDescent="0.2">
      <c r="A446" t="s">
        <v>1315</v>
      </c>
      <c r="B446" t="s">
        <v>3002</v>
      </c>
      <c r="E446" t="s">
        <v>785</v>
      </c>
      <c r="F446">
        <v>-1185</v>
      </c>
      <c r="G446">
        <v>-114</v>
      </c>
      <c r="H446">
        <v>-106</v>
      </c>
    </row>
    <row r="447" spans="1:8" x14ac:dyDescent="0.2">
      <c r="A447" t="s">
        <v>1316</v>
      </c>
      <c r="B447" t="s">
        <v>3002</v>
      </c>
      <c r="E447" t="s">
        <v>1002</v>
      </c>
      <c r="F447">
        <v>-1165</v>
      </c>
      <c r="G447">
        <v>-152</v>
      </c>
      <c r="H447">
        <v>-602</v>
      </c>
    </row>
    <row r="448" spans="1:8" x14ac:dyDescent="0.2">
      <c r="A448" t="s">
        <v>1317</v>
      </c>
      <c r="B448" t="s">
        <v>3002</v>
      </c>
      <c r="E448" t="s">
        <v>1002</v>
      </c>
      <c r="F448">
        <v>3220</v>
      </c>
      <c r="G448">
        <v>-2057</v>
      </c>
      <c r="H448">
        <v>-595</v>
      </c>
    </row>
    <row r="449" spans="1:8" x14ac:dyDescent="0.2">
      <c r="A449" t="s">
        <v>1318</v>
      </c>
      <c r="B449" t="s">
        <v>3002</v>
      </c>
      <c r="E449" t="s">
        <v>785</v>
      </c>
      <c r="F449">
        <v>3202</v>
      </c>
      <c r="G449">
        <v>-2083</v>
      </c>
      <c r="H449">
        <v>-106</v>
      </c>
    </row>
    <row r="450" spans="1:8" x14ac:dyDescent="0.2">
      <c r="A450" t="s">
        <v>892</v>
      </c>
      <c r="B450" t="s">
        <v>3002</v>
      </c>
      <c r="E450" t="s">
        <v>785</v>
      </c>
      <c r="F450">
        <v>-3866</v>
      </c>
      <c r="G450">
        <v>1012</v>
      </c>
      <c r="H450">
        <v>73</v>
      </c>
    </row>
    <row r="451" spans="1:8" x14ac:dyDescent="0.2">
      <c r="A451" t="s">
        <v>1320</v>
      </c>
      <c r="B451" t="s">
        <v>3002</v>
      </c>
      <c r="E451" t="s">
        <v>785</v>
      </c>
      <c r="F451">
        <v>-1310</v>
      </c>
      <c r="G451">
        <v>-787</v>
      </c>
      <c r="H451">
        <v>-9</v>
      </c>
    </row>
    <row r="452" spans="1:8" x14ac:dyDescent="0.2">
      <c r="A452" t="s">
        <v>1322</v>
      </c>
      <c r="B452" t="s">
        <v>3002</v>
      </c>
      <c r="E452" t="s">
        <v>1002</v>
      </c>
      <c r="F452">
        <v>-3399</v>
      </c>
      <c r="G452">
        <v>3612</v>
      </c>
      <c r="H452">
        <v>-810</v>
      </c>
    </row>
    <row r="453" spans="1:8" x14ac:dyDescent="0.2">
      <c r="A453" t="s">
        <v>1324</v>
      </c>
      <c r="B453" t="s">
        <v>3002</v>
      </c>
      <c r="E453" t="s">
        <v>785</v>
      </c>
      <c r="F453">
        <v>3194</v>
      </c>
      <c r="G453">
        <v>-3560</v>
      </c>
      <c r="H453">
        <v>-106</v>
      </c>
    </row>
    <row r="454" spans="1:8" x14ac:dyDescent="0.2">
      <c r="A454" t="s">
        <v>1325</v>
      </c>
      <c r="B454" t="s">
        <v>3002</v>
      </c>
      <c r="E454" t="s">
        <v>785</v>
      </c>
      <c r="F454">
        <v>1486</v>
      </c>
      <c r="G454">
        <v>2550</v>
      </c>
      <c r="H454">
        <v>-106</v>
      </c>
    </row>
    <row r="455" spans="1:8" x14ac:dyDescent="0.2">
      <c r="A455" t="s">
        <v>1326</v>
      </c>
      <c r="B455" t="s">
        <v>3002</v>
      </c>
      <c r="E455" t="s">
        <v>785</v>
      </c>
      <c r="F455">
        <v>1554</v>
      </c>
      <c r="G455">
        <v>-355</v>
      </c>
      <c r="H455">
        <v>-106</v>
      </c>
    </row>
    <row r="456" spans="1:8" x14ac:dyDescent="0.2">
      <c r="A456" t="s">
        <v>1329</v>
      </c>
      <c r="B456" t="s">
        <v>3002</v>
      </c>
      <c r="E456" t="s">
        <v>785</v>
      </c>
      <c r="F456">
        <v>2097</v>
      </c>
      <c r="G456">
        <v>2150</v>
      </c>
      <c r="H456">
        <v>-106</v>
      </c>
    </row>
    <row r="457" spans="1:8" x14ac:dyDescent="0.2">
      <c r="A457" t="s">
        <v>893</v>
      </c>
      <c r="B457" t="s">
        <v>3002</v>
      </c>
      <c r="E457" t="s">
        <v>785</v>
      </c>
      <c r="F457">
        <v>2008</v>
      </c>
      <c r="G457">
        <v>2013</v>
      </c>
      <c r="H457">
        <v>-106</v>
      </c>
    </row>
    <row r="458" spans="1:8" x14ac:dyDescent="0.2">
      <c r="A458" t="s">
        <v>1330</v>
      </c>
      <c r="B458" t="s">
        <v>3002</v>
      </c>
      <c r="E458" t="s">
        <v>785</v>
      </c>
      <c r="F458">
        <v>1865</v>
      </c>
      <c r="G458">
        <v>2454</v>
      </c>
      <c r="H458">
        <v>-106</v>
      </c>
    </row>
    <row r="459" spans="1:8" x14ac:dyDescent="0.2">
      <c r="A459" t="s">
        <v>1331</v>
      </c>
      <c r="B459" t="s">
        <v>3002</v>
      </c>
      <c r="E459" t="s">
        <v>785</v>
      </c>
      <c r="F459">
        <v>1657</v>
      </c>
      <c r="G459">
        <v>2440</v>
      </c>
      <c r="H459">
        <v>340</v>
      </c>
    </row>
    <row r="460" spans="1:8" x14ac:dyDescent="0.2">
      <c r="A460" t="s">
        <v>1332</v>
      </c>
      <c r="B460" t="s">
        <v>3002</v>
      </c>
      <c r="E460" t="s">
        <v>785</v>
      </c>
      <c r="F460">
        <v>1776</v>
      </c>
      <c r="G460">
        <v>2256</v>
      </c>
      <c r="H460">
        <v>-106</v>
      </c>
    </row>
    <row r="461" spans="1:8" x14ac:dyDescent="0.2">
      <c r="A461" t="s">
        <v>1333</v>
      </c>
      <c r="B461" t="s">
        <v>3002</v>
      </c>
      <c r="E461" t="s">
        <v>785</v>
      </c>
      <c r="F461">
        <v>1801</v>
      </c>
      <c r="G461">
        <v>1483</v>
      </c>
      <c r="H461">
        <v>-106</v>
      </c>
    </row>
    <row r="462" spans="1:8" x14ac:dyDescent="0.2">
      <c r="A462" t="s">
        <v>1334</v>
      </c>
      <c r="B462" t="s">
        <v>3002</v>
      </c>
      <c r="E462" t="s">
        <v>785</v>
      </c>
      <c r="F462">
        <v>1567</v>
      </c>
      <c r="G462">
        <v>1843</v>
      </c>
      <c r="H462">
        <v>-106</v>
      </c>
    </row>
    <row r="463" spans="1:8" x14ac:dyDescent="0.2">
      <c r="A463" t="s">
        <v>894</v>
      </c>
      <c r="B463" t="s">
        <v>3002</v>
      </c>
      <c r="E463" t="s">
        <v>785</v>
      </c>
      <c r="F463">
        <v>1423</v>
      </c>
      <c r="G463">
        <v>2103</v>
      </c>
      <c r="H463">
        <v>284</v>
      </c>
    </row>
    <row r="464" spans="1:8" x14ac:dyDescent="0.2">
      <c r="A464" t="s">
        <v>1335</v>
      </c>
      <c r="B464" t="s">
        <v>3002</v>
      </c>
      <c r="E464" t="s">
        <v>785</v>
      </c>
      <c r="F464">
        <v>1819</v>
      </c>
      <c r="G464">
        <v>1891</v>
      </c>
      <c r="H464">
        <v>-106</v>
      </c>
    </row>
    <row r="465" spans="1:8" x14ac:dyDescent="0.2">
      <c r="A465" t="s">
        <v>1338</v>
      </c>
      <c r="B465" t="s">
        <v>3002</v>
      </c>
      <c r="E465" t="s">
        <v>785</v>
      </c>
      <c r="F465">
        <v>-3322</v>
      </c>
      <c r="G465">
        <v>-2247</v>
      </c>
      <c r="H465">
        <v>-106</v>
      </c>
    </row>
    <row r="466" spans="1:8" x14ac:dyDescent="0.2">
      <c r="A466" t="s">
        <v>789</v>
      </c>
      <c r="B466" t="s">
        <v>3002</v>
      </c>
      <c r="E466" t="s">
        <v>785</v>
      </c>
      <c r="F466">
        <v>364</v>
      </c>
      <c r="G466">
        <v>2546</v>
      </c>
      <c r="H466">
        <v>-106</v>
      </c>
    </row>
    <row r="467" spans="1:8" x14ac:dyDescent="0.2">
      <c r="A467" t="s">
        <v>1339</v>
      </c>
      <c r="B467" t="s">
        <v>3002</v>
      </c>
      <c r="E467" t="s">
        <v>785</v>
      </c>
      <c r="F467">
        <v>-938</v>
      </c>
      <c r="G467">
        <v>-1906</v>
      </c>
      <c r="H467">
        <v>130</v>
      </c>
    </row>
    <row r="468" spans="1:8" x14ac:dyDescent="0.2">
      <c r="A468" t="s">
        <v>895</v>
      </c>
      <c r="B468" t="s">
        <v>3002</v>
      </c>
      <c r="E468" t="s">
        <v>785</v>
      </c>
      <c r="F468">
        <v>-832</v>
      </c>
      <c r="G468">
        <v>-1488</v>
      </c>
      <c r="H468">
        <v>27</v>
      </c>
    </row>
    <row r="469" spans="1:8" x14ac:dyDescent="0.2">
      <c r="A469" t="s">
        <v>997</v>
      </c>
      <c r="B469" t="s">
        <v>3002</v>
      </c>
      <c r="E469" t="s">
        <v>783</v>
      </c>
      <c r="F469">
        <v>394</v>
      </c>
      <c r="G469">
        <v>-1260</v>
      </c>
      <c r="H469">
        <v>1832</v>
      </c>
    </row>
    <row r="470" spans="1:8" x14ac:dyDescent="0.2">
      <c r="A470" t="s">
        <v>1340</v>
      </c>
      <c r="B470" t="s">
        <v>3002</v>
      </c>
      <c r="E470" t="s">
        <v>785</v>
      </c>
      <c r="F470">
        <v>3233</v>
      </c>
      <c r="G470">
        <v>314</v>
      </c>
      <c r="H470">
        <v>-106</v>
      </c>
    </row>
    <row r="471" spans="1:8" x14ac:dyDescent="0.2">
      <c r="A471" t="s">
        <v>1341</v>
      </c>
      <c r="B471" t="s">
        <v>3002</v>
      </c>
      <c r="E471" t="s">
        <v>785</v>
      </c>
      <c r="F471">
        <v>-754</v>
      </c>
      <c r="G471">
        <v>-2916</v>
      </c>
      <c r="H471">
        <v>-106</v>
      </c>
    </row>
    <row r="472" spans="1:8" x14ac:dyDescent="0.2">
      <c r="A472" t="s">
        <v>1342</v>
      </c>
      <c r="B472" t="s">
        <v>3002</v>
      </c>
      <c r="E472" t="s">
        <v>1002</v>
      </c>
      <c r="F472">
        <v>-945</v>
      </c>
      <c r="G472">
        <v>-1680</v>
      </c>
      <c r="H472">
        <v>-670</v>
      </c>
    </row>
    <row r="473" spans="1:8" x14ac:dyDescent="0.2">
      <c r="A473" t="s">
        <v>1343</v>
      </c>
      <c r="B473" t="s">
        <v>3002</v>
      </c>
      <c r="E473" t="s">
        <v>1002</v>
      </c>
      <c r="F473">
        <v>-383</v>
      </c>
      <c r="G473">
        <v>-1544</v>
      </c>
      <c r="H473">
        <v>-516</v>
      </c>
    </row>
    <row r="474" spans="1:8" x14ac:dyDescent="0.2">
      <c r="A474" t="s">
        <v>1344</v>
      </c>
      <c r="B474" t="s">
        <v>3002</v>
      </c>
      <c r="E474" t="s">
        <v>783</v>
      </c>
      <c r="F474">
        <v>-3156</v>
      </c>
      <c r="G474">
        <v>3215</v>
      </c>
      <c r="H474">
        <v>1895</v>
      </c>
    </row>
    <row r="475" spans="1:8" x14ac:dyDescent="0.2">
      <c r="A475" t="s">
        <v>1346</v>
      </c>
      <c r="B475" t="s">
        <v>3002</v>
      </c>
      <c r="E475" t="s">
        <v>785</v>
      </c>
      <c r="F475">
        <v>870</v>
      </c>
      <c r="G475">
        <v>-3364</v>
      </c>
      <c r="H475">
        <v>-106</v>
      </c>
    </row>
    <row r="476" spans="1:8" x14ac:dyDescent="0.2">
      <c r="A476" t="s">
        <v>1348</v>
      </c>
      <c r="B476" t="s">
        <v>3002</v>
      </c>
      <c r="E476" t="s">
        <v>1002</v>
      </c>
      <c r="F476">
        <v>-962</v>
      </c>
      <c r="G476">
        <v>210</v>
      </c>
      <c r="H476">
        <v>-593</v>
      </c>
    </row>
    <row r="477" spans="1:8" x14ac:dyDescent="0.2">
      <c r="A477" t="s">
        <v>1349</v>
      </c>
      <c r="B477" t="s">
        <v>3002</v>
      </c>
      <c r="E477" t="s">
        <v>785</v>
      </c>
      <c r="F477">
        <v>2788</v>
      </c>
      <c r="G477">
        <v>-2731</v>
      </c>
      <c r="H477">
        <v>-106</v>
      </c>
    </row>
    <row r="478" spans="1:8" x14ac:dyDescent="0.2">
      <c r="A478" t="s">
        <v>1046</v>
      </c>
      <c r="B478" t="s">
        <v>3002</v>
      </c>
      <c r="E478" t="s">
        <v>785</v>
      </c>
      <c r="F478">
        <v>377</v>
      </c>
      <c r="G478">
        <v>-3478</v>
      </c>
      <c r="H478">
        <v>-106</v>
      </c>
    </row>
    <row r="479" spans="1:8" x14ac:dyDescent="0.2">
      <c r="A479" t="s">
        <v>1351</v>
      </c>
      <c r="B479" t="s">
        <v>3002</v>
      </c>
      <c r="E479" t="s">
        <v>785</v>
      </c>
      <c r="F479">
        <v>95</v>
      </c>
      <c r="G479">
        <v>-3394</v>
      </c>
      <c r="H479">
        <v>-106</v>
      </c>
    </row>
    <row r="480" spans="1:8" x14ac:dyDescent="0.2">
      <c r="A480" t="s">
        <v>1352</v>
      </c>
      <c r="B480" t="s">
        <v>3002</v>
      </c>
      <c r="E480" t="s">
        <v>785</v>
      </c>
      <c r="F480">
        <v>904</v>
      </c>
      <c r="G480">
        <v>-2873</v>
      </c>
      <c r="H480">
        <v>-106</v>
      </c>
    </row>
    <row r="481" spans="1:8" x14ac:dyDescent="0.2">
      <c r="A481" t="s">
        <v>1354</v>
      </c>
      <c r="B481" t="s">
        <v>3002</v>
      </c>
      <c r="E481" t="s">
        <v>785</v>
      </c>
      <c r="F481">
        <v>4021</v>
      </c>
      <c r="G481">
        <v>-2423</v>
      </c>
      <c r="H481">
        <v>-106</v>
      </c>
    </row>
    <row r="482" spans="1:8" x14ac:dyDescent="0.2">
      <c r="A482" t="s">
        <v>1355</v>
      </c>
      <c r="B482" t="s">
        <v>3002</v>
      </c>
      <c r="E482" t="s">
        <v>785</v>
      </c>
      <c r="F482">
        <v>4017</v>
      </c>
      <c r="G482">
        <v>-2315</v>
      </c>
      <c r="H482">
        <v>-106</v>
      </c>
    </row>
    <row r="483" spans="1:8" x14ac:dyDescent="0.2">
      <c r="A483" t="s">
        <v>1358</v>
      </c>
      <c r="B483" t="s">
        <v>3002</v>
      </c>
      <c r="E483" t="s">
        <v>785</v>
      </c>
      <c r="F483">
        <v>3545</v>
      </c>
      <c r="G483">
        <v>-2090</v>
      </c>
      <c r="H483">
        <v>232</v>
      </c>
    </row>
    <row r="484" spans="1:8" x14ac:dyDescent="0.2">
      <c r="A484" t="s">
        <v>1363</v>
      </c>
      <c r="B484" t="s">
        <v>3002</v>
      </c>
      <c r="E484" t="s">
        <v>785</v>
      </c>
      <c r="F484">
        <v>-3358</v>
      </c>
      <c r="G484">
        <v>2705</v>
      </c>
      <c r="H484">
        <v>-106</v>
      </c>
    </row>
    <row r="485" spans="1:8" x14ac:dyDescent="0.2">
      <c r="A485" t="s">
        <v>1366</v>
      </c>
      <c r="B485" t="s">
        <v>3002</v>
      </c>
      <c r="E485" t="s">
        <v>785</v>
      </c>
      <c r="F485">
        <v>-2753</v>
      </c>
      <c r="G485">
        <v>3054</v>
      </c>
      <c r="H485">
        <v>-106</v>
      </c>
    </row>
    <row r="486" spans="1:8" x14ac:dyDescent="0.2">
      <c r="A486" t="s">
        <v>1367</v>
      </c>
      <c r="B486" t="s">
        <v>3002</v>
      </c>
      <c r="E486" t="s">
        <v>785</v>
      </c>
      <c r="F486">
        <v>-2757</v>
      </c>
      <c r="G486">
        <v>2328</v>
      </c>
      <c r="H486">
        <v>-106</v>
      </c>
    </row>
    <row r="487" spans="1:8" x14ac:dyDescent="0.2">
      <c r="A487" t="s">
        <v>896</v>
      </c>
      <c r="B487" t="s">
        <v>3002</v>
      </c>
      <c r="E487" t="s">
        <v>785</v>
      </c>
      <c r="F487">
        <v>-3815</v>
      </c>
      <c r="G487">
        <v>3595</v>
      </c>
      <c r="H487">
        <v>255</v>
      </c>
    </row>
    <row r="488" spans="1:8" x14ac:dyDescent="0.2">
      <c r="A488" t="s">
        <v>1368</v>
      </c>
      <c r="B488" t="s">
        <v>3002</v>
      </c>
      <c r="E488" t="s">
        <v>785</v>
      </c>
      <c r="F488">
        <v>-2830</v>
      </c>
      <c r="G488">
        <v>2416</v>
      </c>
      <c r="H488">
        <v>-106</v>
      </c>
    </row>
    <row r="489" spans="1:8" x14ac:dyDescent="0.2">
      <c r="A489" t="s">
        <v>897</v>
      </c>
      <c r="B489" t="s">
        <v>3002</v>
      </c>
      <c r="E489" t="s">
        <v>785</v>
      </c>
      <c r="F489">
        <v>-2900</v>
      </c>
      <c r="G489">
        <v>2510</v>
      </c>
      <c r="H489">
        <v>388</v>
      </c>
    </row>
    <row r="490" spans="1:8" x14ac:dyDescent="0.2">
      <c r="A490" t="s">
        <v>800</v>
      </c>
      <c r="B490" t="s">
        <v>3002</v>
      </c>
      <c r="E490" t="s">
        <v>785</v>
      </c>
      <c r="F490">
        <v>-3079</v>
      </c>
      <c r="G490">
        <v>3025</v>
      </c>
      <c r="H490">
        <v>-106</v>
      </c>
    </row>
    <row r="491" spans="1:8" x14ac:dyDescent="0.2">
      <c r="A491" t="s">
        <v>898</v>
      </c>
      <c r="B491" t="s">
        <v>3002</v>
      </c>
      <c r="E491" t="s">
        <v>785</v>
      </c>
      <c r="F491">
        <v>-2996</v>
      </c>
      <c r="G491">
        <v>3226</v>
      </c>
      <c r="H491">
        <v>540</v>
      </c>
    </row>
    <row r="492" spans="1:8" x14ac:dyDescent="0.2">
      <c r="A492" t="s">
        <v>1369</v>
      </c>
      <c r="B492" t="s">
        <v>3002</v>
      </c>
      <c r="E492" t="s">
        <v>785</v>
      </c>
      <c r="F492">
        <v>-3539</v>
      </c>
      <c r="G492">
        <v>3740</v>
      </c>
      <c r="H492">
        <v>-106</v>
      </c>
    </row>
    <row r="493" spans="1:8" x14ac:dyDescent="0.2">
      <c r="A493" t="s">
        <v>1370</v>
      </c>
      <c r="B493" t="s">
        <v>3002</v>
      </c>
      <c r="E493" t="s">
        <v>785</v>
      </c>
      <c r="F493">
        <v>-3984</v>
      </c>
      <c r="G493">
        <v>3613</v>
      </c>
      <c r="H493">
        <v>-106</v>
      </c>
    </row>
    <row r="494" spans="1:8" x14ac:dyDescent="0.2">
      <c r="A494" t="s">
        <v>1371</v>
      </c>
      <c r="B494" t="s">
        <v>3002</v>
      </c>
      <c r="E494" t="s">
        <v>785</v>
      </c>
      <c r="F494">
        <v>-2771</v>
      </c>
      <c r="G494">
        <v>2914</v>
      </c>
      <c r="H494">
        <v>-106</v>
      </c>
    </row>
    <row r="495" spans="1:8" x14ac:dyDescent="0.2">
      <c r="A495" t="s">
        <v>1372</v>
      </c>
      <c r="B495" t="s">
        <v>3002</v>
      </c>
      <c r="E495" t="s">
        <v>785</v>
      </c>
      <c r="F495">
        <v>-2867</v>
      </c>
      <c r="G495">
        <v>2008</v>
      </c>
      <c r="H495">
        <v>-106</v>
      </c>
    </row>
    <row r="496" spans="1:8" x14ac:dyDescent="0.2">
      <c r="A496" t="s">
        <v>1373</v>
      </c>
      <c r="B496" t="s">
        <v>3002</v>
      </c>
      <c r="E496" t="s">
        <v>783</v>
      </c>
      <c r="F496">
        <v>-3358</v>
      </c>
      <c r="G496">
        <v>2442</v>
      </c>
      <c r="H496">
        <v>895</v>
      </c>
    </row>
    <row r="497" spans="1:8" x14ac:dyDescent="0.2">
      <c r="A497" t="s">
        <v>1374</v>
      </c>
      <c r="B497" t="s">
        <v>3002</v>
      </c>
      <c r="E497" t="s">
        <v>785</v>
      </c>
      <c r="F497">
        <v>-3471</v>
      </c>
      <c r="G497">
        <v>2576</v>
      </c>
      <c r="H497">
        <v>-106</v>
      </c>
    </row>
    <row r="498" spans="1:8" x14ac:dyDescent="0.2">
      <c r="A498" t="s">
        <v>899</v>
      </c>
      <c r="B498" t="s">
        <v>3002</v>
      </c>
      <c r="E498" t="s">
        <v>785</v>
      </c>
      <c r="F498">
        <v>-3398</v>
      </c>
      <c r="G498">
        <v>2499</v>
      </c>
      <c r="H498">
        <v>313</v>
      </c>
    </row>
    <row r="499" spans="1:8" x14ac:dyDescent="0.2">
      <c r="A499" t="s">
        <v>1375</v>
      </c>
      <c r="B499" t="s">
        <v>3002</v>
      </c>
      <c r="E499" t="s">
        <v>785</v>
      </c>
      <c r="F499">
        <v>-3395</v>
      </c>
      <c r="G499">
        <v>3298</v>
      </c>
      <c r="H499">
        <v>-106</v>
      </c>
    </row>
    <row r="500" spans="1:8" x14ac:dyDescent="0.2">
      <c r="A500" t="s">
        <v>1376</v>
      </c>
      <c r="B500" t="s">
        <v>3002</v>
      </c>
      <c r="E500" t="s">
        <v>785</v>
      </c>
      <c r="F500">
        <v>-4423</v>
      </c>
      <c r="G500">
        <v>2723</v>
      </c>
      <c r="H500">
        <v>-106</v>
      </c>
    </row>
    <row r="501" spans="1:8" x14ac:dyDescent="0.2">
      <c r="A501" t="s">
        <v>1378</v>
      </c>
      <c r="B501" t="s">
        <v>3002</v>
      </c>
      <c r="E501" t="s">
        <v>785</v>
      </c>
      <c r="F501">
        <v>-4240</v>
      </c>
      <c r="G501">
        <v>-153</v>
      </c>
      <c r="H501">
        <v>-106</v>
      </c>
    </row>
    <row r="502" spans="1:8" x14ac:dyDescent="0.2">
      <c r="A502" t="s">
        <v>1379</v>
      </c>
      <c r="B502" t="s">
        <v>3002</v>
      </c>
      <c r="E502" t="s">
        <v>785</v>
      </c>
      <c r="F502">
        <v>1017</v>
      </c>
      <c r="G502">
        <v>-3512</v>
      </c>
      <c r="H502">
        <v>-106</v>
      </c>
    </row>
    <row r="503" spans="1:8" x14ac:dyDescent="0.2">
      <c r="A503" t="s">
        <v>1380</v>
      </c>
      <c r="B503" t="s">
        <v>3002</v>
      </c>
      <c r="E503" t="s">
        <v>1002</v>
      </c>
      <c r="F503">
        <v>1943</v>
      </c>
      <c r="G503">
        <v>-2392</v>
      </c>
      <c r="H503">
        <v>-595</v>
      </c>
    </row>
    <row r="504" spans="1:8" x14ac:dyDescent="0.2">
      <c r="A504" t="s">
        <v>1381</v>
      </c>
      <c r="B504" t="s">
        <v>3002</v>
      </c>
      <c r="E504" t="s">
        <v>785</v>
      </c>
      <c r="F504">
        <v>1951</v>
      </c>
      <c r="G504">
        <v>-2442</v>
      </c>
      <c r="H504">
        <v>-106</v>
      </c>
    </row>
    <row r="505" spans="1:8" x14ac:dyDescent="0.2">
      <c r="A505" t="s">
        <v>1382</v>
      </c>
      <c r="B505" t="s">
        <v>3002</v>
      </c>
      <c r="E505" t="s">
        <v>785</v>
      </c>
      <c r="F505">
        <v>530</v>
      </c>
      <c r="G505">
        <v>-3451</v>
      </c>
      <c r="H505">
        <v>95</v>
      </c>
    </row>
    <row r="506" spans="1:8" x14ac:dyDescent="0.2">
      <c r="A506" t="s">
        <v>846</v>
      </c>
      <c r="B506" t="s">
        <v>3002</v>
      </c>
      <c r="E506" t="s">
        <v>785</v>
      </c>
      <c r="F506">
        <v>430</v>
      </c>
      <c r="G506">
        <v>-1760</v>
      </c>
      <c r="H506">
        <v>-106</v>
      </c>
    </row>
    <row r="507" spans="1:8" x14ac:dyDescent="0.2">
      <c r="A507" t="s">
        <v>1385</v>
      </c>
      <c r="B507" t="s">
        <v>3002</v>
      </c>
      <c r="E507" t="s">
        <v>785</v>
      </c>
      <c r="F507">
        <v>-1191</v>
      </c>
      <c r="G507">
        <v>-1659</v>
      </c>
      <c r="H507">
        <v>-106</v>
      </c>
    </row>
    <row r="508" spans="1:8" x14ac:dyDescent="0.2">
      <c r="A508" t="s">
        <v>1386</v>
      </c>
      <c r="B508" t="s">
        <v>3002</v>
      </c>
      <c r="E508" t="s">
        <v>785</v>
      </c>
      <c r="F508">
        <v>4234</v>
      </c>
      <c r="G508">
        <v>-314</v>
      </c>
      <c r="H508">
        <v>-106</v>
      </c>
    </row>
    <row r="509" spans="1:8" x14ac:dyDescent="0.2">
      <c r="A509" t="s">
        <v>900</v>
      </c>
      <c r="B509" t="s">
        <v>3002</v>
      </c>
      <c r="E509" t="s">
        <v>785</v>
      </c>
      <c r="F509">
        <v>4244</v>
      </c>
      <c r="G509">
        <v>-256</v>
      </c>
      <c r="H509">
        <v>-16</v>
      </c>
    </row>
    <row r="510" spans="1:8" x14ac:dyDescent="0.2">
      <c r="A510" t="s">
        <v>1387</v>
      </c>
      <c r="B510" t="s">
        <v>3002</v>
      </c>
      <c r="E510" t="s">
        <v>785</v>
      </c>
      <c r="F510">
        <v>597</v>
      </c>
      <c r="G510">
        <v>-3722</v>
      </c>
      <c r="H510">
        <v>57</v>
      </c>
    </row>
    <row r="511" spans="1:8" x14ac:dyDescent="0.2">
      <c r="A511" t="s">
        <v>1390</v>
      </c>
      <c r="B511" t="s">
        <v>3002</v>
      </c>
      <c r="E511" t="s">
        <v>785</v>
      </c>
      <c r="F511">
        <v>-330</v>
      </c>
      <c r="G511">
        <v>-2638</v>
      </c>
      <c r="H511">
        <v>-106</v>
      </c>
    </row>
    <row r="512" spans="1:8" x14ac:dyDescent="0.2">
      <c r="A512" t="s">
        <v>1391</v>
      </c>
      <c r="B512" t="s">
        <v>3002</v>
      </c>
      <c r="E512" t="s">
        <v>785</v>
      </c>
      <c r="F512">
        <v>783</v>
      </c>
      <c r="G512">
        <v>128</v>
      </c>
      <c r="H512">
        <v>-106</v>
      </c>
    </row>
    <row r="513" spans="1:8" x14ac:dyDescent="0.2">
      <c r="A513" t="s">
        <v>842</v>
      </c>
      <c r="B513" t="s">
        <v>3002</v>
      </c>
      <c r="E513" t="s">
        <v>785</v>
      </c>
      <c r="F513">
        <v>-254</v>
      </c>
      <c r="G513">
        <v>1062</v>
      </c>
      <c r="H513">
        <v>380</v>
      </c>
    </row>
    <row r="514" spans="1:8" x14ac:dyDescent="0.2">
      <c r="A514" t="s">
        <v>1048</v>
      </c>
      <c r="B514" t="s">
        <v>3002</v>
      </c>
      <c r="E514" t="s">
        <v>785</v>
      </c>
      <c r="F514">
        <v>-326</v>
      </c>
      <c r="G514">
        <v>651</v>
      </c>
      <c r="H514">
        <v>-106</v>
      </c>
    </row>
    <row r="515" spans="1:8" x14ac:dyDescent="0.2">
      <c r="A515" t="s">
        <v>1394</v>
      </c>
      <c r="B515" t="s">
        <v>3002</v>
      </c>
      <c r="E515" t="s">
        <v>785</v>
      </c>
      <c r="F515">
        <v>80</v>
      </c>
      <c r="G515">
        <v>628</v>
      </c>
      <c r="H515">
        <v>-6</v>
      </c>
    </row>
    <row r="516" spans="1:8" x14ac:dyDescent="0.2">
      <c r="A516" t="s">
        <v>790</v>
      </c>
      <c r="B516" t="s">
        <v>3002</v>
      </c>
      <c r="E516" t="s">
        <v>785</v>
      </c>
      <c r="F516">
        <v>-459</v>
      </c>
      <c r="G516">
        <v>-582</v>
      </c>
      <c r="H516">
        <v>-106</v>
      </c>
    </row>
    <row r="517" spans="1:8" x14ac:dyDescent="0.2">
      <c r="A517" t="s">
        <v>1395</v>
      </c>
      <c r="B517" t="s">
        <v>3002</v>
      </c>
      <c r="E517" t="s">
        <v>785</v>
      </c>
      <c r="F517">
        <v>-761</v>
      </c>
      <c r="G517">
        <v>-1019</v>
      </c>
      <c r="H517">
        <v>58</v>
      </c>
    </row>
    <row r="518" spans="1:8" x14ac:dyDescent="0.2">
      <c r="A518" t="s">
        <v>1397</v>
      </c>
      <c r="B518" t="s">
        <v>3002</v>
      </c>
      <c r="E518" t="s">
        <v>785</v>
      </c>
      <c r="F518">
        <v>-597</v>
      </c>
      <c r="G518">
        <v>-572</v>
      </c>
      <c r="H518">
        <v>-53</v>
      </c>
    </row>
    <row r="519" spans="1:8" x14ac:dyDescent="0.2">
      <c r="A519" t="s">
        <v>787</v>
      </c>
      <c r="B519" t="s">
        <v>3002</v>
      </c>
      <c r="E519" t="s">
        <v>785</v>
      </c>
      <c r="F519">
        <v>-2383</v>
      </c>
      <c r="G519">
        <v>407</v>
      </c>
      <c r="H519">
        <v>-106</v>
      </c>
    </row>
    <row r="520" spans="1:8" x14ac:dyDescent="0.2">
      <c r="A520" t="s">
        <v>1398</v>
      </c>
      <c r="B520" t="s">
        <v>3002</v>
      </c>
      <c r="E520" t="s">
        <v>785</v>
      </c>
      <c r="F520">
        <v>765</v>
      </c>
      <c r="G520">
        <v>-3789</v>
      </c>
      <c r="H520">
        <v>-106</v>
      </c>
    </row>
    <row r="521" spans="1:8" x14ac:dyDescent="0.2">
      <c r="A521" t="s">
        <v>1399</v>
      </c>
      <c r="B521" t="s">
        <v>3002</v>
      </c>
      <c r="E521" t="s">
        <v>785</v>
      </c>
      <c r="F521">
        <v>-4312</v>
      </c>
      <c r="G521">
        <v>3793</v>
      </c>
      <c r="H521">
        <v>-106</v>
      </c>
    </row>
    <row r="522" spans="1:8" x14ac:dyDescent="0.2">
      <c r="A522" t="s">
        <v>901</v>
      </c>
      <c r="B522" t="s">
        <v>3002</v>
      </c>
      <c r="E522" t="s">
        <v>785</v>
      </c>
      <c r="F522">
        <v>-4429</v>
      </c>
      <c r="G522">
        <v>3760</v>
      </c>
      <c r="H522">
        <v>223</v>
      </c>
    </row>
    <row r="523" spans="1:8" x14ac:dyDescent="0.2">
      <c r="A523" t="s">
        <v>1400</v>
      </c>
      <c r="B523" t="s">
        <v>3002</v>
      </c>
      <c r="E523" t="s">
        <v>785</v>
      </c>
      <c r="F523">
        <v>-3106</v>
      </c>
      <c r="G523">
        <v>-15</v>
      </c>
      <c r="H523">
        <v>-106</v>
      </c>
    </row>
    <row r="524" spans="1:8" x14ac:dyDescent="0.2">
      <c r="A524" t="s">
        <v>1401</v>
      </c>
      <c r="B524" t="s">
        <v>3002</v>
      </c>
      <c r="E524" t="s">
        <v>785</v>
      </c>
      <c r="F524">
        <v>-3850</v>
      </c>
      <c r="G524">
        <v>-2889</v>
      </c>
      <c r="H524">
        <v>95</v>
      </c>
    </row>
    <row r="525" spans="1:8" x14ac:dyDescent="0.2">
      <c r="A525" t="s">
        <v>1403</v>
      </c>
      <c r="B525" t="s">
        <v>3002</v>
      </c>
      <c r="E525" t="s">
        <v>785</v>
      </c>
      <c r="F525">
        <v>-902</v>
      </c>
      <c r="G525">
        <v>1435</v>
      </c>
      <c r="H525">
        <v>-106</v>
      </c>
    </row>
    <row r="526" spans="1:8" x14ac:dyDescent="0.2">
      <c r="A526" t="s">
        <v>1405</v>
      </c>
      <c r="B526" t="s">
        <v>3002</v>
      </c>
      <c r="E526" t="s">
        <v>785</v>
      </c>
      <c r="F526">
        <v>1542</v>
      </c>
      <c r="G526">
        <v>3074</v>
      </c>
      <c r="H526">
        <v>-106</v>
      </c>
    </row>
    <row r="527" spans="1:8" x14ac:dyDescent="0.2">
      <c r="A527" t="s">
        <v>902</v>
      </c>
      <c r="B527" t="s">
        <v>3002</v>
      </c>
      <c r="E527" t="s">
        <v>785</v>
      </c>
      <c r="F527">
        <v>1555</v>
      </c>
      <c r="G527">
        <v>3103</v>
      </c>
      <c r="H527">
        <v>393</v>
      </c>
    </row>
    <row r="528" spans="1:8" x14ac:dyDescent="0.2">
      <c r="A528" t="s">
        <v>1406</v>
      </c>
      <c r="B528" t="s">
        <v>3002</v>
      </c>
      <c r="E528" t="s">
        <v>785</v>
      </c>
      <c r="F528">
        <v>3910</v>
      </c>
      <c r="G528">
        <v>-58</v>
      </c>
      <c r="H528">
        <v>-106</v>
      </c>
    </row>
    <row r="529" spans="1:8" x14ac:dyDescent="0.2">
      <c r="A529" t="s">
        <v>1408</v>
      </c>
      <c r="B529" t="s">
        <v>3002</v>
      </c>
      <c r="E529" t="s">
        <v>785</v>
      </c>
      <c r="F529">
        <v>-3837</v>
      </c>
      <c r="G529">
        <v>-2877</v>
      </c>
      <c r="H529">
        <v>95</v>
      </c>
    </row>
    <row r="530" spans="1:8" x14ac:dyDescent="0.2">
      <c r="A530" t="s">
        <v>1409</v>
      </c>
      <c r="B530" t="s">
        <v>3002</v>
      </c>
      <c r="E530" t="s">
        <v>785</v>
      </c>
      <c r="F530">
        <v>1507</v>
      </c>
      <c r="G530">
        <v>-2466</v>
      </c>
      <c r="H530">
        <v>-106</v>
      </c>
    </row>
    <row r="531" spans="1:8" x14ac:dyDescent="0.2">
      <c r="A531" t="s">
        <v>1410</v>
      </c>
      <c r="B531" t="s">
        <v>3002</v>
      </c>
      <c r="E531" t="s">
        <v>785</v>
      </c>
      <c r="F531">
        <v>4115</v>
      </c>
      <c r="G531">
        <v>1206</v>
      </c>
      <c r="H531">
        <v>-106</v>
      </c>
    </row>
    <row r="532" spans="1:8" x14ac:dyDescent="0.2">
      <c r="A532" t="s">
        <v>1009</v>
      </c>
      <c r="B532" t="s">
        <v>3002</v>
      </c>
      <c r="E532" t="s">
        <v>785</v>
      </c>
      <c r="F532">
        <v>1817</v>
      </c>
      <c r="G532">
        <v>-988</v>
      </c>
      <c r="H532">
        <v>119</v>
      </c>
    </row>
    <row r="533" spans="1:8" x14ac:dyDescent="0.2">
      <c r="A533" t="s">
        <v>903</v>
      </c>
      <c r="B533" t="s">
        <v>3002</v>
      </c>
      <c r="E533" t="s">
        <v>785</v>
      </c>
      <c r="F533">
        <v>1947</v>
      </c>
      <c r="G533">
        <v>-982</v>
      </c>
      <c r="H533">
        <v>157</v>
      </c>
    </row>
    <row r="534" spans="1:8" x14ac:dyDescent="0.2">
      <c r="A534" t="s">
        <v>1413</v>
      </c>
      <c r="B534" t="s">
        <v>3002</v>
      </c>
      <c r="E534" t="s">
        <v>785</v>
      </c>
      <c r="F534">
        <v>1436</v>
      </c>
      <c r="G534">
        <v>-2989</v>
      </c>
      <c r="H534">
        <v>-106</v>
      </c>
    </row>
    <row r="535" spans="1:8" x14ac:dyDescent="0.2">
      <c r="A535" t="s">
        <v>1414</v>
      </c>
      <c r="B535" t="s">
        <v>3002</v>
      </c>
      <c r="E535" t="s">
        <v>785</v>
      </c>
      <c r="F535">
        <v>3309</v>
      </c>
      <c r="G535">
        <v>1907</v>
      </c>
      <c r="H535">
        <v>-106</v>
      </c>
    </row>
    <row r="536" spans="1:8" x14ac:dyDescent="0.2">
      <c r="A536" t="s">
        <v>1415</v>
      </c>
      <c r="B536" t="s">
        <v>3002</v>
      </c>
      <c r="E536" t="s">
        <v>785</v>
      </c>
      <c r="F536">
        <v>-3237</v>
      </c>
      <c r="G536">
        <v>-2556</v>
      </c>
      <c r="H536">
        <v>-106</v>
      </c>
    </row>
    <row r="537" spans="1:8" x14ac:dyDescent="0.2">
      <c r="A537" t="s">
        <v>1417</v>
      </c>
      <c r="B537" t="s">
        <v>3002</v>
      </c>
      <c r="E537" t="s">
        <v>785</v>
      </c>
      <c r="F537">
        <v>-4308</v>
      </c>
      <c r="G537">
        <v>-1854</v>
      </c>
      <c r="H537">
        <v>-106</v>
      </c>
    </row>
    <row r="538" spans="1:8" x14ac:dyDescent="0.2">
      <c r="A538" t="s">
        <v>1418</v>
      </c>
      <c r="B538" t="s">
        <v>3002</v>
      </c>
      <c r="E538" t="s">
        <v>785</v>
      </c>
      <c r="F538">
        <v>1493</v>
      </c>
      <c r="G538">
        <v>-2867</v>
      </c>
      <c r="H538">
        <v>-106</v>
      </c>
    </row>
    <row r="539" spans="1:8" x14ac:dyDescent="0.2">
      <c r="A539" t="s">
        <v>1419</v>
      </c>
      <c r="B539" t="s">
        <v>3002</v>
      </c>
      <c r="E539" t="s">
        <v>785</v>
      </c>
      <c r="F539">
        <v>2995</v>
      </c>
      <c r="G539">
        <v>-2916</v>
      </c>
      <c r="H539">
        <v>-106</v>
      </c>
    </row>
    <row r="540" spans="1:8" x14ac:dyDescent="0.2">
      <c r="A540" t="s">
        <v>1420</v>
      </c>
      <c r="B540" t="s">
        <v>3002</v>
      </c>
      <c r="E540" t="s">
        <v>785</v>
      </c>
      <c r="F540">
        <v>2025</v>
      </c>
      <c r="G540">
        <v>-146</v>
      </c>
      <c r="H540">
        <v>-106</v>
      </c>
    </row>
    <row r="541" spans="1:8" x14ac:dyDescent="0.2">
      <c r="A541" t="s">
        <v>1421</v>
      </c>
      <c r="B541" t="s">
        <v>3002</v>
      </c>
      <c r="E541" t="s">
        <v>785</v>
      </c>
      <c r="F541">
        <v>-174</v>
      </c>
      <c r="G541">
        <v>1120</v>
      </c>
      <c r="H541">
        <v>215</v>
      </c>
    </row>
    <row r="542" spans="1:8" x14ac:dyDescent="0.2">
      <c r="A542" t="s">
        <v>1422</v>
      </c>
      <c r="B542" t="s">
        <v>3002</v>
      </c>
      <c r="E542" t="s">
        <v>785</v>
      </c>
      <c r="F542">
        <v>3685</v>
      </c>
      <c r="G542">
        <v>-2503</v>
      </c>
      <c r="H542">
        <v>-106</v>
      </c>
    </row>
    <row r="543" spans="1:8" x14ac:dyDescent="0.2">
      <c r="A543" t="s">
        <v>1423</v>
      </c>
      <c r="B543" t="s">
        <v>3002</v>
      </c>
      <c r="E543" t="s">
        <v>785</v>
      </c>
      <c r="F543">
        <v>4653</v>
      </c>
      <c r="G543">
        <v>816</v>
      </c>
      <c r="H543">
        <v>-106</v>
      </c>
    </row>
    <row r="544" spans="1:8" x14ac:dyDescent="0.2">
      <c r="A544" t="s">
        <v>1424</v>
      </c>
      <c r="B544" t="s">
        <v>3002</v>
      </c>
      <c r="E544" t="s">
        <v>785</v>
      </c>
      <c r="F544">
        <v>4654</v>
      </c>
      <c r="G544">
        <v>-3743</v>
      </c>
      <c r="H544">
        <v>-106</v>
      </c>
    </row>
    <row r="545" spans="1:8" x14ac:dyDescent="0.2">
      <c r="A545" t="s">
        <v>1050</v>
      </c>
      <c r="B545" t="s">
        <v>3002</v>
      </c>
      <c r="E545" t="s">
        <v>785</v>
      </c>
      <c r="F545">
        <v>-3117</v>
      </c>
      <c r="G545">
        <v>1288</v>
      </c>
      <c r="H545">
        <v>-106</v>
      </c>
    </row>
    <row r="546" spans="1:8" x14ac:dyDescent="0.2">
      <c r="A546" t="s">
        <v>1426</v>
      </c>
      <c r="B546" t="s">
        <v>3002</v>
      </c>
      <c r="E546" t="s">
        <v>785</v>
      </c>
      <c r="F546">
        <v>699</v>
      </c>
      <c r="G546">
        <v>-3932</v>
      </c>
      <c r="H546">
        <v>-106</v>
      </c>
    </row>
    <row r="547" spans="1:8" x14ac:dyDescent="0.2">
      <c r="A547" t="s">
        <v>904</v>
      </c>
      <c r="B547" t="s">
        <v>3002</v>
      </c>
      <c r="E547" t="s">
        <v>785</v>
      </c>
      <c r="F547">
        <v>487</v>
      </c>
      <c r="G547">
        <v>-3831</v>
      </c>
      <c r="H547">
        <v>8</v>
      </c>
    </row>
    <row r="548" spans="1:8" x14ac:dyDescent="0.2">
      <c r="A548" t="s">
        <v>1427</v>
      </c>
      <c r="B548" t="s">
        <v>3002</v>
      </c>
      <c r="E548" t="s">
        <v>785</v>
      </c>
      <c r="F548">
        <v>-2345</v>
      </c>
      <c r="G548">
        <v>2509</v>
      </c>
      <c r="H548">
        <v>-106</v>
      </c>
    </row>
    <row r="549" spans="1:8" x14ac:dyDescent="0.2">
      <c r="A549" t="s">
        <v>905</v>
      </c>
      <c r="B549" t="s">
        <v>3002</v>
      </c>
      <c r="E549" t="s">
        <v>785</v>
      </c>
      <c r="F549">
        <v>-2396</v>
      </c>
      <c r="G549">
        <v>2277</v>
      </c>
      <c r="H549">
        <v>170</v>
      </c>
    </row>
    <row r="550" spans="1:8" x14ac:dyDescent="0.2">
      <c r="A550" t="s">
        <v>1428</v>
      </c>
      <c r="B550" t="s">
        <v>3002</v>
      </c>
      <c r="E550" t="s">
        <v>785</v>
      </c>
      <c r="F550">
        <v>2941</v>
      </c>
      <c r="G550">
        <v>-3656</v>
      </c>
      <c r="H550">
        <v>-106</v>
      </c>
    </row>
    <row r="551" spans="1:8" x14ac:dyDescent="0.2">
      <c r="A551" t="s">
        <v>1051</v>
      </c>
      <c r="B551" t="s">
        <v>3002</v>
      </c>
      <c r="E551" t="s">
        <v>785</v>
      </c>
      <c r="F551">
        <v>2397</v>
      </c>
      <c r="G551">
        <v>-2534</v>
      </c>
      <c r="H551">
        <v>-106</v>
      </c>
    </row>
    <row r="552" spans="1:8" x14ac:dyDescent="0.2">
      <c r="A552" t="s">
        <v>1052</v>
      </c>
      <c r="B552" t="s">
        <v>3002</v>
      </c>
      <c r="E552" t="s">
        <v>785</v>
      </c>
      <c r="F552">
        <v>-2198</v>
      </c>
      <c r="G552">
        <v>-1787</v>
      </c>
      <c r="H552">
        <v>-106</v>
      </c>
    </row>
    <row r="553" spans="1:8" x14ac:dyDescent="0.2">
      <c r="A553" t="s">
        <v>906</v>
      </c>
      <c r="B553" t="s">
        <v>3002</v>
      </c>
      <c r="E553" t="s">
        <v>785</v>
      </c>
      <c r="F553">
        <v>-2259</v>
      </c>
      <c r="G553">
        <v>-1759</v>
      </c>
      <c r="H553">
        <v>56</v>
      </c>
    </row>
    <row r="554" spans="1:8" x14ac:dyDescent="0.2">
      <c r="A554" t="s">
        <v>1053</v>
      </c>
      <c r="B554" t="s">
        <v>3002</v>
      </c>
      <c r="E554" t="s">
        <v>785</v>
      </c>
      <c r="F554">
        <v>3924</v>
      </c>
      <c r="G554">
        <v>1497</v>
      </c>
      <c r="H554">
        <v>-106</v>
      </c>
    </row>
    <row r="555" spans="1:8" x14ac:dyDescent="0.2">
      <c r="A555" t="s">
        <v>1431</v>
      </c>
      <c r="B555" t="s">
        <v>3002</v>
      </c>
      <c r="E555" t="s">
        <v>785</v>
      </c>
      <c r="F555">
        <v>2006</v>
      </c>
      <c r="G555">
        <v>3032</v>
      </c>
      <c r="H555">
        <v>-106</v>
      </c>
    </row>
    <row r="556" spans="1:8" x14ac:dyDescent="0.2">
      <c r="A556" t="s">
        <v>907</v>
      </c>
      <c r="B556" t="s">
        <v>3002</v>
      </c>
      <c r="E556" t="s">
        <v>785</v>
      </c>
      <c r="F556">
        <v>2373</v>
      </c>
      <c r="G556">
        <v>3052</v>
      </c>
      <c r="H556">
        <v>445</v>
      </c>
    </row>
    <row r="557" spans="1:8" x14ac:dyDescent="0.2">
      <c r="A557" t="s">
        <v>1432</v>
      </c>
      <c r="B557" t="s">
        <v>3002</v>
      </c>
      <c r="E557" t="s">
        <v>785</v>
      </c>
      <c r="F557">
        <v>2187</v>
      </c>
      <c r="G557">
        <v>1193</v>
      </c>
      <c r="H557">
        <v>-106</v>
      </c>
    </row>
    <row r="558" spans="1:8" x14ac:dyDescent="0.2">
      <c r="A558" t="s">
        <v>908</v>
      </c>
      <c r="B558" t="s">
        <v>3002</v>
      </c>
      <c r="E558" t="s">
        <v>785</v>
      </c>
      <c r="F558">
        <v>1930</v>
      </c>
      <c r="G558">
        <v>1272</v>
      </c>
      <c r="H558">
        <v>122</v>
      </c>
    </row>
    <row r="559" spans="1:8" x14ac:dyDescent="0.2">
      <c r="A559" t="s">
        <v>1433</v>
      </c>
      <c r="B559" t="s">
        <v>3002</v>
      </c>
      <c r="E559" t="s">
        <v>785</v>
      </c>
      <c r="F559">
        <v>1738</v>
      </c>
      <c r="G559">
        <v>-3532</v>
      </c>
      <c r="H559">
        <v>-106</v>
      </c>
    </row>
    <row r="560" spans="1:8" x14ac:dyDescent="0.2">
      <c r="A560" t="s">
        <v>796</v>
      </c>
      <c r="B560" t="s">
        <v>3002</v>
      </c>
      <c r="E560" t="s">
        <v>785</v>
      </c>
      <c r="F560">
        <v>-256</v>
      </c>
      <c r="G560">
        <v>-2430</v>
      </c>
      <c r="H560">
        <v>-106</v>
      </c>
    </row>
    <row r="561" spans="1:8" x14ac:dyDescent="0.2">
      <c r="A561" t="s">
        <v>909</v>
      </c>
      <c r="B561" t="s">
        <v>3002</v>
      </c>
      <c r="E561" t="s">
        <v>785</v>
      </c>
      <c r="F561">
        <v>126</v>
      </c>
      <c r="G561">
        <v>-2501</v>
      </c>
      <c r="H561">
        <v>-90</v>
      </c>
    </row>
    <row r="562" spans="1:8" x14ac:dyDescent="0.2">
      <c r="A562" t="s">
        <v>1054</v>
      </c>
      <c r="B562" t="s">
        <v>3002</v>
      </c>
      <c r="E562" t="s">
        <v>785</v>
      </c>
      <c r="F562">
        <v>-3537</v>
      </c>
      <c r="G562">
        <v>-149</v>
      </c>
      <c r="H562">
        <v>-106</v>
      </c>
    </row>
    <row r="563" spans="1:8" x14ac:dyDescent="0.2">
      <c r="A563" t="s">
        <v>1435</v>
      </c>
      <c r="B563" t="s">
        <v>3002</v>
      </c>
      <c r="E563" t="s">
        <v>785</v>
      </c>
      <c r="F563">
        <v>2598</v>
      </c>
      <c r="G563">
        <v>1719</v>
      </c>
      <c r="H563">
        <v>-106</v>
      </c>
    </row>
    <row r="564" spans="1:8" x14ac:dyDescent="0.2">
      <c r="A564" t="s">
        <v>910</v>
      </c>
      <c r="B564" t="s">
        <v>3002</v>
      </c>
      <c r="E564" t="s">
        <v>785</v>
      </c>
      <c r="F564">
        <v>2485</v>
      </c>
      <c r="G564">
        <v>1793</v>
      </c>
      <c r="H564">
        <v>158</v>
      </c>
    </row>
    <row r="565" spans="1:8" x14ac:dyDescent="0.2">
      <c r="A565" t="s">
        <v>1436</v>
      </c>
      <c r="B565" t="s">
        <v>3002</v>
      </c>
      <c r="E565" t="s">
        <v>785</v>
      </c>
      <c r="F565">
        <v>2967</v>
      </c>
      <c r="G565">
        <v>-2224</v>
      </c>
      <c r="H565">
        <v>-106</v>
      </c>
    </row>
    <row r="566" spans="1:8" x14ac:dyDescent="0.2">
      <c r="A566" t="s">
        <v>1437</v>
      </c>
      <c r="B566" t="s">
        <v>3002</v>
      </c>
      <c r="E566" t="s">
        <v>785</v>
      </c>
      <c r="F566">
        <v>-3928</v>
      </c>
      <c r="G566">
        <v>2544</v>
      </c>
      <c r="H566">
        <v>-106</v>
      </c>
    </row>
    <row r="567" spans="1:8" x14ac:dyDescent="0.2">
      <c r="A567" t="s">
        <v>911</v>
      </c>
      <c r="B567" t="s">
        <v>3002</v>
      </c>
      <c r="E567" t="s">
        <v>785</v>
      </c>
      <c r="F567">
        <v>-3931</v>
      </c>
      <c r="G567">
        <v>2861</v>
      </c>
      <c r="H567">
        <v>-18</v>
      </c>
    </row>
    <row r="568" spans="1:8" x14ac:dyDescent="0.2">
      <c r="A568" t="s">
        <v>1438</v>
      </c>
      <c r="B568" t="s">
        <v>3002</v>
      </c>
      <c r="E568" t="s">
        <v>785</v>
      </c>
      <c r="F568">
        <v>-487</v>
      </c>
      <c r="G568">
        <v>-1163</v>
      </c>
      <c r="H568">
        <v>-106</v>
      </c>
    </row>
    <row r="569" spans="1:8" x14ac:dyDescent="0.2">
      <c r="A569" t="s">
        <v>1439</v>
      </c>
      <c r="B569" t="s">
        <v>3002</v>
      </c>
      <c r="E569" t="s">
        <v>785</v>
      </c>
      <c r="F569">
        <v>337</v>
      </c>
      <c r="G569">
        <v>2750</v>
      </c>
      <c r="H569">
        <v>-106</v>
      </c>
    </row>
    <row r="570" spans="1:8" x14ac:dyDescent="0.2">
      <c r="A570" t="s">
        <v>1440</v>
      </c>
      <c r="B570" t="s">
        <v>3002</v>
      </c>
      <c r="E570" t="s">
        <v>785</v>
      </c>
      <c r="F570">
        <v>635</v>
      </c>
      <c r="G570">
        <v>-3635</v>
      </c>
      <c r="H570">
        <v>-106</v>
      </c>
    </row>
    <row r="571" spans="1:8" x14ac:dyDescent="0.2">
      <c r="A571" t="s">
        <v>1441</v>
      </c>
      <c r="B571" t="s">
        <v>3002</v>
      </c>
      <c r="E571" t="s">
        <v>785</v>
      </c>
      <c r="F571">
        <v>64</v>
      </c>
      <c r="G571">
        <v>1883</v>
      </c>
      <c r="H571">
        <v>-106</v>
      </c>
    </row>
    <row r="572" spans="1:8" x14ac:dyDescent="0.2">
      <c r="A572" t="s">
        <v>1442</v>
      </c>
      <c r="B572" t="s">
        <v>3002</v>
      </c>
      <c r="E572" t="s">
        <v>785</v>
      </c>
      <c r="F572">
        <v>2130</v>
      </c>
      <c r="G572">
        <v>-1451</v>
      </c>
      <c r="H572">
        <v>-106</v>
      </c>
    </row>
    <row r="573" spans="1:8" x14ac:dyDescent="0.2">
      <c r="A573" t="s">
        <v>1443</v>
      </c>
      <c r="B573" t="s">
        <v>3002</v>
      </c>
      <c r="E573" t="s">
        <v>785</v>
      </c>
      <c r="F573">
        <v>3722</v>
      </c>
      <c r="G573">
        <v>-1906</v>
      </c>
      <c r="H573">
        <v>-106</v>
      </c>
    </row>
    <row r="574" spans="1:8" x14ac:dyDescent="0.2">
      <c r="A574" t="s">
        <v>1055</v>
      </c>
      <c r="B574" t="s">
        <v>3002</v>
      </c>
      <c r="E574" t="s">
        <v>785</v>
      </c>
      <c r="F574">
        <v>-3754</v>
      </c>
      <c r="G574">
        <v>1745</v>
      </c>
      <c r="H574">
        <v>-106</v>
      </c>
    </row>
    <row r="575" spans="1:8" x14ac:dyDescent="0.2">
      <c r="A575" t="s">
        <v>1056</v>
      </c>
      <c r="B575" t="s">
        <v>3002</v>
      </c>
      <c r="E575" t="s">
        <v>785</v>
      </c>
      <c r="F575">
        <v>1552</v>
      </c>
      <c r="G575">
        <v>-3538</v>
      </c>
      <c r="H575">
        <v>105</v>
      </c>
    </row>
    <row r="576" spans="1:8" x14ac:dyDescent="0.2">
      <c r="A576" t="s">
        <v>1445</v>
      </c>
      <c r="B576" t="s">
        <v>3002</v>
      </c>
      <c r="E576" t="s">
        <v>785</v>
      </c>
      <c r="F576">
        <v>3175</v>
      </c>
      <c r="G576">
        <v>-615</v>
      </c>
      <c r="H576">
        <v>-106</v>
      </c>
    </row>
    <row r="577" spans="1:8" x14ac:dyDescent="0.2">
      <c r="A577" t="s">
        <v>1446</v>
      </c>
      <c r="B577" t="s">
        <v>3002</v>
      </c>
      <c r="E577" t="s">
        <v>785</v>
      </c>
      <c r="F577">
        <v>3449</v>
      </c>
      <c r="G577">
        <v>-753</v>
      </c>
      <c r="H577">
        <v>-106</v>
      </c>
    </row>
    <row r="578" spans="1:8" x14ac:dyDescent="0.2">
      <c r="A578" t="s">
        <v>1447</v>
      </c>
      <c r="B578" t="s">
        <v>3002</v>
      </c>
      <c r="E578" t="s">
        <v>785</v>
      </c>
      <c r="F578">
        <v>2929</v>
      </c>
      <c r="G578">
        <v>-1245</v>
      </c>
      <c r="H578">
        <v>-106</v>
      </c>
    </row>
    <row r="579" spans="1:8" x14ac:dyDescent="0.2">
      <c r="A579" t="s">
        <v>1448</v>
      </c>
      <c r="B579" t="s">
        <v>3002</v>
      </c>
      <c r="E579" t="s">
        <v>1002</v>
      </c>
      <c r="F579">
        <v>4003</v>
      </c>
      <c r="G579">
        <v>-1379</v>
      </c>
      <c r="H579">
        <v>-743</v>
      </c>
    </row>
    <row r="580" spans="1:8" x14ac:dyDescent="0.2">
      <c r="A580" t="s">
        <v>801</v>
      </c>
      <c r="B580" t="s">
        <v>3002</v>
      </c>
      <c r="E580" t="s">
        <v>785</v>
      </c>
      <c r="F580">
        <v>3569</v>
      </c>
      <c r="G580">
        <v>-109</v>
      </c>
      <c r="H580">
        <v>-106</v>
      </c>
    </row>
    <row r="581" spans="1:8" x14ac:dyDescent="0.2">
      <c r="A581" t="s">
        <v>1449</v>
      </c>
      <c r="B581" t="s">
        <v>3002</v>
      </c>
      <c r="E581" t="s">
        <v>785</v>
      </c>
      <c r="F581">
        <v>2799</v>
      </c>
      <c r="G581">
        <v>-918</v>
      </c>
      <c r="H581">
        <v>-106</v>
      </c>
    </row>
    <row r="582" spans="1:8" x14ac:dyDescent="0.2">
      <c r="A582" t="s">
        <v>1450</v>
      </c>
      <c r="B582" t="s">
        <v>3002</v>
      </c>
      <c r="E582" t="s">
        <v>785</v>
      </c>
      <c r="F582">
        <v>2718</v>
      </c>
      <c r="G582">
        <v>-1117</v>
      </c>
      <c r="H582">
        <v>-24</v>
      </c>
    </row>
    <row r="583" spans="1:8" x14ac:dyDescent="0.2">
      <c r="A583" t="s">
        <v>1451</v>
      </c>
      <c r="B583" t="s">
        <v>3002</v>
      </c>
      <c r="E583" t="s">
        <v>785</v>
      </c>
      <c r="F583">
        <v>3994</v>
      </c>
      <c r="G583">
        <v>-1596</v>
      </c>
      <c r="H583">
        <v>-106</v>
      </c>
    </row>
    <row r="584" spans="1:8" x14ac:dyDescent="0.2">
      <c r="A584" t="s">
        <v>1057</v>
      </c>
      <c r="B584" t="s">
        <v>3002</v>
      </c>
      <c r="E584" t="s">
        <v>785</v>
      </c>
      <c r="F584">
        <v>2299</v>
      </c>
      <c r="G584">
        <v>-714</v>
      </c>
      <c r="H584">
        <v>192</v>
      </c>
    </row>
    <row r="585" spans="1:8" x14ac:dyDescent="0.2">
      <c r="A585" t="s">
        <v>912</v>
      </c>
      <c r="B585" t="s">
        <v>3002</v>
      </c>
      <c r="E585" t="s">
        <v>785</v>
      </c>
      <c r="F585">
        <v>3074</v>
      </c>
      <c r="G585">
        <v>-1138</v>
      </c>
      <c r="H585">
        <v>92</v>
      </c>
    </row>
    <row r="586" spans="1:8" x14ac:dyDescent="0.2">
      <c r="A586" t="s">
        <v>913</v>
      </c>
      <c r="B586" t="s">
        <v>3002</v>
      </c>
      <c r="E586" t="s">
        <v>785</v>
      </c>
      <c r="F586">
        <v>2698</v>
      </c>
      <c r="G586">
        <v>-1315</v>
      </c>
      <c r="H586">
        <v>111</v>
      </c>
    </row>
    <row r="587" spans="1:8" x14ac:dyDescent="0.2">
      <c r="A587" t="s">
        <v>802</v>
      </c>
      <c r="B587" t="s">
        <v>3002</v>
      </c>
      <c r="E587" t="s">
        <v>785</v>
      </c>
      <c r="F587">
        <v>4675</v>
      </c>
      <c r="G587">
        <v>197</v>
      </c>
      <c r="H587">
        <v>-106</v>
      </c>
    </row>
    <row r="588" spans="1:8" x14ac:dyDescent="0.2">
      <c r="A588" t="s">
        <v>1453</v>
      </c>
      <c r="B588" t="s">
        <v>3002</v>
      </c>
      <c r="E588" t="s">
        <v>783</v>
      </c>
      <c r="F588">
        <v>3175</v>
      </c>
      <c r="G588">
        <v>-500</v>
      </c>
      <c r="H588">
        <v>1895</v>
      </c>
    </row>
    <row r="589" spans="1:8" x14ac:dyDescent="0.2">
      <c r="A589" t="s">
        <v>1010</v>
      </c>
      <c r="B589" t="s">
        <v>3002</v>
      </c>
      <c r="E589" t="s">
        <v>783</v>
      </c>
      <c r="F589">
        <v>3010</v>
      </c>
      <c r="G589" t="s">
        <v>1786</v>
      </c>
      <c r="H589">
        <v>1895</v>
      </c>
    </row>
    <row r="590" spans="1:8" x14ac:dyDescent="0.2">
      <c r="A590" t="s">
        <v>803</v>
      </c>
      <c r="B590" t="s">
        <v>3002</v>
      </c>
      <c r="E590" t="s">
        <v>785</v>
      </c>
      <c r="F590">
        <v>1826</v>
      </c>
      <c r="G590">
        <v>-59</v>
      </c>
      <c r="H590">
        <v>-106</v>
      </c>
    </row>
    <row r="591" spans="1:8" x14ac:dyDescent="0.2">
      <c r="A591" t="s">
        <v>1456</v>
      </c>
      <c r="B591" t="s">
        <v>3002</v>
      </c>
      <c r="E591" t="s">
        <v>785</v>
      </c>
      <c r="F591">
        <v>1711</v>
      </c>
      <c r="G591">
        <v>-948</v>
      </c>
      <c r="H591">
        <v>-106</v>
      </c>
    </row>
    <row r="592" spans="1:8" x14ac:dyDescent="0.2">
      <c r="A592" t="s">
        <v>1457</v>
      </c>
      <c r="B592" t="s">
        <v>3002</v>
      </c>
      <c r="E592" t="s">
        <v>785</v>
      </c>
      <c r="F592">
        <v>-2940</v>
      </c>
      <c r="G592">
        <v>-1207</v>
      </c>
      <c r="H592">
        <v>-106</v>
      </c>
    </row>
    <row r="593" spans="1:8" x14ac:dyDescent="0.2">
      <c r="A593" t="s">
        <v>1458</v>
      </c>
      <c r="B593" t="s">
        <v>3002</v>
      </c>
      <c r="E593" t="s">
        <v>785</v>
      </c>
      <c r="F593">
        <v>-174</v>
      </c>
      <c r="G593">
        <v>-3850</v>
      </c>
      <c r="H593">
        <v>-106</v>
      </c>
    </row>
    <row r="594" spans="1:8" x14ac:dyDescent="0.2">
      <c r="A594" t="s">
        <v>1460</v>
      </c>
      <c r="B594" t="s">
        <v>3002</v>
      </c>
      <c r="E594" t="s">
        <v>785</v>
      </c>
      <c r="F594">
        <v>-158</v>
      </c>
      <c r="G594">
        <v>1067</v>
      </c>
      <c r="H594">
        <v>218</v>
      </c>
    </row>
    <row r="595" spans="1:8" x14ac:dyDescent="0.2">
      <c r="A595" t="s">
        <v>1462</v>
      </c>
      <c r="B595" t="s">
        <v>3002</v>
      </c>
      <c r="E595" t="s">
        <v>785</v>
      </c>
      <c r="F595">
        <v>-1940</v>
      </c>
      <c r="G595">
        <v>1340</v>
      </c>
      <c r="H595">
        <v>-106</v>
      </c>
    </row>
    <row r="596" spans="1:8" x14ac:dyDescent="0.2">
      <c r="A596" t="s">
        <v>914</v>
      </c>
      <c r="B596" t="s">
        <v>3002</v>
      </c>
      <c r="E596" t="s">
        <v>785</v>
      </c>
      <c r="F596">
        <v>-1735</v>
      </c>
      <c r="G596">
        <v>1166</v>
      </c>
      <c r="H596">
        <v>229</v>
      </c>
    </row>
    <row r="597" spans="1:8" x14ac:dyDescent="0.2">
      <c r="A597" t="s">
        <v>1463</v>
      </c>
      <c r="B597" t="s">
        <v>3002</v>
      </c>
      <c r="E597" t="s">
        <v>785</v>
      </c>
      <c r="F597">
        <v>-1910</v>
      </c>
      <c r="G597">
        <v>1245</v>
      </c>
      <c r="H597">
        <v>290</v>
      </c>
    </row>
    <row r="598" spans="1:8" x14ac:dyDescent="0.2">
      <c r="A598" t="s">
        <v>1464</v>
      </c>
      <c r="B598" t="s">
        <v>3002</v>
      </c>
      <c r="E598" t="s">
        <v>785</v>
      </c>
      <c r="F598">
        <v>1746</v>
      </c>
      <c r="G598">
        <v>-91</v>
      </c>
      <c r="H598">
        <v>-106</v>
      </c>
    </row>
    <row r="599" spans="1:8" x14ac:dyDescent="0.2">
      <c r="A599" t="s">
        <v>1466</v>
      </c>
      <c r="B599" t="s">
        <v>3002</v>
      </c>
      <c r="E599" t="s">
        <v>785</v>
      </c>
      <c r="F599">
        <v>1714</v>
      </c>
      <c r="G599">
        <v>-2148</v>
      </c>
      <c r="H599">
        <v>10</v>
      </c>
    </row>
    <row r="600" spans="1:8" x14ac:dyDescent="0.2">
      <c r="A600" t="s">
        <v>915</v>
      </c>
      <c r="B600" t="s">
        <v>3002</v>
      </c>
      <c r="E600" t="s">
        <v>785</v>
      </c>
      <c r="F600">
        <v>2206</v>
      </c>
      <c r="G600">
        <v>3075</v>
      </c>
      <c r="H600">
        <v>405</v>
      </c>
    </row>
    <row r="601" spans="1:8" x14ac:dyDescent="0.2">
      <c r="A601" t="s">
        <v>1467</v>
      </c>
      <c r="B601" t="s">
        <v>3002</v>
      </c>
      <c r="E601" t="s">
        <v>785</v>
      </c>
      <c r="F601">
        <v>-444</v>
      </c>
      <c r="G601">
        <v>1062</v>
      </c>
      <c r="H601">
        <v>25</v>
      </c>
    </row>
    <row r="602" spans="1:8" x14ac:dyDescent="0.2">
      <c r="A602" t="s">
        <v>1058</v>
      </c>
      <c r="B602" t="s">
        <v>3002</v>
      </c>
      <c r="E602" t="s">
        <v>785</v>
      </c>
      <c r="F602">
        <v>4445</v>
      </c>
      <c r="G602">
        <v>-642</v>
      </c>
      <c r="H602">
        <v>-106</v>
      </c>
    </row>
    <row r="603" spans="1:8" x14ac:dyDescent="0.2">
      <c r="A603" t="s">
        <v>1469</v>
      </c>
      <c r="B603" t="s">
        <v>3002</v>
      </c>
      <c r="E603" t="s">
        <v>785</v>
      </c>
      <c r="F603">
        <v>4655</v>
      </c>
      <c r="G603">
        <v>3527</v>
      </c>
      <c r="H603">
        <v>51</v>
      </c>
    </row>
    <row r="604" spans="1:8" x14ac:dyDescent="0.2">
      <c r="A604" t="s">
        <v>1472</v>
      </c>
      <c r="B604" t="s">
        <v>3002</v>
      </c>
      <c r="E604" t="s">
        <v>785</v>
      </c>
      <c r="F604">
        <v>-254</v>
      </c>
      <c r="G604">
        <v>102</v>
      </c>
      <c r="H604">
        <v>18</v>
      </c>
    </row>
    <row r="605" spans="1:8" x14ac:dyDescent="0.2">
      <c r="A605" t="s">
        <v>1473</v>
      </c>
      <c r="B605" t="s">
        <v>3002</v>
      </c>
      <c r="E605" t="s">
        <v>785</v>
      </c>
      <c r="F605">
        <v>-299</v>
      </c>
      <c r="G605">
        <v>143</v>
      </c>
      <c r="H605">
        <v>18</v>
      </c>
    </row>
    <row r="606" spans="1:8" x14ac:dyDescent="0.2">
      <c r="A606" t="s">
        <v>1475</v>
      </c>
      <c r="B606" t="s">
        <v>3002</v>
      </c>
      <c r="E606" t="s">
        <v>785</v>
      </c>
      <c r="F606">
        <v>3481</v>
      </c>
      <c r="G606">
        <v>-2880</v>
      </c>
      <c r="H606">
        <v>-106</v>
      </c>
    </row>
    <row r="607" spans="1:8" x14ac:dyDescent="0.2">
      <c r="A607" t="s">
        <v>1476</v>
      </c>
      <c r="B607" t="s">
        <v>3002</v>
      </c>
      <c r="E607" t="s">
        <v>1002</v>
      </c>
      <c r="F607">
        <v>1457</v>
      </c>
      <c r="G607">
        <v>2847</v>
      </c>
      <c r="H607">
        <v>-855</v>
      </c>
    </row>
    <row r="608" spans="1:8" x14ac:dyDescent="0.2">
      <c r="A608" t="s">
        <v>916</v>
      </c>
      <c r="B608" t="s">
        <v>3002</v>
      </c>
      <c r="E608" t="s">
        <v>785</v>
      </c>
      <c r="F608">
        <v>-1744</v>
      </c>
      <c r="G608">
        <v>-2394</v>
      </c>
      <c r="H608">
        <v>-11</v>
      </c>
    </row>
    <row r="609" spans="1:8" x14ac:dyDescent="0.2">
      <c r="A609" t="s">
        <v>1059</v>
      </c>
      <c r="B609" t="s">
        <v>3002</v>
      </c>
      <c r="E609" t="s">
        <v>785</v>
      </c>
      <c r="F609">
        <v>-2132</v>
      </c>
      <c r="G609">
        <v>676</v>
      </c>
      <c r="H609">
        <v>-106</v>
      </c>
    </row>
    <row r="610" spans="1:8" x14ac:dyDescent="0.2">
      <c r="A610" t="s">
        <v>1479</v>
      </c>
      <c r="B610" t="s">
        <v>3002</v>
      </c>
      <c r="E610" t="s">
        <v>785</v>
      </c>
      <c r="F610">
        <v>3710</v>
      </c>
      <c r="G610">
        <v>588</v>
      </c>
      <c r="H610">
        <v>-106</v>
      </c>
    </row>
    <row r="611" spans="1:8" x14ac:dyDescent="0.2">
      <c r="A611" t="s">
        <v>1480</v>
      </c>
      <c r="B611" t="s">
        <v>3002</v>
      </c>
      <c r="E611" t="s">
        <v>785</v>
      </c>
      <c r="F611">
        <v>3007</v>
      </c>
      <c r="G611">
        <v>-3474</v>
      </c>
      <c r="H611">
        <v>37</v>
      </c>
    </row>
    <row r="612" spans="1:8" x14ac:dyDescent="0.2">
      <c r="A612" t="s">
        <v>1483</v>
      </c>
      <c r="B612" t="s">
        <v>3002</v>
      </c>
      <c r="E612" t="s">
        <v>785</v>
      </c>
      <c r="F612">
        <v>723</v>
      </c>
      <c r="G612">
        <v>1919</v>
      </c>
      <c r="H612">
        <v>138</v>
      </c>
    </row>
    <row r="613" spans="1:8" x14ac:dyDescent="0.2">
      <c r="A613" t="s">
        <v>917</v>
      </c>
      <c r="B613" t="s">
        <v>3002</v>
      </c>
      <c r="E613" t="s">
        <v>785</v>
      </c>
      <c r="F613">
        <v>3094</v>
      </c>
      <c r="G613">
        <v>-51</v>
      </c>
      <c r="H613">
        <v>79</v>
      </c>
    </row>
    <row r="614" spans="1:8" x14ac:dyDescent="0.2">
      <c r="A614" t="s">
        <v>1484</v>
      </c>
      <c r="B614" t="s">
        <v>3002</v>
      </c>
      <c r="E614" t="s">
        <v>785</v>
      </c>
      <c r="F614">
        <v>3068</v>
      </c>
      <c r="G614" t="s">
        <v>1787</v>
      </c>
      <c r="H614">
        <v>157</v>
      </c>
    </row>
    <row r="615" spans="1:8" x14ac:dyDescent="0.2">
      <c r="A615" t="s">
        <v>1060</v>
      </c>
      <c r="B615" t="s">
        <v>3002</v>
      </c>
      <c r="E615" t="s">
        <v>785</v>
      </c>
      <c r="F615">
        <v>124</v>
      </c>
      <c r="G615">
        <v>194</v>
      </c>
      <c r="H615">
        <v>-106</v>
      </c>
    </row>
    <row r="616" spans="1:8" x14ac:dyDescent="0.2">
      <c r="A616" t="s">
        <v>1487</v>
      </c>
      <c r="B616" t="s">
        <v>3002</v>
      </c>
      <c r="E616" t="s">
        <v>785</v>
      </c>
      <c r="F616">
        <v>1337</v>
      </c>
      <c r="G616">
        <v>-1424</v>
      </c>
      <c r="H616">
        <v>-106</v>
      </c>
    </row>
    <row r="617" spans="1:8" x14ac:dyDescent="0.2">
      <c r="A617" t="s">
        <v>1489</v>
      </c>
      <c r="B617" t="s">
        <v>3002</v>
      </c>
      <c r="E617" t="s">
        <v>785</v>
      </c>
      <c r="F617">
        <v>3822</v>
      </c>
      <c r="G617">
        <v>-1689</v>
      </c>
      <c r="H617">
        <v>-106</v>
      </c>
    </row>
    <row r="618" spans="1:8" x14ac:dyDescent="0.2">
      <c r="A618" t="s">
        <v>1491</v>
      </c>
      <c r="B618" t="s">
        <v>3002</v>
      </c>
      <c r="E618" t="s">
        <v>785</v>
      </c>
      <c r="F618">
        <v>4406</v>
      </c>
      <c r="G618">
        <v>1901</v>
      </c>
      <c r="H618">
        <v>-106</v>
      </c>
    </row>
    <row r="619" spans="1:8" x14ac:dyDescent="0.2">
      <c r="A619" t="s">
        <v>1061</v>
      </c>
      <c r="B619" t="s">
        <v>3002</v>
      </c>
      <c r="E619" t="s">
        <v>785</v>
      </c>
      <c r="F619">
        <v>-1611</v>
      </c>
      <c r="G619">
        <v>-1023</v>
      </c>
      <c r="H619">
        <v>3</v>
      </c>
    </row>
    <row r="620" spans="1:8" x14ac:dyDescent="0.2">
      <c r="A620" t="s">
        <v>1062</v>
      </c>
      <c r="B620" t="s">
        <v>3002</v>
      </c>
      <c r="E620" t="s">
        <v>785</v>
      </c>
      <c r="F620">
        <v>4663</v>
      </c>
      <c r="G620">
        <v>-2372</v>
      </c>
      <c r="H620">
        <v>-106</v>
      </c>
    </row>
    <row r="621" spans="1:8" x14ac:dyDescent="0.2">
      <c r="A621" t="s">
        <v>918</v>
      </c>
      <c r="B621" t="s">
        <v>3002</v>
      </c>
      <c r="E621" t="s">
        <v>785</v>
      </c>
      <c r="F621">
        <v>4585</v>
      </c>
      <c r="G621">
        <v>-2246</v>
      </c>
      <c r="H621">
        <v>-2</v>
      </c>
    </row>
    <row r="622" spans="1:8" x14ac:dyDescent="0.2">
      <c r="A622" t="s">
        <v>1492</v>
      </c>
      <c r="B622" t="s">
        <v>3002</v>
      </c>
      <c r="E622" t="s">
        <v>785</v>
      </c>
      <c r="F622">
        <v>2770</v>
      </c>
      <c r="G622">
        <v>-2282</v>
      </c>
      <c r="H622">
        <v>-106</v>
      </c>
    </row>
    <row r="623" spans="1:8" x14ac:dyDescent="0.2">
      <c r="A623" t="s">
        <v>1495</v>
      </c>
      <c r="B623" t="s">
        <v>3002</v>
      </c>
      <c r="E623" t="s">
        <v>785</v>
      </c>
      <c r="F623">
        <v>1207</v>
      </c>
      <c r="G623">
        <v>-3729</v>
      </c>
      <c r="H623">
        <v>-106</v>
      </c>
    </row>
    <row r="624" spans="1:8" x14ac:dyDescent="0.2">
      <c r="A624" t="s">
        <v>1496</v>
      </c>
      <c r="B624" t="s">
        <v>3002</v>
      </c>
      <c r="E624" t="s">
        <v>785</v>
      </c>
      <c r="F624">
        <v>2391</v>
      </c>
      <c r="G624">
        <v>1316</v>
      </c>
      <c r="H624">
        <v>41</v>
      </c>
    </row>
    <row r="625" spans="1:8" x14ac:dyDescent="0.2">
      <c r="A625" t="s">
        <v>1063</v>
      </c>
      <c r="B625" t="s">
        <v>3002</v>
      </c>
      <c r="E625" t="s">
        <v>785</v>
      </c>
      <c r="F625">
        <v>-4100</v>
      </c>
      <c r="G625">
        <v>-1296</v>
      </c>
      <c r="H625">
        <v>-106</v>
      </c>
    </row>
    <row r="626" spans="1:8" x14ac:dyDescent="0.2">
      <c r="A626" t="s">
        <v>919</v>
      </c>
      <c r="B626" t="s">
        <v>3002</v>
      </c>
      <c r="E626" t="s">
        <v>785</v>
      </c>
      <c r="F626">
        <v>-3983</v>
      </c>
      <c r="G626">
        <v>-1245</v>
      </c>
      <c r="H626">
        <v>427</v>
      </c>
    </row>
    <row r="627" spans="1:8" x14ac:dyDescent="0.2">
      <c r="A627" t="s">
        <v>1499</v>
      </c>
      <c r="B627" t="s">
        <v>3002</v>
      </c>
      <c r="E627" t="s">
        <v>785</v>
      </c>
      <c r="F627">
        <v>2548</v>
      </c>
      <c r="G627">
        <v>-2461</v>
      </c>
      <c r="H627">
        <v>-106</v>
      </c>
    </row>
    <row r="628" spans="1:8" x14ac:dyDescent="0.2">
      <c r="A628" t="s">
        <v>1501</v>
      </c>
      <c r="B628" t="s">
        <v>3002</v>
      </c>
      <c r="E628" t="s">
        <v>785</v>
      </c>
      <c r="F628">
        <v>2213</v>
      </c>
      <c r="G628">
        <v>1774</v>
      </c>
      <c r="H628">
        <v>-106</v>
      </c>
    </row>
    <row r="629" spans="1:8" x14ac:dyDescent="0.2">
      <c r="A629" t="s">
        <v>1502</v>
      </c>
      <c r="B629" t="s">
        <v>3002</v>
      </c>
      <c r="E629" t="s">
        <v>785</v>
      </c>
      <c r="F629">
        <v>-260</v>
      </c>
      <c r="G629">
        <v>2194</v>
      </c>
      <c r="H629">
        <v>-106</v>
      </c>
    </row>
    <row r="630" spans="1:8" x14ac:dyDescent="0.2">
      <c r="A630" t="s">
        <v>1503</v>
      </c>
      <c r="B630" t="s">
        <v>3002</v>
      </c>
      <c r="E630" t="s">
        <v>785</v>
      </c>
      <c r="F630">
        <v>-15</v>
      </c>
      <c r="G630">
        <v>-3252</v>
      </c>
      <c r="H630">
        <v>-106</v>
      </c>
    </row>
    <row r="631" spans="1:8" x14ac:dyDescent="0.2">
      <c r="A631" t="s">
        <v>1064</v>
      </c>
      <c r="B631" t="s">
        <v>3002</v>
      </c>
      <c r="E631" t="s">
        <v>785</v>
      </c>
      <c r="F631">
        <v>1713</v>
      </c>
      <c r="G631">
        <v>131</v>
      </c>
      <c r="H631">
        <v>-106</v>
      </c>
    </row>
    <row r="632" spans="1:8" x14ac:dyDescent="0.2">
      <c r="A632" t="s">
        <v>1504</v>
      </c>
      <c r="B632" t="s">
        <v>3002</v>
      </c>
      <c r="E632" t="s">
        <v>1002</v>
      </c>
      <c r="F632">
        <v>3114</v>
      </c>
      <c r="G632">
        <v>-2187</v>
      </c>
      <c r="H632">
        <v>-573</v>
      </c>
    </row>
    <row r="633" spans="1:8" x14ac:dyDescent="0.2">
      <c r="A633" t="s">
        <v>1065</v>
      </c>
      <c r="B633" t="s">
        <v>3002</v>
      </c>
      <c r="E633" t="s">
        <v>785</v>
      </c>
      <c r="F633">
        <v>3101</v>
      </c>
      <c r="G633">
        <v>-2164</v>
      </c>
      <c r="H633">
        <v>-106</v>
      </c>
    </row>
    <row r="634" spans="1:8" x14ac:dyDescent="0.2">
      <c r="A634" t="s">
        <v>1505</v>
      </c>
      <c r="B634" t="s">
        <v>3002</v>
      </c>
      <c r="E634" t="s">
        <v>785</v>
      </c>
      <c r="F634">
        <v>812</v>
      </c>
      <c r="G634">
        <v>2354</v>
      </c>
      <c r="H634">
        <v>-106</v>
      </c>
    </row>
    <row r="635" spans="1:8" x14ac:dyDescent="0.2">
      <c r="A635" t="s">
        <v>1506</v>
      </c>
      <c r="B635" t="s">
        <v>3002</v>
      </c>
      <c r="E635" t="s">
        <v>785</v>
      </c>
      <c r="F635">
        <v>3549</v>
      </c>
      <c r="G635">
        <v>564</v>
      </c>
      <c r="H635">
        <v>-106</v>
      </c>
    </row>
    <row r="636" spans="1:8" x14ac:dyDescent="0.2">
      <c r="A636" t="s">
        <v>1507</v>
      </c>
      <c r="B636" t="s">
        <v>3002</v>
      </c>
      <c r="E636" t="s">
        <v>785</v>
      </c>
      <c r="F636">
        <v>855</v>
      </c>
      <c r="G636">
        <v>1427</v>
      </c>
      <c r="H636">
        <v>91</v>
      </c>
    </row>
    <row r="637" spans="1:8" x14ac:dyDescent="0.2">
      <c r="A637" t="s">
        <v>1508</v>
      </c>
      <c r="B637" t="s">
        <v>3002</v>
      </c>
      <c r="E637" t="s">
        <v>785</v>
      </c>
      <c r="F637">
        <v>1419</v>
      </c>
      <c r="G637">
        <v>-45</v>
      </c>
      <c r="H637">
        <v>-106</v>
      </c>
    </row>
    <row r="638" spans="1:8" x14ac:dyDescent="0.2">
      <c r="A638" t="s">
        <v>920</v>
      </c>
      <c r="B638" t="s">
        <v>3002</v>
      </c>
      <c r="E638" t="s">
        <v>783</v>
      </c>
      <c r="F638">
        <v>380</v>
      </c>
      <c r="G638">
        <v>-1632</v>
      </c>
      <c r="H638">
        <v>1411</v>
      </c>
    </row>
    <row r="639" spans="1:8" x14ac:dyDescent="0.2">
      <c r="A639" t="s">
        <v>1510</v>
      </c>
      <c r="B639" t="s">
        <v>3002</v>
      </c>
      <c r="E639" t="s">
        <v>1002</v>
      </c>
      <c r="F639">
        <v>1042</v>
      </c>
      <c r="G639">
        <v>1544</v>
      </c>
      <c r="H639">
        <v>-633</v>
      </c>
    </row>
    <row r="640" spans="1:8" x14ac:dyDescent="0.2">
      <c r="A640" t="s">
        <v>1511</v>
      </c>
      <c r="B640" t="s">
        <v>3002</v>
      </c>
      <c r="E640" t="s">
        <v>785</v>
      </c>
      <c r="F640">
        <v>1016</v>
      </c>
      <c r="G640">
        <v>1771</v>
      </c>
      <c r="H640">
        <v>-106</v>
      </c>
    </row>
    <row r="641" spans="1:8" x14ac:dyDescent="0.2">
      <c r="A641" t="s">
        <v>1513</v>
      </c>
      <c r="B641" t="s">
        <v>3002</v>
      </c>
      <c r="E641" t="s">
        <v>785</v>
      </c>
      <c r="F641">
        <v>3838</v>
      </c>
      <c r="G641">
        <v>566</v>
      </c>
      <c r="H641">
        <v>491</v>
      </c>
    </row>
    <row r="642" spans="1:8" x14ac:dyDescent="0.2">
      <c r="A642" t="s">
        <v>1515</v>
      </c>
      <c r="B642" t="s">
        <v>3002</v>
      </c>
      <c r="E642" t="s">
        <v>785</v>
      </c>
      <c r="F642">
        <v>1843</v>
      </c>
      <c r="G642">
        <v>-207</v>
      </c>
      <c r="H642">
        <v>-106</v>
      </c>
    </row>
    <row r="643" spans="1:8" x14ac:dyDescent="0.2">
      <c r="A643" t="s">
        <v>1519</v>
      </c>
      <c r="B643" t="s">
        <v>3002</v>
      </c>
      <c r="E643" t="s">
        <v>785</v>
      </c>
      <c r="F643">
        <v>-4931</v>
      </c>
      <c r="G643">
        <v>-862</v>
      </c>
      <c r="H643">
        <v>-106</v>
      </c>
    </row>
    <row r="644" spans="1:8" x14ac:dyDescent="0.2">
      <c r="A644" t="s">
        <v>843</v>
      </c>
      <c r="B644" t="s">
        <v>3002</v>
      </c>
      <c r="E644" t="s">
        <v>785</v>
      </c>
      <c r="F644">
        <v>-1105</v>
      </c>
      <c r="G644">
        <v>-556</v>
      </c>
      <c r="H644">
        <v>-106</v>
      </c>
    </row>
    <row r="645" spans="1:8" x14ac:dyDescent="0.2">
      <c r="A645" t="s">
        <v>1066</v>
      </c>
      <c r="B645" t="s">
        <v>3002</v>
      </c>
      <c r="E645" t="s">
        <v>785</v>
      </c>
      <c r="F645">
        <v>-561</v>
      </c>
      <c r="G645">
        <v>2635</v>
      </c>
      <c r="H645">
        <v>-106</v>
      </c>
    </row>
    <row r="646" spans="1:8" x14ac:dyDescent="0.2">
      <c r="A646" t="s">
        <v>921</v>
      </c>
      <c r="B646" t="s">
        <v>3002</v>
      </c>
      <c r="E646" t="s">
        <v>785</v>
      </c>
      <c r="F646">
        <v>-1372</v>
      </c>
      <c r="G646">
        <v>2861</v>
      </c>
      <c r="H646">
        <v>198</v>
      </c>
    </row>
    <row r="647" spans="1:8" x14ac:dyDescent="0.2">
      <c r="A647" t="s">
        <v>1521</v>
      </c>
      <c r="B647" t="s">
        <v>3002</v>
      </c>
      <c r="E647" t="s">
        <v>785</v>
      </c>
      <c r="F647">
        <v>3197</v>
      </c>
      <c r="G647">
        <v>-3171</v>
      </c>
      <c r="H647">
        <v>-106</v>
      </c>
    </row>
    <row r="648" spans="1:8" x14ac:dyDescent="0.2">
      <c r="A648" t="s">
        <v>922</v>
      </c>
      <c r="B648" t="s">
        <v>3002</v>
      </c>
      <c r="E648" t="s">
        <v>785</v>
      </c>
      <c r="F648">
        <v>3224</v>
      </c>
      <c r="G648">
        <v>-3018</v>
      </c>
      <c r="H648">
        <v>59</v>
      </c>
    </row>
    <row r="649" spans="1:8" x14ac:dyDescent="0.2">
      <c r="A649" t="s">
        <v>1522</v>
      </c>
      <c r="B649" t="s">
        <v>3002</v>
      </c>
      <c r="E649" t="s">
        <v>785</v>
      </c>
      <c r="F649">
        <v>-926</v>
      </c>
      <c r="G649">
        <v>-2629</v>
      </c>
      <c r="H649">
        <v>-106</v>
      </c>
    </row>
    <row r="650" spans="1:8" x14ac:dyDescent="0.2">
      <c r="A650" t="s">
        <v>1523</v>
      </c>
      <c r="B650" t="s">
        <v>3002</v>
      </c>
      <c r="E650" t="s">
        <v>785</v>
      </c>
      <c r="F650">
        <v>1931</v>
      </c>
      <c r="G650">
        <v>-2778</v>
      </c>
      <c r="H650">
        <v>-106</v>
      </c>
    </row>
    <row r="651" spans="1:8" x14ac:dyDescent="0.2">
      <c r="A651" t="s">
        <v>923</v>
      </c>
      <c r="B651" t="s">
        <v>3002</v>
      </c>
      <c r="E651" t="s">
        <v>785</v>
      </c>
      <c r="F651">
        <v>1960</v>
      </c>
      <c r="G651">
        <v>-2612</v>
      </c>
      <c r="H651">
        <v>71</v>
      </c>
    </row>
    <row r="652" spans="1:8" x14ac:dyDescent="0.2">
      <c r="A652" t="s">
        <v>1067</v>
      </c>
      <c r="B652" t="s">
        <v>3002</v>
      </c>
      <c r="E652" t="s">
        <v>785</v>
      </c>
      <c r="F652">
        <v>-1376</v>
      </c>
      <c r="G652">
        <v>-3361</v>
      </c>
      <c r="H652">
        <v>-106</v>
      </c>
    </row>
    <row r="653" spans="1:8" x14ac:dyDescent="0.2">
      <c r="A653" t="s">
        <v>1068</v>
      </c>
      <c r="B653" t="s">
        <v>3002</v>
      </c>
      <c r="E653" t="s">
        <v>785</v>
      </c>
      <c r="F653">
        <v>-915</v>
      </c>
      <c r="G653">
        <v>211</v>
      </c>
      <c r="H653">
        <v>-106</v>
      </c>
    </row>
    <row r="654" spans="1:8" x14ac:dyDescent="0.2">
      <c r="A654" t="s">
        <v>1525</v>
      </c>
      <c r="B654" t="s">
        <v>3002</v>
      </c>
      <c r="E654" t="s">
        <v>785</v>
      </c>
      <c r="F654">
        <v>-1277</v>
      </c>
      <c r="G654">
        <v>-2180</v>
      </c>
      <c r="H654">
        <v>-106</v>
      </c>
    </row>
    <row r="655" spans="1:8" x14ac:dyDescent="0.2">
      <c r="A655" t="s">
        <v>804</v>
      </c>
      <c r="B655" t="s">
        <v>3002</v>
      </c>
      <c r="E655" t="s">
        <v>785</v>
      </c>
      <c r="F655">
        <v>3882</v>
      </c>
      <c r="G655">
        <v>-1120</v>
      </c>
      <c r="H655">
        <v>-106</v>
      </c>
    </row>
    <row r="656" spans="1:8" x14ac:dyDescent="0.2">
      <c r="A656" t="s">
        <v>1526</v>
      </c>
      <c r="B656" t="s">
        <v>3002</v>
      </c>
      <c r="E656" t="s">
        <v>785</v>
      </c>
      <c r="F656">
        <v>3848</v>
      </c>
      <c r="G656">
        <v>-1315</v>
      </c>
      <c r="H656">
        <v>532</v>
      </c>
    </row>
    <row r="657" spans="1:8" x14ac:dyDescent="0.2">
      <c r="A657" t="s">
        <v>1527</v>
      </c>
      <c r="B657" t="s">
        <v>3002</v>
      </c>
      <c r="E657" t="s">
        <v>785</v>
      </c>
      <c r="F657">
        <v>-1886</v>
      </c>
      <c r="G657">
        <v>-1920</v>
      </c>
      <c r="H657">
        <v>-106</v>
      </c>
    </row>
    <row r="658" spans="1:8" x14ac:dyDescent="0.2">
      <c r="A658" t="s">
        <v>924</v>
      </c>
      <c r="B658" t="s">
        <v>3002</v>
      </c>
      <c r="E658" t="s">
        <v>785</v>
      </c>
      <c r="F658">
        <v>-1967</v>
      </c>
      <c r="G658">
        <v>-2060</v>
      </c>
      <c r="H658">
        <v>30</v>
      </c>
    </row>
    <row r="659" spans="1:8" x14ac:dyDescent="0.2">
      <c r="A659" t="s">
        <v>925</v>
      </c>
      <c r="B659" t="s">
        <v>3002</v>
      </c>
      <c r="E659" t="s">
        <v>785</v>
      </c>
      <c r="F659">
        <v>-1727</v>
      </c>
      <c r="G659">
        <v>-2183</v>
      </c>
      <c r="H659">
        <v>5</v>
      </c>
    </row>
    <row r="660" spans="1:8" x14ac:dyDescent="0.2">
      <c r="A660" t="s">
        <v>1069</v>
      </c>
      <c r="B660" t="s">
        <v>3002</v>
      </c>
      <c r="E660" t="s">
        <v>785</v>
      </c>
      <c r="F660">
        <v>-2691</v>
      </c>
      <c r="G660">
        <v>776</v>
      </c>
      <c r="H660">
        <v>-106</v>
      </c>
    </row>
    <row r="661" spans="1:8" x14ac:dyDescent="0.2">
      <c r="A661" t="s">
        <v>1529</v>
      </c>
      <c r="B661" t="s">
        <v>3002</v>
      </c>
      <c r="E661" t="s">
        <v>785</v>
      </c>
      <c r="F661">
        <v>2377</v>
      </c>
      <c r="G661">
        <v>-2195</v>
      </c>
      <c r="H661">
        <v>-106</v>
      </c>
    </row>
    <row r="662" spans="1:8" x14ac:dyDescent="0.2">
      <c r="A662" t="s">
        <v>1530</v>
      </c>
      <c r="B662" t="s">
        <v>3002</v>
      </c>
      <c r="E662" t="s">
        <v>785</v>
      </c>
      <c r="F662">
        <v>2484</v>
      </c>
      <c r="G662">
        <v>-2676</v>
      </c>
      <c r="H662">
        <v>-106</v>
      </c>
    </row>
    <row r="663" spans="1:8" x14ac:dyDescent="0.2">
      <c r="A663" t="s">
        <v>1531</v>
      </c>
      <c r="B663" t="s">
        <v>3002</v>
      </c>
      <c r="E663" t="s">
        <v>785</v>
      </c>
      <c r="F663">
        <v>-4045</v>
      </c>
      <c r="G663">
        <v>-406</v>
      </c>
      <c r="H663">
        <v>-106</v>
      </c>
    </row>
    <row r="664" spans="1:8" x14ac:dyDescent="0.2">
      <c r="A664" t="s">
        <v>926</v>
      </c>
      <c r="B664" t="s">
        <v>3002</v>
      </c>
      <c r="E664" t="s">
        <v>785</v>
      </c>
      <c r="F664">
        <v>-3882</v>
      </c>
      <c r="G664">
        <v>-727</v>
      </c>
      <c r="H664">
        <v>570</v>
      </c>
    </row>
    <row r="665" spans="1:8" x14ac:dyDescent="0.2">
      <c r="A665" t="s">
        <v>1532</v>
      </c>
      <c r="B665" t="s">
        <v>3002</v>
      </c>
      <c r="E665" t="s">
        <v>785</v>
      </c>
      <c r="F665">
        <v>1098</v>
      </c>
      <c r="G665">
        <v>-1163</v>
      </c>
      <c r="H665">
        <v>-106</v>
      </c>
    </row>
    <row r="666" spans="1:8" x14ac:dyDescent="0.2">
      <c r="A666" t="s">
        <v>1534</v>
      </c>
      <c r="B666" t="s">
        <v>3002</v>
      </c>
      <c r="E666" t="s">
        <v>785</v>
      </c>
      <c r="F666">
        <v>-630</v>
      </c>
      <c r="G666">
        <v>-3839</v>
      </c>
      <c r="H666">
        <v>-106</v>
      </c>
    </row>
    <row r="667" spans="1:8" x14ac:dyDescent="0.2">
      <c r="A667" t="s">
        <v>844</v>
      </c>
      <c r="B667" t="s">
        <v>3002</v>
      </c>
      <c r="E667" t="s">
        <v>785</v>
      </c>
      <c r="F667">
        <v>3508</v>
      </c>
      <c r="G667">
        <v>-1418</v>
      </c>
      <c r="H667">
        <v>-106</v>
      </c>
    </row>
    <row r="668" spans="1:8" x14ac:dyDescent="0.2">
      <c r="A668" t="s">
        <v>1535</v>
      </c>
      <c r="B668" t="s">
        <v>3002</v>
      </c>
      <c r="E668" t="s">
        <v>785</v>
      </c>
      <c r="F668">
        <v>2501</v>
      </c>
      <c r="G668">
        <v>-1685</v>
      </c>
      <c r="H668">
        <v>-106</v>
      </c>
    </row>
    <row r="669" spans="1:8" x14ac:dyDescent="0.2">
      <c r="A669" t="s">
        <v>807</v>
      </c>
      <c r="B669" t="s">
        <v>3002</v>
      </c>
      <c r="E669" t="s">
        <v>785</v>
      </c>
      <c r="F669">
        <v>4141</v>
      </c>
      <c r="G669">
        <v>-2845</v>
      </c>
      <c r="H669">
        <v>-106</v>
      </c>
    </row>
    <row r="670" spans="1:8" x14ac:dyDescent="0.2">
      <c r="A670" t="s">
        <v>1536</v>
      </c>
      <c r="B670" t="s">
        <v>3002</v>
      </c>
      <c r="E670" t="s">
        <v>783</v>
      </c>
      <c r="F670">
        <v>2643</v>
      </c>
      <c r="G670">
        <v>-1964</v>
      </c>
      <c r="H670">
        <v>1895</v>
      </c>
    </row>
    <row r="671" spans="1:8" x14ac:dyDescent="0.2">
      <c r="A671" t="s">
        <v>1537</v>
      </c>
      <c r="B671" t="s">
        <v>3002</v>
      </c>
      <c r="E671" t="s">
        <v>783</v>
      </c>
      <c r="F671">
        <v>2541</v>
      </c>
      <c r="G671">
        <v>-2271</v>
      </c>
      <c r="H671">
        <v>1895</v>
      </c>
    </row>
    <row r="672" spans="1:8" x14ac:dyDescent="0.2">
      <c r="A672" t="s">
        <v>1538</v>
      </c>
      <c r="B672" t="s">
        <v>3002</v>
      </c>
      <c r="E672" t="s">
        <v>785</v>
      </c>
      <c r="F672">
        <v>-2166</v>
      </c>
      <c r="G672">
        <v>-1509</v>
      </c>
      <c r="H672">
        <v>-106</v>
      </c>
    </row>
    <row r="673" spans="1:8" x14ac:dyDescent="0.2">
      <c r="A673" t="s">
        <v>1539</v>
      </c>
      <c r="B673" t="s">
        <v>3002</v>
      </c>
      <c r="E673" t="s">
        <v>785</v>
      </c>
      <c r="F673">
        <v>-3639</v>
      </c>
      <c r="G673">
        <v>949</v>
      </c>
      <c r="H673">
        <v>-106</v>
      </c>
    </row>
    <row r="674" spans="1:8" x14ac:dyDescent="0.2">
      <c r="A674" t="s">
        <v>1540</v>
      </c>
      <c r="B674" t="s">
        <v>3002</v>
      </c>
      <c r="E674" t="s">
        <v>785</v>
      </c>
      <c r="F674">
        <v>220</v>
      </c>
      <c r="G674">
        <v>-3632</v>
      </c>
      <c r="H674">
        <v>-106</v>
      </c>
    </row>
    <row r="675" spans="1:8" x14ac:dyDescent="0.2">
      <c r="A675" t="s">
        <v>1541</v>
      </c>
      <c r="B675" t="s">
        <v>3002</v>
      </c>
      <c r="E675" t="s">
        <v>785</v>
      </c>
      <c r="F675">
        <v>-1294</v>
      </c>
      <c r="G675">
        <v>679</v>
      </c>
      <c r="H675">
        <v>83</v>
      </c>
    </row>
    <row r="676" spans="1:8" x14ac:dyDescent="0.2">
      <c r="A676" t="s">
        <v>1070</v>
      </c>
      <c r="B676" t="s">
        <v>3002</v>
      </c>
      <c r="E676" t="s">
        <v>785</v>
      </c>
      <c r="F676">
        <v>-1608</v>
      </c>
      <c r="G676">
        <v>-445</v>
      </c>
      <c r="H676">
        <v>-106</v>
      </c>
    </row>
    <row r="677" spans="1:8" x14ac:dyDescent="0.2">
      <c r="A677" t="s">
        <v>1071</v>
      </c>
      <c r="B677" t="s">
        <v>3002</v>
      </c>
      <c r="E677" t="s">
        <v>785</v>
      </c>
      <c r="F677">
        <v>3209</v>
      </c>
      <c r="G677">
        <v>-1699</v>
      </c>
      <c r="H677">
        <v>-106</v>
      </c>
    </row>
    <row r="678" spans="1:8" x14ac:dyDescent="0.2">
      <c r="A678" t="s">
        <v>1543</v>
      </c>
      <c r="B678" t="s">
        <v>3002</v>
      </c>
      <c r="E678" t="s">
        <v>785</v>
      </c>
      <c r="F678">
        <v>3201</v>
      </c>
      <c r="G678">
        <v>-1386</v>
      </c>
      <c r="H678">
        <v>-106</v>
      </c>
    </row>
    <row r="679" spans="1:8" x14ac:dyDescent="0.2">
      <c r="A679" t="s">
        <v>1544</v>
      </c>
      <c r="B679" t="s">
        <v>3002</v>
      </c>
      <c r="E679" t="s">
        <v>785</v>
      </c>
      <c r="F679">
        <v>4717</v>
      </c>
      <c r="G679">
        <v>2924</v>
      </c>
      <c r="H679">
        <v>-106</v>
      </c>
    </row>
    <row r="680" spans="1:8" x14ac:dyDescent="0.2">
      <c r="A680" t="s">
        <v>927</v>
      </c>
      <c r="B680" t="s">
        <v>3002</v>
      </c>
      <c r="E680" t="s">
        <v>785</v>
      </c>
      <c r="F680">
        <v>4651</v>
      </c>
      <c r="G680">
        <v>3585</v>
      </c>
      <c r="H680">
        <v>-51</v>
      </c>
    </row>
    <row r="681" spans="1:8" x14ac:dyDescent="0.2">
      <c r="A681" t="s">
        <v>1545</v>
      </c>
      <c r="B681" t="s">
        <v>3002</v>
      </c>
      <c r="E681" t="s">
        <v>785</v>
      </c>
      <c r="F681">
        <v>4177</v>
      </c>
      <c r="G681">
        <v>2915</v>
      </c>
      <c r="H681">
        <v>-106</v>
      </c>
    </row>
    <row r="682" spans="1:8" x14ac:dyDescent="0.2">
      <c r="A682" t="s">
        <v>1547</v>
      </c>
      <c r="B682" t="s">
        <v>3002</v>
      </c>
      <c r="E682" t="s">
        <v>785</v>
      </c>
      <c r="F682">
        <v>3803</v>
      </c>
      <c r="G682">
        <v>2823</v>
      </c>
      <c r="H682">
        <v>-106</v>
      </c>
    </row>
    <row r="683" spans="1:8" x14ac:dyDescent="0.2">
      <c r="A683" t="s">
        <v>928</v>
      </c>
      <c r="B683" t="s">
        <v>3002</v>
      </c>
      <c r="E683" t="s">
        <v>785</v>
      </c>
      <c r="F683">
        <v>-3960</v>
      </c>
      <c r="G683">
        <v>3245</v>
      </c>
      <c r="H683">
        <v>237</v>
      </c>
    </row>
    <row r="684" spans="1:8" x14ac:dyDescent="0.2">
      <c r="A684" t="s">
        <v>1549</v>
      </c>
      <c r="B684" t="s">
        <v>3002</v>
      </c>
      <c r="E684" t="s">
        <v>783</v>
      </c>
      <c r="F684">
        <v>-3573</v>
      </c>
      <c r="G684">
        <v>-608</v>
      </c>
      <c r="H684">
        <v>1895</v>
      </c>
    </row>
    <row r="685" spans="1:8" x14ac:dyDescent="0.2">
      <c r="A685" t="s">
        <v>1550</v>
      </c>
      <c r="B685" t="s">
        <v>3002</v>
      </c>
      <c r="E685" t="s">
        <v>785</v>
      </c>
      <c r="F685">
        <v>-1314</v>
      </c>
      <c r="G685">
        <v>825</v>
      </c>
      <c r="H685">
        <v>-106</v>
      </c>
    </row>
    <row r="686" spans="1:8" x14ac:dyDescent="0.2">
      <c r="A686" t="s">
        <v>929</v>
      </c>
      <c r="B686" t="s">
        <v>3002</v>
      </c>
      <c r="E686" t="s">
        <v>785</v>
      </c>
      <c r="F686">
        <v>-1234</v>
      </c>
      <c r="G686">
        <v>770</v>
      </c>
      <c r="H686">
        <v>77</v>
      </c>
    </row>
    <row r="687" spans="1:8" x14ac:dyDescent="0.2">
      <c r="A687" t="s">
        <v>1013</v>
      </c>
      <c r="B687" t="s">
        <v>3002</v>
      </c>
      <c r="E687" t="s">
        <v>783</v>
      </c>
      <c r="F687">
        <v>350</v>
      </c>
      <c r="G687">
        <v>2354</v>
      </c>
      <c r="H687">
        <v>1895</v>
      </c>
    </row>
    <row r="688" spans="1:8" x14ac:dyDescent="0.2">
      <c r="A688" t="s">
        <v>1014</v>
      </c>
      <c r="B688" t="s">
        <v>3002</v>
      </c>
      <c r="E688" t="s">
        <v>783</v>
      </c>
      <c r="F688">
        <v>1795</v>
      </c>
      <c r="G688">
        <v>-864</v>
      </c>
      <c r="H688">
        <v>1895</v>
      </c>
    </row>
    <row r="689" spans="1:8" x14ac:dyDescent="0.2">
      <c r="A689" t="s">
        <v>1554</v>
      </c>
      <c r="B689" t="s">
        <v>3002</v>
      </c>
      <c r="E689" t="s">
        <v>783</v>
      </c>
      <c r="F689">
        <v>-3601</v>
      </c>
      <c r="G689">
        <v>1334</v>
      </c>
      <c r="H689">
        <v>1894</v>
      </c>
    </row>
    <row r="690" spans="1:8" x14ac:dyDescent="0.2">
      <c r="A690" t="s">
        <v>1072</v>
      </c>
      <c r="B690" t="s">
        <v>3002</v>
      </c>
      <c r="E690" t="s">
        <v>785</v>
      </c>
      <c r="F690">
        <v>-1792</v>
      </c>
      <c r="G690">
        <v>3689</v>
      </c>
      <c r="H690">
        <v>-106</v>
      </c>
    </row>
    <row r="691" spans="1:8" x14ac:dyDescent="0.2">
      <c r="A691" t="s">
        <v>1556</v>
      </c>
      <c r="B691" t="s">
        <v>3002</v>
      </c>
      <c r="E691" t="s">
        <v>785</v>
      </c>
      <c r="F691">
        <v>2474</v>
      </c>
      <c r="G691">
        <v>-2086</v>
      </c>
      <c r="H691">
        <v>-106</v>
      </c>
    </row>
    <row r="692" spans="1:8" x14ac:dyDescent="0.2">
      <c r="A692" t="s">
        <v>930</v>
      </c>
      <c r="B692" t="s">
        <v>3002</v>
      </c>
      <c r="E692" t="s">
        <v>785</v>
      </c>
      <c r="F692">
        <v>2504</v>
      </c>
      <c r="G692">
        <v>-2107</v>
      </c>
      <c r="H692">
        <v>6</v>
      </c>
    </row>
    <row r="693" spans="1:8" x14ac:dyDescent="0.2">
      <c r="A693" t="s">
        <v>931</v>
      </c>
      <c r="B693" t="s">
        <v>3002</v>
      </c>
      <c r="E693" t="s">
        <v>785</v>
      </c>
      <c r="F693">
        <v>-3355</v>
      </c>
      <c r="G693">
        <v>-2694</v>
      </c>
      <c r="H693">
        <v>-4</v>
      </c>
    </row>
    <row r="694" spans="1:8" x14ac:dyDescent="0.2">
      <c r="A694" t="s">
        <v>1557</v>
      </c>
      <c r="B694" t="s">
        <v>3002</v>
      </c>
      <c r="E694" t="s">
        <v>785</v>
      </c>
      <c r="F694">
        <v>-254</v>
      </c>
      <c r="G694">
        <v>779</v>
      </c>
      <c r="H694">
        <v>98</v>
      </c>
    </row>
    <row r="695" spans="1:8" x14ac:dyDescent="0.2">
      <c r="A695" t="s">
        <v>1073</v>
      </c>
      <c r="B695" t="s">
        <v>3002</v>
      </c>
      <c r="E695" t="s">
        <v>785</v>
      </c>
      <c r="F695">
        <v>4069</v>
      </c>
      <c r="G695">
        <v>2460</v>
      </c>
      <c r="H695">
        <v>32</v>
      </c>
    </row>
    <row r="696" spans="1:8" x14ac:dyDescent="0.2">
      <c r="A696" t="s">
        <v>1558</v>
      </c>
      <c r="B696" t="s">
        <v>3002</v>
      </c>
      <c r="E696" t="s">
        <v>785</v>
      </c>
      <c r="F696">
        <v>3654</v>
      </c>
      <c r="G696">
        <v>2525</v>
      </c>
      <c r="H696">
        <v>-106</v>
      </c>
    </row>
    <row r="697" spans="1:8" x14ac:dyDescent="0.2">
      <c r="A697" t="s">
        <v>1559</v>
      </c>
      <c r="B697" t="s">
        <v>3002</v>
      </c>
      <c r="E697" t="s">
        <v>785</v>
      </c>
      <c r="F697">
        <v>2875</v>
      </c>
      <c r="G697">
        <v>-20</v>
      </c>
      <c r="H697">
        <v>82</v>
      </c>
    </row>
    <row r="698" spans="1:8" x14ac:dyDescent="0.2">
      <c r="A698" t="s">
        <v>932</v>
      </c>
      <c r="B698" t="s">
        <v>3002</v>
      </c>
      <c r="E698" t="s">
        <v>785</v>
      </c>
      <c r="F698">
        <v>2910</v>
      </c>
      <c r="G698">
        <v>-66</v>
      </c>
      <c r="H698">
        <v>82</v>
      </c>
    </row>
    <row r="699" spans="1:8" x14ac:dyDescent="0.2">
      <c r="A699" t="s">
        <v>1561</v>
      </c>
      <c r="B699" t="s">
        <v>3002</v>
      </c>
      <c r="E699" t="s">
        <v>785</v>
      </c>
      <c r="F699">
        <v>-882</v>
      </c>
      <c r="G699">
        <v>-3141</v>
      </c>
      <c r="H699">
        <v>-106</v>
      </c>
    </row>
    <row r="700" spans="1:8" x14ac:dyDescent="0.2">
      <c r="A700" t="s">
        <v>1562</v>
      </c>
      <c r="B700" t="s">
        <v>3002</v>
      </c>
      <c r="E700" t="s">
        <v>785</v>
      </c>
      <c r="F700">
        <v>-248</v>
      </c>
      <c r="G700">
        <v>-1688</v>
      </c>
      <c r="H700">
        <v>-106</v>
      </c>
    </row>
    <row r="701" spans="1:8" x14ac:dyDescent="0.2">
      <c r="A701" t="s">
        <v>1564</v>
      </c>
      <c r="B701" t="s">
        <v>3002</v>
      </c>
      <c r="E701" t="s">
        <v>785</v>
      </c>
      <c r="F701">
        <v>-1449</v>
      </c>
      <c r="G701">
        <v>-1269</v>
      </c>
      <c r="H701">
        <v>76</v>
      </c>
    </row>
    <row r="702" spans="1:8" x14ac:dyDescent="0.2">
      <c r="A702" t="s">
        <v>1566</v>
      </c>
      <c r="B702" t="s">
        <v>3002</v>
      </c>
      <c r="E702" t="s">
        <v>785</v>
      </c>
      <c r="F702">
        <v>3060</v>
      </c>
      <c r="G702">
        <v>-1883</v>
      </c>
      <c r="H702">
        <v>-106</v>
      </c>
    </row>
    <row r="703" spans="1:8" x14ac:dyDescent="0.2">
      <c r="A703" t="s">
        <v>1074</v>
      </c>
      <c r="B703" t="s">
        <v>3002</v>
      </c>
      <c r="E703" t="s">
        <v>785</v>
      </c>
      <c r="F703">
        <v>325</v>
      </c>
      <c r="G703">
        <v>-1273</v>
      </c>
      <c r="H703">
        <v>-42</v>
      </c>
    </row>
    <row r="704" spans="1:8" x14ac:dyDescent="0.2">
      <c r="A704" t="s">
        <v>1567</v>
      </c>
      <c r="B704" t="s">
        <v>3002</v>
      </c>
      <c r="E704" t="s">
        <v>785</v>
      </c>
      <c r="F704">
        <v>690</v>
      </c>
      <c r="G704">
        <v>-3058</v>
      </c>
      <c r="H704">
        <v>-106</v>
      </c>
    </row>
    <row r="705" spans="1:8" x14ac:dyDescent="0.2">
      <c r="A705" t="s">
        <v>933</v>
      </c>
      <c r="B705" t="s">
        <v>3002</v>
      </c>
      <c r="E705" t="s">
        <v>785</v>
      </c>
      <c r="F705">
        <v>672</v>
      </c>
      <c r="G705">
        <v>-3109</v>
      </c>
      <c r="H705">
        <v>24</v>
      </c>
    </row>
    <row r="706" spans="1:8" x14ac:dyDescent="0.2">
      <c r="A706" t="s">
        <v>1075</v>
      </c>
      <c r="B706" t="s">
        <v>3002</v>
      </c>
      <c r="E706" t="s">
        <v>785</v>
      </c>
      <c r="F706">
        <v>3497</v>
      </c>
      <c r="G706">
        <v>-3460</v>
      </c>
      <c r="H706">
        <v>-106</v>
      </c>
    </row>
    <row r="707" spans="1:8" x14ac:dyDescent="0.2">
      <c r="A707" t="s">
        <v>1076</v>
      </c>
      <c r="B707" t="s">
        <v>3002</v>
      </c>
      <c r="E707" t="s">
        <v>785</v>
      </c>
      <c r="F707">
        <v>-3118</v>
      </c>
      <c r="G707">
        <v>-2982</v>
      </c>
      <c r="H707">
        <v>-106</v>
      </c>
    </row>
    <row r="708" spans="1:8" x14ac:dyDescent="0.2">
      <c r="A708" t="s">
        <v>1077</v>
      </c>
      <c r="B708" t="s">
        <v>3002</v>
      </c>
      <c r="E708" t="s">
        <v>785</v>
      </c>
      <c r="F708">
        <v>-339</v>
      </c>
      <c r="G708">
        <v>-3567</v>
      </c>
      <c r="H708">
        <v>-106</v>
      </c>
    </row>
    <row r="709" spans="1:8" x14ac:dyDescent="0.2">
      <c r="A709" t="s">
        <v>1569</v>
      </c>
      <c r="B709" t="s">
        <v>3002</v>
      </c>
      <c r="E709" t="s">
        <v>785</v>
      </c>
      <c r="F709">
        <v>-348</v>
      </c>
      <c r="G709">
        <v>-3299</v>
      </c>
      <c r="H709">
        <v>-106</v>
      </c>
    </row>
    <row r="710" spans="1:8" x14ac:dyDescent="0.2">
      <c r="A710" t="s">
        <v>1570</v>
      </c>
      <c r="B710" t="s">
        <v>3002</v>
      </c>
      <c r="E710" t="s">
        <v>785</v>
      </c>
      <c r="F710">
        <v>-3999</v>
      </c>
      <c r="G710">
        <v>1614</v>
      </c>
      <c r="H710">
        <v>-106</v>
      </c>
    </row>
    <row r="711" spans="1:8" x14ac:dyDescent="0.2">
      <c r="A711" t="s">
        <v>1571</v>
      </c>
      <c r="B711" t="s">
        <v>3002</v>
      </c>
      <c r="E711" t="s">
        <v>785</v>
      </c>
      <c r="F711">
        <v>-596</v>
      </c>
      <c r="G711">
        <v>-205</v>
      </c>
      <c r="H711">
        <v>-106</v>
      </c>
    </row>
    <row r="712" spans="1:8" x14ac:dyDescent="0.2">
      <c r="A712" t="s">
        <v>934</v>
      </c>
      <c r="B712" t="s">
        <v>3002</v>
      </c>
      <c r="E712" t="s">
        <v>785</v>
      </c>
      <c r="F712">
        <v>-512</v>
      </c>
      <c r="G712">
        <v>128</v>
      </c>
      <c r="H712">
        <v>20</v>
      </c>
    </row>
    <row r="713" spans="1:8" x14ac:dyDescent="0.2">
      <c r="A713" t="s">
        <v>1572</v>
      </c>
      <c r="B713" t="s">
        <v>3002</v>
      </c>
      <c r="E713" t="s">
        <v>785</v>
      </c>
      <c r="F713">
        <v>2912</v>
      </c>
      <c r="G713">
        <v>-1463</v>
      </c>
      <c r="H713">
        <v>-106</v>
      </c>
    </row>
    <row r="714" spans="1:8" x14ac:dyDescent="0.2">
      <c r="A714" t="s">
        <v>1573</v>
      </c>
      <c r="B714" t="s">
        <v>3002</v>
      </c>
      <c r="E714" t="s">
        <v>785</v>
      </c>
      <c r="F714">
        <v>2509</v>
      </c>
      <c r="G714">
        <v>-1226</v>
      </c>
      <c r="H714">
        <v>-106</v>
      </c>
    </row>
    <row r="715" spans="1:8" x14ac:dyDescent="0.2">
      <c r="A715" t="s">
        <v>1078</v>
      </c>
      <c r="B715" t="s">
        <v>3002</v>
      </c>
      <c r="E715" t="s">
        <v>785</v>
      </c>
      <c r="F715">
        <v>1202</v>
      </c>
      <c r="G715">
        <v>1144</v>
      </c>
      <c r="H715">
        <v>-106</v>
      </c>
    </row>
    <row r="716" spans="1:8" x14ac:dyDescent="0.2">
      <c r="A716" t="s">
        <v>935</v>
      </c>
      <c r="B716" t="s">
        <v>3002</v>
      </c>
      <c r="E716" t="s">
        <v>785</v>
      </c>
      <c r="F716">
        <v>1247</v>
      </c>
      <c r="G716">
        <v>1232</v>
      </c>
      <c r="H716">
        <v>26</v>
      </c>
    </row>
    <row r="717" spans="1:8" x14ac:dyDescent="0.2">
      <c r="A717" t="s">
        <v>1574</v>
      </c>
      <c r="B717" t="s">
        <v>3002</v>
      </c>
      <c r="E717" t="s">
        <v>785</v>
      </c>
      <c r="F717">
        <v>2213</v>
      </c>
      <c r="G717">
        <v>-944</v>
      </c>
      <c r="H717">
        <v>-106</v>
      </c>
    </row>
    <row r="718" spans="1:8" x14ac:dyDescent="0.2">
      <c r="A718" t="s">
        <v>1079</v>
      </c>
      <c r="B718" t="s">
        <v>3002</v>
      </c>
      <c r="E718" t="s">
        <v>785</v>
      </c>
      <c r="F718">
        <v>-2198</v>
      </c>
      <c r="G718">
        <v>2901</v>
      </c>
      <c r="H718">
        <v>-106</v>
      </c>
    </row>
    <row r="719" spans="1:8" x14ac:dyDescent="0.2">
      <c r="A719" t="s">
        <v>936</v>
      </c>
      <c r="B719" t="s">
        <v>3002</v>
      </c>
      <c r="E719" t="s">
        <v>785</v>
      </c>
      <c r="F719">
        <v>-2642</v>
      </c>
      <c r="G719">
        <v>3268</v>
      </c>
      <c r="H719">
        <v>249</v>
      </c>
    </row>
    <row r="720" spans="1:8" x14ac:dyDescent="0.2">
      <c r="A720" t="s">
        <v>1575</v>
      </c>
      <c r="B720" t="s">
        <v>3002</v>
      </c>
      <c r="E720" t="s">
        <v>785</v>
      </c>
      <c r="F720">
        <v>-2311</v>
      </c>
      <c r="G720">
        <v>3062</v>
      </c>
      <c r="H720">
        <v>437</v>
      </c>
    </row>
    <row r="721" spans="1:8" x14ac:dyDescent="0.2">
      <c r="A721" t="s">
        <v>1080</v>
      </c>
      <c r="B721" t="s">
        <v>3002</v>
      </c>
      <c r="E721" t="s">
        <v>785</v>
      </c>
      <c r="F721">
        <v>1850</v>
      </c>
      <c r="G721">
        <v>-1244</v>
      </c>
      <c r="H721">
        <v>-106</v>
      </c>
    </row>
    <row r="722" spans="1:8" x14ac:dyDescent="0.2">
      <c r="A722" t="s">
        <v>1576</v>
      </c>
      <c r="B722" t="s">
        <v>3002</v>
      </c>
      <c r="E722" t="s">
        <v>785</v>
      </c>
      <c r="F722">
        <v>-3478</v>
      </c>
      <c r="G722">
        <v>679</v>
      </c>
      <c r="H722">
        <v>-106</v>
      </c>
    </row>
    <row r="723" spans="1:8" x14ac:dyDescent="0.2">
      <c r="A723" t="s">
        <v>937</v>
      </c>
      <c r="B723" t="s">
        <v>3002</v>
      </c>
      <c r="E723" t="s">
        <v>783</v>
      </c>
      <c r="F723">
        <v>632</v>
      </c>
      <c r="G723">
        <v>-1639</v>
      </c>
      <c r="H723">
        <v>1483</v>
      </c>
    </row>
    <row r="724" spans="1:8" x14ac:dyDescent="0.2">
      <c r="A724" t="s">
        <v>1579</v>
      </c>
      <c r="B724" t="s">
        <v>3002</v>
      </c>
      <c r="E724" t="s">
        <v>785</v>
      </c>
      <c r="F724">
        <v>3853</v>
      </c>
      <c r="G724">
        <v>660</v>
      </c>
      <c r="H724">
        <v>481</v>
      </c>
    </row>
    <row r="725" spans="1:8" x14ac:dyDescent="0.2">
      <c r="A725" t="s">
        <v>938</v>
      </c>
      <c r="B725" t="s">
        <v>3002</v>
      </c>
      <c r="E725" t="s">
        <v>785</v>
      </c>
      <c r="F725">
        <v>3661</v>
      </c>
      <c r="G725">
        <v>539</v>
      </c>
      <c r="H725">
        <v>269</v>
      </c>
    </row>
    <row r="726" spans="1:8" x14ac:dyDescent="0.2">
      <c r="A726" t="s">
        <v>939</v>
      </c>
      <c r="B726" t="s">
        <v>3002</v>
      </c>
      <c r="E726" t="s">
        <v>783</v>
      </c>
      <c r="F726">
        <v>171</v>
      </c>
      <c r="G726">
        <v>-1634</v>
      </c>
      <c r="H726">
        <v>1377</v>
      </c>
    </row>
    <row r="727" spans="1:8" x14ac:dyDescent="0.2">
      <c r="A727" t="s">
        <v>1580</v>
      </c>
      <c r="B727" t="s">
        <v>3002</v>
      </c>
      <c r="E727" t="s">
        <v>785</v>
      </c>
      <c r="F727">
        <v>813</v>
      </c>
      <c r="G727">
        <v>-2177</v>
      </c>
      <c r="H727">
        <v>-106</v>
      </c>
    </row>
    <row r="728" spans="1:8" x14ac:dyDescent="0.2">
      <c r="A728" t="s">
        <v>940</v>
      </c>
      <c r="B728" t="s">
        <v>3002</v>
      </c>
      <c r="E728" t="s">
        <v>785</v>
      </c>
      <c r="F728">
        <v>609</v>
      </c>
      <c r="G728">
        <v>-2210</v>
      </c>
      <c r="H728">
        <v>51</v>
      </c>
    </row>
    <row r="729" spans="1:8" x14ac:dyDescent="0.2">
      <c r="A729" t="s">
        <v>1582</v>
      </c>
      <c r="B729" t="s">
        <v>3002</v>
      </c>
      <c r="E729" t="s">
        <v>785</v>
      </c>
      <c r="F729">
        <v>605</v>
      </c>
      <c r="G729">
        <v>-2127</v>
      </c>
      <c r="H729">
        <v>92</v>
      </c>
    </row>
    <row r="730" spans="1:8" x14ac:dyDescent="0.2">
      <c r="A730" t="s">
        <v>1584</v>
      </c>
      <c r="B730" t="s">
        <v>3002</v>
      </c>
      <c r="E730" t="s">
        <v>785</v>
      </c>
      <c r="F730">
        <v>-328</v>
      </c>
      <c r="G730">
        <v>995</v>
      </c>
      <c r="H730">
        <v>301</v>
      </c>
    </row>
    <row r="731" spans="1:8" x14ac:dyDescent="0.2">
      <c r="A731" t="s">
        <v>1585</v>
      </c>
      <c r="B731" t="s">
        <v>3002</v>
      </c>
      <c r="E731" t="s">
        <v>785</v>
      </c>
      <c r="F731">
        <v>-384</v>
      </c>
      <c r="G731">
        <v>992</v>
      </c>
      <c r="H731">
        <v>314</v>
      </c>
    </row>
    <row r="732" spans="1:8" x14ac:dyDescent="0.2">
      <c r="A732" t="s">
        <v>941</v>
      </c>
      <c r="B732" t="s">
        <v>3002</v>
      </c>
      <c r="E732" t="s">
        <v>785</v>
      </c>
      <c r="F732">
        <v>3708</v>
      </c>
      <c r="G732">
        <v>609</v>
      </c>
      <c r="H732">
        <v>343</v>
      </c>
    </row>
    <row r="733" spans="1:8" x14ac:dyDescent="0.2">
      <c r="A733" t="s">
        <v>1587</v>
      </c>
      <c r="B733" t="s">
        <v>3002</v>
      </c>
      <c r="E733" t="s">
        <v>785</v>
      </c>
      <c r="F733">
        <v>232</v>
      </c>
      <c r="G733">
        <v>-3897</v>
      </c>
      <c r="H733">
        <v>-106</v>
      </c>
    </row>
    <row r="734" spans="1:8" x14ac:dyDescent="0.2">
      <c r="A734" t="s">
        <v>942</v>
      </c>
      <c r="B734" t="s">
        <v>3002</v>
      </c>
      <c r="E734" t="s">
        <v>785</v>
      </c>
      <c r="F734">
        <v>284</v>
      </c>
      <c r="G734">
        <v>-3851</v>
      </c>
      <c r="H734">
        <v>33</v>
      </c>
    </row>
    <row r="735" spans="1:8" x14ac:dyDescent="0.2">
      <c r="A735" t="s">
        <v>1588</v>
      </c>
      <c r="B735" t="s">
        <v>3002</v>
      </c>
      <c r="E735" t="s">
        <v>785</v>
      </c>
      <c r="F735">
        <v>3261</v>
      </c>
      <c r="G735">
        <v>-1314</v>
      </c>
      <c r="H735">
        <v>-106</v>
      </c>
    </row>
    <row r="736" spans="1:8" x14ac:dyDescent="0.2">
      <c r="A736" t="s">
        <v>1589</v>
      </c>
      <c r="B736" t="s">
        <v>3002</v>
      </c>
      <c r="E736" t="s">
        <v>785</v>
      </c>
      <c r="F736">
        <v>-726</v>
      </c>
      <c r="G736">
        <v>414</v>
      </c>
      <c r="H736">
        <v>-106</v>
      </c>
    </row>
    <row r="737" spans="1:8" x14ac:dyDescent="0.2">
      <c r="A737" t="s">
        <v>1590</v>
      </c>
      <c r="B737" t="s">
        <v>3002</v>
      </c>
      <c r="E737" t="s">
        <v>785</v>
      </c>
      <c r="F737">
        <v>2158</v>
      </c>
      <c r="G737">
        <v>-558</v>
      </c>
      <c r="H737">
        <v>-106</v>
      </c>
    </row>
    <row r="738" spans="1:8" x14ac:dyDescent="0.2">
      <c r="A738" t="s">
        <v>943</v>
      </c>
      <c r="B738" t="s">
        <v>3002</v>
      </c>
      <c r="E738" t="s">
        <v>785</v>
      </c>
      <c r="F738">
        <v>-3239</v>
      </c>
      <c r="G738">
        <v>-2940</v>
      </c>
      <c r="H738">
        <v>-66</v>
      </c>
    </row>
    <row r="739" spans="1:8" x14ac:dyDescent="0.2">
      <c r="A739" t="s">
        <v>1591</v>
      </c>
      <c r="B739" t="s">
        <v>3002</v>
      </c>
      <c r="E739" t="s">
        <v>785</v>
      </c>
      <c r="F739">
        <v>2420</v>
      </c>
      <c r="G739">
        <v>-2782</v>
      </c>
      <c r="H739">
        <v>-106</v>
      </c>
    </row>
    <row r="740" spans="1:8" x14ac:dyDescent="0.2">
      <c r="A740" t="s">
        <v>1592</v>
      </c>
      <c r="B740" t="s">
        <v>3002</v>
      </c>
      <c r="E740" t="s">
        <v>785</v>
      </c>
      <c r="F740">
        <v>2420</v>
      </c>
      <c r="G740">
        <v>-2755</v>
      </c>
      <c r="H740">
        <v>216</v>
      </c>
    </row>
    <row r="741" spans="1:8" x14ac:dyDescent="0.2">
      <c r="A741" t="s">
        <v>1593</v>
      </c>
      <c r="B741" t="s">
        <v>3002</v>
      </c>
      <c r="E741" t="s">
        <v>785</v>
      </c>
      <c r="F741">
        <v>2615</v>
      </c>
      <c r="G741">
        <v>-590</v>
      </c>
      <c r="H741">
        <v>-106</v>
      </c>
    </row>
    <row r="742" spans="1:8" x14ac:dyDescent="0.2">
      <c r="A742" t="s">
        <v>944</v>
      </c>
      <c r="B742" t="s">
        <v>3002</v>
      </c>
      <c r="E742" t="s">
        <v>785</v>
      </c>
      <c r="F742">
        <v>2959</v>
      </c>
      <c r="G742">
        <v>254</v>
      </c>
      <c r="H742">
        <v>203</v>
      </c>
    </row>
    <row r="743" spans="1:8" x14ac:dyDescent="0.2">
      <c r="A743" t="s">
        <v>1594</v>
      </c>
      <c r="B743" t="s">
        <v>3002</v>
      </c>
      <c r="E743" t="s">
        <v>785</v>
      </c>
      <c r="F743">
        <v>2927</v>
      </c>
      <c r="G743">
        <v>264</v>
      </c>
      <c r="H743">
        <v>-106</v>
      </c>
    </row>
    <row r="744" spans="1:8" x14ac:dyDescent="0.2">
      <c r="A744" t="s">
        <v>1595</v>
      </c>
      <c r="B744" t="s">
        <v>3002</v>
      </c>
      <c r="E744" t="s">
        <v>785</v>
      </c>
      <c r="F744">
        <v>108</v>
      </c>
      <c r="G744">
        <v>-276</v>
      </c>
      <c r="H744">
        <v>-106</v>
      </c>
    </row>
    <row r="745" spans="1:8" x14ac:dyDescent="0.2">
      <c r="A745" t="s">
        <v>945</v>
      </c>
      <c r="B745" t="s">
        <v>3002</v>
      </c>
      <c r="E745" t="s">
        <v>785</v>
      </c>
      <c r="F745">
        <v>37</v>
      </c>
      <c r="G745">
        <v>-199</v>
      </c>
      <c r="H745">
        <v>19</v>
      </c>
    </row>
    <row r="746" spans="1:8" x14ac:dyDescent="0.2">
      <c r="A746" t="s">
        <v>1596</v>
      </c>
      <c r="B746" t="s">
        <v>3002</v>
      </c>
      <c r="E746" t="s">
        <v>785</v>
      </c>
      <c r="F746">
        <v>1855</v>
      </c>
      <c r="G746">
        <v>-3680</v>
      </c>
      <c r="H746">
        <v>-106</v>
      </c>
    </row>
    <row r="747" spans="1:8" x14ac:dyDescent="0.2">
      <c r="A747" t="s">
        <v>946</v>
      </c>
      <c r="B747" t="s">
        <v>3002</v>
      </c>
      <c r="E747" t="s">
        <v>785</v>
      </c>
      <c r="F747">
        <v>1814</v>
      </c>
      <c r="G747">
        <v>-3738</v>
      </c>
      <c r="H747">
        <v>119</v>
      </c>
    </row>
    <row r="748" spans="1:8" x14ac:dyDescent="0.2">
      <c r="A748" t="s">
        <v>1597</v>
      </c>
      <c r="B748" t="s">
        <v>3002</v>
      </c>
      <c r="E748" t="s">
        <v>785</v>
      </c>
      <c r="F748">
        <v>498</v>
      </c>
      <c r="G748">
        <v>1538</v>
      </c>
      <c r="H748">
        <v>-106</v>
      </c>
    </row>
    <row r="749" spans="1:8" x14ac:dyDescent="0.2">
      <c r="A749" t="s">
        <v>947</v>
      </c>
      <c r="B749" t="s">
        <v>3002</v>
      </c>
      <c r="E749" t="s">
        <v>785</v>
      </c>
      <c r="F749">
        <v>676</v>
      </c>
      <c r="G749">
        <v>1390</v>
      </c>
      <c r="H749">
        <v>45</v>
      </c>
    </row>
    <row r="750" spans="1:8" x14ac:dyDescent="0.2">
      <c r="A750" t="s">
        <v>1600</v>
      </c>
      <c r="B750" t="s">
        <v>3002</v>
      </c>
      <c r="E750" t="s">
        <v>785</v>
      </c>
      <c r="F750">
        <v>-3806</v>
      </c>
      <c r="G750">
        <v>481</v>
      </c>
      <c r="H750">
        <v>-106</v>
      </c>
    </row>
    <row r="751" spans="1:8" x14ac:dyDescent="0.2">
      <c r="A751" t="s">
        <v>948</v>
      </c>
      <c r="B751" t="s">
        <v>3002</v>
      </c>
      <c r="E751" t="s">
        <v>785</v>
      </c>
      <c r="F751">
        <v>846</v>
      </c>
      <c r="G751" t="s">
        <v>998</v>
      </c>
      <c r="H751">
        <v>16</v>
      </c>
    </row>
    <row r="752" spans="1:8" x14ac:dyDescent="0.2">
      <c r="A752" t="s">
        <v>1602</v>
      </c>
      <c r="B752" t="s">
        <v>3002</v>
      </c>
      <c r="E752" t="s">
        <v>785</v>
      </c>
      <c r="F752">
        <v>-1768</v>
      </c>
      <c r="G752">
        <v>-1222</v>
      </c>
      <c r="H752">
        <v>-106</v>
      </c>
    </row>
    <row r="753" spans="1:8" x14ac:dyDescent="0.2">
      <c r="A753" t="s">
        <v>949</v>
      </c>
      <c r="B753" t="s">
        <v>3002</v>
      </c>
      <c r="E753" t="s">
        <v>785</v>
      </c>
      <c r="F753">
        <v>3810</v>
      </c>
      <c r="G753">
        <v>420</v>
      </c>
      <c r="H753">
        <v>209</v>
      </c>
    </row>
    <row r="754" spans="1:8" x14ac:dyDescent="0.2">
      <c r="A754" t="s">
        <v>1603</v>
      </c>
      <c r="B754" t="s">
        <v>3002</v>
      </c>
      <c r="E754" t="s">
        <v>785</v>
      </c>
      <c r="F754">
        <v>2895</v>
      </c>
      <c r="G754">
        <v>-3410</v>
      </c>
      <c r="H754">
        <v>11</v>
      </c>
    </row>
    <row r="755" spans="1:8" x14ac:dyDescent="0.2">
      <c r="A755" t="s">
        <v>1604</v>
      </c>
      <c r="B755" t="s">
        <v>3002</v>
      </c>
      <c r="E755" t="s">
        <v>785</v>
      </c>
      <c r="F755">
        <v>3853</v>
      </c>
      <c r="G755">
        <v>-2012</v>
      </c>
      <c r="H755">
        <v>-106</v>
      </c>
    </row>
    <row r="756" spans="1:8" x14ac:dyDescent="0.2">
      <c r="A756" t="s">
        <v>950</v>
      </c>
      <c r="B756" t="s">
        <v>3002</v>
      </c>
      <c r="E756" t="s">
        <v>785</v>
      </c>
      <c r="F756">
        <v>3757</v>
      </c>
      <c r="G756">
        <v>-2067</v>
      </c>
      <c r="H756">
        <v>214</v>
      </c>
    </row>
    <row r="757" spans="1:8" x14ac:dyDescent="0.2">
      <c r="A757" t="s">
        <v>1609</v>
      </c>
      <c r="B757" t="s">
        <v>3002</v>
      </c>
      <c r="E757" t="s">
        <v>785</v>
      </c>
      <c r="F757">
        <v>1606</v>
      </c>
      <c r="G757">
        <v>-680</v>
      </c>
      <c r="H757">
        <v>-106</v>
      </c>
    </row>
    <row r="758" spans="1:8" x14ac:dyDescent="0.2">
      <c r="A758" t="s">
        <v>1611</v>
      </c>
      <c r="B758" t="s">
        <v>3002</v>
      </c>
      <c r="E758" t="s">
        <v>785</v>
      </c>
      <c r="F758">
        <v>3167</v>
      </c>
      <c r="G758">
        <v>-3721</v>
      </c>
      <c r="H758">
        <v>-106</v>
      </c>
    </row>
    <row r="759" spans="1:8" x14ac:dyDescent="0.2">
      <c r="A759" t="s">
        <v>1613</v>
      </c>
      <c r="B759" t="s">
        <v>3002</v>
      </c>
      <c r="E759" t="s">
        <v>785</v>
      </c>
      <c r="F759">
        <v>1789</v>
      </c>
      <c r="G759">
        <v>-2943</v>
      </c>
      <c r="H759">
        <v>-106</v>
      </c>
    </row>
    <row r="760" spans="1:8" x14ac:dyDescent="0.2">
      <c r="A760" t="s">
        <v>1614</v>
      </c>
      <c r="B760" t="s">
        <v>3002</v>
      </c>
      <c r="E760" t="s">
        <v>785</v>
      </c>
      <c r="F760">
        <v>-4556</v>
      </c>
      <c r="G760">
        <v>-1091</v>
      </c>
      <c r="H760">
        <v>-106</v>
      </c>
    </row>
    <row r="761" spans="1:8" x14ac:dyDescent="0.2">
      <c r="A761" t="s">
        <v>1616</v>
      </c>
      <c r="B761" t="s">
        <v>3002</v>
      </c>
      <c r="E761" t="s">
        <v>785</v>
      </c>
      <c r="F761">
        <v>4616</v>
      </c>
      <c r="G761">
        <v>2243</v>
      </c>
      <c r="H761">
        <v>-106</v>
      </c>
    </row>
    <row r="762" spans="1:8" x14ac:dyDescent="0.2">
      <c r="A762" t="s">
        <v>847</v>
      </c>
      <c r="B762" t="s">
        <v>3002</v>
      </c>
      <c r="E762" t="s">
        <v>785</v>
      </c>
      <c r="F762">
        <v>-3621</v>
      </c>
      <c r="G762">
        <v>1800</v>
      </c>
      <c r="H762">
        <v>103</v>
      </c>
    </row>
    <row r="763" spans="1:8" x14ac:dyDescent="0.2">
      <c r="A763" t="s">
        <v>1617</v>
      </c>
      <c r="B763" t="s">
        <v>3002</v>
      </c>
      <c r="E763" t="s">
        <v>785</v>
      </c>
      <c r="F763">
        <v>-1228</v>
      </c>
      <c r="G763">
        <v>-1981</v>
      </c>
      <c r="H763">
        <v>-106</v>
      </c>
    </row>
    <row r="764" spans="1:8" x14ac:dyDescent="0.2">
      <c r="A764" t="s">
        <v>951</v>
      </c>
      <c r="B764" t="s">
        <v>3002</v>
      </c>
      <c r="E764" t="s">
        <v>785</v>
      </c>
      <c r="F764">
        <v>-1092</v>
      </c>
      <c r="G764">
        <v>-2163</v>
      </c>
      <c r="H764">
        <v>144</v>
      </c>
    </row>
    <row r="765" spans="1:8" x14ac:dyDescent="0.2">
      <c r="A765" t="s">
        <v>1618</v>
      </c>
      <c r="B765" t="s">
        <v>3002</v>
      </c>
      <c r="E765" t="s">
        <v>785</v>
      </c>
      <c r="F765">
        <v>339</v>
      </c>
      <c r="G765">
        <v>-1095</v>
      </c>
      <c r="H765">
        <v>40</v>
      </c>
    </row>
    <row r="766" spans="1:8" x14ac:dyDescent="0.2">
      <c r="A766" t="s">
        <v>1620</v>
      </c>
      <c r="B766" t="s">
        <v>3002</v>
      </c>
      <c r="E766" t="s">
        <v>785</v>
      </c>
      <c r="F766">
        <v>2700</v>
      </c>
      <c r="G766">
        <v>-1571</v>
      </c>
      <c r="H766">
        <v>-106</v>
      </c>
    </row>
    <row r="767" spans="1:8" x14ac:dyDescent="0.2">
      <c r="A767" t="s">
        <v>952</v>
      </c>
      <c r="B767" t="s">
        <v>3002</v>
      </c>
      <c r="E767" t="s">
        <v>785</v>
      </c>
      <c r="F767">
        <v>2493</v>
      </c>
      <c r="G767">
        <v>-1478</v>
      </c>
      <c r="H767">
        <v>12</v>
      </c>
    </row>
    <row r="768" spans="1:8" x14ac:dyDescent="0.2">
      <c r="A768" t="s">
        <v>1621</v>
      </c>
      <c r="B768" t="s">
        <v>3002</v>
      </c>
      <c r="E768" t="s">
        <v>785</v>
      </c>
      <c r="F768">
        <v>1864</v>
      </c>
      <c r="G768">
        <v>-3130</v>
      </c>
      <c r="H768">
        <v>-106</v>
      </c>
    </row>
    <row r="769" spans="1:8" x14ac:dyDescent="0.2">
      <c r="A769" t="s">
        <v>953</v>
      </c>
      <c r="B769" t="s">
        <v>3002</v>
      </c>
      <c r="E769" t="s">
        <v>785</v>
      </c>
      <c r="F769">
        <v>1896</v>
      </c>
      <c r="G769">
        <v>-3111</v>
      </c>
      <c r="H769">
        <v>132</v>
      </c>
    </row>
    <row r="770" spans="1:8" x14ac:dyDescent="0.2">
      <c r="A770" t="s">
        <v>1622</v>
      </c>
      <c r="B770" t="s">
        <v>3002</v>
      </c>
      <c r="E770" t="s">
        <v>1002</v>
      </c>
      <c r="F770">
        <v>3359</v>
      </c>
      <c r="G770">
        <v>3079</v>
      </c>
      <c r="H770">
        <v>-605</v>
      </c>
    </row>
    <row r="771" spans="1:8" x14ac:dyDescent="0.2">
      <c r="A771" t="s">
        <v>1623</v>
      </c>
      <c r="B771" t="s">
        <v>3002</v>
      </c>
      <c r="E771" t="s">
        <v>785</v>
      </c>
      <c r="F771">
        <v>3352</v>
      </c>
      <c r="G771">
        <v>3089</v>
      </c>
      <c r="H771">
        <v>-106</v>
      </c>
    </row>
    <row r="772" spans="1:8" x14ac:dyDescent="0.2">
      <c r="A772" t="s">
        <v>1624</v>
      </c>
      <c r="B772" t="s">
        <v>3002</v>
      </c>
      <c r="E772" t="s">
        <v>785</v>
      </c>
      <c r="F772">
        <v>338</v>
      </c>
      <c r="G772">
        <v>358</v>
      </c>
      <c r="H772">
        <v>-106</v>
      </c>
    </row>
    <row r="773" spans="1:8" x14ac:dyDescent="0.2">
      <c r="A773" t="s">
        <v>1625</v>
      </c>
      <c r="B773" t="s">
        <v>3002</v>
      </c>
      <c r="E773" t="s">
        <v>785</v>
      </c>
      <c r="F773">
        <v>-3575</v>
      </c>
      <c r="G773">
        <v>2363</v>
      </c>
      <c r="H773">
        <v>-106</v>
      </c>
    </row>
    <row r="774" spans="1:8" x14ac:dyDescent="0.2">
      <c r="A774" t="s">
        <v>954</v>
      </c>
      <c r="B774" t="s">
        <v>3002</v>
      </c>
      <c r="E774" t="s">
        <v>785</v>
      </c>
      <c r="F774">
        <v>-3560</v>
      </c>
      <c r="G774">
        <v>2488</v>
      </c>
      <c r="H774">
        <v>227</v>
      </c>
    </row>
    <row r="775" spans="1:8" x14ac:dyDescent="0.2">
      <c r="A775" t="s">
        <v>1626</v>
      </c>
      <c r="B775" t="s">
        <v>3002</v>
      </c>
      <c r="E775" t="s">
        <v>785</v>
      </c>
      <c r="F775">
        <v>-3680</v>
      </c>
      <c r="G775">
        <v>2346</v>
      </c>
      <c r="H775">
        <v>226</v>
      </c>
    </row>
    <row r="776" spans="1:8" x14ac:dyDescent="0.2">
      <c r="A776" t="s">
        <v>1082</v>
      </c>
      <c r="B776" t="s">
        <v>3002</v>
      </c>
      <c r="E776" t="s">
        <v>785</v>
      </c>
      <c r="F776">
        <v>-1219</v>
      </c>
      <c r="G776">
        <v>2026</v>
      </c>
      <c r="H776">
        <v>-106</v>
      </c>
    </row>
    <row r="777" spans="1:8" x14ac:dyDescent="0.2">
      <c r="A777" t="s">
        <v>955</v>
      </c>
      <c r="B777" t="s">
        <v>3002</v>
      </c>
      <c r="E777" t="s">
        <v>785</v>
      </c>
      <c r="F777">
        <v>-326</v>
      </c>
      <c r="G777">
        <v>803</v>
      </c>
      <c r="H777">
        <v>54</v>
      </c>
    </row>
    <row r="778" spans="1:8" x14ac:dyDescent="0.2">
      <c r="A778" t="s">
        <v>1630</v>
      </c>
      <c r="B778" t="s">
        <v>3002</v>
      </c>
      <c r="E778" t="s">
        <v>785</v>
      </c>
      <c r="F778">
        <v>3557</v>
      </c>
      <c r="G778">
        <v>-78</v>
      </c>
      <c r="H778">
        <v>-106</v>
      </c>
    </row>
    <row r="779" spans="1:8" x14ac:dyDescent="0.2">
      <c r="A779" t="s">
        <v>1631</v>
      </c>
      <c r="B779" t="s">
        <v>3002</v>
      </c>
      <c r="E779" t="s">
        <v>785</v>
      </c>
      <c r="F779">
        <v>3206</v>
      </c>
      <c r="G779">
        <v>-353</v>
      </c>
      <c r="H779">
        <v>-106</v>
      </c>
    </row>
    <row r="780" spans="1:8" x14ac:dyDescent="0.2">
      <c r="A780" t="s">
        <v>1632</v>
      </c>
      <c r="B780" t="s">
        <v>3002</v>
      </c>
      <c r="E780" t="s">
        <v>785</v>
      </c>
      <c r="F780">
        <v>-2532</v>
      </c>
      <c r="G780">
        <v>-633</v>
      </c>
      <c r="H780">
        <v>-106</v>
      </c>
    </row>
    <row r="781" spans="1:8" x14ac:dyDescent="0.2">
      <c r="A781" t="s">
        <v>1633</v>
      </c>
      <c r="B781" t="s">
        <v>3002</v>
      </c>
      <c r="E781" t="s">
        <v>785</v>
      </c>
      <c r="F781">
        <v>-4527</v>
      </c>
      <c r="G781">
        <v>-1417</v>
      </c>
      <c r="H781">
        <v>-106</v>
      </c>
    </row>
    <row r="782" spans="1:8" x14ac:dyDescent="0.2">
      <c r="A782" t="s">
        <v>1083</v>
      </c>
      <c r="B782" t="s">
        <v>3002</v>
      </c>
      <c r="E782" t="s">
        <v>785</v>
      </c>
      <c r="F782">
        <v>3171</v>
      </c>
      <c r="G782">
        <v>163</v>
      </c>
      <c r="H782">
        <v>-106</v>
      </c>
    </row>
    <row r="783" spans="1:8" x14ac:dyDescent="0.2">
      <c r="A783" t="s">
        <v>1635</v>
      </c>
      <c r="B783" t="s">
        <v>3002</v>
      </c>
      <c r="E783" t="s">
        <v>785</v>
      </c>
      <c r="F783">
        <v>3243</v>
      </c>
      <c r="G783">
        <v>-95</v>
      </c>
      <c r="H783">
        <v>-106</v>
      </c>
    </row>
    <row r="784" spans="1:8" x14ac:dyDescent="0.2">
      <c r="A784" t="s">
        <v>1636</v>
      </c>
      <c r="B784" t="s">
        <v>3002</v>
      </c>
      <c r="E784" t="s">
        <v>785</v>
      </c>
      <c r="F784">
        <v>3409</v>
      </c>
      <c r="G784">
        <v>235</v>
      </c>
      <c r="H784">
        <v>-106</v>
      </c>
    </row>
    <row r="785" spans="1:8" x14ac:dyDescent="0.2">
      <c r="A785" t="s">
        <v>1637</v>
      </c>
      <c r="B785" t="s">
        <v>3002</v>
      </c>
      <c r="E785" t="s">
        <v>785</v>
      </c>
      <c r="F785">
        <v>-1756</v>
      </c>
      <c r="G785">
        <v>-857</v>
      </c>
      <c r="H785">
        <v>-106</v>
      </c>
    </row>
    <row r="786" spans="1:8" x14ac:dyDescent="0.2">
      <c r="A786" t="s">
        <v>956</v>
      </c>
      <c r="B786" t="s">
        <v>3002</v>
      </c>
      <c r="E786" t="s">
        <v>785</v>
      </c>
      <c r="F786">
        <v>-1405</v>
      </c>
      <c r="G786">
        <v>-257</v>
      </c>
      <c r="H786">
        <v>-4</v>
      </c>
    </row>
    <row r="787" spans="1:8" x14ac:dyDescent="0.2">
      <c r="A787" t="s">
        <v>1084</v>
      </c>
      <c r="B787" t="s">
        <v>3002</v>
      </c>
      <c r="E787" t="s">
        <v>785</v>
      </c>
      <c r="F787">
        <v>1266</v>
      </c>
      <c r="G787">
        <v>-773</v>
      </c>
      <c r="H787">
        <v>-106</v>
      </c>
    </row>
    <row r="788" spans="1:8" x14ac:dyDescent="0.2">
      <c r="A788" t="s">
        <v>957</v>
      </c>
      <c r="B788" t="s">
        <v>3002</v>
      </c>
      <c r="E788" t="s">
        <v>785</v>
      </c>
      <c r="F788">
        <v>1373</v>
      </c>
      <c r="G788">
        <v>-1197</v>
      </c>
      <c r="H788">
        <v>130</v>
      </c>
    </row>
    <row r="789" spans="1:8" x14ac:dyDescent="0.2">
      <c r="A789" t="s">
        <v>1639</v>
      </c>
      <c r="B789" t="s">
        <v>3002</v>
      </c>
      <c r="E789" t="s">
        <v>785</v>
      </c>
      <c r="F789">
        <v>1341</v>
      </c>
      <c r="G789">
        <v>-1178</v>
      </c>
      <c r="H789">
        <v>160</v>
      </c>
    </row>
    <row r="790" spans="1:8" x14ac:dyDescent="0.2">
      <c r="A790" t="s">
        <v>1085</v>
      </c>
      <c r="B790" t="s">
        <v>3002</v>
      </c>
      <c r="E790" t="s">
        <v>785</v>
      </c>
      <c r="F790">
        <v>-1444</v>
      </c>
      <c r="G790">
        <v>1344</v>
      </c>
      <c r="H790">
        <v>-106</v>
      </c>
    </row>
    <row r="791" spans="1:8" x14ac:dyDescent="0.2">
      <c r="A791" t="s">
        <v>1640</v>
      </c>
      <c r="B791" t="s">
        <v>3002</v>
      </c>
      <c r="E791" t="s">
        <v>785</v>
      </c>
      <c r="F791">
        <v>-1670</v>
      </c>
      <c r="G791">
        <v>1737</v>
      </c>
      <c r="H791">
        <v>-106</v>
      </c>
    </row>
    <row r="792" spans="1:8" x14ac:dyDescent="0.2">
      <c r="A792" t="s">
        <v>1086</v>
      </c>
      <c r="B792" t="s">
        <v>3002</v>
      </c>
      <c r="E792" t="s">
        <v>785</v>
      </c>
      <c r="F792">
        <v>3239</v>
      </c>
      <c r="G792">
        <v>-568</v>
      </c>
      <c r="H792">
        <v>-106</v>
      </c>
    </row>
    <row r="793" spans="1:8" x14ac:dyDescent="0.2">
      <c r="A793" t="s">
        <v>1641</v>
      </c>
      <c r="B793" t="s">
        <v>3002</v>
      </c>
      <c r="E793" t="s">
        <v>785</v>
      </c>
      <c r="F793">
        <v>-254</v>
      </c>
      <c r="G793">
        <v>1077</v>
      </c>
      <c r="H793">
        <v>339</v>
      </c>
    </row>
    <row r="794" spans="1:8" x14ac:dyDescent="0.2">
      <c r="A794" t="s">
        <v>1642</v>
      </c>
      <c r="B794" t="s">
        <v>3002</v>
      </c>
      <c r="E794" t="s">
        <v>785</v>
      </c>
      <c r="F794">
        <v>-3902</v>
      </c>
      <c r="G794">
        <v>-2883</v>
      </c>
      <c r="H794">
        <v>95</v>
      </c>
    </row>
    <row r="795" spans="1:8" x14ac:dyDescent="0.2">
      <c r="A795" t="s">
        <v>1643</v>
      </c>
      <c r="B795" t="s">
        <v>3002</v>
      </c>
      <c r="E795" t="s">
        <v>785</v>
      </c>
      <c r="F795">
        <v>-1630</v>
      </c>
      <c r="G795">
        <v>-696</v>
      </c>
      <c r="H795">
        <v>141</v>
      </c>
    </row>
    <row r="796" spans="1:8" x14ac:dyDescent="0.2">
      <c r="A796" t="s">
        <v>1644</v>
      </c>
      <c r="B796" t="s">
        <v>3002</v>
      </c>
      <c r="E796" t="s">
        <v>785</v>
      </c>
      <c r="F796">
        <v>-3170</v>
      </c>
      <c r="G796">
        <v>-1574</v>
      </c>
      <c r="H796">
        <v>-106</v>
      </c>
    </row>
    <row r="797" spans="1:8" x14ac:dyDescent="0.2">
      <c r="A797" t="s">
        <v>1646</v>
      </c>
      <c r="B797" t="s">
        <v>3002</v>
      </c>
      <c r="E797" t="s">
        <v>785</v>
      </c>
      <c r="F797">
        <v>1132</v>
      </c>
      <c r="G797">
        <v>-3279</v>
      </c>
      <c r="H797">
        <v>-106</v>
      </c>
    </row>
    <row r="798" spans="1:8" x14ac:dyDescent="0.2">
      <c r="A798" t="s">
        <v>958</v>
      </c>
      <c r="B798" t="s">
        <v>3002</v>
      </c>
      <c r="E798" t="s">
        <v>785</v>
      </c>
      <c r="F798">
        <v>1203</v>
      </c>
      <c r="G798">
        <v>-3171</v>
      </c>
      <c r="H798">
        <v>25</v>
      </c>
    </row>
    <row r="799" spans="1:8" x14ac:dyDescent="0.2">
      <c r="A799" t="s">
        <v>1647</v>
      </c>
      <c r="B799" t="s">
        <v>3002</v>
      </c>
      <c r="E799" t="s">
        <v>785</v>
      </c>
      <c r="F799">
        <v>-2259</v>
      </c>
      <c r="G799">
        <v>-288</v>
      </c>
      <c r="H799">
        <v>-106</v>
      </c>
    </row>
    <row r="800" spans="1:8" x14ac:dyDescent="0.2">
      <c r="A800" t="s">
        <v>959</v>
      </c>
      <c r="B800" t="s">
        <v>3002</v>
      </c>
      <c r="E800" t="s">
        <v>785</v>
      </c>
      <c r="F800">
        <v>-2151</v>
      </c>
      <c r="G800">
        <v>-361</v>
      </c>
      <c r="H800">
        <v>276</v>
      </c>
    </row>
    <row r="801" spans="1:8" x14ac:dyDescent="0.2">
      <c r="A801" t="s">
        <v>960</v>
      </c>
      <c r="B801" t="s">
        <v>3002</v>
      </c>
      <c r="E801" t="s">
        <v>785</v>
      </c>
      <c r="F801">
        <v>-2199</v>
      </c>
      <c r="G801">
        <v>-808</v>
      </c>
      <c r="H801">
        <v>117</v>
      </c>
    </row>
    <row r="802" spans="1:8" x14ac:dyDescent="0.2">
      <c r="A802" t="s">
        <v>1087</v>
      </c>
      <c r="B802" t="s">
        <v>3002</v>
      </c>
      <c r="E802" t="s">
        <v>785</v>
      </c>
      <c r="F802">
        <v>-21</v>
      </c>
      <c r="G802">
        <v>-1898</v>
      </c>
      <c r="H802">
        <v>-106</v>
      </c>
    </row>
    <row r="803" spans="1:8" x14ac:dyDescent="0.2">
      <c r="A803" t="s">
        <v>1653</v>
      </c>
      <c r="B803" t="s">
        <v>3002</v>
      </c>
      <c r="E803" t="s">
        <v>785</v>
      </c>
      <c r="F803">
        <v>-2324</v>
      </c>
      <c r="G803">
        <v>450</v>
      </c>
      <c r="H803">
        <v>-106</v>
      </c>
    </row>
    <row r="804" spans="1:8" x14ac:dyDescent="0.2">
      <c r="A804" t="s">
        <v>1656</v>
      </c>
      <c r="B804" t="s">
        <v>3002</v>
      </c>
      <c r="E804" t="s">
        <v>785</v>
      </c>
      <c r="F804">
        <v>3383</v>
      </c>
      <c r="G804">
        <v>2274</v>
      </c>
      <c r="H804">
        <v>-106</v>
      </c>
    </row>
    <row r="805" spans="1:8" x14ac:dyDescent="0.2">
      <c r="A805" t="s">
        <v>1657</v>
      </c>
      <c r="B805" t="s">
        <v>3002</v>
      </c>
      <c r="E805" t="s">
        <v>785</v>
      </c>
      <c r="F805">
        <v>3757</v>
      </c>
      <c r="G805">
        <v>397</v>
      </c>
      <c r="H805">
        <v>-106</v>
      </c>
    </row>
    <row r="806" spans="1:8" x14ac:dyDescent="0.2">
      <c r="A806" t="s">
        <v>1658</v>
      </c>
      <c r="B806" t="s">
        <v>3002</v>
      </c>
      <c r="E806" t="s">
        <v>1002</v>
      </c>
      <c r="F806">
        <v>-4343</v>
      </c>
      <c r="G806">
        <v>3465</v>
      </c>
      <c r="H806">
        <v>-921</v>
      </c>
    </row>
    <row r="807" spans="1:8" x14ac:dyDescent="0.2">
      <c r="A807" t="s">
        <v>1660</v>
      </c>
      <c r="B807" t="s">
        <v>3002</v>
      </c>
      <c r="E807" t="s">
        <v>785</v>
      </c>
      <c r="F807">
        <v>1661</v>
      </c>
      <c r="G807">
        <v>-439</v>
      </c>
      <c r="H807">
        <v>-106</v>
      </c>
    </row>
    <row r="808" spans="1:8" x14ac:dyDescent="0.2">
      <c r="A808" t="s">
        <v>961</v>
      </c>
      <c r="B808" t="s">
        <v>3002</v>
      </c>
      <c r="E808" t="s">
        <v>785</v>
      </c>
      <c r="F808">
        <v>-1062</v>
      </c>
      <c r="G808">
        <v>-1830</v>
      </c>
      <c r="H808">
        <v>142</v>
      </c>
    </row>
    <row r="809" spans="1:8" x14ac:dyDescent="0.2">
      <c r="A809" t="s">
        <v>837</v>
      </c>
      <c r="B809" t="s">
        <v>3002</v>
      </c>
      <c r="E809" t="s">
        <v>785</v>
      </c>
      <c r="F809">
        <v>3314</v>
      </c>
      <c r="G809">
        <v>3499</v>
      </c>
      <c r="H809">
        <v>-106</v>
      </c>
    </row>
    <row r="810" spans="1:8" x14ac:dyDescent="0.2">
      <c r="A810" t="s">
        <v>962</v>
      </c>
      <c r="B810" t="s">
        <v>3002</v>
      </c>
      <c r="E810" t="s">
        <v>785</v>
      </c>
      <c r="F810">
        <v>3322</v>
      </c>
      <c r="G810">
        <v>3424</v>
      </c>
      <c r="H810">
        <v>171</v>
      </c>
    </row>
    <row r="811" spans="1:8" x14ac:dyDescent="0.2">
      <c r="A811" t="s">
        <v>1662</v>
      </c>
      <c r="B811" t="s">
        <v>3002</v>
      </c>
      <c r="E811" t="s">
        <v>785</v>
      </c>
      <c r="F811">
        <v>-1655</v>
      </c>
      <c r="G811">
        <v>2572</v>
      </c>
      <c r="H811">
        <v>277</v>
      </c>
    </row>
    <row r="812" spans="1:8" x14ac:dyDescent="0.2">
      <c r="A812" t="s">
        <v>1664</v>
      </c>
      <c r="B812" t="s">
        <v>3002</v>
      </c>
      <c r="E812" t="s">
        <v>785</v>
      </c>
      <c r="F812">
        <v>3800</v>
      </c>
      <c r="G812">
        <v>-3657</v>
      </c>
      <c r="H812">
        <v>-106</v>
      </c>
    </row>
    <row r="813" spans="1:8" x14ac:dyDescent="0.2">
      <c r="A813" t="s">
        <v>1665</v>
      </c>
      <c r="B813" t="s">
        <v>3002</v>
      </c>
      <c r="E813" t="s">
        <v>785</v>
      </c>
      <c r="F813">
        <v>3686</v>
      </c>
      <c r="G813">
        <v>1004</v>
      </c>
      <c r="H813">
        <v>206</v>
      </c>
    </row>
    <row r="814" spans="1:8" x14ac:dyDescent="0.2">
      <c r="A814" t="s">
        <v>1016</v>
      </c>
      <c r="B814" t="s">
        <v>3002</v>
      </c>
      <c r="E814" t="s">
        <v>783</v>
      </c>
      <c r="F814">
        <v>3739</v>
      </c>
      <c r="G814">
        <v>1689</v>
      </c>
      <c r="H814">
        <v>1895</v>
      </c>
    </row>
    <row r="815" spans="1:8" x14ac:dyDescent="0.2">
      <c r="A815" t="s">
        <v>1666</v>
      </c>
      <c r="B815" t="s">
        <v>3002</v>
      </c>
      <c r="E815" t="s">
        <v>785</v>
      </c>
      <c r="F815">
        <v>4403</v>
      </c>
      <c r="G815">
        <v>-2205</v>
      </c>
      <c r="H815">
        <v>-106</v>
      </c>
    </row>
    <row r="816" spans="1:8" x14ac:dyDescent="0.2">
      <c r="A816" t="s">
        <v>835</v>
      </c>
      <c r="B816" t="s">
        <v>3002</v>
      </c>
      <c r="E816" t="s">
        <v>785</v>
      </c>
      <c r="F816">
        <v>3273</v>
      </c>
      <c r="G816">
        <v>1352</v>
      </c>
      <c r="H816">
        <v>-106</v>
      </c>
    </row>
    <row r="817" spans="1:8" x14ac:dyDescent="0.2">
      <c r="A817" t="s">
        <v>1088</v>
      </c>
      <c r="B817" t="s">
        <v>3002</v>
      </c>
      <c r="E817" t="s">
        <v>785</v>
      </c>
      <c r="F817">
        <v>3149</v>
      </c>
      <c r="G817">
        <v>1691</v>
      </c>
      <c r="H817">
        <v>233</v>
      </c>
    </row>
    <row r="818" spans="1:8" x14ac:dyDescent="0.2">
      <c r="A818" t="s">
        <v>1017</v>
      </c>
      <c r="B818" t="s">
        <v>3002</v>
      </c>
      <c r="E818" t="s">
        <v>783</v>
      </c>
      <c r="F818">
        <v>1925</v>
      </c>
      <c r="G818">
        <v>799</v>
      </c>
      <c r="H818">
        <v>1895</v>
      </c>
    </row>
    <row r="819" spans="1:8" x14ac:dyDescent="0.2">
      <c r="A819" t="s">
        <v>963</v>
      </c>
      <c r="B819" t="s">
        <v>3002</v>
      </c>
      <c r="E819" t="s">
        <v>785</v>
      </c>
      <c r="F819">
        <v>-2939</v>
      </c>
      <c r="G819">
        <v>-3858</v>
      </c>
      <c r="H819">
        <v>-37</v>
      </c>
    </row>
    <row r="820" spans="1:8" x14ac:dyDescent="0.2">
      <c r="A820" t="s">
        <v>1018</v>
      </c>
      <c r="B820" t="s">
        <v>3002</v>
      </c>
      <c r="E820" t="s">
        <v>783</v>
      </c>
      <c r="F820">
        <v>-901</v>
      </c>
      <c r="G820">
        <v>-1380</v>
      </c>
      <c r="H820">
        <v>1895</v>
      </c>
    </row>
    <row r="821" spans="1:8" x14ac:dyDescent="0.2">
      <c r="A821" t="s">
        <v>1669</v>
      </c>
      <c r="B821" t="s">
        <v>3002</v>
      </c>
      <c r="E821" t="s">
        <v>785</v>
      </c>
      <c r="F821">
        <v>3586</v>
      </c>
      <c r="G821">
        <v>1127</v>
      </c>
      <c r="H821">
        <v>-106</v>
      </c>
    </row>
    <row r="822" spans="1:8" x14ac:dyDescent="0.2">
      <c r="A822" t="s">
        <v>1019</v>
      </c>
      <c r="B822" t="s">
        <v>3002</v>
      </c>
      <c r="E822" t="s">
        <v>783</v>
      </c>
      <c r="F822">
        <v>4368</v>
      </c>
      <c r="G822">
        <v>-1255</v>
      </c>
      <c r="H822">
        <v>1895</v>
      </c>
    </row>
    <row r="823" spans="1:8" x14ac:dyDescent="0.2">
      <c r="A823" t="s">
        <v>1672</v>
      </c>
      <c r="B823" t="s">
        <v>3002</v>
      </c>
      <c r="E823" t="s">
        <v>785</v>
      </c>
      <c r="F823">
        <v>-1795</v>
      </c>
      <c r="G823">
        <v>-3541</v>
      </c>
      <c r="H823">
        <v>86</v>
      </c>
    </row>
    <row r="824" spans="1:8" x14ac:dyDescent="0.2">
      <c r="A824" t="s">
        <v>1673</v>
      </c>
      <c r="B824" t="s">
        <v>3002</v>
      </c>
      <c r="E824" t="s">
        <v>785</v>
      </c>
      <c r="F824">
        <v>870</v>
      </c>
      <c r="G824">
        <v>-1604</v>
      </c>
      <c r="H824">
        <v>-106</v>
      </c>
    </row>
    <row r="825" spans="1:8" x14ac:dyDescent="0.2">
      <c r="A825" t="s">
        <v>1020</v>
      </c>
      <c r="B825" t="s">
        <v>3002</v>
      </c>
      <c r="E825" t="s">
        <v>783</v>
      </c>
      <c r="F825">
        <v>2559</v>
      </c>
      <c r="G825">
        <v>-3751</v>
      </c>
      <c r="H825">
        <v>895</v>
      </c>
    </row>
    <row r="826" spans="1:8" x14ac:dyDescent="0.2">
      <c r="A826" t="s">
        <v>1089</v>
      </c>
      <c r="B826" t="s">
        <v>3002</v>
      </c>
      <c r="E826" t="s">
        <v>785</v>
      </c>
      <c r="F826">
        <v>-1764</v>
      </c>
      <c r="G826">
        <v>2933</v>
      </c>
      <c r="H826">
        <v>-106</v>
      </c>
    </row>
    <row r="827" spans="1:8" x14ac:dyDescent="0.2">
      <c r="A827" t="s">
        <v>1675</v>
      </c>
      <c r="B827" t="s">
        <v>3002</v>
      </c>
      <c r="E827" t="s">
        <v>785</v>
      </c>
      <c r="F827">
        <v>-3722</v>
      </c>
      <c r="G827">
        <v>-3581</v>
      </c>
      <c r="H827">
        <v>-106</v>
      </c>
    </row>
    <row r="828" spans="1:8" x14ac:dyDescent="0.2">
      <c r="A828" t="s">
        <v>1677</v>
      </c>
      <c r="B828" t="s">
        <v>3002</v>
      </c>
      <c r="E828" t="s">
        <v>785</v>
      </c>
      <c r="F828">
        <v>-2222</v>
      </c>
      <c r="G828">
        <v>-2538</v>
      </c>
      <c r="H828">
        <v>-106</v>
      </c>
    </row>
    <row r="829" spans="1:8" x14ac:dyDescent="0.2">
      <c r="A829" t="s">
        <v>965</v>
      </c>
      <c r="B829" t="s">
        <v>3002</v>
      </c>
      <c r="E829" t="s">
        <v>785</v>
      </c>
      <c r="F829">
        <v>-2216</v>
      </c>
      <c r="G829">
        <v>-2395</v>
      </c>
      <c r="H829">
        <v>247</v>
      </c>
    </row>
    <row r="830" spans="1:8" x14ac:dyDescent="0.2">
      <c r="A830" t="s">
        <v>1678</v>
      </c>
      <c r="B830" t="s">
        <v>3002</v>
      </c>
      <c r="E830" t="s">
        <v>785</v>
      </c>
      <c r="F830">
        <v>4403</v>
      </c>
      <c r="G830">
        <v>193</v>
      </c>
      <c r="H830">
        <v>-106</v>
      </c>
    </row>
    <row r="831" spans="1:8" x14ac:dyDescent="0.2">
      <c r="A831" t="s">
        <v>1679</v>
      </c>
      <c r="B831" t="s">
        <v>3002</v>
      </c>
      <c r="E831" t="s">
        <v>785</v>
      </c>
      <c r="F831">
        <v>3756</v>
      </c>
      <c r="G831">
        <v>2672</v>
      </c>
      <c r="H831">
        <v>-4</v>
      </c>
    </row>
    <row r="832" spans="1:8" x14ac:dyDescent="0.2">
      <c r="A832" t="s">
        <v>1680</v>
      </c>
      <c r="B832" t="s">
        <v>3002</v>
      </c>
      <c r="E832" t="s">
        <v>785</v>
      </c>
      <c r="F832">
        <v>3926</v>
      </c>
      <c r="G832">
        <v>-1335</v>
      </c>
      <c r="H832">
        <v>450</v>
      </c>
    </row>
    <row r="833" spans="1:8" x14ac:dyDescent="0.2">
      <c r="A833" t="s">
        <v>1681</v>
      </c>
      <c r="B833" t="s">
        <v>3002</v>
      </c>
      <c r="E833" t="s">
        <v>785</v>
      </c>
      <c r="F833">
        <v>497</v>
      </c>
      <c r="G833">
        <v>-1534</v>
      </c>
      <c r="H833">
        <v>-106</v>
      </c>
    </row>
    <row r="834" spans="1:8" x14ac:dyDescent="0.2">
      <c r="A834" t="s">
        <v>1682</v>
      </c>
      <c r="B834" t="s">
        <v>3002</v>
      </c>
      <c r="E834" t="s">
        <v>785</v>
      </c>
      <c r="F834">
        <v>-1572</v>
      </c>
      <c r="G834">
        <v>-2715</v>
      </c>
      <c r="H834">
        <v>-106</v>
      </c>
    </row>
    <row r="835" spans="1:8" x14ac:dyDescent="0.2">
      <c r="A835" t="s">
        <v>966</v>
      </c>
      <c r="B835" t="s">
        <v>3002</v>
      </c>
      <c r="E835" t="s">
        <v>785</v>
      </c>
      <c r="F835">
        <v>-1528</v>
      </c>
      <c r="G835">
        <v>-2223</v>
      </c>
      <c r="H835">
        <v>-21</v>
      </c>
    </row>
    <row r="836" spans="1:8" x14ac:dyDescent="0.2">
      <c r="A836" t="s">
        <v>967</v>
      </c>
      <c r="B836" t="s">
        <v>3002</v>
      </c>
      <c r="E836" t="s">
        <v>785</v>
      </c>
      <c r="F836">
        <v>-4385</v>
      </c>
      <c r="G836">
        <v>-537</v>
      </c>
      <c r="H836">
        <v>474</v>
      </c>
    </row>
    <row r="837" spans="1:8" x14ac:dyDescent="0.2">
      <c r="A837" t="s">
        <v>1684</v>
      </c>
      <c r="B837" t="s">
        <v>3002</v>
      </c>
      <c r="E837" t="s">
        <v>785</v>
      </c>
      <c r="F837">
        <v>2856</v>
      </c>
      <c r="G837">
        <v>-2616</v>
      </c>
      <c r="H837">
        <v>-106</v>
      </c>
    </row>
    <row r="838" spans="1:8" x14ac:dyDescent="0.2">
      <c r="A838" t="s">
        <v>1686</v>
      </c>
      <c r="B838" t="s">
        <v>3002</v>
      </c>
      <c r="E838" t="s">
        <v>785</v>
      </c>
      <c r="F838">
        <v>-3383</v>
      </c>
      <c r="G838">
        <v>1234</v>
      </c>
      <c r="H838">
        <v>-106</v>
      </c>
    </row>
    <row r="839" spans="1:8" x14ac:dyDescent="0.2">
      <c r="A839" t="s">
        <v>1687</v>
      </c>
      <c r="B839" t="s">
        <v>3002</v>
      </c>
      <c r="E839" t="s">
        <v>785</v>
      </c>
      <c r="F839">
        <v>-4110</v>
      </c>
      <c r="G839">
        <v>2851</v>
      </c>
      <c r="H839">
        <v>-106</v>
      </c>
    </row>
    <row r="840" spans="1:8" x14ac:dyDescent="0.2">
      <c r="A840" t="s">
        <v>1091</v>
      </c>
      <c r="B840" t="s">
        <v>3002</v>
      </c>
      <c r="E840" t="s">
        <v>785</v>
      </c>
      <c r="F840">
        <v>-4089</v>
      </c>
      <c r="G840">
        <v>2732</v>
      </c>
      <c r="H840">
        <v>-22</v>
      </c>
    </row>
    <row r="841" spans="1:8" x14ac:dyDescent="0.2">
      <c r="A841" t="s">
        <v>968</v>
      </c>
      <c r="B841" t="s">
        <v>3002</v>
      </c>
      <c r="E841" t="s">
        <v>785</v>
      </c>
      <c r="F841">
        <v>-4041</v>
      </c>
      <c r="G841">
        <v>2671</v>
      </c>
      <c r="H841">
        <v>23</v>
      </c>
    </row>
    <row r="842" spans="1:8" x14ac:dyDescent="0.2">
      <c r="A842" t="s">
        <v>1689</v>
      </c>
      <c r="B842" t="s">
        <v>3002</v>
      </c>
      <c r="E842" t="s">
        <v>785</v>
      </c>
      <c r="F842">
        <v>-2807</v>
      </c>
      <c r="G842">
        <v>-1819</v>
      </c>
      <c r="H842">
        <v>-106</v>
      </c>
    </row>
    <row r="843" spans="1:8" x14ac:dyDescent="0.2">
      <c r="A843" t="s">
        <v>969</v>
      </c>
      <c r="B843" t="s">
        <v>3002</v>
      </c>
      <c r="E843" t="s">
        <v>785</v>
      </c>
      <c r="F843">
        <v>-2457</v>
      </c>
      <c r="G843">
        <v>-1799</v>
      </c>
      <c r="H843">
        <v>176</v>
      </c>
    </row>
    <row r="844" spans="1:8" x14ac:dyDescent="0.2">
      <c r="A844" t="s">
        <v>1690</v>
      </c>
      <c r="B844" t="s">
        <v>3002</v>
      </c>
      <c r="E844" t="s">
        <v>1002</v>
      </c>
      <c r="F844">
        <v>2619</v>
      </c>
      <c r="G844">
        <v>172</v>
      </c>
      <c r="H844">
        <v>-631</v>
      </c>
    </row>
    <row r="845" spans="1:8" x14ac:dyDescent="0.2">
      <c r="A845" t="s">
        <v>1691</v>
      </c>
      <c r="B845" t="s">
        <v>3002</v>
      </c>
      <c r="E845" t="s">
        <v>785</v>
      </c>
      <c r="F845">
        <v>2573</v>
      </c>
      <c r="G845">
        <v>177</v>
      </c>
      <c r="H845">
        <v>-106</v>
      </c>
    </row>
    <row r="846" spans="1:8" x14ac:dyDescent="0.2">
      <c r="A846" t="s">
        <v>970</v>
      </c>
      <c r="B846" t="s">
        <v>3002</v>
      </c>
      <c r="E846" t="s">
        <v>785</v>
      </c>
      <c r="F846">
        <v>2675</v>
      </c>
      <c r="G846">
        <v>287</v>
      </c>
      <c r="H846">
        <v>89</v>
      </c>
    </row>
    <row r="847" spans="1:8" x14ac:dyDescent="0.2">
      <c r="A847" t="s">
        <v>1693</v>
      </c>
      <c r="B847" t="s">
        <v>3002</v>
      </c>
      <c r="E847" t="s">
        <v>785</v>
      </c>
      <c r="F847">
        <v>-2932</v>
      </c>
      <c r="G847">
        <v>548</v>
      </c>
      <c r="H847">
        <v>214</v>
      </c>
    </row>
    <row r="848" spans="1:8" x14ac:dyDescent="0.2">
      <c r="A848" t="s">
        <v>799</v>
      </c>
      <c r="B848" t="s">
        <v>3002</v>
      </c>
      <c r="E848" t="s">
        <v>785</v>
      </c>
      <c r="F848">
        <v>-3476</v>
      </c>
      <c r="G848">
        <v>1221</v>
      </c>
      <c r="H848">
        <v>-106</v>
      </c>
    </row>
    <row r="849" spans="1:8" x14ac:dyDescent="0.2">
      <c r="A849" t="s">
        <v>1695</v>
      </c>
      <c r="B849" t="s">
        <v>3002</v>
      </c>
      <c r="E849" t="s">
        <v>785</v>
      </c>
      <c r="F849">
        <v>-2465</v>
      </c>
      <c r="G849">
        <v>1843</v>
      </c>
      <c r="H849">
        <v>-106</v>
      </c>
    </row>
    <row r="850" spans="1:8" x14ac:dyDescent="0.2">
      <c r="A850" t="s">
        <v>971</v>
      </c>
      <c r="B850" t="s">
        <v>3002</v>
      </c>
      <c r="E850" t="s">
        <v>785</v>
      </c>
      <c r="F850">
        <v>-2841</v>
      </c>
      <c r="G850">
        <v>1772</v>
      </c>
      <c r="H850">
        <v>223</v>
      </c>
    </row>
    <row r="851" spans="1:8" x14ac:dyDescent="0.2">
      <c r="A851" t="s">
        <v>1022</v>
      </c>
      <c r="B851" t="s">
        <v>3002</v>
      </c>
      <c r="E851" t="s">
        <v>783</v>
      </c>
      <c r="F851">
        <v>-2943</v>
      </c>
      <c r="G851">
        <v>558</v>
      </c>
      <c r="H851">
        <v>1895</v>
      </c>
    </row>
    <row r="852" spans="1:8" x14ac:dyDescent="0.2">
      <c r="A852" t="s">
        <v>1696</v>
      </c>
      <c r="B852" t="s">
        <v>3002</v>
      </c>
      <c r="E852" t="s">
        <v>785</v>
      </c>
      <c r="F852">
        <v>-1812</v>
      </c>
      <c r="G852">
        <v>2793</v>
      </c>
      <c r="H852">
        <v>-106</v>
      </c>
    </row>
    <row r="853" spans="1:8" x14ac:dyDescent="0.2">
      <c r="A853" t="s">
        <v>1699</v>
      </c>
      <c r="B853" t="s">
        <v>3002</v>
      </c>
      <c r="E853" t="s">
        <v>785</v>
      </c>
      <c r="F853">
        <v>4147</v>
      </c>
      <c r="G853">
        <v>339</v>
      </c>
      <c r="H853">
        <v>-106</v>
      </c>
    </row>
    <row r="854" spans="1:8" x14ac:dyDescent="0.2">
      <c r="A854" t="s">
        <v>1093</v>
      </c>
      <c r="B854" t="s">
        <v>3002</v>
      </c>
      <c r="E854" t="s">
        <v>785</v>
      </c>
      <c r="F854">
        <v>-3172</v>
      </c>
      <c r="G854">
        <v>2682</v>
      </c>
      <c r="H854">
        <v>-106</v>
      </c>
    </row>
    <row r="855" spans="1:8" x14ac:dyDescent="0.2">
      <c r="A855" t="s">
        <v>972</v>
      </c>
      <c r="B855" t="s">
        <v>3002</v>
      </c>
      <c r="E855" t="s">
        <v>785</v>
      </c>
      <c r="F855">
        <v>-3215</v>
      </c>
      <c r="G855">
        <v>2462</v>
      </c>
      <c r="H855">
        <v>346</v>
      </c>
    </row>
    <row r="856" spans="1:8" x14ac:dyDescent="0.2">
      <c r="A856" t="s">
        <v>1700</v>
      </c>
      <c r="B856" t="s">
        <v>3002</v>
      </c>
      <c r="E856" t="s">
        <v>785</v>
      </c>
      <c r="F856">
        <v>4445</v>
      </c>
      <c r="G856">
        <v>-365</v>
      </c>
      <c r="H856">
        <v>-106</v>
      </c>
    </row>
    <row r="857" spans="1:8" x14ac:dyDescent="0.2">
      <c r="A857" t="s">
        <v>1701</v>
      </c>
      <c r="B857" t="s">
        <v>3002</v>
      </c>
      <c r="E857" t="s">
        <v>785</v>
      </c>
      <c r="F857">
        <v>-2964</v>
      </c>
      <c r="G857">
        <v>1898</v>
      </c>
      <c r="H857">
        <v>-106</v>
      </c>
    </row>
    <row r="858" spans="1:8" x14ac:dyDescent="0.2">
      <c r="A858" t="s">
        <v>1094</v>
      </c>
      <c r="B858" t="s">
        <v>3002</v>
      </c>
      <c r="E858" t="s">
        <v>785</v>
      </c>
      <c r="F858">
        <v>-2465</v>
      </c>
      <c r="G858">
        <v>-200</v>
      </c>
      <c r="H858">
        <v>-106</v>
      </c>
    </row>
    <row r="859" spans="1:8" x14ac:dyDescent="0.2">
      <c r="A859" t="s">
        <v>973</v>
      </c>
      <c r="B859" t="s">
        <v>3002</v>
      </c>
      <c r="E859" t="s">
        <v>785</v>
      </c>
      <c r="F859">
        <v>-2922</v>
      </c>
      <c r="G859">
        <v>-804</v>
      </c>
      <c r="H859">
        <v>8</v>
      </c>
    </row>
    <row r="860" spans="1:8" x14ac:dyDescent="0.2">
      <c r="A860" t="s">
        <v>974</v>
      </c>
      <c r="B860" t="s">
        <v>3002</v>
      </c>
      <c r="E860" t="s">
        <v>785</v>
      </c>
      <c r="F860">
        <v>-2049</v>
      </c>
      <c r="G860">
        <v>1632</v>
      </c>
      <c r="H860">
        <v>-57</v>
      </c>
    </row>
    <row r="861" spans="1:8" x14ac:dyDescent="0.2">
      <c r="A861" t="s">
        <v>975</v>
      </c>
      <c r="B861" t="s">
        <v>3002</v>
      </c>
      <c r="E861" t="s">
        <v>785</v>
      </c>
      <c r="F861">
        <v>-3308</v>
      </c>
      <c r="G861">
        <v>790</v>
      </c>
      <c r="H861">
        <v>-102</v>
      </c>
    </row>
    <row r="862" spans="1:8" x14ac:dyDescent="0.2">
      <c r="A862" t="s">
        <v>1703</v>
      </c>
      <c r="B862" t="s">
        <v>3002</v>
      </c>
      <c r="E862" t="s">
        <v>785</v>
      </c>
      <c r="F862">
        <v>-1228</v>
      </c>
      <c r="G862">
        <v>-2726</v>
      </c>
      <c r="H862">
        <v>-106</v>
      </c>
    </row>
    <row r="863" spans="1:8" x14ac:dyDescent="0.2">
      <c r="A863" t="s">
        <v>1704</v>
      </c>
      <c r="B863" t="s">
        <v>3002</v>
      </c>
      <c r="E863" t="s">
        <v>1002</v>
      </c>
      <c r="F863">
        <v>2500</v>
      </c>
      <c r="G863">
        <v>-2673</v>
      </c>
      <c r="H863">
        <v>-733</v>
      </c>
    </row>
    <row r="864" spans="1:8" x14ac:dyDescent="0.2">
      <c r="A864" t="s">
        <v>1705</v>
      </c>
      <c r="B864" t="s">
        <v>3002</v>
      </c>
      <c r="E864" t="s">
        <v>785</v>
      </c>
      <c r="F864">
        <v>2714</v>
      </c>
      <c r="G864">
        <v>-2854</v>
      </c>
      <c r="H864">
        <v>-106</v>
      </c>
    </row>
    <row r="865" spans="1:8" x14ac:dyDescent="0.2">
      <c r="A865" t="s">
        <v>1706</v>
      </c>
      <c r="B865" t="s">
        <v>3002</v>
      </c>
      <c r="E865" t="s">
        <v>785</v>
      </c>
      <c r="F865">
        <v>4480</v>
      </c>
      <c r="G865">
        <v>-897</v>
      </c>
      <c r="H865">
        <v>-106</v>
      </c>
    </row>
    <row r="866" spans="1:8" x14ac:dyDescent="0.2">
      <c r="A866" t="s">
        <v>976</v>
      </c>
      <c r="B866" t="s">
        <v>3002</v>
      </c>
      <c r="E866" t="s">
        <v>785</v>
      </c>
      <c r="F866">
        <v>4473</v>
      </c>
      <c r="G866">
        <v>-827</v>
      </c>
      <c r="H866">
        <v>32</v>
      </c>
    </row>
    <row r="867" spans="1:8" x14ac:dyDescent="0.2">
      <c r="A867" t="s">
        <v>1707</v>
      </c>
      <c r="B867" t="s">
        <v>3002</v>
      </c>
      <c r="E867" t="s">
        <v>785</v>
      </c>
      <c r="F867">
        <v>3966</v>
      </c>
      <c r="G867">
        <v>1611</v>
      </c>
      <c r="H867">
        <v>128</v>
      </c>
    </row>
    <row r="868" spans="1:8" x14ac:dyDescent="0.2">
      <c r="A868" t="s">
        <v>977</v>
      </c>
      <c r="B868" t="s">
        <v>3002</v>
      </c>
      <c r="E868" t="s">
        <v>785</v>
      </c>
      <c r="F868">
        <v>3926</v>
      </c>
      <c r="G868">
        <v>1576</v>
      </c>
      <c r="H868">
        <v>107</v>
      </c>
    </row>
    <row r="869" spans="1:8" x14ac:dyDescent="0.2">
      <c r="A869" t="s">
        <v>1709</v>
      </c>
      <c r="B869" t="s">
        <v>3002</v>
      </c>
      <c r="E869" t="s">
        <v>785</v>
      </c>
      <c r="F869">
        <v>1714</v>
      </c>
      <c r="G869">
        <v>-764</v>
      </c>
      <c r="H869">
        <v>-106</v>
      </c>
    </row>
    <row r="870" spans="1:8" x14ac:dyDescent="0.2">
      <c r="A870" t="s">
        <v>1710</v>
      </c>
      <c r="B870" t="s">
        <v>3002</v>
      </c>
      <c r="E870" t="s">
        <v>785</v>
      </c>
      <c r="F870">
        <v>3455</v>
      </c>
      <c r="G870">
        <v>3255</v>
      </c>
      <c r="H870">
        <v>-106</v>
      </c>
    </row>
    <row r="871" spans="1:8" x14ac:dyDescent="0.2">
      <c r="A871" t="s">
        <v>1711</v>
      </c>
      <c r="B871" t="s">
        <v>3002</v>
      </c>
      <c r="E871" t="s">
        <v>783</v>
      </c>
      <c r="F871">
        <v>453</v>
      </c>
      <c r="G871">
        <v>-800</v>
      </c>
      <c r="H871">
        <v>1556</v>
      </c>
    </row>
    <row r="872" spans="1:8" x14ac:dyDescent="0.2">
      <c r="A872" t="s">
        <v>1095</v>
      </c>
      <c r="B872" t="s">
        <v>3002</v>
      </c>
      <c r="E872" t="s">
        <v>785</v>
      </c>
      <c r="F872">
        <v>2382</v>
      </c>
      <c r="G872">
        <v>-3400</v>
      </c>
      <c r="H872">
        <v>-106</v>
      </c>
    </row>
    <row r="873" spans="1:8" x14ac:dyDescent="0.2">
      <c r="A873" t="s">
        <v>1713</v>
      </c>
      <c r="B873" t="s">
        <v>3002</v>
      </c>
      <c r="E873" t="s">
        <v>785</v>
      </c>
      <c r="F873">
        <v>4008</v>
      </c>
      <c r="G873">
        <v>-2945</v>
      </c>
      <c r="H873">
        <v>-106</v>
      </c>
    </row>
    <row r="874" spans="1:8" x14ac:dyDescent="0.2">
      <c r="A874" t="s">
        <v>1714</v>
      </c>
      <c r="B874" t="s">
        <v>3002</v>
      </c>
      <c r="E874" t="s">
        <v>785</v>
      </c>
      <c r="F874">
        <v>2688</v>
      </c>
      <c r="G874">
        <v>764</v>
      </c>
      <c r="H874">
        <v>-106</v>
      </c>
    </row>
    <row r="875" spans="1:8" x14ac:dyDescent="0.2">
      <c r="A875" t="s">
        <v>1715</v>
      </c>
      <c r="B875" t="s">
        <v>3002</v>
      </c>
      <c r="E875" t="s">
        <v>783</v>
      </c>
      <c r="F875">
        <v>3265</v>
      </c>
      <c r="G875">
        <v>686</v>
      </c>
      <c r="H875">
        <v>1690</v>
      </c>
    </row>
    <row r="876" spans="1:8" x14ac:dyDescent="0.2">
      <c r="A876" t="s">
        <v>1716</v>
      </c>
      <c r="B876" t="s">
        <v>3002</v>
      </c>
      <c r="E876" t="s">
        <v>783</v>
      </c>
      <c r="F876">
        <v>-2860</v>
      </c>
      <c r="G876">
        <v>3006</v>
      </c>
      <c r="H876">
        <v>1411</v>
      </c>
    </row>
    <row r="877" spans="1:8" x14ac:dyDescent="0.2">
      <c r="A877" t="s">
        <v>1717</v>
      </c>
      <c r="B877" t="s">
        <v>3002</v>
      </c>
      <c r="E877" t="s">
        <v>785</v>
      </c>
      <c r="F877">
        <v>-4519</v>
      </c>
      <c r="G877">
        <v>-3612</v>
      </c>
      <c r="H877">
        <v>129</v>
      </c>
    </row>
    <row r="878" spans="1:8" x14ac:dyDescent="0.2">
      <c r="A878" t="s">
        <v>1718</v>
      </c>
      <c r="B878" t="s">
        <v>3002</v>
      </c>
      <c r="E878" t="s">
        <v>1002</v>
      </c>
      <c r="F878">
        <v>1419</v>
      </c>
      <c r="G878">
        <v>-3170</v>
      </c>
      <c r="H878">
        <v>-619</v>
      </c>
    </row>
    <row r="879" spans="1:8" x14ac:dyDescent="0.2">
      <c r="A879" t="s">
        <v>1023</v>
      </c>
      <c r="B879" t="s">
        <v>3002</v>
      </c>
      <c r="E879" t="s">
        <v>783</v>
      </c>
      <c r="F879">
        <v>912</v>
      </c>
      <c r="G879">
        <v>-3065</v>
      </c>
      <c r="H879">
        <v>1895</v>
      </c>
    </row>
    <row r="880" spans="1:8" x14ac:dyDescent="0.2">
      <c r="A880" t="s">
        <v>1719</v>
      </c>
      <c r="B880" t="s">
        <v>3002</v>
      </c>
      <c r="E880" t="s">
        <v>785</v>
      </c>
      <c r="F880">
        <v>-2266</v>
      </c>
      <c r="G880">
        <v>922</v>
      </c>
      <c r="H880">
        <v>-106</v>
      </c>
    </row>
    <row r="881" spans="1:8" x14ac:dyDescent="0.2">
      <c r="A881" t="s">
        <v>978</v>
      </c>
      <c r="B881" t="s">
        <v>3002</v>
      </c>
      <c r="E881" t="s">
        <v>785</v>
      </c>
      <c r="F881">
        <v>-2268</v>
      </c>
      <c r="G881">
        <v>899</v>
      </c>
      <c r="H881">
        <v>86</v>
      </c>
    </row>
    <row r="882" spans="1:8" x14ac:dyDescent="0.2">
      <c r="A882" t="s">
        <v>1720</v>
      </c>
      <c r="B882" t="s">
        <v>3002</v>
      </c>
      <c r="E882" t="s">
        <v>785</v>
      </c>
      <c r="F882">
        <v>344</v>
      </c>
      <c r="G882">
        <v>3142</v>
      </c>
      <c r="H882">
        <v>173</v>
      </c>
    </row>
    <row r="883" spans="1:8" x14ac:dyDescent="0.2">
      <c r="A883" t="s">
        <v>836</v>
      </c>
      <c r="B883" t="s">
        <v>3002</v>
      </c>
      <c r="E883" t="s">
        <v>785</v>
      </c>
      <c r="F883">
        <v>4706</v>
      </c>
      <c r="G883">
        <v>1374</v>
      </c>
      <c r="H883">
        <v>-106</v>
      </c>
    </row>
    <row r="884" spans="1:8" x14ac:dyDescent="0.2">
      <c r="A884" t="s">
        <v>1721</v>
      </c>
      <c r="B884" t="s">
        <v>3002</v>
      </c>
      <c r="E884" t="s">
        <v>785</v>
      </c>
      <c r="F884">
        <v>1329</v>
      </c>
      <c r="G884">
        <v>-2564</v>
      </c>
      <c r="H884">
        <v>-106</v>
      </c>
    </row>
    <row r="885" spans="1:8" x14ac:dyDescent="0.2">
      <c r="A885" t="s">
        <v>979</v>
      </c>
      <c r="B885" t="s">
        <v>3002</v>
      </c>
      <c r="E885" t="s">
        <v>785</v>
      </c>
      <c r="F885">
        <v>1170</v>
      </c>
      <c r="G885">
        <v>-2444</v>
      </c>
      <c r="H885">
        <v>177</v>
      </c>
    </row>
    <row r="886" spans="1:8" x14ac:dyDescent="0.2">
      <c r="A886" t="s">
        <v>1723</v>
      </c>
      <c r="B886" t="s">
        <v>3002</v>
      </c>
      <c r="E886" t="s">
        <v>785</v>
      </c>
      <c r="F886">
        <v>3601</v>
      </c>
      <c r="G886">
        <v>1637</v>
      </c>
      <c r="H886">
        <v>-106</v>
      </c>
    </row>
    <row r="887" spans="1:8" x14ac:dyDescent="0.2">
      <c r="A887" t="s">
        <v>1724</v>
      </c>
      <c r="B887" t="s">
        <v>3002</v>
      </c>
      <c r="E887" t="s">
        <v>785</v>
      </c>
      <c r="F887">
        <v>4498</v>
      </c>
      <c r="G887">
        <v>-3553</v>
      </c>
      <c r="H887">
        <v>-106</v>
      </c>
    </row>
    <row r="888" spans="1:8" x14ac:dyDescent="0.2">
      <c r="A888" t="s">
        <v>1725</v>
      </c>
      <c r="B888" t="s">
        <v>3002</v>
      </c>
      <c r="E888" t="s">
        <v>785</v>
      </c>
      <c r="F888">
        <v>-4763</v>
      </c>
      <c r="G888">
        <v>-2731</v>
      </c>
      <c r="H888">
        <v>-106</v>
      </c>
    </row>
    <row r="889" spans="1:8" x14ac:dyDescent="0.2">
      <c r="A889" t="s">
        <v>1726</v>
      </c>
      <c r="B889" t="s">
        <v>3002</v>
      </c>
      <c r="E889" t="s">
        <v>785</v>
      </c>
      <c r="F889">
        <v>3478</v>
      </c>
      <c r="G889">
        <v>890</v>
      </c>
      <c r="H889">
        <v>410</v>
      </c>
    </row>
    <row r="890" spans="1:8" x14ac:dyDescent="0.2">
      <c r="A890" t="s">
        <v>1727</v>
      </c>
      <c r="B890" t="s">
        <v>3002</v>
      </c>
      <c r="E890" t="s">
        <v>785</v>
      </c>
      <c r="F890">
        <v>1392</v>
      </c>
      <c r="G890">
        <v>915</v>
      </c>
      <c r="H890">
        <v>-106</v>
      </c>
    </row>
    <row r="891" spans="1:8" x14ac:dyDescent="0.2">
      <c r="A891" t="s">
        <v>1728</v>
      </c>
      <c r="B891" t="s">
        <v>3002</v>
      </c>
      <c r="E891" t="s">
        <v>785</v>
      </c>
      <c r="F891">
        <v>2272</v>
      </c>
      <c r="G891">
        <v>710</v>
      </c>
      <c r="H891">
        <v>-106</v>
      </c>
    </row>
    <row r="892" spans="1:8" x14ac:dyDescent="0.2">
      <c r="A892" t="s">
        <v>1729</v>
      </c>
      <c r="B892" t="s">
        <v>3002</v>
      </c>
      <c r="E892" t="s">
        <v>785</v>
      </c>
      <c r="F892">
        <v>3089</v>
      </c>
      <c r="G892">
        <v>-830</v>
      </c>
      <c r="H892">
        <v>-106</v>
      </c>
    </row>
    <row r="893" spans="1:8" x14ac:dyDescent="0.2">
      <c r="A893" t="s">
        <v>1731</v>
      </c>
      <c r="B893" t="s">
        <v>3002</v>
      </c>
      <c r="E893" t="s">
        <v>785</v>
      </c>
      <c r="F893">
        <v>2567</v>
      </c>
      <c r="G893">
        <v>-3475</v>
      </c>
      <c r="H893">
        <v>-106</v>
      </c>
    </row>
    <row r="894" spans="1:8" x14ac:dyDescent="0.2">
      <c r="A894" t="s">
        <v>1732</v>
      </c>
      <c r="B894" t="s">
        <v>3002</v>
      </c>
      <c r="E894" t="s">
        <v>785</v>
      </c>
      <c r="F894">
        <v>4167</v>
      </c>
      <c r="G894">
        <v>3153</v>
      </c>
      <c r="H894">
        <v>-106</v>
      </c>
    </row>
    <row r="895" spans="1:8" x14ac:dyDescent="0.2">
      <c r="A895" t="s">
        <v>1733</v>
      </c>
      <c r="B895" t="s">
        <v>3002</v>
      </c>
      <c r="E895" t="s">
        <v>785</v>
      </c>
      <c r="F895">
        <v>1609</v>
      </c>
      <c r="G895">
        <v>-3630</v>
      </c>
      <c r="H895">
        <v>-106</v>
      </c>
    </row>
    <row r="896" spans="1:8" x14ac:dyDescent="0.2">
      <c r="A896" t="s">
        <v>980</v>
      </c>
      <c r="B896" t="s">
        <v>3002</v>
      </c>
      <c r="E896" t="s">
        <v>785</v>
      </c>
      <c r="F896">
        <v>1447</v>
      </c>
      <c r="G896">
        <v>-3484</v>
      </c>
      <c r="H896">
        <v>77</v>
      </c>
    </row>
    <row r="897" spans="1:8" x14ac:dyDescent="0.2">
      <c r="A897" t="s">
        <v>1734</v>
      </c>
      <c r="B897" t="s">
        <v>3002</v>
      </c>
      <c r="E897" t="s">
        <v>785</v>
      </c>
      <c r="F897">
        <v>3951</v>
      </c>
      <c r="G897">
        <v>977</v>
      </c>
      <c r="H897">
        <v>-106</v>
      </c>
    </row>
    <row r="898" spans="1:8" x14ac:dyDescent="0.2">
      <c r="A898" t="s">
        <v>1735</v>
      </c>
      <c r="B898" t="s">
        <v>3002</v>
      </c>
      <c r="E898" t="s">
        <v>1002</v>
      </c>
      <c r="F898">
        <v>3683</v>
      </c>
      <c r="G898">
        <v>2044</v>
      </c>
      <c r="H898">
        <v>-660</v>
      </c>
    </row>
    <row r="899" spans="1:8" x14ac:dyDescent="0.2">
      <c r="A899" t="s">
        <v>1736</v>
      </c>
      <c r="B899" t="s">
        <v>3002</v>
      </c>
      <c r="E899" t="s">
        <v>785</v>
      </c>
      <c r="F899">
        <v>3613</v>
      </c>
      <c r="G899">
        <v>2093</v>
      </c>
      <c r="H899">
        <v>-106</v>
      </c>
    </row>
    <row r="900" spans="1:8" x14ac:dyDescent="0.2">
      <c r="A900" t="s">
        <v>1737</v>
      </c>
      <c r="B900" t="s">
        <v>3002</v>
      </c>
      <c r="E900" t="s">
        <v>785</v>
      </c>
      <c r="F900">
        <v>3499</v>
      </c>
      <c r="G900">
        <v>2026</v>
      </c>
      <c r="H900">
        <v>181</v>
      </c>
    </row>
    <row r="901" spans="1:8" x14ac:dyDescent="0.2">
      <c r="A901" t="s">
        <v>1098</v>
      </c>
      <c r="B901" t="s">
        <v>3002</v>
      </c>
      <c r="E901" t="s">
        <v>785</v>
      </c>
      <c r="F901">
        <v>4186</v>
      </c>
      <c r="G901">
        <v>808</v>
      </c>
      <c r="H901">
        <v>-106</v>
      </c>
    </row>
    <row r="902" spans="1:8" x14ac:dyDescent="0.2">
      <c r="A902" t="s">
        <v>981</v>
      </c>
      <c r="B902" t="s">
        <v>3002</v>
      </c>
      <c r="E902" t="s">
        <v>785</v>
      </c>
      <c r="F902">
        <v>4505</v>
      </c>
      <c r="G902">
        <v>705</v>
      </c>
      <c r="H902">
        <v>96</v>
      </c>
    </row>
    <row r="903" spans="1:8" x14ac:dyDescent="0.2">
      <c r="A903" t="s">
        <v>982</v>
      </c>
      <c r="B903" t="s">
        <v>3002</v>
      </c>
      <c r="E903" t="s">
        <v>785</v>
      </c>
      <c r="F903">
        <v>4122</v>
      </c>
      <c r="G903">
        <v>662</v>
      </c>
      <c r="H903">
        <v>188</v>
      </c>
    </row>
    <row r="904" spans="1:8" x14ac:dyDescent="0.2">
      <c r="A904" t="s">
        <v>1739</v>
      </c>
      <c r="B904" t="s">
        <v>3002</v>
      </c>
      <c r="E904" t="s">
        <v>785</v>
      </c>
      <c r="F904">
        <v>-2545</v>
      </c>
      <c r="G904">
        <v>1279</v>
      </c>
      <c r="H904">
        <v>-106</v>
      </c>
    </row>
    <row r="905" spans="1:8" x14ac:dyDescent="0.2">
      <c r="A905" t="s">
        <v>1099</v>
      </c>
      <c r="B905" t="s">
        <v>3002</v>
      </c>
      <c r="E905" t="s">
        <v>785</v>
      </c>
      <c r="F905">
        <v>3137</v>
      </c>
      <c r="G905">
        <v>877</v>
      </c>
      <c r="H905">
        <v>-106</v>
      </c>
    </row>
    <row r="906" spans="1:8" x14ac:dyDescent="0.2">
      <c r="A906" t="s">
        <v>983</v>
      </c>
      <c r="B906" t="s">
        <v>3002</v>
      </c>
      <c r="E906" t="s">
        <v>785</v>
      </c>
      <c r="F906">
        <v>2864</v>
      </c>
      <c r="G906">
        <v>346</v>
      </c>
      <c r="H906">
        <v>227</v>
      </c>
    </row>
    <row r="907" spans="1:8" x14ac:dyDescent="0.2">
      <c r="A907" t="s">
        <v>984</v>
      </c>
      <c r="B907" t="s">
        <v>3002</v>
      </c>
      <c r="E907" t="s">
        <v>785</v>
      </c>
      <c r="F907">
        <v>3147</v>
      </c>
      <c r="G907">
        <v>668</v>
      </c>
      <c r="H907">
        <v>177</v>
      </c>
    </row>
    <row r="908" spans="1:8" x14ac:dyDescent="0.2">
      <c r="A908" t="s">
        <v>985</v>
      </c>
      <c r="B908" t="s">
        <v>3002</v>
      </c>
      <c r="E908" t="s">
        <v>785</v>
      </c>
      <c r="F908">
        <v>2570</v>
      </c>
      <c r="G908">
        <v>518</v>
      </c>
      <c r="H908">
        <v>164</v>
      </c>
    </row>
    <row r="909" spans="1:8" x14ac:dyDescent="0.2">
      <c r="A909" t="s">
        <v>1740</v>
      </c>
      <c r="B909" t="s">
        <v>3002</v>
      </c>
      <c r="E909" t="s">
        <v>785</v>
      </c>
      <c r="F909">
        <v>2866</v>
      </c>
      <c r="G909">
        <v>581</v>
      </c>
      <c r="H909">
        <v>373</v>
      </c>
    </row>
    <row r="910" spans="1:8" x14ac:dyDescent="0.2">
      <c r="A910" t="s">
        <v>986</v>
      </c>
      <c r="B910" t="s">
        <v>3002</v>
      </c>
      <c r="E910" t="s">
        <v>785</v>
      </c>
      <c r="F910">
        <v>2851</v>
      </c>
      <c r="G910">
        <v>478</v>
      </c>
      <c r="H910">
        <v>324</v>
      </c>
    </row>
    <row r="911" spans="1:8" x14ac:dyDescent="0.2">
      <c r="A911" t="s">
        <v>1741</v>
      </c>
      <c r="B911" t="s">
        <v>3002</v>
      </c>
      <c r="E911" t="s">
        <v>785</v>
      </c>
      <c r="F911">
        <v>2701</v>
      </c>
      <c r="G911">
        <v>-2945</v>
      </c>
      <c r="H911">
        <v>-106</v>
      </c>
    </row>
    <row r="912" spans="1:8" x14ac:dyDescent="0.2">
      <c r="A912" t="s">
        <v>987</v>
      </c>
      <c r="B912" t="s">
        <v>3002</v>
      </c>
      <c r="E912" t="s">
        <v>785</v>
      </c>
      <c r="F912">
        <v>-3827</v>
      </c>
      <c r="G912">
        <v>-2650</v>
      </c>
      <c r="H912">
        <v>35</v>
      </c>
    </row>
    <row r="913" spans="1:8" x14ac:dyDescent="0.2">
      <c r="A913" t="s">
        <v>1024</v>
      </c>
      <c r="B913" t="s">
        <v>3002</v>
      </c>
      <c r="E913" t="s">
        <v>783</v>
      </c>
      <c r="F913">
        <v>4579</v>
      </c>
      <c r="G913">
        <v>-919</v>
      </c>
      <c r="H913">
        <v>2619</v>
      </c>
    </row>
    <row r="914" spans="1:8" x14ac:dyDescent="0.2">
      <c r="A914" t="s">
        <v>1742</v>
      </c>
      <c r="B914" t="s">
        <v>3002</v>
      </c>
      <c r="E914" t="s">
        <v>785</v>
      </c>
      <c r="F914">
        <v>-3474</v>
      </c>
      <c r="G914">
        <v>-1128</v>
      </c>
      <c r="H914">
        <v>-106</v>
      </c>
    </row>
    <row r="915" spans="1:8" x14ac:dyDescent="0.2">
      <c r="A915" t="s">
        <v>1743</v>
      </c>
      <c r="B915" t="s">
        <v>3002</v>
      </c>
      <c r="E915" t="s">
        <v>785</v>
      </c>
      <c r="F915">
        <v>3083</v>
      </c>
      <c r="G915">
        <v>456</v>
      </c>
      <c r="H915">
        <v>-106</v>
      </c>
    </row>
    <row r="916" spans="1:8" x14ac:dyDescent="0.2">
      <c r="A916" t="s">
        <v>1745</v>
      </c>
      <c r="B916" t="s">
        <v>3002</v>
      </c>
      <c r="E916" t="s">
        <v>785</v>
      </c>
      <c r="F916">
        <v>4170</v>
      </c>
      <c r="G916">
        <v>-1922</v>
      </c>
      <c r="H916">
        <v>-106</v>
      </c>
    </row>
    <row r="917" spans="1:8" x14ac:dyDescent="0.2">
      <c r="A917" t="s">
        <v>988</v>
      </c>
      <c r="B917" t="s">
        <v>3002</v>
      </c>
      <c r="E917" t="s">
        <v>785</v>
      </c>
      <c r="F917">
        <v>4226</v>
      </c>
      <c r="G917">
        <v>-1739</v>
      </c>
      <c r="H917">
        <v>180</v>
      </c>
    </row>
    <row r="918" spans="1:8" x14ac:dyDescent="0.2">
      <c r="A918" t="s">
        <v>1746</v>
      </c>
      <c r="B918" t="s">
        <v>3002</v>
      </c>
      <c r="E918" t="s">
        <v>785</v>
      </c>
      <c r="F918">
        <v>-2732</v>
      </c>
      <c r="G918">
        <v>-87</v>
      </c>
      <c r="H918">
        <v>-106</v>
      </c>
    </row>
    <row r="919" spans="1:8" x14ac:dyDescent="0.2">
      <c r="A919" t="s">
        <v>1747</v>
      </c>
      <c r="B919" t="s">
        <v>3002</v>
      </c>
      <c r="E919" t="s">
        <v>785</v>
      </c>
      <c r="F919">
        <v>-597</v>
      </c>
      <c r="G919">
        <v>525</v>
      </c>
      <c r="H919">
        <v>-10</v>
      </c>
    </row>
    <row r="920" spans="1:8" x14ac:dyDescent="0.2">
      <c r="A920" t="s">
        <v>1025</v>
      </c>
      <c r="B920" t="s">
        <v>3002</v>
      </c>
      <c r="E920" t="s">
        <v>783</v>
      </c>
      <c r="F920">
        <v>3520</v>
      </c>
      <c r="G920">
        <v>536</v>
      </c>
      <c r="H920">
        <v>1895</v>
      </c>
    </row>
    <row r="921" spans="1:8" x14ac:dyDescent="0.2">
      <c r="A921" t="s">
        <v>1748</v>
      </c>
      <c r="B921" t="s">
        <v>3002</v>
      </c>
      <c r="E921" t="s">
        <v>1002</v>
      </c>
      <c r="F921">
        <v>904</v>
      </c>
      <c r="G921">
        <v>-2488</v>
      </c>
      <c r="H921">
        <v>-358</v>
      </c>
    </row>
    <row r="922" spans="1:8" x14ac:dyDescent="0.2">
      <c r="A922" t="s">
        <v>1749</v>
      </c>
      <c r="B922" t="s">
        <v>3002</v>
      </c>
      <c r="E922" t="s">
        <v>1002</v>
      </c>
      <c r="F922">
        <v>3733</v>
      </c>
      <c r="G922">
        <v>2563</v>
      </c>
      <c r="H922">
        <v>-352</v>
      </c>
    </row>
    <row r="923" spans="1:8" x14ac:dyDescent="0.2">
      <c r="A923" t="s">
        <v>1750</v>
      </c>
      <c r="B923" t="s">
        <v>3002</v>
      </c>
      <c r="E923" t="s">
        <v>1002</v>
      </c>
      <c r="F923">
        <v>3837</v>
      </c>
      <c r="G923">
        <v>-1273</v>
      </c>
      <c r="H923">
        <v>-520</v>
      </c>
    </row>
    <row r="924" spans="1:8" x14ac:dyDescent="0.2">
      <c r="A924" t="s">
        <v>1751</v>
      </c>
      <c r="B924" t="s">
        <v>3002</v>
      </c>
      <c r="E924" t="s">
        <v>785</v>
      </c>
      <c r="F924">
        <v>1394</v>
      </c>
      <c r="G924">
        <v>-300</v>
      </c>
      <c r="H924">
        <v>-106</v>
      </c>
    </row>
    <row r="925" spans="1:8" x14ac:dyDescent="0.2">
      <c r="A925" t="s">
        <v>1752</v>
      </c>
      <c r="B925" t="s">
        <v>3002</v>
      </c>
      <c r="E925" t="s">
        <v>785</v>
      </c>
      <c r="F925">
        <v>-4541</v>
      </c>
      <c r="G925">
        <v>-2502</v>
      </c>
      <c r="H925">
        <v>-106</v>
      </c>
    </row>
    <row r="926" spans="1:8" x14ac:dyDescent="0.2">
      <c r="A926" t="s">
        <v>1753</v>
      </c>
      <c r="B926" t="s">
        <v>3002</v>
      </c>
      <c r="E926" t="s">
        <v>785</v>
      </c>
      <c r="F926">
        <v>-514</v>
      </c>
      <c r="G926">
        <v>450</v>
      </c>
      <c r="H926">
        <v>-106</v>
      </c>
    </row>
    <row r="927" spans="1:8" x14ac:dyDescent="0.2">
      <c r="A927" t="s">
        <v>1754</v>
      </c>
      <c r="B927" t="s">
        <v>3002</v>
      </c>
      <c r="E927" t="s">
        <v>785</v>
      </c>
      <c r="F927">
        <v>17</v>
      </c>
      <c r="G927">
        <v>3455</v>
      </c>
      <c r="H927">
        <v>-106</v>
      </c>
    </row>
    <row r="928" spans="1:8" x14ac:dyDescent="0.2">
      <c r="A928" t="s">
        <v>1755</v>
      </c>
      <c r="B928" t="s">
        <v>3002</v>
      </c>
      <c r="E928" t="s">
        <v>785</v>
      </c>
      <c r="F928">
        <v>-4469</v>
      </c>
      <c r="G928">
        <v>-2297</v>
      </c>
      <c r="H928">
        <v>-106</v>
      </c>
    </row>
    <row r="929" spans="1:8" x14ac:dyDescent="0.2">
      <c r="A929" t="s">
        <v>989</v>
      </c>
      <c r="B929" t="s">
        <v>3002</v>
      </c>
      <c r="E929" t="s">
        <v>785</v>
      </c>
      <c r="F929">
        <v>-4673</v>
      </c>
      <c r="G929">
        <v>-1986</v>
      </c>
      <c r="H929">
        <v>9</v>
      </c>
    </row>
    <row r="930" spans="1:8" x14ac:dyDescent="0.2">
      <c r="A930" t="s">
        <v>1026</v>
      </c>
      <c r="B930" t="s">
        <v>3002</v>
      </c>
      <c r="E930" t="s">
        <v>783</v>
      </c>
      <c r="F930">
        <v>-3846</v>
      </c>
      <c r="G930">
        <v>2300</v>
      </c>
      <c r="H930">
        <v>1895</v>
      </c>
    </row>
    <row r="931" spans="1:8" x14ac:dyDescent="0.2">
      <c r="A931" t="s">
        <v>1756</v>
      </c>
      <c r="B931" t="s">
        <v>3002</v>
      </c>
      <c r="E931" t="s">
        <v>785</v>
      </c>
      <c r="F931">
        <v>-1606</v>
      </c>
      <c r="G931">
        <v>202</v>
      </c>
      <c r="H931">
        <v>-106</v>
      </c>
    </row>
    <row r="932" spans="1:8" x14ac:dyDescent="0.2">
      <c r="A932" t="s">
        <v>1757</v>
      </c>
      <c r="B932" t="s">
        <v>3002</v>
      </c>
      <c r="E932" t="s">
        <v>783</v>
      </c>
      <c r="F932">
        <v>-2292</v>
      </c>
      <c r="G932">
        <v>-539</v>
      </c>
      <c r="H932">
        <v>895</v>
      </c>
    </row>
    <row r="933" spans="1:8" x14ac:dyDescent="0.2">
      <c r="A933" t="s">
        <v>990</v>
      </c>
      <c r="B933" t="s">
        <v>3002</v>
      </c>
      <c r="E933" t="s">
        <v>785</v>
      </c>
      <c r="F933">
        <v>-3959</v>
      </c>
      <c r="G933">
        <v>2029</v>
      </c>
      <c r="H933">
        <v>201</v>
      </c>
    </row>
    <row r="934" spans="1:8" x14ac:dyDescent="0.2">
      <c r="A934" t="s">
        <v>806</v>
      </c>
      <c r="B934" t="s">
        <v>3002</v>
      </c>
      <c r="E934" t="s">
        <v>785</v>
      </c>
      <c r="F934">
        <v>1297</v>
      </c>
      <c r="G934">
        <v>-1525</v>
      </c>
      <c r="H934">
        <v>-106</v>
      </c>
    </row>
    <row r="935" spans="1:8" x14ac:dyDescent="0.2">
      <c r="A935" t="s">
        <v>1027</v>
      </c>
      <c r="B935" t="s">
        <v>3002</v>
      </c>
      <c r="E935" t="s">
        <v>783</v>
      </c>
      <c r="F935">
        <v>1295</v>
      </c>
      <c r="G935">
        <v>-2347</v>
      </c>
      <c r="H935">
        <v>1896</v>
      </c>
    </row>
    <row r="936" spans="1:8" x14ac:dyDescent="0.2">
      <c r="A936" t="s">
        <v>1758</v>
      </c>
      <c r="B936" t="s">
        <v>3002</v>
      </c>
      <c r="E936" t="s">
        <v>785</v>
      </c>
      <c r="F936">
        <v>-449</v>
      </c>
      <c r="G936">
        <v>858</v>
      </c>
      <c r="H936">
        <v>13</v>
      </c>
    </row>
    <row r="937" spans="1:8" x14ac:dyDescent="0.2">
      <c r="A937" t="s">
        <v>991</v>
      </c>
      <c r="B937" t="s">
        <v>3002</v>
      </c>
      <c r="E937" t="s">
        <v>785</v>
      </c>
      <c r="F937">
        <v>1643</v>
      </c>
      <c r="G937">
        <v>1730</v>
      </c>
      <c r="H937">
        <v>279</v>
      </c>
    </row>
    <row r="938" spans="1:8" x14ac:dyDescent="0.2">
      <c r="A938" t="s">
        <v>1759</v>
      </c>
      <c r="B938" t="s">
        <v>3002</v>
      </c>
      <c r="E938" t="s">
        <v>785</v>
      </c>
      <c r="F938">
        <v>3588</v>
      </c>
      <c r="G938">
        <v>1024</v>
      </c>
      <c r="H938">
        <v>-106</v>
      </c>
    </row>
    <row r="939" spans="1:8" x14ac:dyDescent="0.2">
      <c r="A939" t="s">
        <v>1760</v>
      </c>
      <c r="B939" t="s">
        <v>3002</v>
      </c>
      <c r="E939" t="s">
        <v>785</v>
      </c>
      <c r="F939">
        <v>888</v>
      </c>
      <c r="G939">
        <v>-174</v>
      </c>
      <c r="H939">
        <v>70</v>
      </c>
    </row>
    <row r="940" spans="1:8" x14ac:dyDescent="0.2">
      <c r="A940" t="s">
        <v>1763</v>
      </c>
      <c r="B940" t="s">
        <v>3002</v>
      </c>
      <c r="E940" t="s">
        <v>785</v>
      </c>
      <c r="F940">
        <v>152</v>
      </c>
      <c r="G940">
        <v>-852</v>
      </c>
      <c r="H940">
        <v>-106</v>
      </c>
    </row>
    <row r="941" spans="1:8" x14ac:dyDescent="0.2">
      <c r="A941" t="s">
        <v>992</v>
      </c>
      <c r="B941" t="s">
        <v>3002</v>
      </c>
      <c r="E941" t="s">
        <v>785</v>
      </c>
      <c r="F941">
        <v>-72</v>
      </c>
      <c r="G941">
        <v>-1046</v>
      </c>
      <c r="H941">
        <v>17</v>
      </c>
    </row>
    <row r="942" spans="1:8" x14ac:dyDescent="0.2">
      <c r="A942" t="s">
        <v>1764</v>
      </c>
      <c r="B942" t="s">
        <v>3002</v>
      </c>
      <c r="E942" t="s">
        <v>785</v>
      </c>
      <c r="F942">
        <v>-265</v>
      </c>
      <c r="G942">
        <v>-605</v>
      </c>
      <c r="H942">
        <v>-106</v>
      </c>
    </row>
    <row r="943" spans="1:8" x14ac:dyDescent="0.2">
      <c r="A943" t="s">
        <v>1765</v>
      </c>
      <c r="B943" t="s">
        <v>3002</v>
      </c>
      <c r="E943" t="s">
        <v>785</v>
      </c>
      <c r="F943">
        <v>4518</v>
      </c>
      <c r="G943">
        <v>-988</v>
      </c>
      <c r="H943">
        <v>-106</v>
      </c>
    </row>
    <row r="944" spans="1:8" x14ac:dyDescent="0.2">
      <c r="A944" t="s">
        <v>1766</v>
      </c>
      <c r="B944" t="s">
        <v>3002</v>
      </c>
      <c r="E944" t="s">
        <v>785</v>
      </c>
      <c r="F944">
        <v>1062</v>
      </c>
      <c r="G944">
        <v>1135</v>
      </c>
      <c r="H944">
        <v>66</v>
      </c>
    </row>
    <row r="945" spans="1:8" x14ac:dyDescent="0.2">
      <c r="A945" t="s">
        <v>1768</v>
      </c>
      <c r="B945" t="s">
        <v>3002</v>
      </c>
      <c r="E945" t="s">
        <v>785</v>
      </c>
      <c r="F945">
        <v>2475</v>
      </c>
      <c r="G945">
        <v>-3584</v>
      </c>
      <c r="H945">
        <v>-106</v>
      </c>
    </row>
    <row r="946" spans="1:8" x14ac:dyDescent="0.2">
      <c r="A946" t="s">
        <v>1100</v>
      </c>
      <c r="B946" t="s">
        <v>3002</v>
      </c>
      <c r="E946" t="s">
        <v>785</v>
      </c>
      <c r="F946">
        <v>-1868</v>
      </c>
      <c r="G946">
        <v>-2817</v>
      </c>
      <c r="H946">
        <v>-106</v>
      </c>
    </row>
    <row r="947" spans="1:8" x14ac:dyDescent="0.2">
      <c r="A947" t="s">
        <v>993</v>
      </c>
      <c r="B947" t="s">
        <v>3002</v>
      </c>
      <c r="E947" t="s">
        <v>785</v>
      </c>
      <c r="F947">
        <v>-2434</v>
      </c>
      <c r="G947">
        <v>-1820</v>
      </c>
      <c r="H947">
        <v>146</v>
      </c>
    </row>
    <row r="948" spans="1:8" x14ac:dyDescent="0.2">
      <c r="A948" t="s">
        <v>994</v>
      </c>
      <c r="B948" t="s">
        <v>3002</v>
      </c>
      <c r="E948" t="s">
        <v>785</v>
      </c>
      <c r="F948">
        <v>-644</v>
      </c>
      <c r="G948">
        <v>2040</v>
      </c>
      <c r="H948">
        <v>155</v>
      </c>
    </row>
    <row r="949" spans="1:8" x14ac:dyDescent="0.2">
      <c r="A949" t="s">
        <v>995</v>
      </c>
      <c r="B949" t="s">
        <v>3002</v>
      </c>
      <c r="E949" t="s">
        <v>785</v>
      </c>
      <c r="F949">
        <v>1765</v>
      </c>
      <c r="G949">
        <v>2837</v>
      </c>
      <c r="H949">
        <v>400</v>
      </c>
    </row>
    <row r="950" spans="1:8" x14ac:dyDescent="0.2">
      <c r="A950" t="s">
        <v>996</v>
      </c>
      <c r="B950" t="s">
        <v>3002</v>
      </c>
      <c r="E950" t="s">
        <v>785</v>
      </c>
      <c r="F950">
        <v>1714</v>
      </c>
      <c r="G950">
        <v>2719</v>
      </c>
      <c r="H950">
        <v>401</v>
      </c>
    </row>
    <row r="951" spans="1:8" x14ac:dyDescent="0.2">
      <c r="A951" t="s">
        <v>1770</v>
      </c>
      <c r="B951" t="s">
        <v>3002</v>
      </c>
      <c r="E951" t="s">
        <v>785</v>
      </c>
      <c r="F951">
        <v>1452</v>
      </c>
      <c r="G951">
        <v>-170</v>
      </c>
      <c r="H951">
        <v>-106</v>
      </c>
    </row>
    <row r="952" spans="1:8" x14ac:dyDescent="0.2">
      <c r="A952" t="s">
        <v>1773</v>
      </c>
      <c r="B952" t="s">
        <v>3002</v>
      </c>
      <c r="E952" t="s">
        <v>785</v>
      </c>
      <c r="F952">
        <v>3493</v>
      </c>
      <c r="G952">
        <v>-1965</v>
      </c>
      <c r="H952">
        <v>-106</v>
      </c>
    </row>
    <row r="953" spans="1:8" x14ac:dyDescent="0.2">
      <c r="A953" t="s">
        <v>1774</v>
      </c>
      <c r="B953" t="s">
        <v>3002</v>
      </c>
      <c r="E953" t="s">
        <v>785</v>
      </c>
      <c r="F953">
        <v>1646</v>
      </c>
      <c r="G953">
        <v>511</v>
      </c>
      <c r="H953">
        <v>-106</v>
      </c>
    </row>
    <row r="954" spans="1:8" x14ac:dyDescent="0.2">
      <c r="A954" t="s">
        <v>1775</v>
      </c>
      <c r="B954" t="s">
        <v>3002</v>
      </c>
      <c r="E954" t="s">
        <v>785</v>
      </c>
      <c r="F954">
        <v>-2616</v>
      </c>
      <c r="G954">
        <v>-1556</v>
      </c>
      <c r="H954">
        <v>-106</v>
      </c>
    </row>
    <row r="955" spans="1:8" x14ac:dyDescent="0.2">
      <c r="A955" t="s">
        <v>1776</v>
      </c>
      <c r="B955" t="s">
        <v>3002</v>
      </c>
      <c r="E955" t="s">
        <v>785</v>
      </c>
      <c r="F955">
        <v>2729</v>
      </c>
      <c r="G955">
        <v>-119</v>
      </c>
      <c r="H955">
        <v>-106</v>
      </c>
    </row>
    <row r="956" spans="1:8" x14ac:dyDescent="0.2">
      <c r="A956" t="s">
        <v>1777</v>
      </c>
      <c r="B956" t="s">
        <v>3002</v>
      </c>
      <c r="E956" t="s">
        <v>785</v>
      </c>
      <c r="F956">
        <v>-557</v>
      </c>
      <c r="G956">
        <v>-3222</v>
      </c>
      <c r="H956">
        <v>-106</v>
      </c>
    </row>
    <row r="957" spans="1:8" x14ac:dyDescent="0.2">
      <c r="A957" t="s">
        <v>1101</v>
      </c>
      <c r="B957" t="s">
        <v>3002</v>
      </c>
      <c r="E957" t="s">
        <v>785</v>
      </c>
      <c r="F957">
        <v>2658</v>
      </c>
      <c r="G957">
        <v>364</v>
      </c>
      <c r="H957">
        <v>-106</v>
      </c>
    </row>
  </sheetData>
  <autoFilter ref="A1:J239" xr:uid="{A095D5C8-FF81-DA46-ADE3-61DE071C213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/>
  <dimension ref="A1:I59"/>
  <sheetViews>
    <sheetView workbookViewId="0">
      <selection activeCell="A2" sqref="A2"/>
    </sheetView>
  </sheetViews>
  <sheetFormatPr baseColWidth="10" defaultRowHeight="16" x14ac:dyDescent="0.2"/>
  <cols>
    <col min="1" max="1" width="25.83203125" bestFit="1" customWidth="1"/>
    <col min="3" max="3" width="18" bestFit="1" customWidth="1"/>
  </cols>
  <sheetData>
    <row r="1" spans="1:9" s="6" customFormat="1" x14ac:dyDescent="0.2">
      <c r="A1" s="6" t="s">
        <v>781</v>
      </c>
      <c r="B1" s="6" t="s">
        <v>2141</v>
      </c>
      <c r="C1" s="6" t="s">
        <v>2132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2139</v>
      </c>
      <c r="I1" s="6" t="s">
        <v>2133</v>
      </c>
    </row>
    <row r="2" spans="1:9" x14ac:dyDescent="0.2">
      <c r="A2" t="s">
        <v>1133</v>
      </c>
      <c r="C2" t="s">
        <v>790</v>
      </c>
      <c r="E2" t="s">
        <v>785</v>
      </c>
      <c r="F2">
        <v>-876</v>
      </c>
      <c r="G2">
        <v>-1100</v>
      </c>
      <c r="H2">
        <v>21</v>
      </c>
    </row>
    <row r="3" spans="1:9" x14ac:dyDescent="0.2">
      <c r="A3" t="s">
        <v>1154</v>
      </c>
      <c r="C3" t="s">
        <v>790</v>
      </c>
      <c r="E3" t="s">
        <v>785</v>
      </c>
      <c r="F3">
        <v>685</v>
      </c>
      <c r="G3">
        <v>-769</v>
      </c>
      <c r="H3">
        <v>17</v>
      </c>
    </row>
    <row r="4" spans="1:9" x14ac:dyDescent="0.2">
      <c r="A4" t="s">
        <v>1170</v>
      </c>
      <c r="C4" t="s">
        <v>790</v>
      </c>
      <c r="E4" t="s">
        <v>785</v>
      </c>
      <c r="F4">
        <v>-1036</v>
      </c>
      <c r="G4">
        <v>413</v>
      </c>
      <c r="H4">
        <v>35</v>
      </c>
    </row>
    <row r="5" spans="1:9" x14ac:dyDescent="0.2">
      <c r="A5" t="s">
        <v>1184</v>
      </c>
      <c r="C5" t="s">
        <v>782</v>
      </c>
      <c r="E5" t="s">
        <v>785</v>
      </c>
      <c r="F5">
        <v>3718</v>
      </c>
      <c r="G5">
        <v>1585</v>
      </c>
      <c r="H5">
        <v>89</v>
      </c>
    </row>
    <row r="6" spans="1:9" x14ac:dyDescent="0.2">
      <c r="A6" t="s">
        <v>1215</v>
      </c>
      <c r="C6" t="s">
        <v>806</v>
      </c>
      <c r="E6" t="s">
        <v>785</v>
      </c>
      <c r="F6">
        <v>423</v>
      </c>
      <c r="G6">
        <v>-2040</v>
      </c>
      <c r="H6">
        <v>9</v>
      </c>
    </row>
    <row r="7" spans="1:9" x14ac:dyDescent="0.2">
      <c r="A7" t="s">
        <v>1216</v>
      </c>
      <c r="C7" t="s">
        <v>806</v>
      </c>
      <c r="E7" t="s">
        <v>785</v>
      </c>
      <c r="F7">
        <v>317</v>
      </c>
      <c r="G7">
        <v>-1853</v>
      </c>
      <c r="H7">
        <v>9</v>
      </c>
    </row>
    <row r="8" spans="1:9" x14ac:dyDescent="0.2">
      <c r="A8" t="s">
        <v>1217</v>
      </c>
      <c r="C8" t="s">
        <v>806</v>
      </c>
      <c r="E8" t="s">
        <v>785</v>
      </c>
      <c r="F8">
        <v>343</v>
      </c>
      <c r="G8">
        <v>-2095</v>
      </c>
      <c r="H8">
        <v>27</v>
      </c>
    </row>
    <row r="9" spans="1:9" x14ac:dyDescent="0.2">
      <c r="A9" t="s">
        <v>1218</v>
      </c>
      <c r="C9" t="s">
        <v>806</v>
      </c>
      <c r="E9" t="s">
        <v>785</v>
      </c>
      <c r="F9">
        <v>323</v>
      </c>
      <c r="G9">
        <v>-1930</v>
      </c>
      <c r="H9">
        <v>11</v>
      </c>
    </row>
    <row r="10" spans="1:9" x14ac:dyDescent="0.2">
      <c r="A10" t="s">
        <v>1242</v>
      </c>
      <c r="C10" t="s">
        <v>800</v>
      </c>
      <c r="E10" t="s">
        <v>785</v>
      </c>
      <c r="F10">
        <v>-3831</v>
      </c>
      <c r="G10">
        <v>2107</v>
      </c>
      <c r="H10">
        <v>141</v>
      </c>
    </row>
    <row r="11" spans="1:9" x14ac:dyDescent="0.2">
      <c r="A11" t="s">
        <v>1246</v>
      </c>
      <c r="C11" t="s">
        <v>806</v>
      </c>
      <c r="E11" t="s">
        <v>785</v>
      </c>
      <c r="F11">
        <v>1790</v>
      </c>
      <c r="G11">
        <v>-1948</v>
      </c>
      <c r="H11">
        <v>10</v>
      </c>
    </row>
    <row r="12" spans="1:9" x14ac:dyDescent="0.2">
      <c r="A12" t="s">
        <v>1251</v>
      </c>
      <c r="C12" t="s">
        <v>786</v>
      </c>
      <c r="E12" t="s">
        <v>785</v>
      </c>
      <c r="F12">
        <v>4234</v>
      </c>
      <c r="G12">
        <v>2780</v>
      </c>
      <c r="H12">
        <v>126</v>
      </c>
    </row>
    <row r="13" spans="1:9" x14ac:dyDescent="0.2">
      <c r="A13" t="s">
        <v>1273</v>
      </c>
      <c r="C13" t="s">
        <v>790</v>
      </c>
      <c r="E13" t="s">
        <v>785</v>
      </c>
      <c r="F13">
        <v>-670</v>
      </c>
      <c r="G13">
        <v>1354</v>
      </c>
      <c r="H13">
        <v>88</v>
      </c>
    </row>
    <row r="14" spans="1:9" x14ac:dyDescent="0.2">
      <c r="A14" t="s">
        <v>1296</v>
      </c>
      <c r="C14" t="s">
        <v>791</v>
      </c>
      <c r="E14" t="s">
        <v>785</v>
      </c>
      <c r="F14">
        <v>2620</v>
      </c>
      <c r="G14">
        <v>1172</v>
      </c>
      <c r="H14">
        <v>147</v>
      </c>
    </row>
    <row r="15" spans="1:9" x14ac:dyDescent="0.2">
      <c r="A15" t="s">
        <v>1308</v>
      </c>
      <c r="C15" t="s">
        <v>797</v>
      </c>
      <c r="E15" t="s">
        <v>785</v>
      </c>
      <c r="F15">
        <v>-2817</v>
      </c>
      <c r="G15">
        <v>-2228</v>
      </c>
      <c r="H15">
        <v>29</v>
      </c>
    </row>
    <row r="16" spans="1:9" x14ac:dyDescent="0.2">
      <c r="A16" t="s">
        <v>1328</v>
      </c>
      <c r="C16" t="s">
        <v>803</v>
      </c>
      <c r="E16" t="s">
        <v>785</v>
      </c>
      <c r="F16">
        <v>1528</v>
      </c>
      <c r="G16">
        <v>-330</v>
      </c>
      <c r="H16">
        <v>9</v>
      </c>
    </row>
    <row r="17" spans="1:8" x14ac:dyDescent="0.2">
      <c r="A17" t="s">
        <v>1350</v>
      </c>
      <c r="C17" t="s">
        <v>794</v>
      </c>
      <c r="E17" t="s">
        <v>785</v>
      </c>
      <c r="F17">
        <v>397</v>
      </c>
      <c r="G17">
        <v>-3389</v>
      </c>
      <c r="H17">
        <v>50</v>
      </c>
    </row>
    <row r="18" spans="1:8" x14ac:dyDescent="0.2">
      <c r="A18" t="s">
        <v>1359</v>
      </c>
      <c r="C18" t="s">
        <v>805</v>
      </c>
      <c r="E18" t="s">
        <v>785</v>
      </c>
      <c r="F18">
        <v>3512</v>
      </c>
      <c r="G18">
        <v>-2151</v>
      </c>
      <c r="H18">
        <v>129</v>
      </c>
    </row>
    <row r="19" spans="1:8" x14ac:dyDescent="0.2">
      <c r="A19" t="s">
        <v>1360</v>
      </c>
      <c r="C19" t="s">
        <v>805</v>
      </c>
      <c r="E19" t="s">
        <v>785</v>
      </c>
      <c r="F19">
        <v>3418</v>
      </c>
      <c r="G19">
        <v>-2031</v>
      </c>
      <c r="H19">
        <v>136</v>
      </c>
    </row>
    <row r="20" spans="1:8" x14ac:dyDescent="0.2">
      <c r="A20" t="s">
        <v>1361</v>
      </c>
      <c r="C20" t="s">
        <v>805</v>
      </c>
      <c r="E20" t="s">
        <v>785</v>
      </c>
      <c r="F20">
        <v>3381</v>
      </c>
      <c r="G20">
        <v>-2209</v>
      </c>
      <c r="H20">
        <v>135</v>
      </c>
    </row>
    <row r="21" spans="1:8" x14ac:dyDescent="0.2">
      <c r="A21" t="s">
        <v>1362</v>
      </c>
      <c r="C21" t="s">
        <v>805</v>
      </c>
      <c r="E21" t="s">
        <v>785</v>
      </c>
      <c r="F21">
        <v>3355</v>
      </c>
      <c r="G21">
        <v>-2047</v>
      </c>
      <c r="H21">
        <v>117</v>
      </c>
    </row>
    <row r="22" spans="1:8" x14ac:dyDescent="0.2">
      <c r="A22" t="s">
        <v>1383</v>
      </c>
      <c r="C22" t="s">
        <v>794</v>
      </c>
      <c r="E22" t="s">
        <v>785</v>
      </c>
      <c r="F22">
        <v>539</v>
      </c>
      <c r="G22">
        <v>-3429</v>
      </c>
      <c r="H22">
        <v>47</v>
      </c>
    </row>
    <row r="23" spans="1:8" x14ac:dyDescent="0.2">
      <c r="A23" t="s">
        <v>1384</v>
      </c>
      <c r="C23" t="s">
        <v>806</v>
      </c>
      <c r="E23" t="s">
        <v>785</v>
      </c>
      <c r="F23">
        <v>316</v>
      </c>
      <c r="G23">
        <v>-2124</v>
      </c>
      <c r="H23">
        <v>45</v>
      </c>
    </row>
    <row r="24" spans="1:8" x14ac:dyDescent="0.2">
      <c r="A24" t="s">
        <v>1393</v>
      </c>
      <c r="C24" t="s">
        <v>790</v>
      </c>
      <c r="E24" t="s">
        <v>785</v>
      </c>
      <c r="F24">
        <v>63</v>
      </c>
      <c r="G24">
        <v>550</v>
      </c>
      <c r="H24">
        <v>28</v>
      </c>
    </row>
    <row r="25" spans="1:8" x14ac:dyDescent="0.2">
      <c r="A25" t="s">
        <v>1404</v>
      </c>
      <c r="C25" t="s">
        <v>790</v>
      </c>
      <c r="E25" t="s">
        <v>785</v>
      </c>
      <c r="F25">
        <v>-910</v>
      </c>
      <c r="G25">
        <v>1617</v>
      </c>
      <c r="H25">
        <v>106</v>
      </c>
    </row>
    <row r="26" spans="1:8" x14ac:dyDescent="0.2">
      <c r="A26" t="s">
        <v>1412</v>
      </c>
      <c r="C26" t="s">
        <v>806</v>
      </c>
      <c r="E26" t="s">
        <v>785</v>
      </c>
      <c r="F26">
        <v>1876</v>
      </c>
      <c r="G26">
        <v>-1040</v>
      </c>
      <c r="H26">
        <v>123</v>
      </c>
    </row>
    <row r="27" spans="1:8" x14ac:dyDescent="0.2">
      <c r="A27" t="s">
        <v>1416</v>
      </c>
      <c r="C27" t="s">
        <v>798</v>
      </c>
      <c r="E27" t="s">
        <v>785</v>
      </c>
      <c r="F27">
        <v>-3254</v>
      </c>
      <c r="G27">
        <v>-2580</v>
      </c>
      <c r="H27">
        <v>23</v>
      </c>
    </row>
    <row r="28" spans="1:8" x14ac:dyDescent="0.2">
      <c r="A28" t="s">
        <v>1444</v>
      </c>
      <c r="C28" t="s">
        <v>806</v>
      </c>
      <c r="E28" t="s">
        <v>785</v>
      </c>
      <c r="F28">
        <v>1537</v>
      </c>
      <c r="G28">
        <v>-3551</v>
      </c>
      <c r="H28">
        <v>60</v>
      </c>
    </row>
    <row r="29" spans="1:8" x14ac:dyDescent="0.2">
      <c r="A29" t="s">
        <v>1455</v>
      </c>
      <c r="C29" t="s">
        <v>803</v>
      </c>
      <c r="E29" t="s">
        <v>785</v>
      </c>
      <c r="F29">
        <v>1222</v>
      </c>
      <c r="G29">
        <v>-396</v>
      </c>
      <c r="H29">
        <v>10</v>
      </c>
    </row>
    <row r="30" spans="1:8" x14ac:dyDescent="0.2">
      <c r="A30" t="s">
        <v>1474</v>
      </c>
      <c r="C30" t="s">
        <v>790</v>
      </c>
      <c r="E30" t="s">
        <v>785</v>
      </c>
      <c r="F30">
        <v>-213</v>
      </c>
      <c r="G30">
        <v>133</v>
      </c>
      <c r="H30">
        <v>19</v>
      </c>
    </row>
    <row r="31" spans="1:8" x14ac:dyDescent="0.2">
      <c r="A31" t="s">
        <v>1481</v>
      </c>
      <c r="C31" t="s">
        <v>805</v>
      </c>
      <c r="E31" t="s">
        <v>785</v>
      </c>
      <c r="F31">
        <v>2941</v>
      </c>
      <c r="G31">
        <v>-3375</v>
      </c>
      <c r="H31">
        <v>12</v>
      </c>
    </row>
    <row r="32" spans="1:8" x14ac:dyDescent="0.2">
      <c r="A32" t="s">
        <v>1486</v>
      </c>
      <c r="C32" t="s">
        <v>790</v>
      </c>
      <c r="E32" t="s">
        <v>785</v>
      </c>
      <c r="F32">
        <v>-70</v>
      </c>
      <c r="G32">
        <v>-162</v>
      </c>
      <c r="H32">
        <v>24</v>
      </c>
    </row>
    <row r="33" spans="1:8" x14ac:dyDescent="0.2">
      <c r="A33" t="s">
        <v>1494</v>
      </c>
      <c r="C33" t="s">
        <v>790</v>
      </c>
      <c r="E33" t="s">
        <v>785</v>
      </c>
      <c r="F33">
        <v>-1811</v>
      </c>
      <c r="G33">
        <v>1620</v>
      </c>
      <c r="H33">
        <v>106</v>
      </c>
    </row>
    <row r="34" spans="1:8" x14ac:dyDescent="0.2">
      <c r="A34" t="s">
        <v>1518</v>
      </c>
      <c r="C34" t="s">
        <v>803</v>
      </c>
      <c r="E34" t="s">
        <v>785</v>
      </c>
      <c r="F34">
        <v>1541</v>
      </c>
      <c r="G34">
        <v>171</v>
      </c>
      <c r="H34">
        <v>10</v>
      </c>
    </row>
    <row r="35" spans="1:8" x14ac:dyDescent="0.2">
      <c r="A35" t="s">
        <v>1520</v>
      </c>
      <c r="C35" t="s">
        <v>790</v>
      </c>
      <c r="E35" t="s">
        <v>785</v>
      </c>
      <c r="F35">
        <v>-1315</v>
      </c>
      <c r="G35">
        <v>-623</v>
      </c>
      <c r="H35">
        <v>9</v>
      </c>
    </row>
    <row r="36" spans="1:8" x14ac:dyDescent="0.2">
      <c r="A36" t="s">
        <v>1524</v>
      </c>
      <c r="C36" t="s">
        <v>790</v>
      </c>
      <c r="E36" t="s">
        <v>785</v>
      </c>
      <c r="F36">
        <v>-912</v>
      </c>
      <c r="G36">
        <v>328</v>
      </c>
      <c r="H36">
        <v>19</v>
      </c>
    </row>
    <row r="37" spans="1:8" x14ac:dyDescent="0.2">
      <c r="A37" t="s">
        <v>1528</v>
      </c>
      <c r="C37" t="s">
        <v>797</v>
      </c>
      <c r="E37" t="s">
        <v>785</v>
      </c>
      <c r="F37">
        <v>-1722</v>
      </c>
      <c r="G37">
        <v>-2238</v>
      </c>
      <c r="H37">
        <v>36</v>
      </c>
    </row>
    <row r="38" spans="1:8" x14ac:dyDescent="0.2">
      <c r="A38" t="s">
        <v>1542</v>
      </c>
      <c r="C38" t="s">
        <v>790</v>
      </c>
      <c r="E38" t="s">
        <v>785</v>
      </c>
      <c r="F38">
        <v>-1359</v>
      </c>
      <c r="G38">
        <v>702</v>
      </c>
      <c r="H38">
        <v>85</v>
      </c>
    </row>
    <row r="39" spans="1:8" x14ac:dyDescent="0.2">
      <c r="A39" t="s">
        <v>1563</v>
      </c>
      <c r="C39" t="s">
        <v>790</v>
      </c>
      <c r="E39" t="s">
        <v>785</v>
      </c>
      <c r="F39">
        <v>-1679</v>
      </c>
      <c r="G39">
        <v>-1351</v>
      </c>
      <c r="H39">
        <v>122</v>
      </c>
    </row>
    <row r="40" spans="1:8" x14ac:dyDescent="0.2">
      <c r="A40" t="s">
        <v>1565</v>
      </c>
      <c r="C40" t="s">
        <v>790</v>
      </c>
      <c r="E40" t="s">
        <v>785</v>
      </c>
      <c r="F40">
        <v>-1458</v>
      </c>
      <c r="G40">
        <v>-1295</v>
      </c>
      <c r="H40">
        <v>32</v>
      </c>
    </row>
    <row r="41" spans="1:8" x14ac:dyDescent="0.2">
      <c r="A41" t="s">
        <v>1581</v>
      </c>
      <c r="C41" t="s">
        <v>806</v>
      </c>
      <c r="E41" t="s">
        <v>785</v>
      </c>
      <c r="F41">
        <v>597</v>
      </c>
      <c r="G41">
        <v>-2102</v>
      </c>
      <c r="H41">
        <v>93</v>
      </c>
    </row>
    <row r="42" spans="1:8" x14ac:dyDescent="0.2">
      <c r="A42" t="s">
        <v>1583</v>
      </c>
      <c r="C42" t="s">
        <v>806</v>
      </c>
      <c r="E42" t="s">
        <v>785</v>
      </c>
      <c r="F42">
        <v>603</v>
      </c>
      <c r="G42">
        <v>-2259</v>
      </c>
      <c r="H42">
        <v>51</v>
      </c>
    </row>
    <row r="43" spans="1:8" x14ac:dyDescent="0.2">
      <c r="A43" t="s">
        <v>1599</v>
      </c>
      <c r="C43" t="s">
        <v>789</v>
      </c>
      <c r="E43" t="s">
        <v>785</v>
      </c>
      <c r="F43">
        <v>664</v>
      </c>
      <c r="G43">
        <v>1269</v>
      </c>
      <c r="H43">
        <v>40</v>
      </c>
    </row>
    <row r="44" spans="1:8" x14ac:dyDescent="0.2">
      <c r="A44" t="s">
        <v>1601</v>
      </c>
      <c r="C44" t="s">
        <v>790</v>
      </c>
      <c r="E44" t="s">
        <v>785</v>
      </c>
      <c r="F44">
        <v>788</v>
      </c>
      <c r="G44">
        <v>6</v>
      </c>
      <c r="H44">
        <v>31</v>
      </c>
    </row>
    <row r="45" spans="1:8" x14ac:dyDescent="0.2">
      <c r="A45" t="s">
        <v>1610</v>
      </c>
      <c r="C45" t="s">
        <v>803</v>
      </c>
      <c r="E45" t="s">
        <v>785</v>
      </c>
      <c r="F45">
        <v>1718</v>
      </c>
      <c r="G45">
        <v>-654</v>
      </c>
      <c r="H45">
        <v>23</v>
      </c>
    </row>
    <row r="46" spans="1:8" x14ac:dyDescent="0.2">
      <c r="A46" t="s">
        <v>1619</v>
      </c>
      <c r="C46" t="s">
        <v>790</v>
      </c>
      <c r="E46" t="s">
        <v>785</v>
      </c>
      <c r="F46">
        <v>363</v>
      </c>
      <c r="G46">
        <v>-1125</v>
      </c>
      <c r="H46">
        <v>10</v>
      </c>
    </row>
    <row r="47" spans="1:8" x14ac:dyDescent="0.2">
      <c r="A47" t="s">
        <v>1627</v>
      </c>
      <c r="C47" t="s">
        <v>789</v>
      </c>
      <c r="E47" t="s">
        <v>785</v>
      </c>
      <c r="F47">
        <v>-1071</v>
      </c>
      <c r="G47">
        <v>2328</v>
      </c>
      <c r="H47">
        <v>113</v>
      </c>
    </row>
    <row r="48" spans="1:8" x14ac:dyDescent="0.2">
      <c r="A48" t="s">
        <v>1655</v>
      </c>
      <c r="C48" t="s">
        <v>791</v>
      </c>
      <c r="E48" t="s">
        <v>785</v>
      </c>
      <c r="F48">
        <v>3058</v>
      </c>
      <c r="G48">
        <v>2314</v>
      </c>
      <c r="H48">
        <v>334</v>
      </c>
    </row>
    <row r="49" spans="1:8" x14ac:dyDescent="0.2">
      <c r="A49" t="s">
        <v>1663</v>
      </c>
      <c r="C49" t="s">
        <v>800</v>
      </c>
      <c r="E49" t="s">
        <v>785</v>
      </c>
      <c r="F49">
        <v>-1675</v>
      </c>
      <c r="G49">
        <v>2584</v>
      </c>
      <c r="H49">
        <v>234</v>
      </c>
    </row>
    <row r="50" spans="1:8" x14ac:dyDescent="0.2">
      <c r="A50" t="s">
        <v>1667</v>
      </c>
      <c r="C50" t="s">
        <v>782</v>
      </c>
      <c r="E50" t="s">
        <v>785</v>
      </c>
      <c r="F50">
        <v>3190</v>
      </c>
      <c r="G50">
        <v>1713</v>
      </c>
      <c r="H50">
        <v>201</v>
      </c>
    </row>
    <row r="51" spans="1:8" x14ac:dyDescent="0.2">
      <c r="A51" t="s">
        <v>1674</v>
      </c>
      <c r="C51" t="s">
        <v>806</v>
      </c>
      <c r="E51" t="s">
        <v>785</v>
      </c>
      <c r="F51">
        <v>786</v>
      </c>
      <c r="G51">
        <v>-1497</v>
      </c>
      <c r="H51">
        <v>36</v>
      </c>
    </row>
    <row r="52" spans="1:8" x14ac:dyDescent="0.2">
      <c r="A52" t="s">
        <v>1692</v>
      </c>
      <c r="C52" t="s">
        <v>801</v>
      </c>
      <c r="E52" t="s">
        <v>785</v>
      </c>
      <c r="F52">
        <v>2743</v>
      </c>
      <c r="G52">
        <v>172</v>
      </c>
      <c r="H52">
        <v>130</v>
      </c>
    </row>
    <row r="53" spans="1:8" x14ac:dyDescent="0.2">
      <c r="A53" t="s">
        <v>1694</v>
      </c>
      <c r="C53" t="s">
        <v>787</v>
      </c>
      <c r="E53" t="s">
        <v>785</v>
      </c>
      <c r="F53">
        <v>-2955</v>
      </c>
      <c r="G53">
        <v>-531</v>
      </c>
      <c r="H53">
        <v>169</v>
      </c>
    </row>
    <row r="54" spans="1:8" x14ac:dyDescent="0.2">
      <c r="A54" t="s">
        <v>1698</v>
      </c>
      <c r="C54" t="s">
        <v>799</v>
      </c>
      <c r="E54" t="s">
        <v>785</v>
      </c>
      <c r="F54">
        <v>-2359</v>
      </c>
      <c r="G54">
        <v>1875</v>
      </c>
      <c r="H54">
        <v>278</v>
      </c>
    </row>
    <row r="55" spans="1:8" x14ac:dyDescent="0.2">
      <c r="A55" t="s">
        <v>1761</v>
      </c>
      <c r="C55" t="s">
        <v>803</v>
      </c>
      <c r="E55" t="s">
        <v>785</v>
      </c>
      <c r="F55">
        <v>860</v>
      </c>
      <c r="G55">
        <v>-262</v>
      </c>
      <c r="H55">
        <v>26</v>
      </c>
    </row>
    <row r="56" spans="1:8" x14ac:dyDescent="0.2">
      <c r="A56" t="s">
        <v>1762</v>
      </c>
      <c r="C56" t="s">
        <v>803</v>
      </c>
      <c r="E56" t="s">
        <v>785</v>
      </c>
      <c r="F56">
        <v>884</v>
      </c>
      <c r="G56">
        <v>-194</v>
      </c>
      <c r="H56">
        <v>27</v>
      </c>
    </row>
    <row r="57" spans="1:8" x14ac:dyDescent="0.2">
      <c r="A57" t="s">
        <v>1767</v>
      </c>
      <c r="C57" t="s">
        <v>791</v>
      </c>
      <c r="E57" t="s">
        <v>785</v>
      </c>
      <c r="F57">
        <v>1084</v>
      </c>
      <c r="G57">
        <v>1159</v>
      </c>
      <c r="H57">
        <v>2</v>
      </c>
    </row>
    <row r="58" spans="1:8" x14ac:dyDescent="0.2">
      <c r="A58" t="s">
        <v>1771</v>
      </c>
      <c r="C58" t="s">
        <v>803</v>
      </c>
      <c r="E58" t="s">
        <v>785</v>
      </c>
      <c r="F58">
        <v>1438</v>
      </c>
      <c r="G58">
        <v>-137</v>
      </c>
      <c r="H58">
        <v>10</v>
      </c>
    </row>
    <row r="59" spans="1:8" x14ac:dyDescent="0.2">
      <c r="A59" t="s">
        <v>1772</v>
      </c>
      <c r="C59" t="s">
        <v>805</v>
      </c>
      <c r="E59" t="s">
        <v>785</v>
      </c>
      <c r="F59">
        <v>3302</v>
      </c>
      <c r="G59">
        <v>-2298</v>
      </c>
      <c r="H59">
        <v>130</v>
      </c>
    </row>
  </sheetData>
  <autoFilter ref="A1:I2" xr:uid="{A095D5C8-FF81-DA46-ADE3-61DE071C213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/>
  <dimension ref="A1:J49"/>
  <sheetViews>
    <sheetView topLeftCell="A33" workbookViewId="0">
      <selection activeCell="A52" sqref="A52"/>
    </sheetView>
  </sheetViews>
  <sheetFormatPr baseColWidth="10" defaultRowHeight="16" x14ac:dyDescent="0.2"/>
  <cols>
    <col min="1" max="1" width="18.1640625" customWidth="1"/>
    <col min="2" max="2" width="12.33203125" bestFit="1" customWidth="1"/>
  </cols>
  <sheetData>
    <row r="1" spans="1:10" s="6" customFormat="1" x14ac:dyDescent="0.2">
      <c r="B1" s="6" t="s">
        <v>781</v>
      </c>
      <c r="C1" s="6" t="s">
        <v>2141</v>
      </c>
      <c r="D1" s="6" t="s">
        <v>2132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2139</v>
      </c>
      <c r="J1" s="6" t="s">
        <v>2133</v>
      </c>
    </row>
    <row r="2" spans="1:10" x14ac:dyDescent="0.2">
      <c r="A2" t="s">
        <v>2845</v>
      </c>
      <c r="B2" t="s">
        <v>1136</v>
      </c>
      <c r="C2" t="s">
        <v>847</v>
      </c>
      <c r="E2" t="s">
        <v>785</v>
      </c>
      <c r="F2">
        <v>-3628</v>
      </c>
      <c r="G2">
        <v>1792</v>
      </c>
      <c r="H2">
        <v>186</v>
      </c>
    </row>
    <row r="3" spans="1:10" x14ac:dyDescent="0.2">
      <c r="A3" t="s">
        <v>2846</v>
      </c>
      <c r="B3" t="s">
        <v>1136</v>
      </c>
      <c r="C3" t="s">
        <v>1009</v>
      </c>
      <c r="E3" t="s">
        <v>785</v>
      </c>
      <c r="F3">
        <v>1850</v>
      </c>
      <c r="G3">
        <v>-975</v>
      </c>
      <c r="H3">
        <v>119</v>
      </c>
    </row>
    <row r="4" spans="1:10" x14ac:dyDescent="0.2">
      <c r="A4" t="s">
        <v>2847</v>
      </c>
      <c r="B4" t="s">
        <v>1136</v>
      </c>
      <c r="C4" t="s">
        <v>1472</v>
      </c>
      <c r="E4" t="s">
        <v>785</v>
      </c>
      <c r="F4">
        <v>-207</v>
      </c>
      <c r="G4">
        <v>85</v>
      </c>
      <c r="H4">
        <v>19</v>
      </c>
    </row>
    <row r="5" spans="1:10" x14ac:dyDescent="0.2">
      <c r="A5" t="s">
        <v>2848</v>
      </c>
      <c r="B5" t="s">
        <v>1136</v>
      </c>
      <c r="E5" t="s">
        <v>2430</v>
      </c>
    </row>
    <row r="6" spans="1:10" x14ac:dyDescent="0.2">
      <c r="A6" t="s">
        <v>2849</v>
      </c>
      <c r="B6" t="s">
        <v>1136</v>
      </c>
      <c r="C6" t="s">
        <v>1415</v>
      </c>
      <c r="E6" t="s">
        <v>785</v>
      </c>
      <c r="F6">
        <v>-3273</v>
      </c>
      <c r="G6">
        <v>-2549</v>
      </c>
      <c r="H6">
        <v>23</v>
      </c>
    </row>
    <row r="7" spans="1:10" x14ac:dyDescent="0.2">
      <c r="A7" t="s">
        <v>2850</v>
      </c>
      <c r="B7" t="s">
        <v>1136</v>
      </c>
      <c r="E7" t="s">
        <v>2430</v>
      </c>
    </row>
    <row r="8" spans="1:10" x14ac:dyDescent="0.2">
      <c r="A8" t="s">
        <v>2870</v>
      </c>
      <c r="B8" t="s">
        <v>1304</v>
      </c>
      <c r="C8" t="s">
        <v>1313</v>
      </c>
      <c r="E8" t="s">
        <v>785</v>
      </c>
      <c r="F8">
        <v>-3821</v>
      </c>
      <c r="G8">
        <v>-2926</v>
      </c>
      <c r="H8">
        <v>43</v>
      </c>
    </row>
    <row r="9" spans="1:10" x14ac:dyDescent="0.2">
      <c r="A9" t="s">
        <v>2871</v>
      </c>
      <c r="B9" t="s">
        <v>1304</v>
      </c>
      <c r="C9" t="s">
        <v>1313</v>
      </c>
      <c r="E9" t="s">
        <v>785</v>
      </c>
      <c r="F9" t="s">
        <v>2430</v>
      </c>
      <c r="G9" t="s">
        <v>2430</v>
      </c>
      <c r="H9" t="s">
        <v>2430</v>
      </c>
    </row>
    <row r="10" spans="1:10" x14ac:dyDescent="0.2">
      <c r="A10" t="s">
        <v>2872</v>
      </c>
      <c r="B10" t="s">
        <v>1304</v>
      </c>
      <c r="C10" t="s">
        <v>1429</v>
      </c>
      <c r="E10" t="s">
        <v>785</v>
      </c>
      <c r="F10">
        <v>421</v>
      </c>
      <c r="G10">
        <v>2174</v>
      </c>
      <c r="H10">
        <v>153</v>
      </c>
    </row>
    <row r="11" spans="1:10" x14ac:dyDescent="0.2">
      <c r="A11" t="s">
        <v>2873</v>
      </c>
      <c r="B11" t="s">
        <v>1304</v>
      </c>
      <c r="C11" t="s">
        <v>1358</v>
      </c>
      <c r="E11" t="s">
        <v>785</v>
      </c>
      <c r="F11">
        <v>3357</v>
      </c>
      <c r="G11">
        <v>-2164</v>
      </c>
      <c r="H11">
        <v>120</v>
      </c>
    </row>
    <row r="12" spans="1:10" x14ac:dyDescent="0.2">
      <c r="A12" t="s">
        <v>2874</v>
      </c>
      <c r="B12" t="s">
        <v>1304</v>
      </c>
      <c r="C12" t="s">
        <v>1415</v>
      </c>
      <c r="E12" t="s">
        <v>785</v>
      </c>
      <c r="F12">
        <v>-3273</v>
      </c>
      <c r="G12">
        <v>-2564</v>
      </c>
      <c r="H12">
        <v>23</v>
      </c>
    </row>
    <row r="13" spans="1:10" x14ac:dyDescent="0.2">
      <c r="A13" t="s">
        <v>2875</v>
      </c>
      <c r="B13" t="s">
        <v>1304</v>
      </c>
      <c r="C13" t="s">
        <v>1313</v>
      </c>
      <c r="E13" t="s">
        <v>785</v>
      </c>
      <c r="F13">
        <v>-3849</v>
      </c>
      <c r="G13">
        <v>-2904</v>
      </c>
      <c r="H13">
        <v>43</v>
      </c>
    </row>
    <row r="14" spans="1:10" x14ac:dyDescent="0.2">
      <c r="A14" t="s">
        <v>2876</v>
      </c>
      <c r="B14" t="s">
        <v>1304</v>
      </c>
      <c r="C14" t="s">
        <v>1707</v>
      </c>
      <c r="E14" t="s">
        <v>785</v>
      </c>
      <c r="F14">
        <v>4003</v>
      </c>
      <c r="G14">
        <v>1633</v>
      </c>
      <c r="H14">
        <v>128</v>
      </c>
    </row>
    <row r="15" spans="1:10" x14ac:dyDescent="0.2">
      <c r="A15" t="s">
        <v>2877</v>
      </c>
      <c r="B15" t="s">
        <v>1304</v>
      </c>
      <c r="C15" t="s">
        <v>1480</v>
      </c>
      <c r="E15" t="s">
        <v>785</v>
      </c>
      <c r="F15">
        <v>2957</v>
      </c>
      <c r="G15">
        <v>-3493</v>
      </c>
      <c r="H15">
        <v>1</v>
      </c>
    </row>
    <row r="16" spans="1:10" x14ac:dyDescent="0.2">
      <c r="A16" t="s">
        <v>2878</v>
      </c>
      <c r="B16" t="s">
        <v>1304</v>
      </c>
      <c r="C16" t="s">
        <v>1009</v>
      </c>
      <c r="E16" t="s">
        <v>785</v>
      </c>
      <c r="F16">
        <v>1801</v>
      </c>
      <c r="G16">
        <v>-1026</v>
      </c>
      <c r="H16">
        <v>115</v>
      </c>
    </row>
    <row r="17" spans="1:8" x14ac:dyDescent="0.2">
      <c r="A17" t="s">
        <v>2879</v>
      </c>
      <c r="B17" t="s">
        <v>1304</v>
      </c>
      <c r="C17" t="s">
        <v>1415</v>
      </c>
      <c r="E17" t="s">
        <v>785</v>
      </c>
      <c r="F17">
        <v>-3261</v>
      </c>
      <c r="G17">
        <v>-2601</v>
      </c>
      <c r="H17">
        <v>26</v>
      </c>
    </row>
    <row r="18" spans="1:8" x14ac:dyDescent="0.2">
      <c r="A18" t="s">
        <v>2880</v>
      </c>
      <c r="B18" t="s">
        <v>1304</v>
      </c>
      <c r="C18" t="s">
        <v>1313</v>
      </c>
      <c r="E18" t="s">
        <v>785</v>
      </c>
      <c r="F18">
        <v>-3824</v>
      </c>
      <c r="G18">
        <v>-2878</v>
      </c>
      <c r="H18">
        <v>43</v>
      </c>
    </row>
    <row r="19" spans="1:8" x14ac:dyDescent="0.2">
      <c r="A19" t="s">
        <v>2881</v>
      </c>
      <c r="B19" t="s">
        <v>1304</v>
      </c>
      <c r="C19" t="s">
        <v>1415</v>
      </c>
      <c r="E19" t="s">
        <v>785</v>
      </c>
      <c r="F19">
        <v>-3271</v>
      </c>
      <c r="G19">
        <v>-2538</v>
      </c>
      <c r="H19">
        <v>23</v>
      </c>
    </row>
    <row r="20" spans="1:8" x14ac:dyDescent="0.2">
      <c r="A20" t="s">
        <v>2882</v>
      </c>
      <c r="B20" t="s">
        <v>1304</v>
      </c>
      <c r="C20" t="s">
        <v>1780</v>
      </c>
      <c r="E20" t="s">
        <v>785</v>
      </c>
      <c r="F20">
        <v>3319</v>
      </c>
      <c r="G20">
        <v>479</v>
      </c>
      <c r="H20">
        <v>139</v>
      </c>
    </row>
    <row r="21" spans="1:8" x14ac:dyDescent="0.2">
      <c r="A21" t="s">
        <v>2883</v>
      </c>
      <c r="B21" t="s">
        <v>1304</v>
      </c>
      <c r="C21" t="s">
        <v>1472</v>
      </c>
      <c r="E21" t="s">
        <v>785</v>
      </c>
      <c r="F21">
        <v>-210</v>
      </c>
      <c r="G21">
        <v>82</v>
      </c>
      <c r="H21">
        <v>19</v>
      </c>
    </row>
    <row r="22" spans="1:8" x14ac:dyDescent="0.2">
      <c r="A22" t="s">
        <v>2884</v>
      </c>
      <c r="B22" t="s">
        <v>1304</v>
      </c>
      <c r="C22" t="s">
        <v>1313</v>
      </c>
      <c r="E22" t="s">
        <v>785</v>
      </c>
      <c r="F22">
        <v>-3824</v>
      </c>
      <c r="G22">
        <v>-2936</v>
      </c>
      <c r="H22">
        <v>43</v>
      </c>
    </row>
    <row r="23" spans="1:8" x14ac:dyDescent="0.2">
      <c r="A23" t="s">
        <v>2885</v>
      </c>
      <c r="B23" t="s">
        <v>1304</v>
      </c>
      <c r="C23" t="s">
        <v>1331</v>
      </c>
      <c r="E23" t="s">
        <v>785</v>
      </c>
      <c r="F23">
        <v>1683</v>
      </c>
      <c r="G23">
        <v>2462</v>
      </c>
      <c r="H23">
        <v>385</v>
      </c>
    </row>
    <row r="24" spans="1:8" x14ac:dyDescent="0.2">
      <c r="A24" t="s">
        <v>2886</v>
      </c>
      <c r="B24" t="s">
        <v>1304</v>
      </c>
      <c r="C24" t="s">
        <v>1009</v>
      </c>
      <c r="E24" t="s">
        <v>785</v>
      </c>
      <c r="F24">
        <v>1819</v>
      </c>
      <c r="G24">
        <v>-1038</v>
      </c>
      <c r="H24">
        <v>116</v>
      </c>
    </row>
    <row r="25" spans="1:8" x14ac:dyDescent="0.2">
      <c r="A25" t="s">
        <v>2887</v>
      </c>
      <c r="B25" t="s">
        <v>1304</v>
      </c>
      <c r="C25" t="s">
        <v>847</v>
      </c>
      <c r="E25" t="s">
        <v>785</v>
      </c>
      <c r="F25">
        <v>-3639</v>
      </c>
      <c r="G25">
        <v>1818</v>
      </c>
      <c r="H25">
        <v>184</v>
      </c>
    </row>
    <row r="26" spans="1:8" x14ac:dyDescent="0.2">
      <c r="A26" t="s">
        <v>2937</v>
      </c>
      <c r="B26" t="s">
        <v>2938</v>
      </c>
      <c r="C26" t="s">
        <v>1480</v>
      </c>
      <c r="E26" t="s">
        <v>785</v>
      </c>
      <c r="F26" t="s">
        <v>2430</v>
      </c>
      <c r="G26" t="s">
        <v>2430</v>
      </c>
      <c r="H26" t="s">
        <v>2430</v>
      </c>
    </row>
    <row r="27" spans="1:8" x14ac:dyDescent="0.2">
      <c r="A27" t="s">
        <v>1156</v>
      </c>
      <c r="B27" t="s">
        <v>2938</v>
      </c>
      <c r="C27" t="s">
        <v>1707</v>
      </c>
      <c r="E27" t="s">
        <v>785</v>
      </c>
      <c r="F27">
        <v>3995</v>
      </c>
      <c r="G27">
        <v>1637</v>
      </c>
      <c r="H27">
        <v>130</v>
      </c>
    </row>
    <row r="28" spans="1:8" x14ac:dyDescent="0.2">
      <c r="A28" t="s">
        <v>1194</v>
      </c>
      <c r="B28" t="s">
        <v>2938</v>
      </c>
      <c r="C28" t="s">
        <v>790</v>
      </c>
      <c r="E28" t="s">
        <v>785</v>
      </c>
      <c r="F28">
        <v>-214</v>
      </c>
      <c r="G28">
        <v>194</v>
      </c>
      <c r="H28">
        <v>31</v>
      </c>
    </row>
    <row r="29" spans="1:8" x14ac:dyDescent="0.2">
      <c r="A29" t="s">
        <v>1194</v>
      </c>
      <c r="B29" t="s">
        <v>2938</v>
      </c>
      <c r="C29" t="s">
        <v>997</v>
      </c>
      <c r="E29" t="s">
        <v>783</v>
      </c>
      <c r="F29">
        <v>362</v>
      </c>
      <c r="G29">
        <v>-1651</v>
      </c>
      <c r="H29">
        <v>2298</v>
      </c>
    </row>
    <row r="30" spans="1:8" x14ac:dyDescent="0.2">
      <c r="A30" t="s">
        <v>2939</v>
      </c>
      <c r="B30" t="s">
        <v>2938</v>
      </c>
      <c r="C30" t="s">
        <v>1313</v>
      </c>
      <c r="E30" t="s">
        <v>785</v>
      </c>
      <c r="F30" t="s">
        <v>2430</v>
      </c>
      <c r="G30" t="s">
        <v>2430</v>
      </c>
      <c r="H30" t="s">
        <v>2430</v>
      </c>
    </row>
    <row r="31" spans="1:8" x14ac:dyDescent="0.2">
      <c r="A31" t="s">
        <v>1298</v>
      </c>
      <c r="B31" t="s">
        <v>2938</v>
      </c>
      <c r="C31" t="s">
        <v>1110</v>
      </c>
      <c r="E31" t="s">
        <v>785</v>
      </c>
      <c r="F31">
        <v>470</v>
      </c>
      <c r="G31">
        <v>-1686</v>
      </c>
      <c r="H31">
        <v>1371</v>
      </c>
    </row>
    <row r="32" spans="1:8" x14ac:dyDescent="0.2">
      <c r="A32" t="s">
        <v>1298</v>
      </c>
      <c r="B32" t="s">
        <v>2938</v>
      </c>
      <c r="C32" t="s">
        <v>1108</v>
      </c>
      <c r="E32" t="s">
        <v>785</v>
      </c>
      <c r="F32">
        <v>470</v>
      </c>
      <c r="G32">
        <v>-1686</v>
      </c>
      <c r="H32">
        <v>1371</v>
      </c>
    </row>
    <row r="33" spans="1:8" x14ac:dyDescent="0.2">
      <c r="A33" t="s">
        <v>1298</v>
      </c>
      <c r="B33" t="s">
        <v>2938</v>
      </c>
      <c r="C33" t="s">
        <v>1109</v>
      </c>
      <c r="E33" t="s">
        <v>785</v>
      </c>
      <c r="F33">
        <v>470</v>
      </c>
      <c r="G33">
        <v>-1686</v>
      </c>
      <c r="H33">
        <v>1371</v>
      </c>
    </row>
    <row r="34" spans="1:8" x14ac:dyDescent="0.2">
      <c r="A34" t="s">
        <v>1298</v>
      </c>
      <c r="B34" t="s">
        <v>2938</v>
      </c>
      <c r="C34" t="s">
        <v>1106</v>
      </c>
      <c r="E34" t="s">
        <v>785</v>
      </c>
      <c r="F34">
        <v>470</v>
      </c>
      <c r="G34">
        <v>-1686</v>
      </c>
      <c r="H34">
        <v>1371</v>
      </c>
    </row>
    <row r="35" spans="1:8" x14ac:dyDescent="0.2">
      <c r="A35" t="s">
        <v>1298</v>
      </c>
      <c r="B35" t="s">
        <v>2938</v>
      </c>
      <c r="C35" t="s">
        <v>1104</v>
      </c>
      <c r="E35" t="s">
        <v>785</v>
      </c>
      <c r="F35">
        <v>470</v>
      </c>
      <c r="G35">
        <v>-1686</v>
      </c>
      <c r="H35">
        <v>1371</v>
      </c>
    </row>
    <row r="36" spans="1:8" x14ac:dyDescent="0.2">
      <c r="A36" t="s">
        <v>1298</v>
      </c>
      <c r="B36" t="s">
        <v>2938</v>
      </c>
      <c r="C36" t="s">
        <v>1102</v>
      </c>
      <c r="E36" t="s">
        <v>785</v>
      </c>
      <c r="F36">
        <v>470</v>
      </c>
      <c r="G36">
        <v>-1686</v>
      </c>
      <c r="H36">
        <v>1371</v>
      </c>
    </row>
    <row r="37" spans="1:8" x14ac:dyDescent="0.2">
      <c r="A37" t="s">
        <v>1298</v>
      </c>
      <c r="B37" t="s">
        <v>2938</v>
      </c>
      <c r="C37" t="s">
        <v>997</v>
      </c>
      <c r="E37" t="s">
        <v>783</v>
      </c>
      <c r="F37">
        <v>470</v>
      </c>
      <c r="G37">
        <v>-1686</v>
      </c>
      <c r="H37">
        <v>1371</v>
      </c>
    </row>
    <row r="38" spans="1:8" x14ac:dyDescent="0.2">
      <c r="A38" t="s">
        <v>1298</v>
      </c>
      <c r="B38" t="s">
        <v>2938</v>
      </c>
      <c r="C38" t="s">
        <v>1337</v>
      </c>
      <c r="E38" t="s">
        <v>785</v>
      </c>
      <c r="F38">
        <v>470</v>
      </c>
      <c r="G38">
        <v>-1686</v>
      </c>
      <c r="H38">
        <v>1371</v>
      </c>
    </row>
    <row r="39" spans="1:8" x14ac:dyDescent="0.2">
      <c r="A39" t="s">
        <v>1298</v>
      </c>
      <c r="B39" t="s">
        <v>2938</v>
      </c>
      <c r="C39" t="s">
        <v>1107</v>
      </c>
      <c r="E39" t="s">
        <v>785</v>
      </c>
      <c r="F39">
        <v>470</v>
      </c>
      <c r="G39">
        <v>-1686</v>
      </c>
      <c r="H39">
        <v>1371</v>
      </c>
    </row>
    <row r="40" spans="1:8" x14ac:dyDescent="0.2">
      <c r="A40" t="s">
        <v>1298</v>
      </c>
      <c r="B40" t="s">
        <v>2938</v>
      </c>
      <c r="C40" t="s">
        <v>1103</v>
      </c>
      <c r="E40" t="s">
        <v>785</v>
      </c>
      <c r="F40">
        <v>470</v>
      </c>
      <c r="G40">
        <v>-1686</v>
      </c>
      <c r="H40">
        <v>1371</v>
      </c>
    </row>
    <row r="41" spans="1:8" x14ac:dyDescent="0.2">
      <c r="A41" t="s">
        <v>1298</v>
      </c>
      <c r="B41" t="s">
        <v>2938</v>
      </c>
      <c r="C41" t="s">
        <v>1105</v>
      </c>
      <c r="E41" t="s">
        <v>785</v>
      </c>
      <c r="F41">
        <v>470</v>
      </c>
      <c r="G41">
        <v>-1686</v>
      </c>
      <c r="H41">
        <v>1371</v>
      </c>
    </row>
    <row r="42" spans="1:8" x14ac:dyDescent="0.2">
      <c r="A42" t="s">
        <v>2940</v>
      </c>
      <c r="B42" t="s">
        <v>2938</v>
      </c>
      <c r="C42" t="s">
        <v>1313</v>
      </c>
      <c r="E42" t="s">
        <v>785</v>
      </c>
      <c r="F42" t="s">
        <v>2430</v>
      </c>
      <c r="G42" t="s">
        <v>2430</v>
      </c>
      <c r="H42" t="s">
        <v>2430</v>
      </c>
    </row>
    <row r="43" spans="1:8" x14ac:dyDescent="0.2">
      <c r="A43" t="s">
        <v>2941</v>
      </c>
      <c r="B43" t="s">
        <v>2938</v>
      </c>
      <c r="C43" t="s">
        <v>1358</v>
      </c>
      <c r="E43" t="s">
        <v>785</v>
      </c>
      <c r="F43" t="s">
        <v>2430</v>
      </c>
      <c r="G43" t="s">
        <v>2430</v>
      </c>
      <c r="H43" t="s">
        <v>2430</v>
      </c>
    </row>
    <row r="44" spans="1:8" x14ac:dyDescent="0.2">
      <c r="A44" t="s">
        <v>1478</v>
      </c>
      <c r="B44" t="s">
        <v>2938</v>
      </c>
      <c r="C44" t="s">
        <v>1480</v>
      </c>
      <c r="E44" t="s">
        <v>785</v>
      </c>
      <c r="F44">
        <v>2970</v>
      </c>
      <c r="G44">
        <v>-3378</v>
      </c>
      <c r="H44">
        <v>30</v>
      </c>
    </row>
    <row r="45" spans="1:8" x14ac:dyDescent="0.2">
      <c r="A45" t="s">
        <v>2942</v>
      </c>
      <c r="B45" t="s">
        <v>2938</v>
      </c>
      <c r="C45" t="s">
        <v>798</v>
      </c>
      <c r="E45" t="s">
        <v>785</v>
      </c>
      <c r="F45" t="s">
        <v>2430</v>
      </c>
      <c r="G45" t="s">
        <v>2430</v>
      </c>
      <c r="H45" t="s">
        <v>2430</v>
      </c>
    </row>
    <row r="46" spans="1:8" x14ac:dyDescent="0.2">
      <c r="A46" t="s">
        <v>1661</v>
      </c>
      <c r="B46" t="s">
        <v>2938</v>
      </c>
      <c r="C46" t="s">
        <v>2943</v>
      </c>
      <c r="E46" t="s">
        <v>785</v>
      </c>
      <c r="F46">
        <v>1356</v>
      </c>
      <c r="G46">
        <v>-3372</v>
      </c>
      <c r="H46">
        <v>-737</v>
      </c>
    </row>
    <row r="47" spans="1:8" x14ac:dyDescent="0.2">
      <c r="A47" t="s">
        <v>2944</v>
      </c>
      <c r="B47" t="s">
        <v>2938</v>
      </c>
      <c r="C47" t="s">
        <v>1313</v>
      </c>
      <c r="E47" t="s">
        <v>785</v>
      </c>
      <c r="F47" t="s">
        <v>2430</v>
      </c>
      <c r="G47" t="s">
        <v>2430</v>
      </c>
      <c r="H47" t="s">
        <v>2430</v>
      </c>
    </row>
    <row r="48" spans="1:8" x14ac:dyDescent="0.2">
      <c r="A48" t="s">
        <v>2945</v>
      </c>
      <c r="B48" t="s">
        <v>2938</v>
      </c>
      <c r="C48" t="s">
        <v>1313</v>
      </c>
      <c r="E48" t="s">
        <v>785</v>
      </c>
      <c r="F48" t="s">
        <v>2430</v>
      </c>
      <c r="G48" t="s">
        <v>2430</v>
      </c>
      <c r="H48" t="s">
        <v>2430</v>
      </c>
    </row>
    <row r="49" spans="1:8" x14ac:dyDescent="0.2">
      <c r="A49" t="s">
        <v>2946</v>
      </c>
      <c r="B49" t="s">
        <v>2938</v>
      </c>
      <c r="C49" t="s">
        <v>1313</v>
      </c>
      <c r="E49" t="s">
        <v>785</v>
      </c>
      <c r="F49" t="s">
        <v>2430</v>
      </c>
      <c r="G49" t="s">
        <v>2430</v>
      </c>
      <c r="H49" t="s">
        <v>2430</v>
      </c>
    </row>
  </sheetData>
  <autoFilter ref="A1:J2" xr:uid="{A095D5C8-FF81-DA46-ADE3-61DE071C2139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/>
  <dimension ref="A1:I6"/>
  <sheetViews>
    <sheetView workbookViewId="0">
      <selection activeCell="C16" sqref="C16"/>
    </sheetView>
  </sheetViews>
  <sheetFormatPr baseColWidth="10" defaultRowHeight="16" x14ac:dyDescent="0.2"/>
  <sheetData>
    <row r="1" spans="1:9" s="6" customFormat="1" x14ac:dyDescent="0.2">
      <c r="A1" s="6" t="s">
        <v>781</v>
      </c>
      <c r="B1" s="6" t="s">
        <v>2141</v>
      </c>
      <c r="C1" s="6" t="s">
        <v>2132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2139</v>
      </c>
      <c r="I1" s="6" t="s">
        <v>2133</v>
      </c>
    </row>
    <row r="2" spans="1:9" x14ac:dyDescent="0.2">
      <c r="A2" t="s">
        <v>2947</v>
      </c>
      <c r="D2" t="e">
        <f>IF(#REF!="",IF(INT(G2)&lt;-200,"Depths",IF(INT(G2)&gt;700,"Sky","Surface")),"")</f>
        <v>#REF!</v>
      </c>
      <c r="E2" t="e">
        <f>IF(#REF!="",TEXT(LEFT(#REF!,FIND(",",#REF!)-1),"0000"),"")</f>
        <v>#REF!</v>
      </c>
      <c r="F2" t="e">
        <f>IF(#REF!="",TEXT(SUBSTITUTE(MID(#REF!,FIND(",",#REF!)+2,5),",",""),"0000"),"")</f>
        <v>#REF!</v>
      </c>
      <c r="G2" t="e">
        <f>IF(#REF!="",TEXT(RIGHT(#REF!,LEN(#REF!)-FIND(",",#REF!,7)-1),"0000"),"")</f>
        <v>#REF!</v>
      </c>
    </row>
    <row r="3" spans="1:9" x14ac:dyDescent="0.2">
      <c r="A3" t="s">
        <v>2948</v>
      </c>
    </row>
    <row r="4" spans="1:9" x14ac:dyDescent="0.2">
      <c r="A4" t="s">
        <v>2943</v>
      </c>
    </row>
    <row r="5" spans="1:9" x14ac:dyDescent="0.2">
      <c r="A5" t="s">
        <v>2949</v>
      </c>
    </row>
    <row r="6" spans="1:9" x14ac:dyDescent="0.2">
      <c r="A6" t="s">
        <v>2950</v>
      </c>
    </row>
  </sheetData>
  <autoFilter ref="A1:I2" xr:uid="{A095D5C8-FF81-DA46-ADE3-61DE071C213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/>
  <dimension ref="A1:J2"/>
  <sheetViews>
    <sheetView workbookViewId="0">
      <selection activeCell="G32" sqref="G32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2141</v>
      </c>
      <c r="D1" s="6" t="s">
        <v>2132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2139</v>
      </c>
      <c r="J1" s="6" t="s">
        <v>2133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2141</v>
      </c>
      <c r="D1" s="6" t="s">
        <v>2132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2139</v>
      </c>
      <c r="J1" s="6" t="s">
        <v>2133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2141</v>
      </c>
      <c r="D1" s="6" t="s">
        <v>2132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2139</v>
      </c>
      <c r="J1" s="6" t="s">
        <v>2133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2141</v>
      </c>
      <c r="D1" s="6" t="s">
        <v>2132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2139</v>
      </c>
      <c r="J1" s="6" t="s">
        <v>2133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/>
  <dimension ref="A1:I6"/>
  <sheetViews>
    <sheetView workbookViewId="0">
      <selection activeCell="A6" sqref="A6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2141</v>
      </c>
      <c r="C1" s="6" t="s">
        <v>2132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2139</v>
      </c>
      <c r="I1" s="6" t="s">
        <v>2133</v>
      </c>
    </row>
    <row r="2" spans="1:9" x14ac:dyDescent="0.2">
      <c r="A2" t="s">
        <v>2988</v>
      </c>
      <c r="C2">
        <v>5</v>
      </c>
      <c r="D2" t="s">
        <v>785</v>
      </c>
      <c r="E2">
        <v>1461</v>
      </c>
      <c r="F2">
        <v>2995</v>
      </c>
      <c r="G2">
        <v>305</v>
      </c>
    </row>
    <row r="3" spans="1:9" x14ac:dyDescent="0.2">
      <c r="A3" t="s">
        <v>2991</v>
      </c>
      <c r="C3">
        <v>6</v>
      </c>
      <c r="D3" t="s">
        <v>785</v>
      </c>
      <c r="E3">
        <v>920</v>
      </c>
      <c r="F3">
        <v>1381</v>
      </c>
      <c r="G3">
        <v>93</v>
      </c>
    </row>
    <row r="4" spans="1:9" x14ac:dyDescent="0.2">
      <c r="A4" t="s">
        <v>2989</v>
      </c>
      <c r="C4">
        <v>2</v>
      </c>
      <c r="D4" t="s">
        <v>785</v>
      </c>
      <c r="E4">
        <v>-1555</v>
      </c>
      <c r="F4">
        <v>-1237</v>
      </c>
      <c r="G4">
        <v>85</v>
      </c>
    </row>
    <row r="5" spans="1:9" x14ac:dyDescent="0.2">
      <c r="A5" t="s">
        <v>2990</v>
      </c>
      <c r="C5">
        <v>10</v>
      </c>
      <c r="D5" t="s">
        <v>785</v>
      </c>
      <c r="E5">
        <v>1766</v>
      </c>
      <c r="F5">
        <v>-2172</v>
      </c>
      <c r="G5">
        <v>13</v>
      </c>
    </row>
    <row r="6" spans="1:9" x14ac:dyDescent="0.2">
      <c r="A6" t="s">
        <v>1490</v>
      </c>
      <c r="C6">
        <v>8</v>
      </c>
      <c r="D6" t="s">
        <v>785</v>
      </c>
      <c r="E6">
        <v>4296</v>
      </c>
      <c r="F6">
        <v>3219</v>
      </c>
      <c r="G6">
        <v>149</v>
      </c>
    </row>
  </sheetData>
  <autoFilter ref="A1:I2" xr:uid="{A095D5C8-FF81-DA46-ADE3-61DE071C21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L27"/>
  <sheetViews>
    <sheetView workbookViewId="0">
      <selection activeCell="I3" sqref="I3"/>
    </sheetView>
  </sheetViews>
  <sheetFormatPr baseColWidth="10" defaultRowHeight="16" x14ac:dyDescent="0.2"/>
  <cols>
    <col min="1" max="1" width="17.6640625" bestFit="1" customWidth="1"/>
    <col min="2" max="2" width="17.83203125" bestFit="1" customWidth="1"/>
  </cols>
  <sheetData>
    <row r="1" spans="1:9" s="6" customFormat="1" x14ac:dyDescent="0.2">
      <c r="A1" s="6" t="s">
        <v>781</v>
      </c>
      <c r="B1" s="6" t="s">
        <v>2141</v>
      </c>
      <c r="C1" s="6" t="s">
        <v>2132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2139</v>
      </c>
      <c r="I1" s="6" t="s">
        <v>2133</v>
      </c>
    </row>
    <row r="2" spans="1:9" x14ac:dyDescent="0.2">
      <c r="A2" t="s">
        <v>1624</v>
      </c>
      <c r="B2" t="s">
        <v>2977</v>
      </c>
      <c r="C2">
        <v>1</v>
      </c>
      <c r="D2" t="s">
        <v>785</v>
      </c>
      <c r="E2">
        <v>317</v>
      </c>
      <c r="F2">
        <v>542</v>
      </c>
      <c r="G2">
        <v>9</v>
      </c>
      <c r="H2" t="s">
        <v>2140</v>
      </c>
      <c r="I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"Romani Plains", landmark: "Cherry Tree", type: "Cherry Blossom Tree", region: 1, level: "Surface", x: 317, y: 542, z: 9, details: " " },</v>
      </c>
    </row>
    <row r="3" spans="1:9" x14ac:dyDescent="0.2">
      <c r="A3" t="s">
        <v>1647</v>
      </c>
      <c r="B3" t="s">
        <v>2977</v>
      </c>
      <c r="C3">
        <v>2</v>
      </c>
      <c r="D3" t="s">
        <v>785</v>
      </c>
      <c r="E3">
        <v>-2299</v>
      </c>
      <c r="F3">
        <v>-341</v>
      </c>
      <c r="G3">
        <v>336</v>
      </c>
      <c r="I3" t="s">
        <v>2979</v>
      </c>
    </row>
    <row r="4" spans="1:9" x14ac:dyDescent="0.2">
      <c r="A4" t="s">
        <v>1570</v>
      </c>
      <c r="B4" t="s">
        <v>2977</v>
      </c>
      <c r="C4">
        <v>4</v>
      </c>
      <c r="D4" t="s">
        <v>785</v>
      </c>
      <c r="E4">
        <v>-4050</v>
      </c>
      <c r="F4">
        <v>1690</v>
      </c>
      <c r="G4">
        <v>185</v>
      </c>
      <c r="I4" t="s">
        <v>2980</v>
      </c>
    </row>
    <row r="5" spans="1:9" x14ac:dyDescent="0.2">
      <c r="A5" t="s">
        <v>2978</v>
      </c>
      <c r="B5" t="s">
        <v>2977</v>
      </c>
      <c r="C5">
        <v>7</v>
      </c>
      <c r="D5" t="s">
        <v>785</v>
      </c>
      <c r="E5">
        <v>1239</v>
      </c>
      <c r="F5">
        <v>2957</v>
      </c>
      <c r="G5">
        <v>406</v>
      </c>
      <c r="I5" t="s">
        <v>2981</v>
      </c>
    </row>
    <row r="6" spans="1:9" x14ac:dyDescent="0.2">
      <c r="A6" t="s">
        <v>1776</v>
      </c>
      <c r="B6" t="s">
        <v>2977</v>
      </c>
      <c r="C6">
        <v>9</v>
      </c>
      <c r="D6" t="s">
        <v>785</v>
      </c>
      <c r="E6">
        <v>2531</v>
      </c>
      <c r="F6">
        <v>-5</v>
      </c>
      <c r="G6">
        <v>130</v>
      </c>
      <c r="I6" t="s">
        <v>2982</v>
      </c>
    </row>
    <row r="7" spans="1:9" x14ac:dyDescent="0.2">
      <c r="A7" t="s">
        <v>1263</v>
      </c>
      <c r="B7" t="s">
        <v>2977</v>
      </c>
      <c r="C7">
        <v>11</v>
      </c>
      <c r="D7" t="s">
        <v>785</v>
      </c>
      <c r="E7">
        <v>3358</v>
      </c>
      <c r="F7">
        <v>-2479</v>
      </c>
      <c r="G7">
        <v>267</v>
      </c>
      <c r="I7" t="s">
        <v>2983</v>
      </c>
    </row>
    <row r="8" spans="1:9" x14ac:dyDescent="0.2">
      <c r="A8" t="s">
        <v>1346</v>
      </c>
      <c r="B8" t="s">
        <v>2977</v>
      </c>
      <c r="C8">
        <v>13</v>
      </c>
      <c r="D8" t="s">
        <v>785</v>
      </c>
      <c r="E8">
        <v>799</v>
      </c>
      <c r="F8">
        <v>-3502</v>
      </c>
      <c r="G8">
        <v>45</v>
      </c>
      <c r="I8" t="s">
        <v>2984</v>
      </c>
    </row>
    <row r="9" spans="1:9" x14ac:dyDescent="0.2">
      <c r="A9" t="s">
        <v>1043</v>
      </c>
      <c r="B9" t="s">
        <v>2977</v>
      </c>
      <c r="C9">
        <v>14</v>
      </c>
      <c r="D9" t="s">
        <v>785</v>
      </c>
      <c r="E9">
        <v>-2315</v>
      </c>
      <c r="F9">
        <v>-2158</v>
      </c>
      <c r="G9">
        <v>237</v>
      </c>
      <c r="I9" t="s">
        <v>2985</v>
      </c>
    </row>
    <row r="24" spans="8:12" x14ac:dyDescent="0.2">
      <c r="H24" t="s">
        <v>2140</v>
      </c>
      <c r="L24" t="s">
        <v>2140</v>
      </c>
    </row>
    <row r="27" spans="8:12" x14ac:dyDescent="0.2">
      <c r="H27" t="s">
        <v>2140</v>
      </c>
      <c r="L27" t="s">
        <v>2140</v>
      </c>
    </row>
  </sheetData>
  <autoFilter ref="A1:I1" xr:uid="{A095D5C8-FF81-DA46-ADE3-61DE071C2139}"/>
  <sortState xmlns:xlrd2="http://schemas.microsoft.com/office/spreadsheetml/2017/richdata2" ref="A2:I9">
    <sortCondition ref="C3:C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I82"/>
  <sheetViews>
    <sheetView workbookViewId="0">
      <selection activeCell="I3" sqref="I3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9" s="6" customFormat="1" x14ac:dyDescent="0.2">
      <c r="A1" s="6" t="s">
        <v>781</v>
      </c>
      <c r="B1" s="6" t="s">
        <v>2141</v>
      </c>
      <c r="C1" s="6" t="s">
        <v>2132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2580</v>
      </c>
      <c r="I1" s="6" t="s">
        <v>2133</v>
      </c>
    </row>
    <row r="2" spans="1:9" x14ac:dyDescent="0.2">
      <c r="A2" t="s">
        <v>1030</v>
      </c>
      <c r="B2" t="s">
        <v>2581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I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details: "&amp;CHAR(34)&amp;H2&amp;CHAR(34)&amp;" },"</f>
        <v>{ name: "Applean Forest", landmark: "Hudson Sign", type: "Hudson Sign", region: 1, level: "Surface", x: 622, y: 381, z: 22, details: "" },</v>
      </c>
    </row>
    <row r="3" spans="1:9" x14ac:dyDescent="0.2">
      <c r="A3" t="s">
        <v>1049</v>
      </c>
      <c r="B3" t="s">
        <v>2581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I3" t="s">
        <v>2695</v>
      </c>
    </row>
    <row r="4" spans="1:9" x14ac:dyDescent="0.2">
      <c r="A4" t="s">
        <v>1060</v>
      </c>
      <c r="B4" t="s">
        <v>2581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I4" t="s">
        <v>2696</v>
      </c>
    </row>
    <row r="5" spans="1:9" x14ac:dyDescent="0.2">
      <c r="A5" t="s">
        <v>1068</v>
      </c>
      <c r="B5" t="s">
        <v>2581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I5" t="s">
        <v>2697</v>
      </c>
    </row>
    <row r="6" spans="1:9" x14ac:dyDescent="0.2">
      <c r="A6" t="s">
        <v>1081</v>
      </c>
      <c r="B6" t="s">
        <v>2581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I6" t="s">
        <v>2698</v>
      </c>
    </row>
    <row r="7" spans="1:9" x14ac:dyDescent="0.2">
      <c r="A7" t="s">
        <v>1040</v>
      </c>
      <c r="B7" t="s">
        <v>2581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I7" t="s">
        <v>2699</v>
      </c>
    </row>
    <row r="8" spans="1:9" x14ac:dyDescent="0.2">
      <c r="A8" t="s">
        <v>1042</v>
      </c>
      <c r="B8" t="s">
        <v>2581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I8" t="s">
        <v>2700</v>
      </c>
    </row>
    <row r="9" spans="1:9" x14ac:dyDescent="0.2">
      <c r="A9" t="s">
        <v>1061</v>
      </c>
      <c r="B9" t="s">
        <v>2581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I9" t="s">
        <v>2701</v>
      </c>
    </row>
    <row r="10" spans="1:9" x14ac:dyDescent="0.2">
      <c r="A10" t="s">
        <v>1070</v>
      </c>
      <c r="B10" t="s">
        <v>2581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I10" t="s">
        <v>2702</v>
      </c>
    </row>
    <row r="11" spans="1:9" x14ac:dyDescent="0.2">
      <c r="A11" t="s">
        <v>1087</v>
      </c>
      <c r="B11" t="s">
        <v>2581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I11" t="s">
        <v>2703</v>
      </c>
    </row>
    <row r="12" spans="1:9" x14ac:dyDescent="0.2">
      <c r="A12" t="s">
        <v>787</v>
      </c>
      <c r="B12" t="s">
        <v>2581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I12" t="s">
        <v>2704</v>
      </c>
    </row>
    <row r="13" spans="1:9" x14ac:dyDescent="0.2">
      <c r="A13" t="s">
        <v>1050</v>
      </c>
      <c r="B13" t="s">
        <v>2581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I13" t="s">
        <v>2705</v>
      </c>
    </row>
    <row r="14" spans="1:9" x14ac:dyDescent="0.2">
      <c r="A14" t="s">
        <v>1055</v>
      </c>
      <c r="B14" t="s">
        <v>2581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I14" t="s">
        <v>2706</v>
      </c>
    </row>
    <row r="15" spans="1:9" x14ac:dyDescent="0.2">
      <c r="A15" t="s">
        <v>1059</v>
      </c>
      <c r="B15" t="s">
        <v>2581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I15" t="s">
        <v>2707</v>
      </c>
    </row>
    <row r="16" spans="1:9" x14ac:dyDescent="0.2">
      <c r="A16" t="s">
        <v>1069</v>
      </c>
      <c r="B16" t="s">
        <v>2581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I16" t="s">
        <v>2708</v>
      </c>
    </row>
    <row r="17" spans="1:9" x14ac:dyDescent="0.2">
      <c r="A17" t="s">
        <v>1082</v>
      </c>
      <c r="B17" t="s">
        <v>2581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I17" t="s">
        <v>2709</v>
      </c>
    </row>
    <row r="18" spans="1:9" x14ac:dyDescent="0.2">
      <c r="A18" t="s">
        <v>1085</v>
      </c>
      <c r="B18" t="s">
        <v>2581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I18" t="s">
        <v>2710</v>
      </c>
    </row>
    <row r="19" spans="1:9" x14ac:dyDescent="0.2">
      <c r="A19" t="s">
        <v>1092</v>
      </c>
      <c r="B19" t="s">
        <v>2581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I19" t="s">
        <v>2711</v>
      </c>
    </row>
    <row r="20" spans="1:9" x14ac:dyDescent="0.2">
      <c r="A20" t="s">
        <v>1047</v>
      </c>
      <c r="B20" t="s">
        <v>2581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I20" t="s">
        <v>2712</v>
      </c>
    </row>
    <row r="21" spans="1:9" x14ac:dyDescent="0.2">
      <c r="A21" t="s">
        <v>1091</v>
      </c>
      <c r="B21" t="s">
        <v>2581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I21" t="s">
        <v>2713</v>
      </c>
    </row>
    <row r="22" spans="1:9" x14ac:dyDescent="0.2">
      <c r="A22" t="s">
        <v>1093</v>
      </c>
      <c r="B22" t="s">
        <v>2581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I22" t="s">
        <v>2714</v>
      </c>
    </row>
    <row r="23" spans="1:9" x14ac:dyDescent="0.2">
      <c r="A23" t="s">
        <v>1066</v>
      </c>
      <c r="B23" t="s">
        <v>2581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I23" t="s">
        <v>2715</v>
      </c>
    </row>
    <row r="24" spans="1:9" x14ac:dyDescent="0.2">
      <c r="A24" t="s">
        <v>1072</v>
      </c>
      <c r="B24" t="s">
        <v>2581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I24" t="s">
        <v>2716</v>
      </c>
    </row>
    <row r="25" spans="1:9" x14ac:dyDescent="0.2">
      <c r="A25" t="s">
        <v>1079</v>
      </c>
      <c r="B25" t="s">
        <v>2581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I25" t="s">
        <v>2717</v>
      </c>
    </row>
    <row r="26" spans="1:9" x14ac:dyDescent="0.2">
      <c r="A26" t="s">
        <v>1089</v>
      </c>
      <c r="B26" t="s">
        <v>2581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I26" t="s">
        <v>2718</v>
      </c>
    </row>
    <row r="27" spans="1:9" x14ac:dyDescent="0.2">
      <c r="A27" t="s">
        <v>1036</v>
      </c>
      <c r="B27" t="s">
        <v>2581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I27" t="s">
        <v>2719</v>
      </c>
    </row>
    <row r="28" spans="1:9" x14ac:dyDescent="0.2">
      <c r="A28" t="s">
        <v>792</v>
      </c>
      <c r="B28" t="s">
        <v>2581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I28" t="s">
        <v>2720</v>
      </c>
    </row>
    <row r="29" spans="1:9" x14ac:dyDescent="0.2">
      <c r="A29" t="s">
        <v>1048</v>
      </c>
      <c r="B29" t="s">
        <v>2581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I29" t="s">
        <v>2721</v>
      </c>
    </row>
    <row r="30" spans="1:9" x14ac:dyDescent="0.2">
      <c r="A30" t="s">
        <v>1097</v>
      </c>
      <c r="B30" t="s">
        <v>2581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I30" t="s">
        <v>2722</v>
      </c>
    </row>
    <row r="31" spans="1:9" x14ac:dyDescent="0.2">
      <c r="A31" t="s">
        <v>1032</v>
      </c>
      <c r="B31" t="s">
        <v>2581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I31" t="s">
        <v>2723</v>
      </c>
    </row>
    <row r="32" spans="1:9" x14ac:dyDescent="0.2">
      <c r="A32" t="s">
        <v>793</v>
      </c>
      <c r="B32" t="s">
        <v>2581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I32" t="s">
        <v>2724</v>
      </c>
    </row>
    <row r="33" spans="1:9" x14ac:dyDescent="0.2">
      <c r="A33" t="s">
        <v>1035</v>
      </c>
      <c r="B33" t="s">
        <v>2581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I33" t="s">
        <v>2725</v>
      </c>
    </row>
    <row r="34" spans="1:9" x14ac:dyDescent="0.2">
      <c r="A34" t="s">
        <v>1041</v>
      </c>
      <c r="B34" t="s">
        <v>2581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I34" t="s">
        <v>2726</v>
      </c>
    </row>
    <row r="35" spans="1:9" x14ac:dyDescent="0.2">
      <c r="A35" t="s">
        <v>1045</v>
      </c>
      <c r="B35" t="s">
        <v>2581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I35" t="s">
        <v>2727</v>
      </c>
    </row>
    <row r="36" spans="1:9" x14ac:dyDescent="0.2">
      <c r="A36" t="s">
        <v>1064</v>
      </c>
      <c r="B36" t="s">
        <v>2581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I36" t="s">
        <v>2728</v>
      </c>
    </row>
    <row r="37" spans="1:9" x14ac:dyDescent="0.2">
      <c r="A37" t="s">
        <v>1078</v>
      </c>
      <c r="B37" t="s">
        <v>2581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I37" t="s">
        <v>2729</v>
      </c>
    </row>
    <row r="38" spans="1:9" x14ac:dyDescent="0.2">
      <c r="A38" t="s">
        <v>964</v>
      </c>
      <c r="B38" t="s">
        <v>2581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I38" t="s">
        <v>2730</v>
      </c>
    </row>
    <row r="39" spans="1:9" x14ac:dyDescent="0.2">
      <c r="A39" t="s">
        <v>1096</v>
      </c>
      <c r="B39" t="s">
        <v>2581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I39" t="s">
        <v>2731</v>
      </c>
    </row>
    <row r="40" spans="1:9" x14ac:dyDescent="0.2">
      <c r="A40" t="s">
        <v>1029</v>
      </c>
      <c r="B40" t="s">
        <v>2581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I40" t="s">
        <v>2732</v>
      </c>
    </row>
    <row r="41" spans="1:9" x14ac:dyDescent="0.2">
      <c r="A41" t="s">
        <v>1038</v>
      </c>
      <c r="B41" t="s">
        <v>2581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I41" t="s">
        <v>2733</v>
      </c>
    </row>
    <row r="42" spans="1:9" x14ac:dyDescent="0.2">
      <c r="A42" t="s">
        <v>1053</v>
      </c>
      <c r="B42" t="s">
        <v>2581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I42" t="s">
        <v>2734</v>
      </c>
    </row>
    <row r="43" spans="1:9" x14ac:dyDescent="0.2">
      <c r="A43" t="s">
        <v>1073</v>
      </c>
      <c r="B43" t="s">
        <v>2581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I43" t="s">
        <v>2735</v>
      </c>
    </row>
    <row r="44" spans="1:9" x14ac:dyDescent="0.2">
      <c r="A44" t="s">
        <v>837</v>
      </c>
      <c r="B44" t="s">
        <v>2581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I44" t="s">
        <v>2736</v>
      </c>
    </row>
    <row r="45" spans="1:9" x14ac:dyDescent="0.2">
      <c r="A45" t="s">
        <v>1088</v>
      </c>
      <c r="B45" t="s">
        <v>2581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I45" t="s">
        <v>2737</v>
      </c>
    </row>
    <row r="46" spans="1:9" x14ac:dyDescent="0.2">
      <c r="A46" t="s">
        <v>1033</v>
      </c>
      <c r="B46" t="s">
        <v>2581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I46" t="s">
        <v>2738</v>
      </c>
    </row>
    <row r="47" spans="1:9" x14ac:dyDescent="0.2">
      <c r="A47" t="s">
        <v>1058</v>
      </c>
      <c r="B47" t="s">
        <v>2581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I47" t="s">
        <v>2739</v>
      </c>
    </row>
    <row r="48" spans="1:9" x14ac:dyDescent="0.2">
      <c r="A48" t="s">
        <v>1083</v>
      </c>
      <c r="B48" t="s">
        <v>2581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I48" t="s">
        <v>2740</v>
      </c>
    </row>
    <row r="49" spans="1:9" x14ac:dyDescent="0.2">
      <c r="A49" t="s">
        <v>1086</v>
      </c>
      <c r="B49" t="s">
        <v>2581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I49" t="s">
        <v>2741</v>
      </c>
    </row>
    <row r="50" spans="1:9" x14ac:dyDescent="0.2">
      <c r="A50" t="s">
        <v>1098</v>
      </c>
      <c r="B50" t="s">
        <v>2581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I50" t="s">
        <v>2742</v>
      </c>
    </row>
    <row r="51" spans="1:9" x14ac:dyDescent="0.2">
      <c r="A51" t="s">
        <v>1099</v>
      </c>
      <c r="B51" t="s">
        <v>2581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I51" t="s">
        <v>2743</v>
      </c>
    </row>
    <row r="52" spans="1:9" x14ac:dyDescent="0.2">
      <c r="A52" t="s">
        <v>1101</v>
      </c>
      <c r="B52" t="s">
        <v>2581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I52" t="s">
        <v>2744</v>
      </c>
    </row>
    <row r="53" spans="1:9" x14ac:dyDescent="0.2">
      <c r="A53" t="s">
        <v>1057</v>
      </c>
      <c r="B53" t="s">
        <v>2581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I53" t="s">
        <v>2745</v>
      </c>
    </row>
    <row r="54" spans="1:9" x14ac:dyDescent="0.2">
      <c r="A54" t="s">
        <v>1080</v>
      </c>
      <c r="B54" t="s">
        <v>2581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I54" t="s">
        <v>2746</v>
      </c>
    </row>
    <row r="55" spans="1:9" x14ac:dyDescent="0.2">
      <c r="A55" t="s">
        <v>1084</v>
      </c>
      <c r="B55" t="s">
        <v>2581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I55" t="s">
        <v>2747</v>
      </c>
    </row>
    <row r="56" spans="1:9" x14ac:dyDescent="0.2">
      <c r="A56" t="s">
        <v>1034</v>
      </c>
      <c r="B56" t="s">
        <v>2581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I56" t="s">
        <v>2748</v>
      </c>
    </row>
    <row r="57" spans="1:9" x14ac:dyDescent="0.2">
      <c r="A57" t="s">
        <v>1062</v>
      </c>
      <c r="B57" t="s">
        <v>2581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I57" t="s">
        <v>2749</v>
      </c>
    </row>
    <row r="58" spans="1:9" x14ac:dyDescent="0.2">
      <c r="A58" t="s">
        <v>1065</v>
      </c>
      <c r="B58" t="s">
        <v>2581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I58" t="s">
        <v>2750</v>
      </c>
    </row>
    <row r="59" spans="1:9" x14ac:dyDescent="0.2">
      <c r="A59" t="s">
        <v>804</v>
      </c>
      <c r="B59" t="s">
        <v>2581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I59" t="s">
        <v>2751</v>
      </c>
    </row>
    <row r="60" spans="1:9" x14ac:dyDescent="0.2">
      <c r="A60" t="s">
        <v>1071</v>
      </c>
      <c r="B60" t="s">
        <v>2581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I60" t="s">
        <v>2752</v>
      </c>
    </row>
    <row r="61" spans="1:9" x14ac:dyDescent="0.2">
      <c r="A61" t="s">
        <v>1031</v>
      </c>
      <c r="B61" t="s">
        <v>2581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I61" t="s">
        <v>2753</v>
      </c>
    </row>
    <row r="62" spans="1:9" x14ac:dyDescent="0.2">
      <c r="A62" t="s">
        <v>1051</v>
      </c>
      <c r="B62" t="s">
        <v>2581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I62" t="s">
        <v>2754</v>
      </c>
    </row>
    <row r="63" spans="1:9" x14ac:dyDescent="0.2">
      <c r="A63" t="s">
        <v>1075</v>
      </c>
      <c r="B63" t="s">
        <v>2581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I63" t="s">
        <v>2755</v>
      </c>
    </row>
    <row r="64" spans="1:9" x14ac:dyDescent="0.2">
      <c r="A64" t="s">
        <v>1095</v>
      </c>
      <c r="B64" t="s">
        <v>2581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I64" t="s">
        <v>2756</v>
      </c>
    </row>
    <row r="65" spans="1:9" x14ac:dyDescent="0.2">
      <c r="A65" t="s">
        <v>1037</v>
      </c>
      <c r="B65" t="s">
        <v>2581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I65" t="s">
        <v>2757</v>
      </c>
    </row>
    <row r="66" spans="1:9" x14ac:dyDescent="0.2">
      <c r="A66" t="s">
        <v>1046</v>
      </c>
      <c r="B66" t="s">
        <v>2581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I66" t="s">
        <v>2758</v>
      </c>
    </row>
    <row r="67" spans="1:9" x14ac:dyDescent="0.2">
      <c r="A67" t="s">
        <v>796</v>
      </c>
      <c r="B67" t="s">
        <v>2581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I67" t="s">
        <v>2759</v>
      </c>
    </row>
    <row r="68" spans="1:9" x14ac:dyDescent="0.2">
      <c r="A68" t="s">
        <v>1056</v>
      </c>
      <c r="B68" t="s">
        <v>2581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I68" t="s">
        <v>2760</v>
      </c>
    </row>
    <row r="69" spans="1:9" x14ac:dyDescent="0.2">
      <c r="A69" t="s">
        <v>1074</v>
      </c>
      <c r="B69" t="s">
        <v>2581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I69" t="s">
        <v>2761</v>
      </c>
    </row>
    <row r="70" spans="1:9" x14ac:dyDescent="0.2">
      <c r="A70" t="s">
        <v>1077</v>
      </c>
      <c r="B70" t="s">
        <v>2581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I70" t="s">
        <v>2762</v>
      </c>
    </row>
    <row r="71" spans="1:9" x14ac:dyDescent="0.2">
      <c r="A71" t="s">
        <v>1090</v>
      </c>
      <c r="B71" t="s">
        <v>2581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I71" t="s">
        <v>2763</v>
      </c>
    </row>
    <row r="72" spans="1:9" x14ac:dyDescent="0.2">
      <c r="A72" t="s">
        <v>1039</v>
      </c>
      <c r="B72" t="s">
        <v>2581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I72" t="s">
        <v>2764</v>
      </c>
    </row>
    <row r="73" spans="1:9" x14ac:dyDescent="0.2">
      <c r="A73" t="s">
        <v>1043</v>
      </c>
      <c r="B73" t="s">
        <v>2581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I73" t="s">
        <v>2765</v>
      </c>
    </row>
    <row r="74" spans="1:9" x14ac:dyDescent="0.2">
      <c r="A74" t="s">
        <v>1005</v>
      </c>
      <c r="B74" t="s">
        <v>2581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I74" t="s">
        <v>2766</v>
      </c>
    </row>
    <row r="75" spans="1:9" x14ac:dyDescent="0.2">
      <c r="A75" t="s">
        <v>1044</v>
      </c>
      <c r="B75" t="s">
        <v>2581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I75" t="s">
        <v>2767</v>
      </c>
    </row>
    <row r="76" spans="1:9" x14ac:dyDescent="0.2">
      <c r="A76" t="s">
        <v>1052</v>
      </c>
      <c r="B76" t="s">
        <v>2581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I76" t="s">
        <v>2768</v>
      </c>
    </row>
    <row r="77" spans="1:9" x14ac:dyDescent="0.2">
      <c r="A77" t="s">
        <v>1067</v>
      </c>
      <c r="B77" t="s">
        <v>2581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I77" t="s">
        <v>2769</v>
      </c>
    </row>
    <row r="78" spans="1:9" x14ac:dyDescent="0.2">
      <c r="A78" t="s">
        <v>1076</v>
      </c>
      <c r="B78" t="s">
        <v>2581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I78" t="s">
        <v>2770</v>
      </c>
    </row>
    <row r="79" spans="1:9" x14ac:dyDescent="0.2">
      <c r="A79" t="s">
        <v>1100</v>
      </c>
      <c r="B79" t="s">
        <v>2581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I79" t="s">
        <v>2771</v>
      </c>
    </row>
    <row r="80" spans="1:9" x14ac:dyDescent="0.2">
      <c r="A80" t="s">
        <v>1054</v>
      </c>
      <c r="B80" t="s">
        <v>2581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I80" t="s">
        <v>2772</v>
      </c>
    </row>
    <row r="81" spans="1:9" x14ac:dyDescent="0.2">
      <c r="A81" t="s">
        <v>1063</v>
      </c>
      <c r="B81" t="s">
        <v>2581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I81" t="s">
        <v>2773</v>
      </c>
    </row>
    <row r="82" spans="1:9" x14ac:dyDescent="0.2">
      <c r="A82" t="s">
        <v>1094</v>
      </c>
      <c r="B82" t="s">
        <v>2581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I82" t="s">
        <v>2774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I65"/>
  <sheetViews>
    <sheetView workbookViewId="0">
      <selection activeCell="G1" sqref="G1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8" max="8" width="50.5" bestFit="1" customWidth="1"/>
  </cols>
  <sheetData>
    <row r="1" spans="1:9" s="6" customFormat="1" x14ac:dyDescent="0.2">
      <c r="A1" s="6" t="s">
        <v>781</v>
      </c>
      <c r="B1" s="6" t="s">
        <v>2141</v>
      </c>
      <c r="C1" s="6" t="s">
        <v>2132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2139</v>
      </c>
      <c r="I1" s="6" t="s">
        <v>2133</v>
      </c>
    </row>
    <row r="2" spans="1:9" x14ac:dyDescent="0.2">
      <c r="A2" t="s">
        <v>2585</v>
      </c>
      <c r="B2" t="s">
        <v>2634</v>
      </c>
      <c r="C2">
        <v>2</v>
      </c>
      <c r="D2" t="s">
        <v>783</v>
      </c>
      <c r="E2">
        <v>-1456</v>
      </c>
      <c r="F2">
        <v>-1585</v>
      </c>
      <c r="G2">
        <v>1220</v>
      </c>
      <c r="H2" t="s">
        <v>2637</v>
      </c>
      <c r="I2" t="str">
        <f t="shared" ref="I2:I32" si="0"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 Archipelago 1", landmark: "Old Map", type: "Old Map", region: 2, level: "Sky", x: -1456, y: -1585, z: 1220, details: "&lt;strong&gt;Treasure:&lt;/strong&gt; Trousers of the Hero" },</v>
      </c>
    </row>
    <row r="3" spans="1:9" x14ac:dyDescent="0.2">
      <c r="A3" t="s">
        <v>2587</v>
      </c>
      <c r="B3" t="s">
        <v>2634</v>
      </c>
      <c r="C3">
        <v>2</v>
      </c>
      <c r="D3" t="s">
        <v>783</v>
      </c>
      <c r="E3">
        <v>-1231</v>
      </c>
      <c r="F3">
        <v>-1403</v>
      </c>
      <c r="G3">
        <v>1007</v>
      </c>
      <c r="H3" t="s">
        <v>2638</v>
      </c>
      <c r="I3" t="str">
        <f t="shared" si="0"/>
        <v>{ name: "South Hyrule Sky Archipelago 2", landmark: "Old Map", type: "Old Map", region: 2, level: "Sky", x: -1231, y: -1403, z: 1007, details: "&lt;strong&gt;Treasure:&lt;/strong&gt; Tunic of the Hero" },</v>
      </c>
    </row>
    <row r="4" spans="1:9" x14ac:dyDescent="0.2">
      <c r="A4" t="s">
        <v>2589</v>
      </c>
      <c r="B4" t="s">
        <v>2634</v>
      </c>
      <c r="C4">
        <v>2</v>
      </c>
      <c r="D4" t="s">
        <v>783</v>
      </c>
      <c r="E4">
        <v>-1343</v>
      </c>
      <c r="F4">
        <v>-1547</v>
      </c>
      <c r="G4">
        <v>801</v>
      </c>
      <c r="H4" t="s">
        <v>2639</v>
      </c>
      <c r="I4" t="str">
        <f t="shared" si="0"/>
        <v>{ name: "South Hyrule Sky Archipelago 3", landmark: "Old Map", type: "Old Map", region: 2, level: "Sky", x: -1343, y: -1547, z: 801, details: "&lt;strong&gt;Treasure:&lt;/strong&gt; Cap of the Hero" },</v>
      </c>
    </row>
    <row r="5" spans="1:9" x14ac:dyDescent="0.2">
      <c r="A5" t="s">
        <v>2591</v>
      </c>
      <c r="B5" t="s">
        <v>2634</v>
      </c>
      <c r="C5">
        <v>2</v>
      </c>
      <c r="D5" t="s">
        <v>783</v>
      </c>
      <c r="E5">
        <v>-818</v>
      </c>
      <c r="F5">
        <v>-1594</v>
      </c>
      <c r="G5">
        <v>861</v>
      </c>
      <c r="H5" t="s">
        <v>2640</v>
      </c>
      <c r="I5" t="str">
        <f t="shared" si="0"/>
        <v>{ name: "South Hyrule Sky Archipelago 4", landmark: "Old Map", type: "Old Map", region: 2, level: "Sky", x: -818, y: -1594, z: 861, details: "&lt;strong&gt;Treasure:&lt;/strong&gt; Sheik's Mask" },</v>
      </c>
    </row>
    <row r="6" spans="1:9" x14ac:dyDescent="0.2">
      <c r="A6" t="s">
        <v>1554</v>
      </c>
      <c r="B6" t="s">
        <v>2634</v>
      </c>
      <c r="C6">
        <v>3</v>
      </c>
      <c r="D6" t="s">
        <v>783</v>
      </c>
      <c r="E6">
        <v>-3437</v>
      </c>
      <c r="F6">
        <v>1431</v>
      </c>
      <c r="G6">
        <v>1193</v>
      </c>
      <c r="H6" t="s">
        <v>2662</v>
      </c>
      <c r="I6" t="str">
        <f>"{ name: "&amp;CHAR(34)&amp;A6&amp;CHAR(34)&amp;", landmark: "&amp;CHAR(34)&amp;"Old Map"&amp;CHAR(34)&amp;", type: "&amp;CHAR(34)&amp;B6&amp;CHAR(34)&amp;", region: "&amp;C6&amp;", level: "&amp;CHAR(34)&amp;D6&amp;CHAR(34)&amp;", x: "&amp;E6&amp;", y: "&amp;F6&amp;", z: "&amp;G6&amp;", details: "&amp;CHAR(34)&amp;H6&amp;CHAR(34)&amp;" },"</f>
        <v>{ name: "North Tabantha Sky Archipelago", landmark: "Old Map", type: "Old Map", region: 3, level: "Sky", x: -3437, y: 1431, z: 1193, details: "&lt;strong&gt;Treasure:&lt;/strong&gt; Tunic of the Wild" },</v>
      </c>
    </row>
    <row r="7" spans="1:9" x14ac:dyDescent="0.2">
      <c r="A7" t="s">
        <v>2630</v>
      </c>
      <c r="B7" t="s">
        <v>2634</v>
      </c>
      <c r="C7">
        <v>3</v>
      </c>
      <c r="D7" t="s">
        <v>783</v>
      </c>
      <c r="E7">
        <v>-3931</v>
      </c>
      <c r="F7">
        <v>609</v>
      </c>
      <c r="G7">
        <v>1708</v>
      </c>
      <c r="H7" t="s">
        <v>2663</v>
      </c>
      <c r="I7" t="str">
        <f>"{ name: "&amp;CHAR(34)&amp;A7&amp;CHAR(34)&amp;", landmark: "&amp;CHAR(34)&amp;"Old Map"&amp;CHAR(34)&amp;", type: "&amp;CHAR(34)&amp;B7&amp;CHAR(34)&amp;", region: "&amp;C7&amp;", level: "&amp;CHAR(34)&amp;D7&amp;CHAR(34)&amp;", x: "&amp;E7&amp;", y: "&amp;F7&amp;", z: "&amp;G7&amp;", details: "&amp;CHAR(34)&amp;H7&amp;CHAR(34)&amp;" },"</f>
        <v>{ name: "Tabantha Sky Archipelago 1", landmark: "Old Map", type: "Old Map", region: 3, level: "Sky", x: -3931, y: 609, z: 1708, details: "&lt;strong&gt;Treasure:&lt;/strong&gt; Trousers of the Wild" },</v>
      </c>
    </row>
    <row r="8" spans="1:9" x14ac:dyDescent="0.2">
      <c r="A8" t="s">
        <v>2632</v>
      </c>
      <c r="B8" t="s">
        <v>2634</v>
      </c>
      <c r="C8">
        <v>3</v>
      </c>
      <c r="D8" t="s">
        <v>783</v>
      </c>
      <c r="E8">
        <v>-3636</v>
      </c>
      <c r="F8">
        <v>466</v>
      </c>
      <c r="G8">
        <v>1661</v>
      </c>
      <c r="H8" t="s">
        <v>2664</v>
      </c>
      <c r="I8" t="str">
        <f>"{ name: "&amp;CHAR(34)&amp;A8&amp;CHAR(34)&amp;", landmark: "&amp;CHAR(34)&amp;"Old Map"&amp;CHAR(34)&amp;", type: "&amp;CHAR(34)&amp;B8&amp;CHAR(34)&amp;", region: "&amp;C8&amp;", level: "&amp;CHAR(34)&amp;D8&amp;CHAR(34)&amp;", x: "&amp;E8&amp;", y: "&amp;F8&amp;", z: "&amp;G8&amp;", details: "&amp;CHAR(34)&amp;H8&amp;CHAR(34)&amp;" },"</f>
        <v>{ name: "Tabantha Sky Archipelago 2", landmark: "Old Map", type: "Old Map", region: 3, level: "Sky", x: -3636, y: 466, z: 1661, details: "&lt;strong&gt;Treasure:&lt;/strong&gt; Cap of the Wild" },</v>
      </c>
    </row>
    <row r="9" spans="1:9" x14ac:dyDescent="0.2">
      <c r="A9" t="s">
        <v>2593</v>
      </c>
      <c r="B9" t="s">
        <v>2634</v>
      </c>
      <c r="C9">
        <v>4</v>
      </c>
      <c r="D9" t="s">
        <v>783</v>
      </c>
      <c r="E9">
        <v>-3470</v>
      </c>
      <c r="F9">
        <v>3518</v>
      </c>
      <c r="G9">
        <v>930</v>
      </c>
      <c r="H9" t="s">
        <v>2641</v>
      </c>
      <c r="I9" t="str">
        <f t="shared" si="0"/>
        <v>{ name: "Rising Island Chain", landmark: "Old Map", type: "Old Map", region: 4, level: "Sky", x: -3470, y: 3518, z: 930, details: "&lt;strong&gt;Treasure:&lt;/strong&gt; Miner's Mask" },</v>
      </c>
    </row>
    <row r="10" spans="1:9" x14ac:dyDescent="0.2">
      <c r="A10" t="s">
        <v>2595</v>
      </c>
      <c r="B10" t="s">
        <v>2634</v>
      </c>
      <c r="C10">
        <v>4</v>
      </c>
      <c r="D10" t="s">
        <v>783</v>
      </c>
      <c r="E10">
        <v>-3860</v>
      </c>
      <c r="F10">
        <v>2922</v>
      </c>
      <c r="G10">
        <v>747</v>
      </c>
      <c r="H10" t="s">
        <v>2642</v>
      </c>
      <c r="I10" t="str">
        <f t="shared" si="0"/>
        <v>{ name: "West Hebra Sky Archipelago 1", landmark: "Old Map", type: "Old Map", region: 4, level: "Sky", x: -3860, y: 2922, z: 747, details: "&lt;strong&gt;Treasure:&lt;/strong&gt; Miner's Top" },</v>
      </c>
    </row>
    <row r="11" spans="1:9" x14ac:dyDescent="0.2">
      <c r="A11" t="s">
        <v>2597</v>
      </c>
      <c r="B11" t="s">
        <v>2634</v>
      </c>
      <c r="C11">
        <v>4</v>
      </c>
      <c r="D11" t="s">
        <v>783</v>
      </c>
      <c r="E11">
        <v>-3834</v>
      </c>
      <c r="F11">
        <v>2720</v>
      </c>
      <c r="G11">
        <v>544</v>
      </c>
      <c r="H11" t="s">
        <v>2643</v>
      </c>
      <c r="I11" t="str">
        <f t="shared" si="0"/>
        <v>{ name: "West Hebra Sky Archipelago 2", landmark: "Old Map", type: "Old Map", region: 4, level: "Sky", x: -3834, y: 2720, z: 544, details: "&lt;strong&gt;Treasure:&lt;/strong&gt; Miner's Trousers" },</v>
      </c>
    </row>
    <row r="12" spans="1:9" x14ac:dyDescent="0.2">
      <c r="A12" s="21" t="s">
        <v>1004</v>
      </c>
      <c r="B12" t="s">
        <v>2634</v>
      </c>
      <c r="C12">
        <v>5</v>
      </c>
      <c r="D12" t="s">
        <v>783</v>
      </c>
      <c r="E12">
        <v>-1648</v>
      </c>
      <c r="F12">
        <v>3508</v>
      </c>
      <c r="G12">
        <v>747</v>
      </c>
      <c r="H12" t="s">
        <v>2644</v>
      </c>
      <c r="I12" t="str">
        <f t="shared" si="0"/>
        <v>{ name: "East Hebra Sky Archipelago", landmark: "Old Map", type: "Old Map", region: 5, level: "Sky", x: -1648, y: 3508, z: 747, details: "&lt;strong&gt;Treasure:&lt;/strong&gt; Ravio's Hood" },</v>
      </c>
    </row>
    <row r="13" spans="1:9" x14ac:dyDescent="0.2">
      <c r="A13" t="s">
        <v>1013</v>
      </c>
      <c r="B13" t="s">
        <v>2634</v>
      </c>
      <c r="C13">
        <v>6</v>
      </c>
      <c r="D13" t="s">
        <v>783</v>
      </c>
      <c r="E13">
        <v>435</v>
      </c>
      <c r="F13">
        <v>2196</v>
      </c>
      <c r="G13">
        <v>2243</v>
      </c>
      <c r="H13" t="s">
        <v>2635</v>
      </c>
      <c r="I13" t="str">
        <f>"{ name: "&amp;CHAR(34)&amp;A13&amp;CHAR(34)&amp;", landmark: "&amp;CHAR(34)&amp;"Old Map"&amp;CHAR(34)&amp;",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Hyrule Sky Archipelago", landmark: "Old Map", type: "Old Map", region: 6, level: "Sky", x: 435, y: 2196, z: 2243, details: "&lt;strong&gt;Treasure:&lt;/strong&gt; Korok Mask" },</v>
      </c>
    </row>
    <row r="14" spans="1:9" x14ac:dyDescent="0.2">
      <c r="A14" t="s">
        <v>1017</v>
      </c>
      <c r="B14" t="s">
        <v>2634</v>
      </c>
      <c r="C14">
        <v>7</v>
      </c>
      <c r="D14" t="s">
        <v>783</v>
      </c>
      <c r="E14">
        <v>1809</v>
      </c>
      <c r="F14">
        <v>1014</v>
      </c>
      <c r="G14">
        <v>1183</v>
      </c>
      <c r="H14" t="s">
        <v>2645</v>
      </c>
      <c r="I14" t="str">
        <f t="shared" si="0"/>
        <v>{ name: "South Eldin Sky Archipelago", landmark: "Old Map", type: "Old Map", region: 7, level: "Sky", x: 1809, y: 1014, z: 1183, details: "&lt;strong&gt;Treasure:&lt;/strong&gt; Biggoron's Sword" },</v>
      </c>
    </row>
    <row r="15" spans="1:9" x14ac:dyDescent="0.2">
      <c r="A15" t="s">
        <v>2601</v>
      </c>
      <c r="B15" t="s">
        <v>2634</v>
      </c>
      <c r="C15">
        <v>8</v>
      </c>
      <c r="D15" t="s">
        <v>783</v>
      </c>
      <c r="E15">
        <v>4267</v>
      </c>
      <c r="F15">
        <v>3108</v>
      </c>
      <c r="G15">
        <v>783</v>
      </c>
      <c r="H15" t="s">
        <v>2646</v>
      </c>
      <c r="I15" t="str">
        <f t="shared" si="0"/>
        <v>{ name: "North Akkala Sky Archipelago 1", landmark: "Old Map", type: "Old Map", region: 8, level: "Sky", x: 4267, y: 3108, z: 783, details: "&lt;strong&gt;Treasure:&lt;/strong&gt; Trousers of Twilight" },</v>
      </c>
    </row>
    <row r="16" spans="1:9" x14ac:dyDescent="0.2">
      <c r="A16" t="s">
        <v>2603</v>
      </c>
      <c r="B16" t="s">
        <v>2634</v>
      </c>
      <c r="C16">
        <v>8</v>
      </c>
      <c r="D16" t="s">
        <v>783</v>
      </c>
      <c r="E16">
        <v>3285</v>
      </c>
      <c r="F16">
        <v>3444</v>
      </c>
      <c r="G16">
        <v>794</v>
      </c>
      <c r="H16" t="s">
        <v>2647</v>
      </c>
      <c r="I16" t="str">
        <f t="shared" si="0"/>
        <v>{ name: "North Akkala Sky Archipelago 2", landmark: "Old Map", type: "Old Map", region: 8, level: "Sky", x: 3285, y: 3444, z: 794, details: "&lt;strong&gt;Treasure:&lt;/strong&gt; Cap of Twilight" },</v>
      </c>
    </row>
    <row r="17" spans="1:9" x14ac:dyDescent="0.2">
      <c r="A17" t="s">
        <v>1016</v>
      </c>
      <c r="B17" t="s">
        <v>2634</v>
      </c>
      <c r="C17">
        <v>8</v>
      </c>
      <c r="D17" t="s">
        <v>783</v>
      </c>
      <c r="E17">
        <v>3661</v>
      </c>
      <c r="F17">
        <v>1800</v>
      </c>
      <c r="G17">
        <v>988</v>
      </c>
      <c r="H17" t="s">
        <v>2648</v>
      </c>
      <c r="I17" t="str">
        <f t="shared" si="0"/>
        <v>{ name: "Sokkala Sky Archipelago", landmark: "Old Map", type: "Old Map", region: 8, level: "Sky", x: 3661, y: 1800, z: 988, details: "&lt;strong&gt;Treasure:&lt;/strong&gt; Tunic of Twilight" },</v>
      </c>
    </row>
    <row r="18" spans="1:9" x14ac:dyDescent="0.2">
      <c r="A18" t="s">
        <v>2606</v>
      </c>
      <c r="B18" t="s">
        <v>2634</v>
      </c>
      <c r="C18">
        <v>9</v>
      </c>
      <c r="D18" t="s">
        <v>783</v>
      </c>
      <c r="E18">
        <v>3691</v>
      </c>
      <c r="F18">
        <v>592</v>
      </c>
      <c r="G18">
        <v>1245</v>
      </c>
      <c r="H18" t="s">
        <v>2649</v>
      </c>
      <c r="I18" t="str">
        <f t="shared" si="0"/>
        <v>{ name: "Wellspring Island 1", landmark: "Old Map", type: "Old Map", region: 9, level: "Sky", x: 3691, y: 592, z: 1245, details: "&lt;strong&gt;Treasure:&lt;/strong&gt; Trousers of the Wind" },</v>
      </c>
    </row>
    <row r="19" spans="1:9" x14ac:dyDescent="0.2">
      <c r="A19" t="s">
        <v>2608</v>
      </c>
      <c r="B19" t="s">
        <v>2634</v>
      </c>
      <c r="C19">
        <v>9</v>
      </c>
      <c r="D19" t="s">
        <v>783</v>
      </c>
      <c r="E19">
        <v>3201</v>
      </c>
      <c r="F19">
        <v>598</v>
      </c>
      <c r="G19">
        <v>1417</v>
      </c>
      <c r="H19" t="s">
        <v>2650</v>
      </c>
      <c r="I19" t="str">
        <f t="shared" si="0"/>
        <v>{ name: "Wellspring Island 2", landmark: "Old Map", type: "Old Map", region: 9, level: "Sky", x: 3201, y: 598, z: 1417, details: "&lt;strong&gt;Treasure:&lt;/strong&gt; Cap of the Wind" },</v>
      </c>
    </row>
    <row r="20" spans="1:9" x14ac:dyDescent="0.2">
      <c r="A20" t="s">
        <v>1010</v>
      </c>
      <c r="B20" t="s">
        <v>2634</v>
      </c>
      <c r="C20">
        <v>9</v>
      </c>
      <c r="D20" t="s">
        <v>783</v>
      </c>
      <c r="E20">
        <v>3167</v>
      </c>
      <c r="F20">
        <v>459</v>
      </c>
      <c r="G20">
        <v>935</v>
      </c>
      <c r="H20" t="s">
        <v>2651</v>
      </c>
      <c r="I20" t="str">
        <f t="shared" si="0"/>
        <v>{ name: "Lanayru Sky Archipelago", landmark: "Old Map", type: "Old Map", region: 9, level: "Sky", x: 3167, y: 459, z: 935, details: "&lt;strong&gt;Treasure:&lt;/strong&gt; Tunic of the Wind" },</v>
      </c>
    </row>
    <row r="21" spans="1:9" x14ac:dyDescent="0.2">
      <c r="A21" s="21" t="s">
        <v>1174</v>
      </c>
      <c r="B21" t="s">
        <v>2634</v>
      </c>
      <c r="C21">
        <v>10</v>
      </c>
      <c r="D21" t="s">
        <v>783</v>
      </c>
      <c r="E21">
        <v>1662</v>
      </c>
      <c r="F21">
        <v>-352</v>
      </c>
      <c r="G21">
        <v>400</v>
      </c>
      <c r="H21" t="s">
        <v>2636</v>
      </c>
      <c r="I21" t="str">
        <f>"{ name: "&amp;CHAR(34)&amp;A21&amp;CHAR(34)&amp;", landmark: "&amp;CHAR(34)&amp;"Old Map"&amp;CHAR(34)&amp;",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"Central Hyrule Sky Archipelago", landmark: "Old Map", type: "Old Map", region: 10, level: "Sky", x: 1662, y: -352, z: 400, details: "&lt;strong&gt;Treasure:&lt;/strong&gt; Cap of Time" },</v>
      </c>
    </row>
    <row r="22" spans="1:9" x14ac:dyDescent="0.2">
      <c r="A22" t="s">
        <v>2615</v>
      </c>
      <c r="B22" t="s">
        <v>2634</v>
      </c>
      <c r="C22">
        <v>10</v>
      </c>
      <c r="D22" t="s">
        <v>783</v>
      </c>
      <c r="E22">
        <v>1852</v>
      </c>
      <c r="F22">
        <v>-980</v>
      </c>
      <c r="G22">
        <v>927</v>
      </c>
      <c r="H22" t="s">
        <v>2654</v>
      </c>
      <c r="I22" t="str">
        <f t="shared" si="0"/>
        <v>{ name: "North Necluda Sky Archipelago 1", landmark: "Old Map", type: "Old Map", region: 10, level: "Sky", x: 1852, y: -980, z: 927, details: "&lt;strong&gt;Treasure:&lt;/strong&gt; Tunic of Time" },</v>
      </c>
    </row>
    <row r="23" spans="1:9" x14ac:dyDescent="0.2">
      <c r="A23" t="s">
        <v>2617</v>
      </c>
      <c r="B23" t="s">
        <v>2634</v>
      </c>
      <c r="C23">
        <v>10</v>
      </c>
      <c r="D23" t="s">
        <v>783</v>
      </c>
      <c r="E23">
        <v>1814</v>
      </c>
      <c r="F23">
        <v>-1324</v>
      </c>
      <c r="G23">
        <v>890</v>
      </c>
      <c r="H23" t="s">
        <v>2655</v>
      </c>
      <c r="I23" t="str">
        <f t="shared" si="0"/>
        <v>{ name: "North Necluda Sky Archipelago 2", landmark: "Old Map", type: "Old Map", region: 10, level: "Sky", x: 1814, y: -1324, z: 890, details: "&lt;strong&gt;Treasure:&lt;/strong&gt; Trousers of Time" },</v>
      </c>
    </row>
    <row r="24" spans="1:9" x14ac:dyDescent="0.2">
      <c r="A24" t="s">
        <v>2775</v>
      </c>
      <c r="B24" t="s">
        <v>2634</v>
      </c>
      <c r="C24">
        <v>10</v>
      </c>
      <c r="D24" t="s">
        <v>783</v>
      </c>
      <c r="E24">
        <v>2644</v>
      </c>
      <c r="F24">
        <v>-1415</v>
      </c>
      <c r="G24">
        <v>1477</v>
      </c>
      <c r="H24" t="s">
        <v>2776</v>
      </c>
      <c r="I24" t="str">
        <f t="shared" si="0"/>
        <v>{ name: "East Necluda Sky Archipelago", landmark: "Old Map", type: "Old Map", region: 10, level: "Sky", x: 2644, y: -1415, z: 1477, details: "&lt;strong&gt;Treasure:&lt;/strong&gt; Sea-Breeze Shield" },</v>
      </c>
    </row>
    <row r="25" spans="1:9" x14ac:dyDescent="0.2">
      <c r="A25" s="21" t="s">
        <v>1027</v>
      </c>
      <c r="B25" t="s">
        <v>2634</v>
      </c>
      <c r="C25">
        <v>10</v>
      </c>
      <c r="D25" t="s">
        <v>783</v>
      </c>
      <c r="E25">
        <v>1651</v>
      </c>
      <c r="F25">
        <v>-2190</v>
      </c>
      <c r="G25">
        <v>565</v>
      </c>
      <c r="H25" t="s">
        <v>2657</v>
      </c>
      <c r="I25" t="str">
        <f>"{ name: "&amp;CHAR(34)&amp;A25&amp;CHAR(34)&amp;", landmark: "&amp;CHAR(34)&amp;"Old Map"&amp;CHAR(34)&amp;",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"West Necluda Sky Archipelago", landmark: "Old Map", type: "Old Map", region: 10, level: "Sky", x: 1651, y: -2190, z: 565, details: "&lt;strong&gt;Treasure:&lt;/strong&gt; Tunic of the Sky" },</v>
      </c>
    </row>
    <row r="26" spans="1:9" s="21" customFormat="1" x14ac:dyDescent="0.2">
      <c r="A26" s="21" t="s">
        <v>2611</v>
      </c>
      <c r="B26" s="21" t="s">
        <v>2634</v>
      </c>
      <c r="C26" s="21">
        <v>11</v>
      </c>
      <c r="D26" s="21" t="s">
        <v>783</v>
      </c>
      <c r="E26" s="21">
        <v>4659</v>
      </c>
      <c r="F26" s="21">
        <v>-869</v>
      </c>
      <c r="G26" s="21">
        <v>1758</v>
      </c>
      <c r="H26" s="21" t="s">
        <v>2652</v>
      </c>
      <c r="I26" s="21" t="str">
        <f>"{ name: "&amp;CHAR(34)&amp;A26&amp;CHAR(34)&amp;", landmark: "&amp;CHAR(34)&amp;"Old Map"&amp;CHAR(34)&amp;",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"South Lanayru Sky Archipelago 1", landmark: "Old Map", type: "Old Map", region: 11, level: "Sky", x: 4659, y: -869, z: 1758, details: "&lt;strong&gt;Treasure:&lt;/strong&gt; Midna's Helmet" },</v>
      </c>
    </row>
    <row r="27" spans="1:9" s="21" customFormat="1" x14ac:dyDescent="0.2">
      <c r="A27" s="21" t="s">
        <v>2613</v>
      </c>
      <c r="B27" s="21" t="s">
        <v>2634</v>
      </c>
      <c r="C27" s="21">
        <v>11</v>
      </c>
      <c r="D27" s="21" t="s">
        <v>783</v>
      </c>
      <c r="E27" s="21">
        <v>4750</v>
      </c>
      <c r="F27" s="21">
        <v>-777</v>
      </c>
      <c r="G27" s="21">
        <v>1863</v>
      </c>
      <c r="H27" s="21" t="s">
        <v>2653</v>
      </c>
      <c r="I27" s="21" t="str">
        <f>"{ name: "&amp;CHAR(34)&amp;A27&amp;CHAR(34)&amp;", landmark: "&amp;CHAR(34)&amp;"Old Map"&amp;CHAR(34)&amp;",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"South Lanayru Sky Archipelago 2", landmark: "Old Map", type: "Old Map", region: 11, level: "Sky", x: 4750, y: -777, z: 1863, details: "&lt;strong&gt;Treasure:&lt;/strong&gt; Zant's Helmet" },</v>
      </c>
    </row>
    <row r="28" spans="1:9" x14ac:dyDescent="0.2">
      <c r="A28" t="s">
        <v>1537</v>
      </c>
      <c r="B28" t="s">
        <v>2634</v>
      </c>
      <c r="C28">
        <v>12</v>
      </c>
      <c r="D28" t="s">
        <v>783</v>
      </c>
      <c r="E28">
        <v>2158</v>
      </c>
      <c r="F28">
        <v>-2592</v>
      </c>
      <c r="G28">
        <v>1262</v>
      </c>
      <c r="H28" t="s">
        <v>2656</v>
      </c>
      <c r="I28" t="str">
        <f t="shared" si="0"/>
        <v>{ name: "Necluda Sky Archipelago", landmark: "Old Map", type: "Old Map", region: 12, level: "Sky", x: 2158, y: -2592, z: 1262, details: "&lt;strong&gt;Treasure:&lt;/strong&gt; Sea-Breeze Boomerang" },</v>
      </c>
    </row>
    <row r="29" spans="1:9" x14ac:dyDescent="0.2">
      <c r="A29" t="s">
        <v>2623</v>
      </c>
      <c r="B29" t="s">
        <v>2634</v>
      </c>
      <c r="C29">
        <v>13</v>
      </c>
      <c r="D29" t="s">
        <v>783</v>
      </c>
      <c r="E29">
        <v>953</v>
      </c>
      <c r="F29">
        <v>-3112</v>
      </c>
      <c r="G29">
        <v>756</v>
      </c>
      <c r="H29" t="s">
        <v>2658</v>
      </c>
      <c r="I29" t="str">
        <f t="shared" si="0"/>
        <v>{ name: "Thunderhead Isles 1", landmark: "Old Map", type: "Old Map", region: 13, level: "Sky", x: 953, y: -3112, z: 756, details: "&lt;strong&gt;Treasure:&lt;/strong&gt; Trousers of the Sky" },</v>
      </c>
    </row>
    <row r="30" spans="1:9" x14ac:dyDescent="0.2">
      <c r="A30" t="s">
        <v>2625</v>
      </c>
      <c r="B30" t="s">
        <v>2634</v>
      </c>
      <c r="C30">
        <v>13</v>
      </c>
      <c r="D30" t="s">
        <v>783</v>
      </c>
      <c r="E30">
        <v>1133</v>
      </c>
      <c r="F30">
        <v>-3273</v>
      </c>
      <c r="G30">
        <v>757</v>
      </c>
      <c r="H30" t="s">
        <v>2659</v>
      </c>
      <c r="I30" t="str">
        <f t="shared" si="0"/>
        <v>{ name: "Thunderhead Isles 2", landmark: "Old Map", type: "Old Map", region: 13, level: "Sky", x: 1133, y: -3273, z: 757, details: "&lt;strong&gt;Treasure:&lt;/strong&gt; Cap of the Sky" },</v>
      </c>
    </row>
    <row r="31" spans="1:9" x14ac:dyDescent="0.2">
      <c r="A31" t="s">
        <v>1003</v>
      </c>
      <c r="B31" t="s">
        <v>2634</v>
      </c>
      <c r="C31">
        <v>14</v>
      </c>
      <c r="D31" t="s">
        <v>783</v>
      </c>
      <c r="E31">
        <v>-1955</v>
      </c>
      <c r="F31">
        <v>-1808</v>
      </c>
      <c r="G31">
        <v>1167</v>
      </c>
      <c r="H31" t="s">
        <v>2661</v>
      </c>
      <c r="I31" t="str">
        <f>"{ name: "&amp;CHAR(34)&amp;A31&amp;CHAR(34)&amp;", landmark: "&amp;CHAR(34)&amp;"Old Map"&amp;CHAR(34)&amp;",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"East Gerudo Sky Archipelago", landmark: "Old Map", type: "Old Map", region: 14, level: "Sky", x: -1955, y: -1808, z: 1167, details: "&lt;strong&gt;Treasure:&lt;/strong&gt; Sword of the Hero" },</v>
      </c>
    </row>
    <row r="32" spans="1:9" x14ac:dyDescent="0.2">
      <c r="A32" s="21" t="s">
        <v>1549</v>
      </c>
      <c r="B32" t="s">
        <v>2634</v>
      </c>
      <c r="C32">
        <v>15</v>
      </c>
      <c r="D32" t="s">
        <v>783</v>
      </c>
      <c r="E32">
        <v>-3377</v>
      </c>
      <c r="F32">
        <v>-21</v>
      </c>
      <c r="G32">
        <v>2284</v>
      </c>
      <c r="H32" t="s">
        <v>2660</v>
      </c>
      <c r="I32" t="str">
        <f t="shared" si="0"/>
        <v>{ name: "North Gerudo Sky Archipelago", landmark: "Old Map", type: "Old Map", region: 15, level: "Sky", x: -3377, y: -21, z: 2284, details: "&lt;strong&gt;Treasure:&lt;/strong&gt; Majora's Mask" },</v>
      </c>
    </row>
    <row r="33" spans="1:9" x14ac:dyDescent="0.2">
      <c r="A33" s="21"/>
    </row>
    <row r="34" spans="1:9" x14ac:dyDescent="0.2">
      <c r="A34" s="6" t="s">
        <v>781</v>
      </c>
      <c r="B34" s="6" t="s">
        <v>2141</v>
      </c>
      <c r="C34" s="6" t="s">
        <v>2132</v>
      </c>
      <c r="D34" s="6" t="s">
        <v>777</v>
      </c>
      <c r="E34" s="6" t="s">
        <v>778</v>
      </c>
      <c r="F34" s="6" t="s">
        <v>779</v>
      </c>
      <c r="G34" s="6" t="s">
        <v>780</v>
      </c>
      <c r="H34" s="6" t="s">
        <v>2139</v>
      </c>
      <c r="I34" s="6" t="s">
        <v>2133</v>
      </c>
    </row>
    <row r="35" spans="1:9" x14ac:dyDescent="0.2">
      <c r="A35" t="s">
        <v>2596</v>
      </c>
      <c r="B35" t="s">
        <v>2582</v>
      </c>
      <c r="C35">
        <v>1</v>
      </c>
      <c r="D35" t="s">
        <v>1002</v>
      </c>
      <c r="E35">
        <v>-1077</v>
      </c>
      <c r="F35">
        <v>-556</v>
      </c>
      <c r="G35">
        <v>-514</v>
      </c>
      <c r="H35" t="s">
        <v>2672</v>
      </c>
      <c r="I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"Miner's Top", landmark: "Treasure", type: "Treasure", region: 1, level: "Depths", x: -1077, y: -556, z: -514, details: "&lt;strong&gt;Old Map:&lt;/strong&gt; West Hebra Sky Archipelago 1" },</v>
      </c>
    </row>
    <row r="36" spans="1:9" x14ac:dyDescent="0.2">
      <c r="A36" t="s">
        <v>2627</v>
      </c>
      <c r="B36" t="s">
        <v>2582</v>
      </c>
      <c r="C36">
        <v>2</v>
      </c>
      <c r="D36" t="s">
        <v>1002</v>
      </c>
      <c r="E36">
        <v>-1151</v>
      </c>
      <c r="F36">
        <v>-1263</v>
      </c>
      <c r="G36">
        <v>-499</v>
      </c>
      <c r="H36" t="s">
        <v>2690</v>
      </c>
      <c r="I36" t="str">
        <f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"Majora's Mask", landmark: "Treasure", type: "Treasure", region: 2, level: "Depths", x: -1151, y: -1263, z: -499, details: "&lt;strong&gt;Old Map:&lt;/strong&gt; North Gerudo Sky Archipelago" },</v>
      </c>
    </row>
    <row r="37" spans="1:9" x14ac:dyDescent="0.2">
      <c r="A37" t="s">
        <v>2598</v>
      </c>
      <c r="B37" t="s">
        <v>2582</v>
      </c>
      <c r="C37">
        <v>2</v>
      </c>
      <c r="D37" t="s">
        <v>1002</v>
      </c>
      <c r="E37">
        <v>-1287</v>
      </c>
      <c r="F37">
        <v>-2251</v>
      </c>
      <c r="G37">
        <v>-707</v>
      </c>
      <c r="H37" t="s">
        <v>2673</v>
      </c>
      <c r="I37" t="str">
        <f>"{ name: "&amp;CHAR(34)&amp;A37&amp;CHAR(34)&amp;", landmark: "&amp;CHAR(34)&amp;"Treasure"&amp;CHAR(34)&amp;", type: "&amp;CHAR(34)&amp;B37&amp;CHAR(34)&amp;", region: "&amp;C37&amp;", level: "&amp;CHAR(34)&amp;D37&amp;CHAR(34)&amp;", x: "&amp;E37&amp;", y: "&amp;F37&amp;", z: "&amp;G37&amp;", details: "&amp;CHAR(34)&amp;H37&amp;CHAR(34)&amp;" },"</f>
        <v>{ name: "Miner's Trousers", landmark: "Treasure", type: "Treasure", region: 2, level: "Depths", x: -1287, y: -2251, z: -707, details: "&lt;strong&gt;Old Map:&lt;/strong&gt; West Hebra Sky Archipelago 2" },</v>
      </c>
    </row>
    <row r="38" spans="1:9" x14ac:dyDescent="0.2">
      <c r="A38" t="s">
        <v>2628</v>
      </c>
      <c r="B38" t="s">
        <v>2582</v>
      </c>
      <c r="C38">
        <v>2</v>
      </c>
      <c r="D38" t="s">
        <v>1002</v>
      </c>
      <c r="E38">
        <v>-2048</v>
      </c>
      <c r="F38">
        <v>-1129</v>
      </c>
      <c r="G38">
        <v>-526</v>
      </c>
      <c r="H38" t="s">
        <v>2691</v>
      </c>
      <c r="I38" t="str">
        <f>"{ name: "&amp;CHAR(34)&amp;A38&amp;CHAR(34)&amp;", landmark: "&amp;CHAR(34)&amp;"Treasure"&amp;CHAR(34)&amp;", type: "&amp;CHAR(34)&amp;B38&amp;CHAR(34)&amp;", region: "&amp;C38&amp;", level: "&amp;CHAR(34)&amp;D38&amp;CHAR(34)&amp;", x: "&amp;E38&amp;", y: "&amp;F38&amp;", z: "&amp;G38&amp;", details: "&amp;CHAR(34)&amp;H38&amp;CHAR(34)&amp;" },"</f>
        <v>{ name: "Sword of the Hero", landmark: "Treasure", type: "Treasure", region: 2, level: "Depths", x: -2048, y: -1129, z: -526, details: "&lt;strong&gt;Old Map:&lt;/strong&gt; East Gerudo Sky Archipelago" },</v>
      </c>
    </row>
    <row r="39" spans="1:9" x14ac:dyDescent="0.2">
      <c r="A39" t="s">
        <v>2610</v>
      </c>
      <c r="B39" t="s">
        <v>2582</v>
      </c>
      <c r="C39">
        <v>3</v>
      </c>
      <c r="D39" t="s">
        <v>1002</v>
      </c>
      <c r="E39">
        <v>-3788</v>
      </c>
      <c r="F39">
        <v>1344</v>
      </c>
      <c r="G39">
        <v>-682</v>
      </c>
      <c r="H39" t="s">
        <v>2681</v>
      </c>
      <c r="I39" t="str">
        <f>"{ name: "&amp;CHAR(34)&amp;A39&amp;CHAR(34)&amp;", landmark: "&amp;CHAR(34)&amp;"Treasure"&amp;CHAR(34)&amp;", type: "&amp;CHAR(34)&amp;B39&amp;CHAR(34)&amp;", region: "&amp;C39&amp;", level: "&amp;CHAR(34)&amp;D39&amp;CHAR(34)&amp;", x: "&amp;E39&amp;", y: "&amp;F39&amp;", z: "&amp;G39&amp;", details: "&amp;CHAR(34)&amp;H39&amp;CHAR(34)&amp;" },"</f>
        <v>{ name: "Tunic of the Wind", landmark: "Treasure", type: "Treasure", region: 3, level: "Depths", x: -3788, y: 1344, z: -682, details: "&lt;strong&gt;Old Map:&lt;/strong&gt; Lanayru Sky Archipelago" },</v>
      </c>
    </row>
    <row r="40" spans="1:9" x14ac:dyDescent="0.2">
      <c r="A40" t="s">
        <v>2616</v>
      </c>
      <c r="B40" t="s">
        <v>2582</v>
      </c>
      <c r="C40">
        <v>3</v>
      </c>
      <c r="D40" t="s">
        <v>1002</v>
      </c>
      <c r="E40">
        <v>-2002</v>
      </c>
      <c r="F40">
        <v>1309</v>
      </c>
      <c r="G40">
        <v>-715</v>
      </c>
      <c r="H40" t="s">
        <v>2684</v>
      </c>
      <c r="I40" t="str">
        <f>"{ name: "&amp;CHAR(34)&amp;A40&amp;CHAR(34)&amp;", landmark: "&amp;CHAR(34)&amp;"Treasure"&amp;CHAR(34)&amp;", type: "&amp;CHAR(34)&amp;B40&amp;CHAR(34)&amp;", region: "&amp;C40&amp;", level: "&amp;CHAR(34)&amp;D40&amp;CHAR(34)&amp;", x: "&amp;E40&amp;", y: "&amp;F40&amp;", z: "&amp;G40&amp;", details: "&amp;CHAR(34)&amp;H40&amp;CHAR(34)&amp;" },"</f>
        <v>{ name: "Tunic of Time", landmark: "Treasure", type: "Treasure", region: 3, level: "Depths", x: -2002, y: 1309, z: -715, details: "&lt;strong&gt;Old Map:&lt;/strong&gt; North Necluda Sky Archipelago 1" },</v>
      </c>
    </row>
    <row r="41" spans="1:9" x14ac:dyDescent="0.2">
      <c r="A41" t="s">
        <v>2633</v>
      </c>
      <c r="B41" t="s">
        <v>2582</v>
      </c>
      <c r="C41">
        <v>4</v>
      </c>
      <c r="D41" t="s">
        <v>1002</v>
      </c>
      <c r="E41">
        <v>-3956</v>
      </c>
      <c r="F41">
        <v>3723</v>
      </c>
      <c r="G41">
        <v>-858</v>
      </c>
      <c r="H41" t="s">
        <v>2694</v>
      </c>
      <c r="I41" t="str">
        <f>"{ name: "&amp;CHAR(34)&amp;A41&amp;CHAR(34)&amp;", landmark: "&amp;CHAR(34)&amp;"Treasure"&amp;CHAR(34)&amp;", type: "&amp;CHAR(34)&amp;B41&amp;CHAR(34)&amp;", region: "&amp;C41&amp;", level: "&amp;CHAR(34)&amp;D41&amp;CHAR(34)&amp;", x: "&amp;E41&amp;", y: "&amp;F41&amp;", z: "&amp;G41&amp;", details: "&amp;CHAR(34)&amp;H41&amp;CHAR(34)&amp;" },"</f>
        <v>{ name: "Cap of the Wild", landmark: "Treasure", type: "Treasure", region: 4, level: "Depths", x: -3956, y: 3723, z: -858, details: "&lt;strong&gt;Old Map:&lt;/strong&gt; Tabantha Sky Archipelago 2" },</v>
      </c>
    </row>
    <row r="42" spans="1:9" x14ac:dyDescent="0.2">
      <c r="A42" t="s">
        <v>2584</v>
      </c>
      <c r="B42" t="s">
        <v>2582</v>
      </c>
      <c r="C42">
        <v>4</v>
      </c>
      <c r="D42" t="s">
        <v>1002</v>
      </c>
      <c r="E42">
        <v>-4079</v>
      </c>
      <c r="F42">
        <v>2799</v>
      </c>
      <c r="G42">
        <v>-450</v>
      </c>
      <c r="H42" t="s">
        <v>2666</v>
      </c>
      <c r="I42" t="str">
        <f>"{ name: "&amp;CHAR(34)&amp;A42&amp;CHAR(34)&amp;", landmark: "&amp;CHAR(34)&amp;"Treasure"&amp;CHAR(34)&amp;", type: "&amp;CHAR(34)&amp;B42&amp;CHAR(34)&amp;", region: "&amp;C42&amp;", level: "&amp;CHAR(34)&amp;D42&amp;CHAR(34)&amp;", x: "&amp;E42&amp;", y: "&amp;F42&amp;", z: "&amp;G42&amp;", details: "&amp;CHAR(34)&amp;H42&amp;CHAR(34)&amp;" },"</f>
        <v>{ name: "Cap of Time", landmark: "Treasure", type: "Treasure", region: 4, level: "Depths", x: -4079, y: 2799, z: -450, details: "&lt;strong&gt;Old Map:&lt;/strong&gt; Central Hyrule Sky Archipelago" },</v>
      </c>
    </row>
    <row r="43" spans="1:9" x14ac:dyDescent="0.2">
      <c r="A43" t="s">
        <v>2621</v>
      </c>
      <c r="B43" t="s">
        <v>2582</v>
      </c>
      <c r="C43">
        <v>4</v>
      </c>
      <c r="D43" t="s">
        <v>1002</v>
      </c>
      <c r="E43">
        <v>-2736</v>
      </c>
      <c r="F43">
        <v>2918</v>
      </c>
      <c r="G43">
        <v>-1120</v>
      </c>
      <c r="H43" t="s">
        <v>2686</v>
      </c>
      <c r="I43" t="str">
        <f>"{ name: "&amp;CHAR(34)&amp;A43&amp;CHAR(34)&amp;", landmark: "&amp;CHAR(34)&amp;"Treasure"&amp;CHAR(34)&amp;", type: "&amp;CHAR(34)&amp;B43&amp;CHAR(34)&amp;", region: "&amp;C43&amp;", level: "&amp;CHAR(34)&amp;D43&amp;CHAR(34)&amp;", x: "&amp;E43&amp;", y: "&amp;F43&amp;", z: "&amp;G43&amp;", details: "&amp;CHAR(34)&amp;H43&amp;CHAR(34)&amp;" },"</f>
        <v>{ name: "Sea-Breeze Boomerang", landmark: "Treasure", type: "Treasure", region: 4, level: "Depths", x: -2736, y: 2918, z: -1120, details: "&lt;strong&gt;Old Map:&lt;/strong&gt; Necluda Sky Archipelago" },</v>
      </c>
    </row>
    <row r="44" spans="1:9" x14ac:dyDescent="0.2">
      <c r="A44" t="s">
        <v>2586</v>
      </c>
      <c r="B44" t="s">
        <v>2582</v>
      </c>
      <c r="C44">
        <v>4</v>
      </c>
      <c r="D44" t="s">
        <v>1002</v>
      </c>
      <c r="E44">
        <v>-3354</v>
      </c>
      <c r="F44">
        <v>2312</v>
      </c>
      <c r="G44">
        <v>-812</v>
      </c>
      <c r="H44" t="s">
        <v>2667</v>
      </c>
      <c r="I44" t="str">
        <f>"{ name: "&amp;CHAR(34)&amp;A44&amp;CHAR(34)&amp;", landmark: "&amp;CHAR(34)&amp;"Treasure"&amp;CHAR(34)&amp;", type: "&amp;CHAR(34)&amp;B44&amp;CHAR(34)&amp;", region: "&amp;C44&amp;", level: "&amp;CHAR(34)&amp;D44&amp;CHAR(34)&amp;", x: "&amp;E44&amp;", y: "&amp;F44&amp;", z: "&amp;G44&amp;", details: "&amp;CHAR(34)&amp;H44&amp;CHAR(34)&amp;" },"</f>
        <v>{ name: "Trousers of the Hero", landmark: "Treasure", type: "Treasure", region: 4, level: "Depths", x: -3354, y: 2312, z: -812, details: "&lt;strong&gt;Old Map:&lt;/strong&gt; South Hyrule Sky Archipelago 1" },</v>
      </c>
    </row>
    <row r="45" spans="1:9" x14ac:dyDescent="0.2">
      <c r="A45" t="s">
        <v>2604</v>
      </c>
      <c r="B45" t="s">
        <v>2582</v>
      </c>
      <c r="C45">
        <v>6</v>
      </c>
      <c r="D45" t="s">
        <v>1002</v>
      </c>
      <c r="E45">
        <v>263</v>
      </c>
      <c r="F45">
        <v>3121</v>
      </c>
      <c r="G45">
        <v>-623</v>
      </c>
      <c r="H45" t="s">
        <v>2677</v>
      </c>
      <c r="I45" t="str">
        <f>"{ name: "&amp;CHAR(34)&amp;A45&amp;CHAR(34)&amp;", landmark: "&amp;CHAR(34)&amp;"Treasure"&amp;CHAR(34)&amp;", type: "&amp;CHAR(34)&amp;B45&amp;CHAR(34)&amp;", region: "&amp;C45&amp;", level: "&amp;CHAR(34)&amp;D45&amp;CHAR(34)&amp;", x: "&amp;E45&amp;", y: "&amp;F45&amp;", z: "&amp;G45&amp;", details: "&amp;CHAR(34)&amp;H45&amp;CHAR(34)&amp;" },"</f>
        <v>{ name: "Cap of Twilight", landmark: "Treasure", type: "Treasure", region: 6, level: "Depths", x: 263, y: 3121, z: -623, details: "&lt;strong&gt;Old Map:&lt;/strong&gt; North Akkala Sky Archipelago 2" },</v>
      </c>
    </row>
    <row r="46" spans="1:9" x14ac:dyDescent="0.2">
      <c r="A46" t="s">
        <v>2583</v>
      </c>
      <c r="B46" t="s">
        <v>2582</v>
      </c>
      <c r="C46">
        <v>6</v>
      </c>
      <c r="D46" t="s">
        <v>1002</v>
      </c>
      <c r="E46">
        <v>-114</v>
      </c>
      <c r="F46">
        <v>2433</v>
      </c>
      <c r="G46">
        <v>-620</v>
      </c>
      <c r="H46" t="s">
        <v>2665</v>
      </c>
      <c r="I46" t="str">
        <f>"{ name: "&amp;CHAR(34)&amp;A46&amp;CHAR(34)&amp;", landmark: "&amp;CHAR(34)&amp;"Treasure"&amp;CHAR(34)&amp;", type: "&amp;CHAR(34)&amp;B46&amp;CHAR(34)&amp;", region: "&amp;C46&amp;", level: "&amp;CHAR(34)&amp;D46&amp;CHAR(34)&amp;", x: "&amp;E46&amp;", y: "&amp;F46&amp;", z: "&amp;G46&amp;", details: "&amp;CHAR(34)&amp;H46&amp;CHAR(34)&amp;" },"</f>
        <v>{ name: "Korok Mask", landmark: "Treasure", type: "Treasure", region: 6, level: "Depths", x: -114, y: 2433, z: -620, details: "&lt;strong&gt;Old Map:&lt;/strong&gt; North Hyrule Sky Archipelago" },</v>
      </c>
    </row>
    <row r="47" spans="1:9" x14ac:dyDescent="0.2">
      <c r="A47" t="s">
        <v>2631</v>
      </c>
      <c r="B47" t="s">
        <v>2582</v>
      </c>
      <c r="C47">
        <v>6</v>
      </c>
      <c r="D47" t="s">
        <v>1002</v>
      </c>
      <c r="E47">
        <v>1674</v>
      </c>
      <c r="F47">
        <v>3723</v>
      </c>
      <c r="G47">
        <v>-561</v>
      </c>
      <c r="H47" t="s">
        <v>2693</v>
      </c>
      <c r="I47" t="str">
        <f>"{ name: "&amp;CHAR(34)&amp;A47&amp;CHAR(34)&amp;", landmark: "&amp;CHAR(34)&amp;"Treasure"&amp;CHAR(34)&amp;", type: "&amp;CHAR(34)&amp;B47&amp;CHAR(34)&amp;", region: "&amp;C47&amp;", level: "&amp;CHAR(34)&amp;D47&amp;CHAR(34)&amp;", x: "&amp;E47&amp;", y: "&amp;F47&amp;", z: "&amp;G47&amp;", details: "&amp;CHAR(34)&amp;H47&amp;CHAR(34)&amp;" },"</f>
        <v>{ name: "Trousers of the Wild", landmark: "Treasure", type: "Treasure", region: 6, level: "Depths", x: 1674, y: 3723, z: -561, details: "&lt;strong&gt;Old Map:&lt;/strong&gt; Tabantha Sky Archipelago 1" },</v>
      </c>
    </row>
    <row r="48" spans="1:9" x14ac:dyDescent="0.2">
      <c r="A48" t="s">
        <v>2622</v>
      </c>
      <c r="B48" t="s">
        <v>2582</v>
      </c>
      <c r="C48">
        <v>7</v>
      </c>
      <c r="D48" t="s">
        <v>1002</v>
      </c>
      <c r="E48">
        <v>1022</v>
      </c>
      <c r="F48">
        <v>1408</v>
      </c>
      <c r="G48">
        <v>-543</v>
      </c>
      <c r="H48" t="s">
        <v>2687</v>
      </c>
      <c r="I48" t="str">
        <f>"{ name: "&amp;CHAR(34)&amp;A48&amp;CHAR(34)&amp;", landmark: "&amp;CHAR(34)&amp;"Treasure"&amp;CHAR(34)&amp;", type: "&amp;CHAR(34)&amp;B48&amp;CHAR(34)&amp;", region: "&amp;C48&amp;", level: "&amp;CHAR(34)&amp;D48&amp;CHAR(34)&amp;", x: "&amp;E48&amp;", y: "&amp;F48&amp;", z: "&amp;G48&amp;", details: "&amp;CHAR(34)&amp;H48&amp;CHAR(34)&amp;" },"</f>
        <v>{ name: "Tunic of the Sky", landmark: "Treasure", type: "Treasure", region: 7, level: "Depths", x: 1022, y: 1408, z: -543, details: "&lt;strong&gt;Old Map:&lt;/strong&gt; West Necluda Sky Archipelago" },</v>
      </c>
    </row>
    <row r="49" spans="1:9" x14ac:dyDescent="0.2">
      <c r="A49" t="s">
        <v>2614</v>
      </c>
      <c r="B49" t="s">
        <v>2582</v>
      </c>
      <c r="C49">
        <v>7</v>
      </c>
      <c r="D49" t="s">
        <v>1002</v>
      </c>
      <c r="E49">
        <v>2142</v>
      </c>
      <c r="F49">
        <v>3183</v>
      </c>
      <c r="G49">
        <v>-838</v>
      </c>
      <c r="H49" t="s">
        <v>2683</v>
      </c>
      <c r="I49" t="str">
        <f>"{ name: "&amp;CHAR(34)&amp;A49&amp;CHAR(34)&amp;", landmark: "&amp;CHAR(34)&amp;"Treasure"&amp;CHAR(34)&amp;", type: "&amp;CHAR(34)&amp;B49&amp;CHAR(34)&amp;", region: "&amp;C49&amp;", level: "&amp;CHAR(34)&amp;D49&amp;CHAR(34)&amp;", x: "&amp;E49&amp;", y: "&amp;F49&amp;", z: "&amp;G49&amp;", details: "&amp;CHAR(34)&amp;H49&amp;CHAR(34)&amp;" },"</f>
        <v>{ name: "Zant's Helmet", landmark: "Treasure", type: "Treasure", region: 7, level: "Depths", x: 2142, y: 3183, z: -838, details: "&lt;strong&gt;Old Map:&lt;/strong&gt; South Lanayru Sky Archipelago 2" },</v>
      </c>
    </row>
    <row r="50" spans="1:9" x14ac:dyDescent="0.2">
      <c r="A50" t="s">
        <v>2600</v>
      </c>
      <c r="B50" t="s">
        <v>2582</v>
      </c>
      <c r="C50">
        <v>8</v>
      </c>
      <c r="D50" t="s">
        <v>1002</v>
      </c>
      <c r="E50">
        <v>3240</v>
      </c>
      <c r="F50">
        <v>3446</v>
      </c>
      <c r="G50">
        <v>-430</v>
      </c>
      <c r="H50" t="s">
        <v>2675</v>
      </c>
      <c r="I50" t="str">
        <f>"{ name: "&amp;CHAR(34)&amp;A50&amp;CHAR(34)&amp;", landmark: "&amp;CHAR(34)&amp;"Treasure"&amp;CHAR(34)&amp;", type: "&amp;CHAR(34)&amp;B50&amp;CHAR(34)&amp;", region: "&amp;C50&amp;", level: "&amp;CHAR(34)&amp;D50&amp;CHAR(34)&amp;", x: "&amp;E50&amp;", y: "&amp;F50&amp;", z: "&amp;G50&amp;", details: "&amp;CHAR(34)&amp;H50&amp;CHAR(34)&amp;" },"</f>
        <v>{ name: "Biggoron's Sword", landmark: "Treasure", type: "Treasure", region: 8, level: "Depths", x: 3240, y: 3446, z: -430, details: "&lt;strong&gt;Old Map:&lt;/strong&gt; South Eldin Sky Archipelago" },</v>
      </c>
    </row>
    <row r="51" spans="1:9" x14ac:dyDescent="0.2">
      <c r="A51" t="s">
        <v>2602</v>
      </c>
      <c r="B51" t="s">
        <v>2582</v>
      </c>
      <c r="C51">
        <v>8</v>
      </c>
      <c r="D51" t="s">
        <v>1002</v>
      </c>
      <c r="E51">
        <v>3318</v>
      </c>
      <c r="F51">
        <v>1506</v>
      </c>
      <c r="G51">
        <v>-856</v>
      </c>
      <c r="H51" t="s">
        <v>2676</v>
      </c>
      <c r="I51" t="str">
        <f>"{ name: "&amp;CHAR(34)&amp;A51&amp;CHAR(34)&amp;", landmark: "&amp;CHAR(34)&amp;"Treasure"&amp;CHAR(34)&amp;", type: "&amp;CHAR(34)&amp;B51&amp;CHAR(34)&amp;", region: "&amp;C51&amp;", level: "&amp;CHAR(34)&amp;D51&amp;CHAR(34)&amp;", x: "&amp;E51&amp;", y: "&amp;F51&amp;", z: "&amp;G51&amp;", details: "&amp;CHAR(34)&amp;H51&amp;CHAR(34)&amp;" },"</f>
        <v>{ name: "Trousers of Twilight", landmark: "Treasure", type: "Treasure", region: 8, level: "Depths", x: 3318, y: 1506, z: -856, details: "&lt;strong&gt;Old Map:&lt;/strong&gt; North Akkala Sky Archipelago 1" },</v>
      </c>
    </row>
    <row r="52" spans="1:9" x14ac:dyDescent="0.2">
      <c r="A52" t="s">
        <v>2605</v>
      </c>
      <c r="B52" t="s">
        <v>2582</v>
      </c>
      <c r="C52">
        <v>8</v>
      </c>
      <c r="D52" t="s">
        <v>1002</v>
      </c>
      <c r="E52">
        <v>4517</v>
      </c>
      <c r="F52">
        <v>2169</v>
      </c>
      <c r="G52">
        <v>-454</v>
      </c>
      <c r="H52" t="s">
        <v>2678</v>
      </c>
      <c r="I52" t="str">
        <f>"{ name: "&amp;CHAR(34)&amp;A52&amp;CHAR(34)&amp;", landmark: "&amp;CHAR(34)&amp;"Treasure"&amp;CHAR(34)&amp;", type: "&amp;CHAR(34)&amp;B52&amp;CHAR(34)&amp;", region: "&amp;C52&amp;", level: "&amp;CHAR(34)&amp;D52&amp;CHAR(34)&amp;", x: "&amp;E52&amp;", y: "&amp;F52&amp;", z: "&amp;G52&amp;", details: "&amp;CHAR(34)&amp;H52&amp;CHAR(34)&amp;" },"</f>
        <v>{ name: "Tunic of Twilight", landmark: "Treasure", type: "Treasure", region: 8, level: "Depths", x: 4517, y: 2169, z: -454, details: "&lt;strong&gt;Old Map:&lt;/strong&gt; Sokkala Sky Archipelago" },</v>
      </c>
    </row>
    <row r="53" spans="1:9" x14ac:dyDescent="0.2">
      <c r="A53" t="s">
        <v>2609</v>
      </c>
      <c r="B53" t="s">
        <v>2582</v>
      </c>
      <c r="C53">
        <v>9</v>
      </c>
      <c r="D53" t="s">
        <v>1002</v>
      </c>
      <c r="E53">
        <v>4654</v>
      </c>
      <c r="F53">
        <v>621</v>
      </c>
      <c r="G53">
        <v>-722</v>
      </c>
      <c r="H53" t="s">
        <v>2680</v>
      </c>
      <c r="I53" t="str">
        <f>"{ name: "&amp;CHAR(34)&amp;A53&amp;CHAR(34)&amp;", landmark: "&amp;CHAR(34)&amp;"Treasure"&amp;CHAR(34)&amp;", type: "&amp;CHAR(34)&amp;B53&amp;CHAR(34)&amp;", region: "&amp;C53&amp;", level: "&amp;CHAR(34)&amp;D53&amp;CHAR(34)&amp;", x: "&amp;E53&amp;", y: "&amp;F53&amp;", z: "&amp;G53&amp;", details: "&amp;CHAR(34)&amp;H53&amp;CHAR(34)&amp;" },"</f>
        <v>{ name: "Cap of the Wind", landmark: "Treasure", type: "Treasure", region: 9, level: "Depths", x: 4654, y: 621, z: -722, details: "&lt;strong&gt;Old Map:&lt;/strong&gt; Wellspring Island 2" },</v>
      </c>
    </row>
    <row r="54" spans="1:9" x14ac:dyDescent="0.2">
      <c r="A54" t="s">
        <v>2620</v>
      </c>
      <c r="B54" t="s">
        <v>2582</v>
      </c>
      <c r="C54">
        <v>9</v>
      </c>
      <c r="D54" t="s">
        <v>1002</v>
      </c>
      <c r="E54">
        <v>2667</v>
      </c>
      <c r="F54">
        <v>252</v>
      </c>
      <c r="G54">
        <v>-559</v>
      </c>
      <c r="H54" t="s">
        <v>2777</v>
      </c>
      <c r="I54" t="str">
        <f>"{ name: "&amp;CHAR(34)&amp;A54&amp;CHAR(34)&amp;", landmark: "&amp;CHAR(34)&amp;"Treasure"&amp;CHAR(34)&amp;", type: "&amp;CHAR(34)&amp;B54&amp;CHAR(34)&amp;", region: "&amp;C54&amp;", level: "&amp;CHAR(34)&amp;D54&amp;CHAR(34)&amp;", x: "&amp;E54&amp;", y: "&amp;F54&amp;", z: "&amp;G54&amp;", details: "&amp;CHAR(34)&amp;H54&amp;CHAR(34)&amp;" },"</f>
        <v>{ name: "Sea-Breeze Shield", landmark: "Treasure", type: "Treasure", region: 9, level: "Depths", x: 2667, y: 252, z: -559, details: "&lt;strong&gt;Old Map:&lt;/strong&gt; East Necluda Sky Archipelago" },</v>
      </c>
    </row>
    <row r="55" spans="1:9" x14ac:dyDescent="0.2">
      <c r="A55" t="s">
        <v>2624</v>
      </c>
      <c r="B55" t="s">
        <v>2582</v>
      </c>
      <c r="C55">
        <v>10</v>
      </c>
      <c r="D55" t="s">
        <v>1002</v>
      </c>
      <c r="E55">
        <v>1164</v>
      </c>
      <c r="F55">
        <v>426</v>
      </c>
      <c r="G55">
        <v>-580</v>
      </c>
      <c r="H55" t="s">
        <v>2688</v>
      </c>
      <c r="I55" t="str">
        <f>"{ name: "&amp;CHAR(34)&amp;A55&amp;CHAR(34)&amp;", landmark: "&amp;CHAR(34)&amp;"Treasure"&amp;CHAR(34)&amp;", type: "&amp;CHAR(34)&amp;B55&amp;CHAR(34)&amp;", region: "&amp;C55&amp;", level: "&amp;CHAR(34)&amp;D55&amp;CHAR(34)&amp;", x: "&amp;E55&amp;", y: "&amp;F55&amp;", z: "&amp;G55&amp;", details: "&amp;CHAR(34)&amp;H55&amp;CHAR(34)&amp;" },"</f>
        <v>{ name: "Trousers of the Sky", landmark: "Treasure", type: "Treasure", region: 10, level: "Depths", x: 1164, y: 426, z: -580, details: "&lt;strong&gt;Old Map:&lt;/strong&gt; Thunderhead Isles 1" },</v>
      </c>
    </row>
    <row r="56" spans="1:9" x14ac:dyDescent="0.2">
      <c r="A56" t="s">
        <v>2588</v>
      </c>
      <c r="B56" t="s">
        <v>2582</v>
      </c>
      <c r="C56">
        <v>10</v>
      </c>
      <c r="D56" t="s">
        <v>1002</v>
      </c>
      <c r="E56">
        <v>1283</v>
      </c>
      <c r="F56">
        <v>-1811</v>
      </c>
      <c r="G56">
        <v>-784</v>
      </c>
      <c r="H56" t="s">
        <v>2668</v>
      </c>
      <c r="I56" t="str">
        <f>"{ name: "&amp;CHAR(34)&amp;A56&amp;CHAR(34)&amp;", landmark: "&amp;CHAR(34)&amp;"Treasure"&amp;CHAR(34)&amp;", type: "&amp;CHAR(34)&amp;B56&amp;CHAR(34)&amp;", region: "&amp;C56&amp;", level: "&amp;CHAR(34)&amp;D56&amp;CHAR(34)&amp;", x: "&amp;E56&amp;", y: "&amp;F56&amp;", z: "&amp;G56&amp;", details: "&amp;CHAR(34)&amp;H56&amp;CHAR(34)&amp;" },"</f>
        <v>{ name: "Tunic of the Hero", landmark: "Treasure", type: "Treasure", region: 10, level: "Depths", x: 1283, y: -1811, z: -784, details: "&lt;strong&gt;Old Map:&lt;/strong&gt; South Hyrule Sky Archipelago 2" },</v>
      </c>
    </row>
    <row r="57" spans="1:9" x14ac:dyDescent="0.2">
      <c r="A57" t="s">
        <v>2626</v>
      </c>
      <c r="B57" t="s">
        <v>2582</v>
      </c>
      <c r="C57">
        <v>11</v>
      </c>
      <c r="D57" t="s">
        <v>1002</v>
      </c>
      <c r="E57">
        <v>3822</v>
      </c>
      <c r="F57">
        <v>-1985</v>
      </c>
      <c r="G57">
        <v>-632</v>
      </c>
      <c r="H57" t="s">
        <v>2689</v>
      </c>
      <c r="I57" t="str">
        <f>"{ name: "&amp;CHAR(34)&amp;A57&amp;CHAR(34)&amp;", landmark: "&amp;CHAR(34)&amp;"Treasure"&amp;CHAR(34)&amp;", type: "&amp;CHAR(34)&amp;B57&amp;CHAR(34)&amp;", region: "&amp;C57&amp;", level: "&amp;CHAR(34)&amp;D57&amp;CHAR(34)&amp;", x: "&amp;E57&amp;", y: "&amp;F57&amp;", z: "&amp;G57&amp;", details: "&amp;CHAR(34)&amp;H57&amp;CHAR(34)&amp;" },"</f>
        <v>{ name: "Cap of the Sky", landmark: "Treasure", type: "Treasure", region: 11, level: "Depths", x: 3822, y: -1985, z: -632, details: "&lt;strong&gt;Old Map:&lt;/strong&gt; Thunderhead Isles 2" },</v>
      </c>
    </row>
    <row r="58" spans="1:9" x14ac:dyDescent="0.2">
      <c r="A58" t="s">
        <v>2590</v>
      </c>
      <c r="B58" t="s">
        <v>2582</v>
      </c>
      <c r="C58">
        <v>12</v>
      </c>
      <c r="D58" t="s">
        <v>1002</v>
      </c>
      <c r="E58">
        <v>2518</v>
      </c>
      <c r="F58">
        <v>-3602</v>
      </c>
      <c r="G58">
        <v>-626</v>
      </c>
      <c r="H58" t="s">
        <v>2669</v>
      </c>
      <c r="I58" t="str">
        <f>"{ name: "&amp;CHAR(34)&amp;A58&amp;CHAR(34)&amp;", landmark: "&amp;CHAR(34)&amp;"Treasure"&amp;CHAR(34)&amp;", type: "&amp;CHAR(34)&amp;B58&amp;CHAR(34)&amp;", region: "&amp;C58&amp;", level: "&amp;CHAR(34)&amp;D58&amp;CHAR(34)&amp;", x: "&amp;E58&amp;", y: "&amp;F58&amp;", z: "&amp;G58&amp;", details: "&amp;CHAR(34)&amp;H58&amp;CHAR(34)&amp;" },"</f>
        <v>{ name: "Cap of the Hero", landmark: "Treasure", type: "Treasure", region: 12, level: "Depths", x: 2518, y: -3602, z: -626, details: "&lt;strong&gt;Old Map:&lt;/strong&gt; South Hyrule Sky Archipelago 3" },</v>
      </c>
    </row>
    <row r="59" spans="1:9" x14ac:dyDescent="0.2">
      <c r="A59" t="s">
        <v>2612</v>
      </c>
      <c r="B59" t="s">
        <v>2582</v>
      </c>
      <c r="C59">
        <v>12</v>
      </c>
      <c r="D59" t="s">
        <v>1002</v>
      </c>
      <c r="E59">
        <v>4563</v>
      </c>
      <c r="F59">
        <v>-3619</v>
      </c>
      <c r="G59">
        <v>-471</v>
      </c>
      <c r="H59" t="s">
        <v>2682</v>
      </c>
      <c r="I59" t="str">
        <f>"{ name: "&amp;CHAR(34)&amp;A59&amp;CHAR(34)&amp;", landmark: "&amp;CHAR(34)&amp;"Treasure"&amp;CHAR(34)&amp;", type: "&amp;CHAR(34)&amp;B59&amp;CHAR(34)&amp;", region: "&amp;C59&amp;", level: "&amp;CHAR(34)&amp;D59&amp;CHAR(34)&amp;", x: "&amp;E59&amp;", y: "&amp;F59&amp;", z: "&amp;G59&amp;", details: "&amp;CHAR(34)&amp;H59&amp;CHAR(34)&amp;" },"</f>
        <v>{ name: "Midna's Helmet", landmark: "Treasure", type: "Treasure", region: 12, level: "Depths", x: 4563, y: -3619, z: -471, details: "&lt;strong&gt;Old Map:&lt;/strong&gt; South Lanayru Sky Archipelago 1" },</v>
      </c>
    </row>
    <row r="60" spans="1:9" x14ac:dyDescent="0.2">
      <c r="A60" t="s">
        <v>2599</v>
      </c>
      <c r="B60" t="s">
        <v>2582</v>
      </c>
      <c r="C60">
        <v>12</v>
      </c>
      <c r="D60" t="s">
        <v>1002</v>
      </c>
      <c r="E60">
        <v>2242</v>
      </c>
      <c r="F60">
        <v>-1900</v>
      </c>
      <c r="G60">
        <v>-467</v>
      </c>
      <c r="H60" t="s">
        <v>2674</v>
      </c>
      <c r="I60" t="str">
        <f>"{ name: "&amp;CHAR(34)&amp;A60&amp;CHAR(34)&amp;", landmark: "&amp;CHAR(34)&amp;"Treasure"&amp;CHAR(34)&amp;", type: "&amp;CHAR(34)&amp;B60&amp;CHAR(34)&amp;", region: "&amp;C60&amp;", level: "&amp;CHAR(34)&amp;D60&amp;CHAR(34)&amp;", x: "&amp;E60&amp;", y: "&amp;F60&amp;", z: "&amp;G60&amp;", details: "&amp;CHAR(34)&amp;H60&amp;CHAR(34)&amp;" },"</f>
        <v>{ name: "Ravio's Hood", landmark: "Treasure", type: "Treasure", region: 12, level: "Depths", x: 2242, y: -1900, z: -467, details: "&lt;strong&gt;Old Map:&lt;/strong&gt; East Hebra Sky Archipelago" },</v>
      </c>
    </row>
    <row r="61" spans="1:9" x14ac:dyDescent="0.2">
      <c r="A61" t="s">
        <v>2607</v>
      </c>
      <c r="B61" t="s">
        <v>2582</v>
      </c>
      <c r="C61">
        <v>12</v>
      </c>
      <c r="D61" t="s">
        <v>1002</v>
      </c>
      <c r="E61">
        <v>3794</v>
      </c>
      <c r="F61">
        <v>-3614</v>
      </c>
      <c r="G61">
        <v>-445</v>
      </c>
      <c r="H61" t="s">
        <v>2679</v>
      </c>
      <c r="I61" t="str">
        <f>"{ name: "&amp;CHAR(34)&amp;A61&amp;CHAR(34)&amp;", landmark: "&amp;CHAR(34)&amp;"Treasure"&amp;CHAR(34)&amp;", type: "&amp;CHAR(34)&amp;B61&amp;CHAR(34)&amp;", region: "&amp;C61&amp;", level: "&amp;CHAR(34)&amp;D61&amp;CHAR(34)&amp;", x: "&amp;E61&amp;", y: "&amp;F61&amp;", z: "&amp;G61&amp;", details: "&amp;CHAR(34)&amp;H61&amp;CHAR(34)&amp;" },"</f>
        <v>{ name: "Trousers of the Wind", landmark: "Treasure", type: "Treasure", region: 12, level: "Depths", x: 3794, y: -3614, z: -445, details: "&lt;strong&gt;Old Map:&lt;/strong&gt; Wellspring Island 1" },</v>
      </c>
    </row>
    <row r="62" spans="1:9" x14ac:dyDescent="0.2">
      <c r="A62" t="s">
        <v>2594</v>
      </c>
      <c r="B62" t="s">
        <v>2582</v>
      </c>
      <c r="C62">
        <v>14</v>
      </c>
      <c r="D62" t="s">
        <v>1002</v>
      </c>
      <c r="E62">
        <v>-3230</v>
      </c>
      <c r="F62">
        <v>-2476</v>
      </c>
      <c r="G62">
        <v>-475</v>
      </c>
      <c r="H62" t="s">
        <v>2671</v>
      </c>
      <c r="I62" t="str">
        <f>"{ name: "&amp;CHAR(34)&amp;A62&amp;CHAR(34)&amp;", landmark: "&amp;CHAR(34)&amp;"Treasure"&amp;CHAR(34)&amp;", type: "&amp;CHAR(34)&amp;B62&amp;CHAR(34)&amp;", region: "&amp;C62&amp;", level: "&amp;CHAR(34)&amp;D62&amp;CHAR(34)&amp;", x: "&amp;E62&amp;", y: "&amp;F62&amp;", z: "&amp;G62&amp;", details: "&amp;CHAR(34)&amp;H62&amp;CHAR(34)&amp;" },"</f>
        <v>{ name: "Miner's Mask", landmark: "Treasure", type: "Treasure", region: 14, level: "Depths", x: -3230, y: -2476, z: -475, details: "&lt;strong&gt;Old Map:&lt;/strong&gt; Rising Island Chain" },</v>
      </c>
    </row>
    <row r="63" spans="1:9" x14ac:dyDescent="0.2">
      <c r="A63" t="s">
        <v>2592</v>
      </c>
      <c r="B63" t="s">
        <v>2582</v>
      </c>
      <c r="C63">
        <v>14</v>
      </c>
      <c r="D63" t="s">
        <v>1002</v>
      </c>
      <c r="E63">
        <v>-4310</v>
      </c>
      <c r="F63">
        <v>-3781</v>
      </c>
      <c r="G63">
        <v>-479</v>
      </c>
      <c r="H63" t="s">
        <v>2670</v>
      </c>
      <c r="I63" t="str">
        <f>"{ name: "&amp;CHAR(34)&amp;A63&amp;CHAR(34)&amp;", landmark: "&amp;CHAR(34)&amp;"Treasure"&amp;CHAR(34)&amp;", type: "&amp;CHAR(34)&amp;B63&amp;CHAR(34)&amp;", region: "&amp;C63&amp;", level: "&amp;CHAR(34)&amp;D63&amp;CHAR(34)&amp;", x: "&amp;E63&amp;", y: "&amp;F63&amp;", z: "&amp;G63&amp;", details: "&amp;CHAR(34)&amp;H63&amp;CHAR(34)&amp;" },"</f>
        <v>{ name: "Sheik's Mask", landmark: "Treasure", type: "Treasure", region: 14, level: "Depths", x: -4310, y: -3781, z: -479, details: "&lt;strong&gt;Old Map:&lt;/strong&gt; South Hyrule Sky Archipelago 4" },</v>
      </c>
    </row>
    <row r="64" spans="1:9" x14ac:dyDescent="0.2">
      <c r="A64" t="s">
        <v>2629</v>
      </c>
      <c r="B64" t="s">
        <v>2582</v>
      </c>
      <c r="C64">
        <v>14</v>
      </c>
      <c r="D64" t="s">
        <v>1002</v>
      </c>
      <c r="E64">
        <v>-4879</v>
      </c>
      <c r="F64">
        <v>-3720</v>
      </c>
      <c r="G64">
        <v>-458</v>
      </c>
      <c r="H64" t="s">
        <v>2692</v>
      </c>
      <c r="I64" t="str">
        <f>"{ name: "&amp;CHAR(34)&amp;A64&amp;CHAR(34)&amp;", landmark: "&amp;CHAR(34)&amp;"Treasure"&amp;CHAR(34)&amp;", type: "&amp;CHAR(34)&amp;B64&amp;CHAR(34)&amp;", region: "&amp;C64&amp;", level: "&amp;CHAR(34)&amp;D64&amp;CHAR(34)&amp;", x: "&amp;E64&amp;", y: "&amp;F64&amp;", z: "&amp;G64&amp;", details: "&amp;CHAR(34)&amp;H64&amp;CHAR(34)&amp;" },"</f>
        <v>{ name: "Tunic of the Wild", landmark: "Treasure", type: "Treasure", region: 14, level: "Depths", x: -4879, y: -3720, z: -458, details: "&lt;strong&gt;Old Map:&lt;/strong&gt; North Tabantha Sky Archipelago" },</v>
      </c>
    </row>
    <row r="65" spans="1:9" x14ac:dyDescent="0.2">
      <c r="A65" t="s">
        <v>2618</v>
      </c>
      <c r="B65" t="s">
        <v>2582</v>
      </c>
      <c r="C65">
        <v>15</v>
      </c>
      <c r="D65" t="s">
        <v>1002</v>
      </c>
      <c r="E65">
        <v>-4179</v>
      </c>
      <c r="F65">
        <v>-697</v>
      </c>
      <c r="G65">
        <v>-1121</v>
      </c>
      <c r="H65" t="s">
        <v>2685</v>
      </c>
      <c r="I65" t="str">
        <f>"{ name: "&amp;CHAR(34)&amp;A65&amp;CHAR(34)&amp;", landmark: "&amp;CHAR(34)&amp;"Treasure"&amp;CHAR(34)&amp;", type: "&amp;CHAR(34)&amp;B65&amp;CHAR(34)&amp;", region: "&amp;C65&amp;", level: "&amp;CHAR(34)&amp;D65&amp;CHAR(34)&amp;", x: "&amp;E65&amp;", y: "&amp;F65&amp;", z: "&amp;G65&amp;", details: "&amp;CHAR(34)&amp;H65&amp;CHAR(34)&amp;" },"</f>
        <v>{ name: "Trousers of Time", landmark: "Treasure", type: "Treasure", region: 15, level: "Depths", x: -4179, y: -697, z: -1121, details: "&lt;strong&gt;Old Map:&lt;/strong&gt; North Necluda Sky Archipelago 2" },</v>
      </c>
    </row>
  </sheetData>
  <autoFilter ref="A1:I32" xr:uid="{A095D5C8-FF81-DA46-ADE3-61DE071C2139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I47"/>
  <sheetViews>
    <sheetView workbookViewId="0">
      <selection activeCell="P18" sqref="P18"/>
    </sheetView>
  </sheetViews>
  <sheetFormatPr baseColWidth="10" defaultRowHeight="16" x14ac:dyDescent="0.2"/>
  <cols>
    <col min="1" max="1" width="20" bestFit="1" customWidth="1"/>
    <col min="2" max="2" width="13.5" bestFit="1" customWidth="1"/>
  </cols>
  <sheetData>
    <row r="1" spans="1:9" s="6" customFormat="1" x14ac:dyDescent="0.2">
      <c r="A1" s="6" t="s">
        <v>781</v>
      </c>
      <c r="B1" s="6" t="s">
        <v>2141</v>
      </c>
      <c r="C1" s="6" t="s">
        <v>2132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2139</v>
      </c>
      <c r="I1" s="6" t="s">
        <v>2133</v>
      </c>
    </row>
    <row r="2" spans="1:9" x14ac:dyDescent="0.2">
      <c r="A2" t="s">
        <v>1809</v>
      </c>
      <c r="B2" t="s">
        <v>2779</v>
      </c>
      <c r="C2">
        <v>1</v>
      </c>
      <c r="D2" t="s">
        <v>785</v>
      </c>
      <c r="E2">
        <v>-256</v>
      </c>
      <c r="F2">
        <v>153</v>
      </c>
      <c r="G2">
        <v>20</v>
      </c>
      <c r="H2" t="s">
        <v>2780</v>
      </c>
      <c r="I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details: "&amp;CHAR(34)&amp;H2&amp;CHAR(34)&amp;" },"</f>
        <v>{ name: "Hot-Air Balloon", landmark: "Schematic", type: "Schema Stone", region: 1, level: "Surface", x: -256, y: 153, z: 20, details: "Complete &lt;em&gt;Mystery in the Depths&lt;/em&gt; Quest" },</v>
      </c>
    </row>
    <row r="3" spans="1:9" x14ac:dyDescent="0.2">
      <c r="A3" t="s">
        <v>1792</v>
      </c>
      <c r="B3" t="s">
        <v>2779</v>
      </c>
      <c r="C3">
        <v>2</v>
      </c>
      <c r="D3" t="s">
        <v>785</v>
      </c>
      <c r="E3">
        <v>-1122</v>
      </c>
      <c r="F3">
        <v>-1902</v>
      </c>
      <c r="G3">
        <v>101</v>
      </c>
      <c r="H3" t="s">
        <v>2781</v>
      </c>
      <c r="I3" t="s">
        <v>2782</v>
      </c>
    </row>
    <row r="4" spans="1:9" x14ac:dyDescent="0.2">
      <c r="A4" t="s">
        <v>1804</v>
      </c>
      <c r="B4" t="s">
        <v>2779</v>
      </c>
      <c r="C4">
        <v>2</v>
      </c>
      <c r="D4" t="s">
        <v>1002</v>
      </c>
      <c r="E4">
        <v>-821</v>
      </c>
      <c r="F4">
        <v>-1940</v>
      </c>
      <c r="G4">
        <v>-523</v>
      </c>
      <c r="I4" t="s">
        <v>2783</v>
      </c>
    </row>
    <row r="5" spans="1:9" x14ac:dyDescent="0.2">
      <c r="A5" t="s">
        <v>1828</v>
      </c>
      <c r="B5" t="s">
        <v>2778</v>
      </c>
      <c r="C5">
        <v>2</v>
      </c>
      <c r="D5" t="s">
        <v>1002</v>
      </c>
      <c r="E5">
        <v>-1856</v>
      </c>
      <c r="F5">
        <v>-735</v>
      </c>
      <c r="G5">
        <v>-527</v>
      </c>
      <c r="I5" t="s">
        <v>2784</v>
      </c>
    </row>
    <row r="6" spans="1:9" x14ac:dyDescent="0.2">
      <c r="A6" t="s">
        <v>1789</v>
      </c>
      <c r="B6" t="s">
        <v>2778</v>
      </c>
      <c r="C6">
        <v>3</v>
      </c>
      <c r="D6" t="s">
        <v>1002</v>
      </c>
      <c r="E6">
        <v>-3380</v>
      </c>
      <c r="F6">
        <v>665</v>
      </c>
      <c r="G6">
        <v>-619</v>
      </c>
      <c r="I6" t="s">
        <v>2785</v>
      </c>
    </row>
    <row r="7" spans="1:9" x14ac:dyDescent="0.2">
      <c r="A7" t="s">
        <v>1797</v>
      </c>
      <c r="B7" t="s">
        <v>2778</v>
      </c>
      <c r="C7">
        <v>3</v>
      </c>
      <c r="D7" t="s">
        <v>1002</v>
      </c>
      <c r="E7">
        <v>-1620</v>
      </c>
      <c r="F7">
        <v>247</v>
      </c>
      <c r="G7">
        <v>-482</v>
      </c>
      <c r="I7" t="s">
        <v>2786</v>
      </c>
    </row>
    <row r="8" spans="1:9" x14ac:dyDescent="0.2">
      <c r="A8" t="s">
        <v>1799</v>
      </c>
      <c r="B8" t="s">
        <v>2778</v>
      </c>
      <c r="C8">
        <v>3</v>
      </c>
      <c r="D8" t="s">
        <v>1002</v>
      </c>
      <c r="E8">
        <v>-1332</v>
      </c>
      <c r="F8">
        <v>1496</v>
      </c>
      <c r="G8">
        <v>-597</v>
      </c>
      <c r="I8" t="s">
        <v>2787</v>
      </c>
    </row>
    <row r="9" spans="1:9" x14ac:dyDescent="0.2">
      <c r="A9" t="s">
        <v>1806</v>
      </c>
      <c r="B9" t="s">
        <v>2778</v>
      </c>
      <c r="C9">
        <v>3</v>
      </c>
      <c r="D9" t="s">
        <v>1002</v>
      </c>
      <c r="E9">
        <v>-2822</v>
      </c>
      <c r="F9">
        <v>902</v>
      </c>
      <c r="G9">
        <v>-565</v>
      </c>
      <c r="I9" t="s">
        <v>2788</v>
      </c>
    </row>
    <row r="10" spans="1:9" x14ac:dyDescent="0.2">
      <c r="A10" t="s">
        <v>1802</v>
      </c>
      <c r="B10" t="s">
        <v>2778</v>
      </c>
      <c r="C10">
        <v>4</v>
      </c>
      <c r="D10" t="s">
        <v>1002</v>
      </c>
      <c r="E10">
        <v>-3708</v>
      </c>
      <c r="F10">
        <v>3099</v>
      </c>
      <c r="G10">
        <v>-782</v>
      </c>
      <c r="I10" t="s">
        <v>2789</v>
      </c>
    </row>
    <row r="11" spans="1:9" x14ac:dyDescent="0.2">
      <c r="A11" t="s">
        <v>1807</v>
      </c>
      <c r="B11" t="s">
        <v>2778</v>
      </c>
      <c r="C11">
        <v>4</v>
      </c>
      <c r="D11" t="s">
        <v>1002</v>
      </c>
      <c r="E11">
        <v>-2865</v>
      </c>
      <c r="F11">
        <v>2918</v>
      </c>
      <c r="G11">
        <v>-931</v>
      </c>
      <c r="I11" t="s">
        <v>2790</v>
      </c>
    </row>
    <row r="12" spans="1:9" x14ac:dyDescent="0.2">
      <c r="A12" t="s">
        <v>1821</v>
      </c>
      <c r="B12" t="s">
        <v>2779</v>
      </c>
      <c r="C12">
        <v>4</v>
      </c>
      <c r="D12" t="s">
        <v>1002</v>
      </c>
      <c r="E12">
        <v>-3480</v>
      </c>
      <c r="F12">
        <v>1883</v>
      </c>
      <c r="G12">
        <v>-417</v>
      </c>
      <c r="I12" t="s">
        <v>2791</v>
      </c>
    </row>
    <row r="13" spans="1:9" x14ac:dyDescent="0.2">
      <c r="A13" s="22" t="s">
        <v>1825</v>
      </c>
      <c r="B13" t="s">
        <v>2778</v>
      </c>
      <c r="C13">
        <v>5</v>
      </c>
      <c r="D13" t="s">
        <v>1002</v>
      </c>
      <c r="E13">
        <v>-1903</v>
      </c>
      <c r="F13">
        <v>2095</v>
      </c>
      <c r="G13">
        <v>-682</v>
      </c>
      <c r="I13" t="s">
        <v>2792</v>
      </c>
    </row>
    <row r="14" spans="1:9" x14ac:dyDescent="0.2">
      <c r="A14" t="s">
        <v>1833</v>
      </c>
      <c r="B14" t="s">
        <v>2778</v>
      </c>
      <c r="C14">
        <v>5</v>
      </c>
      <c r="D14" t="s">
        <v>1002</v>
      </c>
      <c r="E14">
        <v>-1751</v>
      </c>
      <c r="F14">
        <v>3107</v>
      </c>
      <c r="G14">
        <v>-679</v>
      </c>
      <c r="I14" t="s">
        <v>2793</v>
      </c>
    </row>
    <row r="15" spans="1:9" x14ac:dyDescent="0.2">
      <c r="A15" t="s">
        <v>1788</v>
      </c>
      <c r="B15" t="s">
        <v>2778</v>
      </c>
      <c r="C15">
        <v>6</v>
      </c>
      <c r="D15" t="s">
        <v>1002</v>
      </c>
      <c r="E15">
        <v>-130</v>
      </c>
      <c r="F15">
        <v>2867</v>
      </c>
      <c r="G15">
        <v>-634</v>
      </c>
      <c r="I15" t="s">
        <v>2794</v>
      </c>
    </row>
    <row r="16" spans="1:9" x14ac:dyDescent="0.2">
      <c r="A16" t="s">
        <v>1800</v>
      </c>
      <c r="B16" t="s">
        <v>2778</v>
      </c>
      <c r="C16">
        <v>6</v>
      </c>
      <c r="D16" t="s">
        <v>1002</v>
      </c>
      <c r="E16">
        <v>622</v>
      </c>
      <c r="F16">
        <v>3698</v>
      </c>
      <c r="G16">
        <v>-540</v>
      </c>
      <c r="I16" t="s">
        <v>2795</v>
      </c>
    </row>
    <row r="17" spans="1:9" x14ac:dyDescent="0.2">
      <c r="A17" t="s">
        <v>1805</v>
      </c>
      <c r="B17" t="s">
        <v>2778</v>
      </c>
      <c r="C17">
        <v>6</v>
      </c>
      <c r="D17" t="s">
        <v>1002</v>
      </c>
      <c r="E17">
        <v>-397</v>
      </c>
      <c r="F17">
        <v>1776</v>
      </c>
      <c r="G17">
        <v>-623</v>
      </c>
      <c r="I17" t="s">
        <v>2796</v>
      </c>
    </row>
    <row r="18" spans="1:9" x14ac:dyDescent="0.2">
      <c r="A18" t="s">
        <v>1791</v>
      </c>
      <c r="B18" t="s">
        <v>2779</v>
      </c>
      <c r="C18">
        <v>7</v>
      </c>
      <c r="D18" t="s">
        <v>1002</v>
      </c>
      <c r="E18">
        <v>1641</v>
      </c>
      <c r="F18">
        <v>2397</v>
      </c>
      <c r="G18">
        <v>-824</v>
      </c>
      <c r="I18" t="s">
        <v>2797</v>
      </c>
    </row>
    <row r="19" spans="1:9" x14ac:dyDescent="0.2">
      <c r="A19" s="22" t="s">
        <v>1795</v>
      </c>
      <c r="B19" t="s">
        <v>2778</v>
      </c>
      <c r="C19">
        <v>7</v>
      </c>
      <c r="D19" t="s">
        <v>1002</v>
      </c>
      <c r="E19">
        <v>2667</v>
      </c>
      <c r="F19">
        <v>1578</v>
      </c>
      <c r="G19">
        <v>-591</v>
      </c>
      <c r="I19" t="s">
        <v>2798</v>
      </c>
    </row>
    <row r="20" spans="1:9" x14ac:dyDescent="0.2">
      <c r="A20" t="s">
        <v>1820</v>
      </c>
      <c r="B20" t="s">
        <v>2778</v>
      </c>
      <c r="C20">
        <v>7</v>
      </c>
      <c r="D20" t="s">
        <v>1002</v>
      </c>
      <c r="E20">
        <v>1539</v>
      </c>
      <c r="F20">
        <v>692</v>
      </c>
      <c r="G20">
        <v>-439</v>
      </c>
      <c r="I20" t="s">
        <v>2799</v>
      </c>
    </row>
    <row r="21" spans="1:9" x14ac:dyDescent="0.2">
      <c r="A21" t="s">
        <v>1790</v>
      </c>
      <c r="B21" t="s">
        <v>2778</v>
      </c>
      <c r="C21">
        <v>8</v>
      </c>
      <c r="D21" t="s">
        <v>1002</v>
      </c>
      <c r="E21">
        <v>3273</v>
      </c>
      <c r="F21">
        <v>3697</v>
      </c>
      <c r="G21">
        <v>-660</v>
      </c>
      <c r="I21" t="s">
        <v>2800</v>
      </c>
    </row>
    <row r="22" spans="1:9" x14ac:dyDescent="0.2">
      <c r="A22" t="s">
        <v>1808</v>
      </c>
      <c r="B22" t="s">
        <v>2778</v>
      </c>
      <c r="C22">
        <v>8</v>
      </c>
      <c r="D22" t="s">
        <v>1002</v>
      </c>
      <c r="E22">
        <v>4112</v>
      </c>
      <c r="F22">
        <v>3215</v>
      </c>
      <c r="G22">
        <v>-611</v>
      </c>
      <c r="I22" t="s">
        <v>2801</v>
      </c>
    </row>
    <row r="23" spans="1:9" x14ac:dyDescent="0.2">
      <c r="A23" t="s">
        <v>1812</v>
      </c>
      <c r="B23" t="s">
        <v>2779</v>
      </c>
      <c r="C23">
        <v>8</v>
      </c>
      <c r="D23" t="s">
        <v>1002</v>
      </c>
      <c r="E23">
        <v>3986</v>
      </c>
      <c r="F23">
        <v>1583</v>
      </c>
      <c r="G23">
        <v>-576</v>
      </c>
      <c r="I23" t="s">
        <v>2802</v>
      </c>
    </row>
    <row r="24" spans="1:9" x14ac:dyDescent="0.2">
      <c r="A24" t="s">
        <v>1831</v>
      </c>
      <c r="B24" t="s">
        <v>2778</v>
      </c>
      <c r="C24">
        <v>8</v>
      </c>
      <c r="D24" t="s">
        <v>1002</v>
      </c>
      <c r="E24">
        <v>3606</v>
      </c>
      <c r="F24">
        <v>2281</v>
      </c>
      <c r="G24">
        <v>-478</v>
      </c>
      <c r="I24" t="s">
        <v>2803</v>
      </c>
    </row>
    <row r="25" spans="1:9" x14ac:dyDescent="0.2">
      <c r="A25" t="s">
        <v>1796</v>
      </c>
      <c r="B25" t="s">
        <v>2779</v>
      </c>
      <c r="C25">
        <v>9</v>
      </c>
      <c r="D25" t="s">
        <v>1002</v>
      </c>
      <c r="E25">
        <v>3257</v>
      </c>
      <c r="F25">
        <v>593</v>
      </c>
      <c r="G25">
        <v>-750</v>
      </c>
      <c r="I25" t="s">
        <v>2804</v>
      </c>
    </row>
    <row r="26" spans="1:9" x14ac:dyDescent="0.2">
      <c r="A26" t="s">
        <v>1811</v>
      </c>
      <c r="B26" t="s">
        <v>2778</v>
      </c>
      <c r="C26">
        <v>9</v>
      </c>
      <c r="D26" t="s">
        <v>1002</v>
      </c>
      <c r="E26">
        <v>3618</v>
      </c>
      <c r="F26">
        <v>-569</v>
      </c>
      <c r="G26">
        <v>-455</v>
      </c>
      <c r="I26" t="s">
        <v>2805</v>
      </c>
    </row>
    <row r="27" spans="1:9" x14ac:dyDescent="0.2">
      <c r="A27" t="s">
        <v>1829</v>
      </c>
      <c r="B27" t="s">
        <v>2778</v>
      </c>
      <c r="C27">
        <v>9</v>
      </c>
      <c r="D27" t="s">
        <v>1002</v>
      </c>
      <c r="E27">
        <v>4412</v>
      </c>
      <c r="F27">
        <v>637</v>
      </c>
      <c r="G27">
        <v>-709</v>
      </c>
      <c r="I27" t="s">
        <v>2806</v>
      </c>
    </row>
    <row r="28" spans="1:9" x14ac:dyDescent="0.2">
      <c r="A28" t="s">
        <v>1813</v>
      </c>
      <c r="B28" t="s">
        <v>2778</v>
      </c>
      <c r="C28">
        <v>10</v>
      </c>
      <c r="D28" t="s">
        <v>1002</v>
      </c>
      <c r="E28">
        <v>1168</v>
      </c>
      <c r="F28">
        <v>600</v>
      </c>
      <c r="G28">
        <v>-408</v>
      </c>
      <c r="I28" t="s">
        <v>2807</v>
      </c>
    </row>
    <row r="29" spans="1:9" x14ac:dyDescent="0.2">
      <c r="A29" t="s">
        <v>1816</v>
      </c>
      <c r="B29" t="s">
        <v>2779</v>
      </c>
      <c r="C29">
        <v>10</v>
      </c>
      <c r="D29" t="s">
        <v>1002</v>
      </c>
      <c r="E29">
        <v>1796</v>
      </c>
      <c r="F29">
        <v>-1226</v>
      </c>
      <c r="G29">
        <v>-629</v>
      </c>
      <c r="I29" t="s">
        <v>2808</v>
      </c>
    </row>
    <row r="30" spans="1:9" x14ac:dyDescent="0.2">
      <c r="A30" t="s">
        <v>1822</v>
      </c>
      <c r="B30" t="s">
        <v>2778</v>
      </c>
      <c r="C30">
        <v>10</v>
      </c>
      <c r="D30" t="s">
        <v>1002</v>
      </c>
      <c r="E30">
        <v>2078</v>
      </c>
      <c r="F30">
        <v>-1625</v>
      </c>
      <c r="G30">
        <v>-464</v>
      </c>
      <c r="I30" t="s">
        <v>2809</v>
      </c>
    </row>
    <row r="31" spans="1:9" x14ac:dyDescent="0.2">
      <c r="A31" t="s">
        <v>1826</v>
      </c>
      <c r="B31" t="s">
        <v>2778</v>
      </c>
      <c r="C31">
        <v>10</v>
      </c>
      <c r="D31" t="s">
        <v>1002</v>
      </c>
      <c r="E31">
        <v>2542</v>
      </c>
      <c r="F31">
        <v>-544</v>
      </c>
      <c r="G31">
        <v>-476</v>
      </c>
      <c r="I31" t="s">
        <v>2810</v>
      </c>
    </row>
    <row r="32" spans="1:9" x14ac:dyDescent="0.2">
      <c r="A32" t="s">
        <v>1798</v>
      </c>
      <c r="B32" t="s">
        <v>2779</v>
      </c>
      <c r="C32">
        <v>11</v>
      </c>
      <c r="D32" t="s">
        <v>1002</v>
      </c>
      <c r="E32">
        <v>3562</v>
      </c>
      <c r="F32">
        <v>-2209</v>
      </c>
      <c r="G32">
        <v>-588</v>
      </c>
      <c r="I32" t="s">
        <v>2811</v>
      </c>
    </row>
    <row r="33" spans="1:9" x14ac:dyDescent="0.2">
      <c r="A33" t="s">
        <v>1827</v>
      </c>
      <c r="B33" t="s">
        <v>2778</v>
      </c>
      <c r="C33">
        <v>11</v>
      </c>
      <c r="D33" t="s">
        <v>1002</v>
      </c>
      <c r="E33">
        <v>3261</v>
      </c>
      <c r="F33">
        <v>-1445</v>
      </c>
      <c r="G33">
        <v>-657</v>
      </c>
      <c r="I33" t="s">
        <v>2812</v>
      </c>
    </row>
    <row r="34" spans="1:9" x14ac:dyDescent="0.2">
      <c r="A34" t="s">
        <v>1801</v>
      </c>
      <c r="B34" t="s">
        <v>2779</v>
      </c>
      <c r="C34">
        <v>12</v>
      </c>
      <c r="D34" t="s">
        <v>1002</v>
      </c>
      <c r="E34">
        <v>2946</v>
      </c>
      <c r="F34">
        <v>-3338</v>
      </c>
      <c r="G34">
        <v>-453</v>
      </c>
      <c r="I34" t="s">
        <v>2813</v>
      </c>
    </row>
    <row r="35" spans="1:9" x14ac:dyDescent="0.2">
      <c r="A35" s="22" t="s">
        <v>1817</v>
      </c>
      <c r="B35" t="s">
        <v>2778</v>
      </c>
      <c r="C35">
        <v>12</v>
      </c>
      <c r="D35" t="s">
        <v>1002</v>
      </c>
      <c r="E35">
        <v>2963</v>
      </c>
      <c r="F35">
        <v>-2571</v>
      </c>
      <c r="G35">
        <v>-507</v>
      </c>
      <c r="I35" t="s">
        <v>2814</v>
      </c>
    </row>
    <row r="36" spans="1:9" x14ac:dyDescent="0.2">
      <c r="A36" t="s">
        <v>1793</v>
      </c>
      <c r="B36" t="s">
        <v>2778</v>
      </c>
      <c r="C36">
        <v>13</v>
      </c>
      <c r="D36" t="s">
        <v>1002</v>
      </c>
      <c r="E36">
        <v>246</v>
      </c>
      <c r="F36">
        <v>-2170</v>
      </c>
      <c r="G36">
        <v>-486</v>
      </c>
      <c r="I36" t="s">
        <v>2815</v>
      </c>
    </row>
    <row r="37" spans="1:9" x14ac:dyDescent="0.2">
      <c r="A37" s="22" t="s">
        <v>1818</v>
      </c>
      <c r="B37" t="s">
        <v>2778</v>
      </c>
      <c r="C37">
        <v>13</v>
      </c>
      <c r="D37" t="s">
        <v>1002</v>
      </c>
      <c r="E37">
        <v>-1225</v>
      </c>
      <c r="F37">
        <v>-2611</v>
      </c>
      <c r="G37">
        <v>-480</v>
      </c>
      <c r="I37" t="s">
        <v>2816</v>
      </c>
    </row>
    <row r="38" spans="1:9" x14ac:dyDescent="0.2">
      <c r="A38" t="s">
        <v>1832</v>
      </c>
      <c r="B38" t="s">
        <v>2778</v>
      </c>
      <c r="C38">
        <v>13</v>
      </c>
      <c r="D38" t="s">
        <v>1002</v>
      </c>
      <c r="E38">
        <v>417</v>
      </c>
      <c r="F38">
        <v>-3673</v>
      </c>
      <c r="G38">
        <v>-498</v>
      </c>
      <c r="I38" t="s">
        <v>2817</v>
      </c>
    </row>
    <row r="39" spans="1:9" x14ac:dyDescent="0.2">
      <c r="A39" t="s">
        <v>1794</v>
      </c>
      <c r="B39" t="s">
        <v>2778</v>
      </c>
      <c r="C39">
        <v>14</v>
      </c>
      <c r="D39" t="s">
        <v>1002</v>
      </c>
      <c r="E39">
        <v>-2409</v>
      </c>
      <c r="F39">
        <v>-3485</v>
      </c>
      <c r="G39">
        <v>-394</v>
      </c>
      <c r="I39" t="s">
        <v>2818</v>
      </c>
    </row>
    <row r="40" spans="1:9" x14ac:dyDescent="0.2">
      <c r="A40" t="s">
        <v>1810</v>
      </c>
      <c r="B40" t="s">
        <v>2779</v>
      </c>
      <c r="C40">
        <v>14</v>
      </c>
      <c r="D40" t="s">
        <v>1002</v>
      </c>
      <c r="E40">
        <v>-3846</v>
      </c>
      <c r="F40">
        <v>-2941</v>
      </c>
      <c r="G40">
        <v>-487</v>
      </c>
      <c r="I40" t="s">
        <v>2819</v>
      </c>
    </row>
    <row r="41" spans="1:9" x14ac:dyDescent="0.2">
      <c r="A41" t="s">
        <v>1814</v>
      </c>
      <c r="B41" t="s">
        <v>2779</v>
      </c>
      <c r="C41">
        <v>14</v>
      </c>
      <c r="D41" t="s">
        <v>1002</v>
      </c>
      <c r="E41">
        <v>-3210</v>
      </c>
      <c r="F41">
        <v>-2473</v>
      </c>
      <c r="G41">
        <v>-475</v>
      </c>
      <c r="I41" t="s">
        <v>2820</v>
      </c>
    </row>
    <row r="42" spans="1:9" x14ac:dyDescent="0.2">
      <c r="A42" s="22" t="s">
        <v>1819</v>
      </c>
      <c r="B42" t="s">
        <v>2778</v>
      </c>
      <c r="C42">
        <v>14</v>
      </c>
      <c r="D42" t="s">
        <v>1002</v>
      </c>
      <c r="E42">
        <v>-4546</v>
      </c>
      <c r="F42">
        <v>-2170</v>
      </c>
      <c r="G42">
        <v>-489</v>
      </c>
      <c r="I42" t="s">
        <v>2821</v>
      </c>
    </row>
    <row r="43" spans="1:9" x14ac:dyDescent="0.2">
      <c r="A43" t="s">
        <v>1823</v>
      </c>
      <c r="B43" t="s">
        <v>2778</v>
      </c>
      <c r="C43">
        <v>14</v>
      </c>
      <c r="D43" t="s">
        <v>1002</v>
      </c>
      <c r="E43">
        <v>-2694</v>
      </c>
      <c r="F43">
        <v>-2882</v>
      </c>
      <c r="G43">
        <v>-467</v>
      </c>
      <c r="I43" t="s">
        <v>2822</v>
      </c>
    </row>
    <row r="44" spans="1:9" x14ac:dyDescent="0.2">
      <c r="A44" t="s">
        <v>1830</v>
      </c>
      <c r="B44" t="s">
        <v>2778</v>
      </c>
      <c r="C44">
        <v>14</v>
      </c>
      <c r="D44" t="s">
        <v>1002</v>
      </c>
      <c r="E44">
        <v>-3262</v>
      </c>
      <c r="F44">
        <v>-3780</v>
      </c>
      <c r="G44">
        <v>-494</v>
      </c>
      <c r="I44" t="s">
        <v>2823</v>
      </c>
    </row>
    <row r="45" spans="1:9" x14ac:dyDescent="0.2">
      <c r="A45" t="s">
        <v>1803</v>
      </c>
      <c r="B45" t="s">
        <v>2778</v>
      </c>
      <c r="C45">
        <v>15</v>
      </c>
      <c r="D45" t="s">
        <v>1002</v>
      </c>
      <c r="E45">
        <v>-3075</v>
      </c>
      <c r="F45">
        <v>-1580</v>
      </c>
      <c r="G45">
        <v>-913</v>
      </c>
      <c r="I45" t="s">
        <v>2824</v>
      </c>
    </row>
    <row r="46" spans="1:9" x14ac:dyDescent="0.2">
      <c r="A46" t="s">
        <v>1815</v>
      </c>
      <c r="B46" t="s">
        <v>2778</v>
      </c>
      <c r="C46">
        <v>15</v>
      </c>
      <c r="D46" t="s">
        <v>1002</v>
      </c>
      <c r="E46">
        <v>-3403</v>
      </c>
      <c r="F46">
        <v>-222</v>
      </c>
      <c r="G46">
        <v>-482</v>
      </c>
      <c r="I46" t="s">
        <v>2825</v>
      </c>
    </row>
    <row r="47" spans="1:9" x14ac:dyDescent="0.2">
      <c r="A47" t="s">
        <v>1824</v>
      </c>
      <c r="B47" t="s">
        <v>2778</v>
      </c>
      <c r="C47">
        <v>15</v>
      </c>
      <c r="D47" t="s">
        <v>1002</v>
      </c>
      <c r="E47">
        <v>-4457</v>
      </c>
      <c r="F47">
        <v>-994</v>
      </c>
      <c r="G47">
        <v>-861</v>
      </c>
      <c r="I47" t="s">
        <v>2826</v>
      </c>
    </row>
  </sheetData>
  <autoFilter ref="A1:I47" xr:uid="{3BDD50D9-6DB9-5C44-8AA5-7C1D2FE18817}">
    <sortState xmlns:xlrd2="http://schemas.microsoft.com/office/spreadsheetml/2017/richdata2" ref="A2:I47">
      <sortCondition ref="C1:C47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P198"/>
  <sheetViews>
    <sheetView topLeftCell="A183" workbookViewId="0">
      <selection activeCell="E204" sqref="E204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3" max="3" width="18" bestFit="1" customWidth="1"/>
    <col min="6" max="6" width="12.83203125" bestFit="1" customWidth="1"/>
    <col min="9" max="9" width="25.1640625" customWidth="1"/>
  </cols>
  <sheetData>
    <row r="1" spans="1:16" s="6" customFormat="1" x14ac:dyDescent="0.2">
      <c r="A1" s="6" t="s">
        <v>781</v>
      </c>
      <c r="B1" s="6" t="s">
        <v>2141</v>
      </c>
      <c r="C1" s="6" t="s">
        <v>8</v>
      </c>
      <c r="D1" s="6" t="s">
        <v>2132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2139</v>
      </c>
      <c r="J1" s="6" t="s">
        <v>2133</v>
      </c>
    </row>
    <row r="2" spans="1:16" x14ac:dyDescent="0.2">
      <c r="A2" t="s">
        <v>849</v>
      </c>
      <c r="B2" t="s">
        <v>2430</v>
      </c>
      <c r="C2" t="s">
        <v>1113</v>
      </c>
      <c r="D2">
        <v>8</v>
      </c>
      <c r="E2" t="s">
        <v>785</v>
      </c>
      <c r="F2" s="2">
        <v>3243</v>
      </c>
      <c r="G2" s="2">
        <v>1456</v>
      </c>
      <c r="H2" s="2">
        <v>294</v>
      </c>
      <c r="I2" s="28"/>
      <c r="J2" t="str">
        <f>"{ name: "&amp;CHAR(34)&amp;A2&amp;CHAR(34)&amp;", landmark: "&amp;CHAR(34)&amp;"Cave"&amp;CHAR(34)&amp;", type: "&amp;CHAR(34)&amp;B2&amp;CHAR(34)&amp;", region: "&amp;D2&amp;", level: "&amp;CHAR(34)&amp;E2&amp;CHAR(34)&amp;", x: "&amp;F2&amp;", y: "&amp;G2&amp;", z: "&amp;H2&amp;", details: "&amp;CHAR(34)&amp;I2&amp;CHAR(34)&amp;" },"</f>
        <v>{ name: "Akkala Citadel Ruins Cave", landmark: "Cave", type: "", region: 8, level: "Surface", x: 3243, y: 1456, z: 294, details: "" },</v>
      </c>
      <c r="M2" s="28"/>
      <c r="N2" s="28"/>
      <c r="O2" s="28"/>
      <c r="P2" s="28"/>
    </row>
    <row r="3" spans="1:16" x14ac:dyDescent="0.2">
      <c r="A3" t="s">
        <v>851</v>
      </c>
      <c r="B3" t="s">
        <v>2430</v>
      </c>
      <c r="C3" t="s">
        <v>1113</v>
      </c>
      <c r="D3">
        <v>8</v>
      </c>
      <c r="E3" t="s">
        <v>785</v>
      </c>
      <c r="F3" s="2">
        <v>3292</v>
      </c>
      <c r="G3" s="2">
        <v>1492</v>
      </c>
      <c r="H3" s="2">
        <v>394</v>
      </c>
      <c r="I3" s="28"/>
      <c r="J3" t="str">
        <f t="shared" ref="J3:J66" si="0">"{ name: "&amp;CHAR(34)&amp;A3&amp;CHAR(34)&amp;", landmark: "&amp;CHAR(34)&amp;"Cave"&amp;CHAR(34)&amp;", type: "&amp;CHAR(34)&amp;B3&amp;CHAR(34)&amp;", region: "&amp;D3&amp;", level: "&amp;CHAR(34)&amp;E3&amp;CHAR(34)&amp;", x: "&amp;F3&amp;", y: "&amp;G3&amp;", z: "&amp;H3&amp;", details: "&amp;CHAR(34)&amp;I3&amp;CHAR(34)&amp;" },"</f>
        <v>{ name: "Akkala Citadel Ruins Summit Cave", landmark: "Cave", type: "", region: 8, level: "Surface", x: 3292, y: 1492, z: 394, details: "" },</v>
      </c>
      <c r="M3" s="28"/>
      <c r="N3" s="28"/>
      <c r="O3" s="28"/>
      <c r="P3" s="28"/>
    </row>
    <row r="4" spans="1:16" x14ac:dyDescent="0.2">
      <c r="A4" t="s">
        <v>852</v>
      </c>
      <c r="B4" t="s">
        <v>2431</v>
      </c>
      <c r="C4" s="19" t="s">
        <v>798</v>
      </c>
      <c r="D4" s="19">
        <v>14</v>
      </c>
      <c r="E4" t="s">
        <v>785</v>
      </c>
      <c r="F4" s="2">
        <v>-2584</v>
      </c>
      <c r="G4" s="2">
        <v>-3638</v>
      </c>
      <c r="H4" s="2">
        <v>-47</v>
      </c>
      <c r="I4" s="28"/>
      <c r="J4" t="str">
        <f t="shared" si="0"/>
        <v>{ name: "Ancient Altar Ruins", landmark: "Cave", type: "(Entrance 1 of 12)", region: 14, level: "Surface", x: -2584, y: -3638, z: -47, details: "" },</v>
      </c>
      <c r="M4" s="28"/>
      <c r="N4" s="28"/>
      <c r="O4" s="28"/>
      <c r="P4" s="28"/>
    </row>
    <row r="5" spans="1:16" x14ac:dyDescent="0.2">
      <c r="A5" t="s">
        <v>852</v>
      </c>
      <c r="B5" t="s">
        <v>2432</v>
      </c>
      <c r="C5" s="19" t="s">
        <v>798</v>
      </c>
      <c r="D5" s="19">
        <v>14</v>
      </c>
      <c r="E5" t="s">
        <v>785</v>
      </c>
      <c r="F5" s="2">
        <v>-2535</v>
      </c>
      <c r="G5" s="2">
        <v>-3626</v>
      </c>
      <c r="H5" s="2">
        <v>-48</v>
      </c>
      <c r="I5" s="28"/>
      <c r="J5" t="str">
        <f t="shared" si="0"/>
        <v>{ name: "Ancient Altar Ruins", landmark: "Cave", type: "(Entrance 2 of 12)", region: 14, level: "Surface", x: -2535, y: -3626, z: -48, details: "" },</v>
      </c>
      <c r="M5" s="28"/>
      <c r="N5" s="28"/>
      <c r="O5" s="28"/>
      <c r="P5" s="28"/>
    </row>
    <row r="6" spans="1:16" x14ac:dyDescent="0.2">
      <c r="A6" t="s">
        <v>852</v>
      </c>
      <c r="B6" t="s">
        <v>2433</v>
      </c>
      <c r="C6" s="19" t="s">
        <v>798</v>
      </c>
      <c r="D6" s="19">
        <v>14</v>
      </c>
      <c r="E6" t="s">
        <v>785</v>
      </c>
      <c r="F6" s="2">
        <v>-2480</v>
      </c>
      <c r="G6" s="2">
        <v>-3632</v>
      </c>
      <c r="H6" s="2">
        <v>-46</v>
      </c>
      <c r="I6" s="28"/>
      <c r="J6" t="str">
        <f t="shared" si="0"/>
        <v>{ name: "Ancient Altar Ruins", landmark: "Cave", type: "(Entrance 3 of 12)", region: 14, level: "Surface", x: -2480, y: -3632, z: -46, details: "" },</v>
      </c>
      <c r="M6" s="28"/>
      <c r="N6" s="28"/>
      <c r="O6" s="28"/>
      <c r="P6" s="28"/>
    </row>
    <row r="7" spans="1:16" x14ac:dyDescent="0.2">
      <c r="A7" t="s">
        <v>852</v>
      </c>
      <c r="B7" t="s">
        <v>2434</v>
      </c>
      <c r="C7" s="19" t="s">
        <v>798</v>
      </c>
      <c r="D7" s="19">
        <v>14</v>
      </c>
      <c r="E7" t="s">
        <v>785</v>
      </c>
      <c r="F7" s="2">
        <v>-2604</v>
      </c>
      <c r="G7" s="2">
        <v>-3709</v>
      </c>
      <c r="H7" s="2">
        <v>-49</v>
      </c>
      <c r="I7" s="28"/>
      <c r="J7" t="str">
        <f t="shared" si="0"/>
        <v>{ name: "Ancient Altar Ruins", landmark: "Cave", type: "(Entrance 4 of 12)", region: 14, level: "Surface", x: -2604, y: -3709, z: -49, details: "" },</v>
      </c>
      <c r="M7" s="28"/>
      <c r="N7" s="28"/>
      <c r="O7" s="28"/>
      <c r="P7" s="28"/>
    </row>
    <row r="8" spans="1:16" x14ac:dyDescent="0.2">
      <c r="A8" t="s">
        <v>852</v>
      </c>
      <c r="B8" t="s">
        <v>2435</v>
      </c>
      <c r="C8" s="19" t="s">
        <v>798</v>
      </c>
      <c r="D8" s="19">
        <v>14</v>
      </c>
      <c r="E8" t="s">
        <v>785</v>
      </c>
      <c r="F8" s="2">
        <v>-2564</v>
      </c>
      <c r="G8" s="2">
        <v>-3681</v>
      </c>
      <c r="H8" s="2">
        <v>-48</v>
      </c>
      <c r="I8" s="28"/>
      <c r="J8" t="str">
        <f t="shared" si="0"/>
        <v>{ name: "Ancient Altar Ruins", landmark: "Cave", type: "(Entrance 5 of 12)", region: 14, level: "Surface", x: -2564, y: -3681, z: -48, details: "" },</v>
      </c>
      <c r="M8" s="28"/>
      <c r="N8" s="28"/>
      <c r="O8" s="28"/>
      <c r="P8" s="28"/>
    </row>
    <row r="9" spans="1:16" x14ac:dyDescent="0.2">
      <c r="A9" t="s">
        <v>852</v>
      </c>
      <c r="B9" t="s">
        <v>2436</v>
      </c>
      <c r="C9" s="19" t="s">
        <v>798</v>
      </c>
      <c r="D9" s="19">
        <v>14</v>
      </c>
      <c r="E9" t="s">
        <v>785</v>
      </c>
      <c r="F9" s="2">
        <v>-2518</v>
      </c>
      <c r="G9" s="2">
        <v>-3671</v>
      </c>
      <c r="H9" s="2">
        <v>-47</v>
      </c>
      <c r="I9" s="28"/>
      <c r="J9" t="str">
        <f t="shared" si="0"/>
        <v>{ name: "Ancient Altar Ruins", landmark: "Cave", type: "(Entrance 6 of 12)", region: 14, level: "Surface", x: -2518, y: -3671, z: -47, details: "" },</v>
      </c>
      <c r="M9" s="28"/>
      <c r="N9" s="28"/>
      <c r="O9" s="28"/>
      <c r="P9" s="28"/>
    </row>
    <row r="10" spans="1:16" x14ac:dyDescent="0.2">
      <c r="A10" t="s">
        <v>852</v>
      </c>
      <c r="B10" t="s">
        <v>2437</v>
      </c>
      <c r="C10" s="19" t="s">
        <v>798</v>
      </c>
      <c r="D10" s="19">
        <v>14</v>
      </c>
      <c r="E10" t="s">
        <v>785</v>
      </c>
      <c r="F10" s="2">
        <v>-2451</v>
      </c>
      <c r="G10" s="2">
        <v>-3676</v>
      </c>
      <c r="H10" s="2">
        <v>-46</v>
      </c>
      <c r="I10" s="28"/>
      <c r="J10" t="str">
        <f t="shared" si="0"/>
        <v>{ name: "Ancient Altar Ruins", landmark: "Cave", type: "(Entrance 7 of 12)", region: 14, level: "Surface", x: -2451, y: -3676, z: -46, details: "" },</v>
      </c>
      <c r="M10" s="28"/>
      <c r="N10" s="28"/>
      <c r="O10" s="28"/>
      <c r="P10" s="28"/>
    </row>
    <row r="11" spans="1:16" x14ac:dyDescent="0.2">
      <c r="A11" t="s">
        <v>852</v>
      </c>
      <c r="B11" t="s">
        <v>2438</v>
      </c>
      <c r="C11" s="19" t="s">
        <v>798</v>
      </c>
      <c r="D11" s="19">
        <v>14</v>
      </c>
      <c r="E11" t="s">
        <v>785</v>
      </c>
      <c r="F11" s="2">
        <v>-2570</v>
      </c>
      <c r="G11" s="2">
        <v>-3744</v>
      </c>
      <c r="H11" s="2">
        <v>-51</v>
      </c>
      <c r="I11" s="28"/>
      <c r="J11" t="str">
        <f t="shared" si="0"/>
        <v>{ name: "Ancient Altar Ruins", landmark: "Cave", type: "(Entrance 8 of 12)", region: 14, level: "Surface", x: -2570, y: -3744, z: -51, details: "" },</v>
      </c>
      <c r="M11" s="28"/>
      <c r="N11" s="28"/>
      <c r="O11" s="28"/>
      <c r="P11" s="28"/>
    </row>
    <row r="12" spans="1:16" x14ac:dyDescent="0.2">
      <c r="A12" t="s">
        <v>852</v>
      </c>
      <c r="B12" t="s">
        <v>2439</v>
      </c>
      <c r="C12" s="19" t="s">
        <v>798</v>
      </c>
      <c r="D12" s="19">
        <v>14</v>
      </c>
      <c r="E12" t="s">
        <v>785</v>
      </c>
      <c r="F12" s="2">
        <v>-2521</v>
      </c>
      <c r="G12" s="2">
        <v>-3724</v>
      </c>
      <c r="H12" s="2">
        <v>-47</v>
      </c>
      <c r="I12" s="28"/>
      <c r="J12" t="str">
        <f t="shared" si="0"/>
        <v>{ name: "Ancient Altar Ruins", landmark: "Cave", type: "(Entrance 9 of 12)", region: 14, level: "Surface", x: -2521, y: -3724, z: -47, details: "" },</v>
      </c>
      <c r="M12" s="28"/>
      <c r="N12" s="28"/>
      <c r="O12" s="28"/>
      <c r="P12" s="28"/>
    </row>
    <row r="13" spans="1:16" x14ac:dyDescent="0.2">
      <c r="A13" t="s">
        <v>852</v>
      </c>
      <c r="B13" t="s">
        <v>2440</v>
      </c>
      <c r="C13" s="19" t="s">
        <v>798</v>
      </c>
      <c r="D13" s="19">
        <v>14</v>
      </c>
      <c r="E13" t="s">
        <v>785</v>
      </c>
      <c r="F13" s="2">
        <v>-2477</v>
      </c>
      <c r="G13" s="2">
        <v>-3709</v>
      </c>
      <c r="H13" s="2">
        <v>-47</v>
      </c>
      <c r="I13" s="28"/>
      <c r="J13" t="str">
        <f t="shared" si="0"/>
        <v>{ name: "Ancient Altar Ruins", landmark: "Cave", type: "(Entrance 10 of 12)", region: 14, level: "Surface", x: -2477, y: -3709, z: -47, details: "" },</v>
      </c>
      <c r="M13" s="28"/>
      <c r="N13" s="28"/>
      <c r="O13" s="28"/>
      <c r="P13" s="28"/>
    </row>
    <row r="14" spans="1:16" x14ac:dyDescent="0.2">
      <c r="A14" t="s">
        <v>852</v>
      </c>
      <c r="B14" t="s">
        <v>2441</v>
      </c>
      <c r="C14" s="19" t="s">
        <v>798</v>
      </c>
      <c r="D14" s="19">
        <v>14</v>
      </c>
      <c r="E14" t="s">
        <v>785</v>
      </c>
      <c r="F14" s="2">
        <v>-2530</v>
      </c>
      <c r="G14" s="2">
        <v>-3769</v>
      </c>
      <c r="H14" s="2">
        <v>-46</v>
      </c>
      <c r="I14" s="28"/>
      <c r="J14" t="str">
        <f t="shared" si="0"/>
        <v>{ name: "Ancient Altar Ruins", landmark: "Cave", type: "(Entrance 11 of 12)", region: 14, level: "Surface", x: -2530, y: -3769, z: -46, details: "" },</v>
      </c>
      <c r="M14" s="28"/>
      <c r="N14" s="28"/>
      <c r="O14" s="28"/>
      <c r="P14" s="28"/>
    </row>
    <row r="15" spans="1:16" x14ac:dyDescent="0.2">
      <c r="A15" t="s">
        <v>852</v>
      </c>
      <c r="B15" t="s">
        <v>2442</v>
      </c>
      <c r="C15" s="19" t="s">
        <v>798</v>
      </c>
      <c r="D15" s="19">
        <v>14</v>
      </c>
      <c r="E15" t="s">
        <v>785</v>
      </c>
      <c r="F15" s="2">
        <v>-2480</v>
      </c>
      <c r="G15" s="2">
        <v>-3758</v>
      </c>
      <c r="H15" s="2">
        <v>-46</v>
      </c>
      <c r="I15" s="28"/>
      <c r="J15" t="str">
        <f t="shared" si="0"/>
        <v>{ name: "Ancient Altar Ruins", landmark: "Cave", type: "(Entrance 12 of 12)", region: 14, level: "Surface", x: -2480, y: -3758, z: -46, details: "" },</v>
      </c>
      <c r="M15" s="28"/>
      <c r="N15" s="28"/>
      <c r="O15" s="28"/>
      <c r="P15" s="28"/>
    </row>
    <row r="16" spans="1:16" x14ac:dyDescent="0.2">
      <c r="A16" t="s">
        <v>853</v>
      </c>
      <c r="B16" t="s">
        <v>2430</v>
      </c>
      <c r="C16" t="s">
        <v>787</v>
      </c>
      <c r="D16">
        <v>3</v>
      </c>
      <c r="E16" t="s">
        <v>785</v>
      </c>
      <c r="F16" s="2">
        <v>-3465</v>
      </c>
      <c r="G16" s="2">
        <v>449</v>
      </c>
      <c r="H16" s="2">
        <v>254</v>
      </c>
      <c r="I16" s="28"/>
      <c r="J16" t="str">
        <f t="shared" si="0"/>
        <v>{ name: "Ancient Columns Cave", landmark: "Cave", type: "", region: 3, level: "Surface", x: -3465, y: 449, z: 254, details: "" },</v>
      </c>
      <c r="M16" s="28"/>
      <c r="N16" s="28"/>
      <c r="O16" s="28"/>
      <c r="P16" s="28"/>
    </row>
    <row r="17" spans="1:16" x14ac:dyDescent="0.2">
      <c r="A17" t="s">
        <v>854</v>
      </c>
      <c r="B17" t="s">
        <v>2430</v>
      </c>
      <c r="C17" s="19" t="s">
        <v>798</v>
      </c>
      <c r="D17" s="19">
        <v>14</v>
      </c>
      <c r="E17" t="s">
        <v>785</v>
      </c>
      <c r="F17" s="2">
        <v>-3099</v>
      </c>
      <c r="G17" s="2">
        <v>-3063</v>
      </c>
      <c r="H17" s="2">
        <v>-51</v>
      </c>
      <c r="I17" s="28"/>
      <c r="J17" t="str">
        <f t="shared" si="0"/>
        <v>{ name: "Ancient Prison Ruins", landmark: "Cave", type: "", region: 14, level: "Surface", x: -3099, y: -3063, z: -51, details: "" },</v>
      </c>
      <c r="M17" s="28"/>
      <c r="N17" s="28"/>
      <c r="O17" s="28"/>
      <c r="P17" s="28"/>
    </row>
    <row r="18" spans="1:16" x14ac:dyDescent="0.2">
      <c r="A18" t="s">
        <v>855</v>
      </c>
      <c r="B18" t="s">
        <v>2430</v>
      </c>
      <c r="C18" t="s">
        <v>2122</v>
      </c>
      <c r="D18">
        <v>1</v>
      </c>
      <c r="E18" t="s">
        <v>785</v>
      </c>
      <c r="F18" s="2">
        <v>-1111</v>
      </c>
      <c r="G18" s="2">
        <v>-432</v>
      </c>
      <c r="H18" s="2">
        <v>22</v>
      </c>
      <c r="I18" s="28"/>
      <c r="J18" t="str">
        <f t="shared" si="0"/>
        <v>{ name: "Ancient Tree Stump Cave", landmark: "Cave", type: "", region: 1, level: "Surface", x: -1111, y: -432, z: 22, details: "" },</v>
      </c>
      <c r="M18" s="28"/>
      <c r="N18" s="28"/>
      <c r="O18" s="28"/>
      <c r="P18" s="28"/>
    </row>
    <row r="19" spans="1:16" x14ac:dyDescent="0.2">
      <c r="A19" t="s">
        <v>856</v>
      </c>
      <c r="B19" t="s">
        <v>2430</v>
      </c>
      <c r="C19" t="s">
        <v>801</v>
      </c>
      <c r="D19">
        <v>9</v>
      </c>
      <c r="E19" t="s">
        <v>785</v>
      </c>
      <c r="F19" s="2">
        <v>3606</v>
      </c>
      <c r="G19" s="2">
        <v>122</v>
      </c>
      <c r="H19" s="2">
        <v>-1</v>
      </c>
      <c r="I19" s="28"/>
      <c r="J19" t="str">
        <f t="shared" si="0"/>
        <v>{ name: "Ancient Zora Waterworks", landmark: "Cave", type: "", region: 9, level: "Surface", x: 3606, y: 122, z: -1, details: "" },</v>
      </c>
      <c r="M19" s="28"/>
      <c r="N19" s="28"/>
      <c r="O19" s="28"/>
      <c r="P19" s="28"/>
    </row>
    <row r="20" spans="1:16" x14ac:dyDescent="0.2">
      <c r="A20" t="s">
        <v>857</v>
      </c>
      <c r="B20" t="s">
        <v>2430</v>
      </c>
      <c r="C20" t="s">
        <v>805</v>
      </c>
      <c r="D20">
        <v>12</v>
      </c>
      <c r="E20" t="s">
        <v>785</v>
      </c>
      <c r="F20" s="2">
        <v>2454</v>
      </c>
      <c r="G20" s="2">
        <v>-3193</v>
      </c>
      <c r="H20" s="2">
        <v>64</v>
      </c>
      <c r="I20" s="28"/>
      <c r="J20" t="str">
        <f t="shared" si="0"/>
        <v>{ name: "Atun Valley Cave", landmark: "Cave", type: "", region: 12, level: "Surface", x: 2454, y: -3193, z: 64, details: "" },</v>
      </c>
      <c r="M20" s="28"/>
      <c r="N20" s="28"/>
      <c r="O20" s="28"/>
      <c r="P20" s="28"/>
    </row>
    <row r="21" spans="1:16" x14ac:dyDescent="0.2">
      <c r="A21" t="s">
        <v>858</v>
      </c>
      <c r="B21" t="s">
        <v>2443</v>
      </c>
      <c r="C21" s="19" t="s">
        <v>801</v>
      </c>
      <c r="D21" s="19">
        <v>9</v>
      </c>
      <c r="E21" t="s">
        <v>785</v>
      </c>
      <c r="F21" s="2">
        <v>2185</v>
      </c>
      <c r="G21" s="2">
        <v>142</v>
      </c>
      <c r="H21" s="2">
        <v>37</v>
      </c>
      <c r="I21" s="28"/>
      <c r="J21" t="str">
        <f t="shared" si="0"/>
        <v>{ name: "Bone Pond East Cave", landmark: "Cave", type: "(Entrance 1 of 4)", region: 9, level: "Surface", x: 2185, y: 142, z: 37, details: "" },</v>
      </c>
      <c r="M21" s="28"/>
      <c r="N21" s="28"/>
      <c r="O21" s="28"/>
      <c r="P21" s="28"/>
    </row>
    <row r="22" spans="1:16" x14ac:dyDescent="0.2">
      <c r="A22" t="s">
        <v>858</v>
      </c>
      <c r="B22" t="s">
        <v>2444</v>
      </c>
      <c r="C22" s="19" t="s">
        <v>801</v>
      </c>
      <c r="D22" s="19">
        <v>9</v>
      </c>
      <c r="E22" t="s">
        <v>785</v>
      </c>
      <c r="F22" s="2">
        <v>2215</v>
      </c>
      <c r="G22" s="2">
        <v>100</v>
      </c>
      <c r="H22" s="2">
        <v>71</v>
      </c>
      <c r="I22" s="28"/>
      <c r="J22" t="str">
        <f t="shared" si="0"/>
        <v>{ name: "Bone Pond East Cave", landmark: "Cave", type: "(Entrance 2 of 4)", region: 9, level: "Surface", x: 2215, y: 100, z: 71, details: "" },</v>
      </c>
      <c r="M22" s="28"/>
      <c r="N22" s="28"/>
      <c r="O22" s="28"/>
      <c r="P22" s="28"/>
    </row>
    <row r="23" spans="1:16" x14ac:dyDescent="0.2">
      <c r="A23" t="s">
        <v>858</v>
      </c>
      <c r="B23" t="s">
        <v>2445</v>
      </c>
      <c r="C23" s="19" t="s">
        <v>801</v>
      </c>
      <c r="D23" s="19">
        <v>9</v>
      </c>
      <c r="E23" t="s">
        <v>785</v>
      </c>
      <c r="F23" s="2">
        <v>2260</v>
      </c>
      <c r="G23" s="2">
        <v>108</v>
      </c>
      <c r="H23" s="2">
        <v>110</v>
      </c>
      <c r="I23" s="28"/>
      <c r="J23" t="str">
        <f t="shared" si="0"/>
        <v>{ name: "Bone Pond East Cave", landmark: "Cave", type: "(Entrance 3 of 4)", region: 9, level: "Surface", x: 2260, y: 108, z: 110, details: "" },</v>
      </c>
      <c r="M23" s="28"/>
      <c r="N23" s="28"/>
      <c r="O23" s="28"/>
      <c r="P23" s="28"/>
    </row>
    <row r="24" spans="1:16" x14ac:dyDescent="0.2">
      <c r="A24" t="s">
        <v>858</v>
      </c>
      <c r="B24" t="s">
        <v>2446</v>
      </c>
      <c r="C24" s="19" t="s">
        <v>801</v>
      </c>
      <c r="D24" s="19">
        <v>9</v>
      </c>
      <c r="E24" t="s">
        <v>785</v>
      </c>
      <c r="F24" s="2">
        <v>2253</v>
      </c>
      <c r="G24" s="2">
        <v>14</v>
      </c>
      <c r="H24" s="2">
        <v>16</v>
      </c>
      <c r="I24" s="28"/>
      <c r="J24" t="str">
        <f t="shared" si="0"/>
        <v>{ name: "Bone Pond East Cave", landmark: "Cave", type: "(Entrance 4 of 4)", region: 9, level: "Surface", x: 2253, y: 14, z: 16, details: "" },</v>
      </c>
      <c r="M24" s="28"/>
      <c r="N24" s="28"/>
      <c r="O24" s="28"/>
      <c r="P24" s="28"/>
    </row>
    <row r="25" spans="1:16" x14ac:dyDescent="0.2">
      <c r="A25" t="s">
        <v>859</v>
      </c>
      <c r="B25" t="s">
        <v>2447</v>
      </c>
      <c r="C25" t="s">
        <v>794</v>
      </c>
      <c r="D25">
        <v>13</v>
      </c>
      <c r="E25" t="s">
        <v>783</v>
      </c>
      <c r="F25" s="2">
        <v>739</v>
      </c>
      <c r="G25" s="2">
        <v>-1358</v>
      </c>
      <c r="H25" s="2">
        <v>1542</v>
      </c>
      <c r="I25" s="28"/>
      <c r="J25" t="str">
        <f t="shared" si="0"/>
        <v>{ name: "Bottomless Cave", landmark: "Cave", type: "(Entrance 1 of 2)", region: 13, level: "Sky", x: 739, y: -1358, z: 1542, details: "" },</v>
      </c>
      <c r="M25" s="28"/>
      <c r="N25" s="28"/>
      <c r="O25" s="28"/>
      <c r="P25" s="28"/>
    </row>
    <row r="26" spans="1:16" x14ac:dyDescent="0.2">
      <c r="A26" t="s">
        <v>859</v>
      </c>
      <c r="B26" t="s">
        <v>2448</v>
      </c>
      <c r="C26" t="s">
        <v>794</v>
      </c>
      <c r="D26">
        <v>13</v>
      </c>
      <c r="E26" t="s">
        <v>783</v>
      </c>
      <c r="F26" s="2">
        <v>711</v>
      </c>
      <c r="G26" s="2">
        <v>-1449</v>
      </c>
      <c r="H26" s="2">
        <v>1485</v>
      </c>
      <c r="I26" s="28"/>
      <c r="J26" t="str">
        <f t="shared" si="0"/>
        <v>{ name: "Bottomless Cave", landmark: "Cave", type: "(Entrance 2 of 2)", region: 13, level: "Sky", x: 711, y: -1449, z: 1485, details: "" },</v>
      </c>
      <c r="M26" s="28"/>
      <c r="N26" s="28"/>
      <c r="O26" s="28"/>
      <c r="P26" s="28"/>
    </row>
    <row r="27" spans="1:16" x14ac:dyDescent="0.2">
      <c r="A27" t="s">
        <v>860</v>
      </c>
      <c r="B27" t="s">
        <v>2430</v>
      </c>
      <c r="C27" t="s">
        <v>787</v>
      </c>
      <c r="D27">
        <v>3</v>
      </c>
      <c r="E27" t="s">
        <v>785</v>
      </c>
      <c r="F27" s="2">
        <v>-3005</v>
      </c>
      <c r="G27" s="2">
        <v>1635</v>
      </c>
      <c r="H27" s="2">
        <v>199</v>
      </c>
      <c r="I27" s="28"/>
      <c r="J27" t="str">
        <f t="shared" si="0"/>
        <v>{ name: "Brightcap Cave", landmark: "Cave", type: "", region: 3, level: "Surface", x: -3005, y: 1635, z: 199, details: "" },</v>
      </c>
      <c r="M27" s="28"/>
      <c r="N27" s="28"/>
      <c r="O27" s="28"/>
      <c r="P27" s="28"/>
    </row>
    <row r="28" spans="1:16" x14ac:dyDescent="0.2">
      <c r="A28" t="s">
        <v>2137</v>
      </c>
      <c r="B28" t="s">
        <v>2447</v>
      </c>
      <c r="C28" t="s">
        <v>803</v>
      </c>
      <c r="D28">
        <v>10</v>
      </c>
      <c r="E28" t="s">
        <v>785</v>
      </c>
      <c r="F28" s="2">
        <v>1617</v>
      </c>
      <c r="G28" s="2">
        <v>-1260</v>
      </c>
      <c r="H28" s="2">
        <v>6</v>
      </c>
      <c r="I28" s="28"/>
      <c r="J28" t="str">
        <f t="shared" si="0"/>
        <v>{ name: "Byroad to Lanayru Wetlands Cave", landmark: "Cave", type: "(Entrance 1 of 2)", region: 10, level: "Surface", x: 1617, y: -1260, z: 6, details: "" },</v>
      </c>
      <c r="M28" s="28"/>
      <c r="N28" s="28"/>
      <c r="O28" s="28"/>
      <c r="P28" s="28"/>
    </row>
    <row r="29" spans="1:16" x14ac:dyDescent="0.2">
      <c r="A29" t="s">
        <v>2137</v>
      </c>
      <c r="B29" t="s">
        <v>2447</v>
      </c>
      <c r="C29" t="s">
        <v>803</v>
      </c>
      <c r="D29">
        <v>10</v>
      </c>
      <c r="E29" t="s">
        <v>785</v>
      </c>
      <c r="F29" s="2">
        <v>1587</v>
      </c>
      <c r="G29" s="2">
        <v>-812</v>
      </c>
      <c r="H29" s="2">
        <v>6</v>
      </c>
      <c r="I29" s="28"/>
      <c r="J29" t="str">
        <f t="shared" si="0"/>
        <v>{ name: "Byroad to Lanayru Wetlands Cave", landmark: "Cave", type: "(Entrance 1 of 2)", region: 10, level: "Surface", x: 1587, y: -812, z: 6, details: "" },</v>
      </c>
      <c r="M29" s="28"/>
      <c r="N29" s="28"/>
      <c r="O29" s="28"/>
      <c r="P29" s="28"/>
    </row>
    <row r="30" spans="1:16" x14ac:dyDescent="0.2">
      <c r="A30" t="s">
        <v>862</v>
      </c>
      <c r="B30" t="s">
        <v>2447</v>
      </c>
      <c r="C30" t="s">
        <v>794</v>
      </c>
      <c r="D30">
        <v>13</v>
      </c>
      <c r="E30" t="s">
        <v>785</v>
      </c>
      <c r="F30" s="2">
        <v>1958</v>
      </c>
      <c r="G30" s="2">
        <v>-3032</v>
      </c>
      <c r="H30" s="2">
        <v>192</v>
      </c>
      <c r="I30" s="28"/>
      <c r="J30" t="str">
        <f t="shared" si="0"/>
        <v>{ name: "Calora Lake Cave", landmark: "Cave", type: "(Entrance 1 of 2)", region: 13, level: "Surface", x: 1958, y: -3032, z: 192, details: "" },</v>
      </c>
      <c r="M30" s="28"/>
      <c r="N30" s="28"/>
      <c r="O30" s="28"/>
      <c r="P30" s="28"/>
    </row>
    <row r="31" spans="1:16" x14ac:dyDescent="0.2">
      <c r="A31" t="s">
        <v>862</v>
      </c>
      <c r="B31" t="s">
        <v>2448</v>
      </c>
      <c r="C31" t="s">
        <v>794</v>
      </c>
      <c r="D31">
        <v>13</v>
      </c>
      <c r="E31" t="s">
        <v>785</v>
      </c>
      <c r="F31" s="2">
        <v>2009</v>
      </c>
      <c r="G31" s="2">
        <v>-3164</v>
      </c>
      <c r="H31" s="2">
        <v>176</v>
      </c>
      <c r="I31" s="28"/>
      <c r="J31" t="str">
        <f t="shared" si="0"/>
        <v>{ name: "Calora Lake Cave", landmark: "Cave", type: "(Entrance 2 of 2)", region: 13, level: "Surface", x: 2009, y: -3164, z: 176, details: "" },</v>
      </c>
      <c r="M31" s="28"/>
      <c r="N31" s="28"/>
      <c r="O31" s="28"/>
      <c r="P31" s="28"/>
    </row>
    <row r="32" spans="1:16" x14ac:dyDescent="0.2">
      <c r="A32" t="s">
        <v>863</v>
      </c>
      <c r="B32" t="s">
        <v>2430</v>
      </c>
      <c r="C32" t="s">
        <v>805</v>
      </c>
      <c r="D32">
        <v>12</v>
      </c>
      <c r="E32" t="s">
        <v>785</v>
      </c>
      <c r="F32" s="2">
        <v>3650</v>
      </c>
      <c r="G32" s="2">
        <v>-3210</v>
      </c>
      <c r="H32" s="2">
        <v>-6</v>
      </c>
      <c r="I32" s="28"/>
      <c r="J32" t="str">
        <f t="shared" si="0"/>
        <v>{ name: "Cape Cales Cliffbase Cave", landmark: "Cave", type: "", region: 12, level: "Surface", x: 3650, y: -3210, z: -6, details: "" },</v>
      </c>
      <c r="M32" s="28"/>
      <c r="N32" s="28"/>
      <c r="O32" s="28"/>
      <c r="P32" s="28"/>
    </row>
    <row r="33" spans="1:16" x14ac:dyDescent="0.2">
      <c r="A33" t="s">
        <v>864</v>
      </c>
      <c r="B33" t="s">
        <v>2430</v>
      </c>
      <c r="C33" t="s">
        <v>801</v>
      </c>
      <c r="D33">
        <v>9</v>
      </c>
      <c r="E33" t="s">
        <v>785</v>
      </c>
      <c r="F33" s="2">
        <v>3240</v>
      </c>
      <c r="G33" s="2">
        <v>373</v>
      </c>
      <c r="H33" s="2">
        <v>75</v>
      </c>
      <c r="I33" s="28"/>
      <c r="J33" t="str">
        <f t="shared" si="0"/>
        <v>{ name: "Cave Under Zora's Domain", landmark: "Cave", type: "", region: 9, level: "Surface", x: 3240, y: 373, z: 75, details: "" },</v>
      </c>
      <c r="M33" s="28"/>
      <c r="N33" s="28"/>
      <c r="O33" s="28"/>
      <c r="P33" s="28"/>
    </row>
    <row r="34" spans="1:16" x14ac:dyDescent="0.2">
      <c r="A34" t="s">
        <v>865</v>
      </c>
      <c r="B34" t="s">
        <v>2430</v>
      </c>
      <c r="C34" s="19" t="s">
        <v>798</v>
      </c>
      <c r="D34" s="19">
        <v>14</v>
      </c>
      <c r="E34" t="s">
        <v>785</v>
      </c>
      <c r="F34" s="2">
        <v>-3679</v>
      </c>
      <c r="G34" s="2">
        <v>-3255</v>
      </c>
      <c r="H34" s="2">
        <v>-18</v>
      </c>
      <c r="I34" s="28"/>
      <c r="J34" t="str">
        <f t="shared" si="0"/>
        <v>{ name: "Central Gerudo Cave", landmark: "Cave", type: "", region: 14, level: "Surface", x: -3679, y: -3255, z: -18, details: "" },</v>
      </c>
      <c r="M34" s="28"/>
      <c r="N34" s="28"/>
      <c r="O34" s="28"/>
      <c r="P34" s="28"/>
    </row>
    <row r="35" spans="1:16" x14ac:dyDescent="0.2">
      <c r="A35" t="s">
        <v>866</v>
      </c>
      <c r="B35" t="s">
        <v>2430</v>
      </c>
      <c r="C35" t="s">
        <v>1264</v>
      </c>
      <c r="D35">
        <v>7</v>
      </c>
      <c r="E35" t="s">
        <v>785</v>
      </c>
      <c r="F35" s="2">
        <v>2593</v>
      </c>
      <c r="G35" s="2">
        <v>1330</v>
      </c>
      <c r="H35" s="2">
        <v>150</v>
      </c>
      <c r="I35" s="28"/>
      <c r="J35" t="str">
        <f t="shared" si="0"/>
        <v>{ name: "Cephla Lake Cave", landmark: "Cave", type: "", region: 7, level: "Surface", x: 2593, y: 1330, z: 150, details: "" },</v>
      </c>
      <c r="M35" s="28"/>
      <c r="N35" s="28"/>
      <c r="O35" s="28"/>
      <c r="P35" s="28"/>
    </row>
    <row r="36" spans="1:16" x14ac:dyDescent="0.2">
      <c r="A36" t="s">
        <v>867</v>
      </c>
      <c r="B36" t="s">
        <v>2430</v>
      </c>
      <c r="C36" t="s">
        <v>2123</v>
      </c>
      <c r="D36">
        <v>2</v>
      </c>
      <c r="E36" t="s">
        <v>785</v>
      </c>
      <c r="F36" s="2">
        <v>-1167</v>
      </c>
      <c r="G36" s="2">
        <v>-1310</v>
      </c>
      <c r="H36" s="2">
        <v>22</v>
      </c>
      <c r="I36" s="28"/>
      <c r="J36" t="str">
        <f t="shared" si="0"/>
        <v>{ name: "Coliseum Ruins Cave", landmark: "Cave", type: "", region: 2, level: "Surface", x: -1167, y: -1310, z: 22, details: "" },</v>
      </c>
      <c r="M36" s="28"/>
      <c r="N36" s="28"/>
      <c r="O36" s="28"/>
      <c r="P36" s="28"/>
    </row>
    <row r="37" spans="1:16" x14ac:dyDescent="0.2">
      <c r="A37" t="s">
        <v>868</v>
      </c>
      <c r="B37" t="s">
        <v>2447</v>
      </c>
      <c r="C37" t="s">
        <v>1113</v>
      </c>
      <c r="D37">
        <v>8</v>
      </c>
      <c r="E37" t="s">
        <v>785</v>
      </c>
      <c r="F37" s="2">
        <v>3678</v>
      </c>
      <c r="G37" s="2">
        <v>1538</v>
      </c>
      <c r="H37" s="2">
        <v>74</v>
      </c>
      <c r="I37" s="28"/>
      <c r="J37" t="str">
        <f t="shared" si="0"/>
        <v>{ name: "Construction Site Cave", landmark: "Cave", type: "(Entrance 1 of 2)", region: 8, level: "Surface", x: 3678, y: 1538, z: 74, details: "" },</v>
      </c>
      <c r="M37" s="28"/>
      <c r="N37" s="28"/>
      <c r="O37" s="28"/>
      <c r="P37" s="28"/>
    </row>
    <row r="38" spans="1:16" x14ac:dyDescent="0.2">
      <c r="A38" t="s">
        <v>868</v>
      </c>
      <c r="B38" t="s">
        <v>2448</v>
      </c>
      <c r="C38" t="s">
        <v>1113</v>
      </c>
      <c r="D38">
        <v>8</v>
      </c>
      <c r="E38" t="s">
        <v>785</v>
      </c>
      <c r="F38" s="2">
        <v>3735</v>
      </c>
      <c r="G38" s="2">
        <v>1534</v>
      </c>
      <c r="H38" s="2">
        <v>80</v>
      </c>
      <c r="I38" s="28"/>
      <c r="J38" t="str">
        <f t="shared" si="0"/>
        <v>{ name: "Construction Site Cave", landmark: "Cave", type: "(Entrance 2 of 2)", region: 8, level: "Surface", x: 3735, y: 1534, z: 80, details: "" },</v>
      </c>
      <c r="M38" s="28"/>
      <c r="N38" s="28"/>
      <c r="O38" s="28"/>
      <c r="P38" s="28"/>
    </row>
    <row r="39" spans="1:16" x14ac:dyDescent="0.2">
      <c r="A39" t="s">
        <v>869</v>
      </c>
      <c r="B39" t="s">
        <v>2447</v>
      </c>
      <c r="C39" t="s">
        <v>794</v>
      </c>
      <c r="D39">
        <v>13</v>
      </c>
      <c r="E39" t="s">
        <v>785</v>
      </c>
      <c r="F39" s="2">
        <v>-171</v>
      </c>
      <c r="G39" s="2">
        <v>-3067</v>
      </c>
      <c r="H39" s="2">
        <v>-13</v>
      </c>
      <c r="I39" s="28"/>
      <c r="J39" t="str">
        <f t="shared" si="0"/>
        <v>{ name: "Cora Lakefront Cave", landmark: "Cave", type: "(Entrance 1 of 2)", region: 13, level: "Surface", x: -171, y: -3067, z: -13, details: "" },</v>
      </c>
      <c r="M39" s="28"/>
      <c r="N39" s="28"/>
      <c r="O39" s="28"/>
      <c r="P39" s="28"/>
    </row>
    <row r="40" spans="1:16" x14ac:dyDescent="0.2">
      <c r="A40" t="s">
        <v>869</v>
      </c>
      <c r="B40" t="s">
        <v>2448</v>
      </c>
      <c r="C40" t="s">
        <v>794</v>
      </c>
      <c r="D40">
        <v>13</v>
      </c>
      <c r="E40" t="s">
        <v>785</v>
      </c>
      <c r="F40" s="2">
        <v>-256</v>
      </c>
      <c r="G40" s="2">
        <v>-2940</v>
      </c>
      <c r="H40" s="2">
        <v>-18</v>
      </c>
      <c r="I40" s="28"/>
      <c r="J40" t="str">
        <f t="shared" si="0"/>
        <v>{ name: "Cora Lakefront Cave", landmark: "Cave", type: "(Entrance 2 of 2)", region: 13, level: "Surface", x: -256, y: -2940, z: -18, details: "" },</v>
      </c>
      <c r="M40" s="28"/>
      <c r="N40" s="28"/>
      <c r="O40" s="28"/>
      <c r="P40" s="28"/>
    </row>
    <row r="41" spans="1:16" x14ac:dyDescent="0.2">
      <c r="A41" t="s">
        <v>870</v>
      </c>
      <c r="B41" t="s">
        <v>2430</v>
      </c>
      <c r="C41" t="s">
        <v>794</v>
      </c>
      <c r="D41">
        <v>13</v>
      </c>
      <c r="E41" t="s">
        <v>785</v>
      </c>
      <c r="F41" s="2">
        <v>1676</v>
      </c>
      <c r="G41" s="2">
        <v>-3038</v>
      </c>
      <c r="H41" s="2">
        <v>164</v>
      </c>
      <c r="I41" s="28"/>
      <c r="J41" t="str">
        <f t="shared" si="0"/>
        <v>{ name: "Corta Lake Cave", landmark: "Cave", type: "", region: 13, level: "Surface", x: 1676, y: -3038, z: 164, details: "" },</v>
      </c>
      <c r="M41" s="28"/>
      <c r="N41" s="28"/>
      <c r="O41" s="28"/>
      <c r="P41" s="28"/>
    </row>
    <row r="42" spans="1:16" x14ac:dyDescent="0.2">
      <c r="A42" t="s">
        <v>871</v>
      </c>
      <c r="B42" t="s">
        <v>2430</v>
      </c>
      <c r="C42" t="s">
        <v>2122</v>
      </c>
      <c r="D42">
        <v>1</v>
      </c>
      <c r="E42" t="s">
        <v>785</v>
      </c>
      <c r="F42" s="2">
        <v>493</v>
      </c>
      <c r="G42" s="2">
        <v>730</v>
      </c>
      <c r="H42" s="2">
        <v>40</v>
      </c>
      <c r="I42" s="28"/>
      <c r="J42" t="str">
        <f t="shared" si="0"/>
        <v>{ name: "Crenel Hills Cave", landmark: "Cave", type: "", region: 1, level: "Surface", x: 493, y: 730, z: 40, details: "" },</v>
      </c>
      <c r="M42" s="28"/>
      <c r="N42" s="28"/>
      <c r="O42" s="28"/>
      <c r="P42" s="28"/>
    </row>
    <row r="43" spans="1:16" x14ac:dyDescent="0.2">
      <c r="A43" t="s">
        <v>872</v>
      </c>
      <c r="B43" t="s">
        <v>2447</v>
      </c>
      <c r="C43" t="s">
        <v>2122</v>
      </c>
      <c r="D43">
        <v>1</v>
      </c>
      <c r="E43" t="s">
        <v>785</v>
      </c>
      <c r="F43" s="2">
        <v>1144</v>
      </c>
      <c r="G43" s="2">
        <v>247</v>
      </c>
      <c r="H43" s="2">
        <v>57</v>
      </c>
      <c r="I43" s="28"/>
      <c r="J43" t="str">
        <f t="shared" si="0"/>
        <v>{ name: "Crenel Peak Cave", landmark: "Cave", type: "(Entrance 1 of 2)", region: 1, level: "Surface", x: 1144, y: 247, z: 57, details: "" },</v>
      </c>
      <c r="M43" s="28"/>
      <c r="N43" s="28"/>
      <c r="O43" s="28"/>
      <c r="P43" s="28"/>
    </row>
    <row r="44" spans="1:16" x14ac:dyDescent="0.2">
      <c r="A44" t="s">
        <v>872</v>
      </c>
      <c r="B44" t="s">
        <v>2448</v>
      </c>
      <c r="C44" t="s">
        <v>2122</v>
      </c>
      <c r="D44">
        <v>1</v>
      </c>
      <c r="E44" t="s">
        <v>785</v>
      </c>
      <c r="F44" s="2">
        <v>1349</v>
      </c>
      <c r="G44" s="2">
        <v>296</v>
      </c>
      <c r="H44" s="2">
        <v>28</v>
      </c>
      <c r="I44" s="28"/>
      <c r="J44" t="str">
        <f t="shared" si="0"/>
        <v>{ name: "Crenel Peak Cave", landmark: "Cave", type: "(Entrance 2 of 2)", region: 1, level: "Surface", x: 1349, y: 296, z: 28, details: "" },</v>
      </c>
      <c r="M44" s="28"/>
      <c r="N44" s="28"/>
      <c r="O44" s="28"/>
      <c r="P44" s="28"/>
    </row>
    <row r="45" spans="1:16" x14ac:dyDescent="0.2">
      <c r="A45" t="s">
        <v>873</v>
      </c>
      <c r="B45" t="s">
        <v>2430</v>
      </c>
      <c r="C45" s="19" t="s">
        <v>803</v>
      </c>
      <c r="D45" s="19">
        <v>10</v>
      </c>
      <c r="E45" t="s">
        <v>785</v>
      </c>
      <c r="F45" s="2">
        <v>1877</v>
      </c>
      <c r="G45" s="2">
        <v>-1160</v>
      </c>
      <c r="H45" s="2">
        <v>198</v>
      </c>
      <c r="I45" s="28"/>
      <c r="J45" t="str">
        <f t="shared" si="0"/>
        <v>{ name: "Cucco Hideaway", landmark: "Cave", type: "", region: 10, level: "Surface", x: 1877, y: -1160, z: 198, details: "" },</v>
      </c>
      <c r="M45" s="28"/>
      <c r="N45" s="28"/>
      <c r="O45" s="28"/>
      <c r="P45" s="28"/>
    </row>
    <row r="46" spans="1:16" x14ac:dyDescent="0.2">
      <c r="A46" t="s">
        <v>874</v>
      </c>
      <c r="B46" t="s">
        <v>2430</v>
      </c>
      <c r="C46" t="s">
        <v>1264</v>
      </c>
      <c r="D46">
        <v>7</v>
      </c>
      <c r="E46" t="s">
        <v>785</v>
      </c>
      <c r="F46" s="2">
        <v>2767</v>
      </c>
      <c r="G46" s="2">
        <v>2778</v>
      </c>
      <c r="H46" s="2">
        <v>521</v>
      </c>
      <c r="I46" s="28"/>
      <c r="J46" t="str">
        <f t="shared" si="0"/>
        <v>{ name: "Death Mountain East Tunnel", landmark: "Cave", type: "", region: 7, level: "Surface", x: 2767, y: 2778, z: 521, details: "" },</v>
      </c>
      <c r="M46" s="28"/>
      <c r="N46" s="28"/>
      <c r="O46" s="28"/>
      <c r="P46" s="28"/>
    </row>
    <row r="47" spans="1:16" x14ac:dyDescent="0.2">
      <c r="A47" t="s">
        <v>875</v>
      </c>
      <c r="B47" t="s">
        <v>2430</v>
      </c>
      <c r="C47" t="s">
        <v>1264</v>
      </c>
      <c r="D47">
        <v>7</v>
      </c>
      <c r="E47" t="s">
        <v>785</v>
      </c>
      <c r="F47" s="2">
        <v>1949</v>
      </c>
      <c r="G47" s="2">
        <v>2687</v>
      </c>
      <c r="H47" s="2">
        <v>425</v>
      </c>
      <c r="I47" s="28"/>
      <c r="J47" t="str">
        <f t="shared" si="0"/>
        <v>{ name: "Death Mountain Foothill Cave", landmark: "Cave", type: "", region: 7, level: "Surface", x: 1949, y: 2687, z: 425, details: "" },</v>
      </c>
      <c r="M47" s="28"/>
      <c r="N47" s="28"/>
      <c r="O47" s="28"/>
      <c r="P47" s="28"/>
    </row>
    <row r="48" spans="1:16" x14ac:dyDescent="0.2">
      <c r="A48" t="s">
        <v>876</v>
      </c>
      <c r="B48" t="s">
        <v>2430</v>
      </c>
      <c r="C48" t="s">
        <v>1264</v>
      </c>
      <c r="D48">
        <v>7</v>
      </c>
      <c r="E48" t="s">
        <v>785</v>
      </c>
      <c r="F48" s="2">
        <v>2238</v>
      </c>
      <c r="G48" s="2">
        <v>2682</v>
      </c>
      <c r="H48" s="2">
        <v>520</v>
      </c>
      <c r="I48" s="28"/>
      <c r="J48" t="str">
        <f t="shared" si="0"/>
        <v>{ name: "Death Mountain West Tunnel", landmark: "Cave", type: "", region: 7, level: "Surface", x: 2238, y: 2682, z: 520, details: "" },</v>
      </c>
      <c r="M48" s="28"/>
      <c r="N48" s="28"/>
      <c r="O48" s="28"/>
      <c r="P48" s="28"/>
    </row>
    <row r="49" spans="1:16" x14ac:dyDescent="0.2">
      <c r="A49" t="s">
        <v>877</v>
      </c>
      <c r="B49" t="s">
        <v>2430</v>
      </c>
      <c r="C49" t="s">
        <v>804</v>
      </c>
      <c r="D49">
        <v>11</v>
      </c>
      <c r="E49" t="s">
        <v>785</v>
      </c>
      <c r="F49" s="2">
        <v>4213</v>
      </c>
      <c r="G49" s="2">
        <v>-2262</v>
      </c>
      <c r="H49" s="2">
        <v>0</v>
      </c>
      <c r="I49" s="28"/>
      <c r="J49" t="str">
        <f t="shared" si="0"/>
        <v>{ name: "Deepback Bay Cave", landmark: "Cave", type: "", region: 11, level: "Surface", x: 4213, y: -2262, z: 0, details: "" },</v>
      </c>
      <c r="M49" s="28"/>
      <c r="N49" s="28"/>
      <c r="O49" s="28"/>
      <c r="P49" s="28"/>
    </row>
    <row r="50" spans="1:16" x14ac:dyDescent="0.2">
      <c r="A50" t="s">
        <v>878</v>
      </c>
      <c r="B50" t="s">
        <v>2430</v>
      </c>
      <c r="C50" t="s">
        <v>789</v>
      </c>
      <c r="D50">
        <v>6</v>
      </c>
      <c r="E50" t="s">
        <v>785</v>
      </c>
      <c r="F50" s="2">
        <v>307</v>
      </c>
      <c r="G50" s="2">
        <v>3579</v>
      </c>
      <c r="H50" s="2">
        <v>87</v>
      </c>
      <c r="I50" s="28"/>
      <c r="J50" t="str">
        <f t="shared" si="0"/>
        <v>{ name: "Deplian Badlands Cave", landmark: "Cave", type: "", region: 6, level: "Surface", x: 307, y: 3579, z: 87, details: "" },</v>
      </c>
      <c r="M50" s="28"/>
      <c r="N50" s="28"/>
      <c r="O50" s="28"/>
      <c r="P50" s="28"/>
    </row>
    <row r="51" spans="1:16" x14ac:dyDescent="0.2">
      <c r="A51" t="s">
        <v>879</v>
      </c>
      <c r="B51" t="s">
        <v>2430</v>
      </c>
      <c r="C51" t="s">
        <v>803</v>
      </c>
      <c r="D51">
        <v>10</v>
      </c>
      <c r="E51" t="s">
        <v>785</v>
      </c>
      <c r="F51" s="2">
        <v>1194</v>
      </c>
      <c r="G51" s="2">
        <v>-1854</v>
      </c>
      <c r="H51" s="2">
        <v>157</v>
      </c>
      <c r="I51" s="28"/>
      <c r="J51" t="str">
        <f t="shared" si="0"/>
        <v>{ name: "Dueling Peaks North Cave", landmark: "Cave", type: "", region: 10, level: "Surface", x: 1194, y: -1854, z: 157, details: "" },</v>
      </c>
      <c r="M51" s="28"/>
      <c r="N51" s="28"/>
      <c r="O51" s="28"/>
      <c r="P51" s="28"/>
    </row>
    <row r="52" spans="1:16" x14ac:dyDescent="0.2">
      <c r="A52" t="s">
        <v>880</v>
      </c>
      <c r="B52" t="s">
        <v>2430</v>
      </c>
      <c r="C52" t="s">
        <v>803</v>
      </c>
      <c r="D52">
        <v>10</v>
      </c>
      <c r="E52" t="s">
        <v>785</v>
      </c>
      <c r="F52" s="2">
        <v>1183</v>
      </c>
      <c r="G52" s="2">
        <v>-1947</v>
      </c>
      <c r="H52" s="2">
        <v>245</v>
      </c>
      <c r="I52" s="28"/>
      <c r="J52" t="str">
        <f t="shared" si="0"/>
        <v>{ name: "Dueling Peaks South Cave", landmark: "Cave", type: "", region: 10, level: "Surface", x: 1183, y: -1947, z: 245, details: "" },</v>
      </c>
      <c r="M52" s="28"/>
      <c r="N52" s="28"/>
      <c r="O52" s="28"/>
      <c r="P52" s="28"/>
    </row>
    <row r="53" spans="1:16" x14ac:dyDescent="0.2">
      <c r="A53" t="s">
        <v>881</v>
      </c>
      <c r="B53" t="s">
        <v>2447</v>
      </c>
      <c r="C53" t="s">
        <v>800</v>
      </c>
      <c r="D53">
        <v>4</v>
      </c>
      <c r="E53" t="s">
        <v>785</v>
      </c>
      <c r="F53" s="2">
        <v>-3989</v>
      </c>
      <c r="G53" s="2">
        <v>3062</v>
      </c>
      <c r="H53" s="2">
        <v>138</v>
      </c>
      <c r="I53" s="28"/>
      <c r="J53" t="str">
        <f t="shared" si="0"/>
        <v>{ name: "East Biron Snowshelf Cave", landmark: "Cave", type: "(Entrance 1 of 2)", region: 4, level: "Surface", x: -3989, y: 3062, z: 138, details: "" },</v>
      </c>
      <c r="M53" s="28"/>
      <c r="N53" s="28"/>
      <c r="O53" s="28"/>
      <c r="P53" s="28"/>
    </row>
    <row r="54" spans="1:16" x14ac:dyDescent="0.2">
      <c r="A54" t="s">
        <v>881</v>
      </c>
      <c r="B54" t="s">
        <v>2448</v>
      </c>
      <c r="C54" t="s">
        <v>800</v>
      </c>
      <c r="D54">
        <v>4</v>
      </c>
      <c r="E54" t="s">
        <v>785</v>
      </c>
      <c r="F54" s="2">
        <v>-3555</v>
      </c>
      <c r="G54" s="2">
        <v>3088</v>
      </c>
      <c r="H54" s="2">
        <v>273</v>
      </c>
      <c r="I54" s="28"/>
      <c r="J54" t="str">
        <f t="shared" si="0"/>
        <v>{ name: "East Biron Snowshelf Cave", landmark: "Cave", type: "(Entrance 2 of 2)", region: 4, level: "Surface", x: -3555, y: 3088, z: 273, details: "" },</v>
      </c>
      <c r="M54" s="28"/>
      <c r="N54" s="28"/>
      <c r="O54" s="28"/>
      <c r="P54" s="28"/>
    </row>
    <row r="55" spans="1:16" x14ac:dyDescent="0.2">
      <c r="A55" t="s">
        <v>882</v>
      </c>
      <c r="B55" t="s">
        <v>2430</v>
      </c>
      <c r="C55" t="s">
        <v>798</v>
      </c>
      <c r="D55">
        <v>14</v>
      </c>
      <c r="E55" t="s">
        <v>785</v>
      </c>
      <c r="F55" s="2">
        <v>-2696</v>
      </c>
      <c r="G55" s="2">
        <v>-2808</v>
      </c>
      <c r="H55" s="2">
        <v>-67</v>
      </c>
      <c r="I55" s="28"/>
      <c r="J55" t="str">
        <f t="shared" si="0"/>
        <v>{ name: "East Gerudo Ruins Cave", landmark: "Cave", type: "", region: 14, level: "Surface", x: -2696, y: -2808, z: -67, details: "" },</v>
      </c>
      <c r="M55" s="28"/>
      <c r="N55" s="28"/>
      <c r="O55" s="28"/>
      <c r="P55" s="28"/>
    </row>
    <row r="56" spans="1:16" x14ac:dyDescent="0.2">
      <c r="A56" t="s">
        <v>883</v>
      </c>
      <c r="B56" t="s">
        <v>2430</v>
      </c>
      <c r="C56" t="s">
        <v>1264</v>
      </c>
      <c r="D56">
        <v>7</v>
      </c>
      <c r="E56" t="s">
        <v>785</v>
      </c>
      <c r="F56" s="2">
        <v>1853</v>
      </c>
      <c r="G56" s="2">
        <v>1719</v>
      </c>
      <c r="H56" s="2">
        <v>291</v>
      </c>
      <c r="I56" s="28"/>
      <c r="J56" t="str">
        <f t="shared" si="0"/>
        <v>{ name: "East Restaurant Cave", landmark: "Cave", type: "", region: 7, level: "Surface", x: 1853, y: 1719, z: 291, details: "" },</v>
      </c>
      <c r="M56" s="28"/>
      <c r="N56" s="28"/>
      <c r="O56" s="28"/>
      <c r="P56" s="28"/>
    </row>
    <row r="57" spans="1:16" x14ac:dyDescent="0.2">
      <c r="A57" t="s">
        <v>884</v>
      </c>
      <c r="B57" t="s">
        <v>2430</v>
      </c>
      <c r="C57" t="s">
        <v>805</v>
      </c>
      <c r="D57">
        <v>12</v>
      </c>
      <c r="E57" t="s">
        <v>785</v>
      </c>
      <c r="F57" s="2">
        <v>4752</v>
      </c>
      <c r="G57" s="2">
        <v>-3781</v>
      </c>
      <c r="H57" s="2">
        <v>-6</v>
      </c>
      <c r="I57" s="28"/>
      <c r="J57" t="str">
        <f t="shared" si="0"/>
        <v>{ name: "Eventide Island Cave", landmark: "Cave", type: "", region: 12, level: "Surface", x: 4752, y: -3781, z: -6, details: "" },</v>
      </c>
      <c r="M57" s="28"/>
      <c r="N57" s="28"/>
      <c r="O57" s="28"/>
      <c r="P57" s="28"/>
    </row>
    <row r="58" spans="1:16" x14ac:dyDescent="0.2">
      <c r="A58" t="s">
        <v>885</v>
      </c>
      <c r="B58" t="s">
        <v>2430</v>
      </c>
      <c r="C58" t="s">
        <v>794</v>
      </c>
      <c r="D58">
        <v>13</v>
      </c>
      <c r="E58" t="s">
        <v>785</v>
      </c>
      <c r="F58" s="2">
        <v>568</v>
      </c>
      <c r="G58" s="2">
        <v>-2981</v>
      </c>
      <c r="H58" s="2">
        <v>12</v>
      </c>
      <c r="I58" s="28"/>
      <c r="J58" t="str">
        <f t="shared" si="0"/>
        <v>{ name: "Finra Woods Excavation Site", landmark: "Cave", type: "", region: 13, level: "Surface", x: 568, y: -2981, z: 12, details: "" },</v>
      </c>
      <c r="M58" s="28"/>
      <c r="N58" s="28"/>
      <c r="O58" s="28"/>
      <c r="P58" s="28"/>
    </row>
    <row r="59" spans="1:16" x14ac:dyDescent="0.2">
      <c r="A59" t="s">
        <v>886</v>
      </c>
      <c r="B59" t="s">
        <v>2430</v>
      </c>
      <c r="C59" t="s">
        <v>794</v>
      </c>
      <c r="D59">
        <v>13</v>
      </c>
      <c r="E59" t="s">
        <v>785</v>
      </c>
      <c r="F59" s="2">
        <v>809</v>
      </c>
      <c r="G59" s="2">
        <v>-2971</v>
      </c>
      <c r="H59" s="2">
        <v>10</v>
      </c>
      <c r="I59" s="28"/>
      <c r="J59" t="str">
        <f t="shared" si="0"/>
        <v>{ name: "Floria River Upstream Excavation", landmark: "Cave", type: "", region: 13, level: "Surface", x: 809, y: -2971, z: 10, details: "" },</v>
      </c>
      <c r="M59" s="28"/>
      <c r="N59" s="28"/>
      <c r="O59" s="28"/>
      <c r="P59" s="28"/>
    </row>
    <row r="60" spans="1:16" x14ac:dyDescent="0.2">
      <c r="A60" t="s">
        <v>887</v>
      </c>
      <c r="B60" t="s">
        <v>2430</v>
      </c>
      <c r="C60" t="s">
        <v>1264</v>
      </c>
      <c r="D60">
        <v>7</v>
      </c>
      <c r="E60" t="s">
        <v>785</v>
      </c>
      <c r="F60" s="2">
        <v>2275</v>
      </c>
      <c r="G60" s="2">
        <v>1520</v>
      </c>
      <c r="H60" s="2">
        <v>157</v>
      </c>
      <c r="I60" s="28"/>
      <c r="J60" t="str">
        <f t="shared" si="0"/>
        <v>{ name: "Foothill Monster Den", landmark: "Cave", type: "", region: 7, level: "Surface", x: 2275, y: 1520, z: 157, details: "" },</v>
      </c>
      <c r="M60" s="28"/>
      <c r="N60" s="28"/>
      <c r="O60" s="28"/>
      <c r="P60" s="28"/>
    </row>
    <row r="61" spans="1:16" x14ac:dyDescent="0.2">
      <c r="A61" t="s">
        <v>888</v>
      </c>
      <c r="B61" t="s">
        <v>2430</v>
      </c>
      <c r="C61" s="19" t="s">
        <v>803</v>
      </c>
      <c r="D61" s="19">
        <v>10</v>
      </c>
      <c r="E61" t="s">
        <v>785</v>
      </c>
      <c r="F61" s="2">
        <v>2243</v>
      </c>
      <c r="G61" s="2">
        <v>-1689</v>
      </c>
      <c r="H61" s="2">
        <v>23</v>
      </c>
      <c r="I61" s="28"/>
      <c r="J61" t="str">
        <f t="shared" si="0"/>
        <v>{ name: "Fort Hateno Cave", landmark: "Cave", type: "", region: 10, level: "Surface", x: 2243, y: -1689, z: 23, details: "" },</v>
      </c>
      <c r="M61" s="28"/>
      <c r="N61" s="28"/>
      <c r="O61" s="28"/>
      <c r="P61" s="28"/>
    </row>
    <row r="62" spans="1:16" x14ac:dyDescent="0.2">
      <c r="A62" t="s">
        <v>889</v>
      </c>
      <c r="B62" t="s">
        <v>2447</v>
      </c>
      <c r="C62" t="s">
        <v>798</v>
      </c>
      <c r="D62">
        <v>14</v>
      </c>
      <c r="E62" t="s">
        <v>785</v>
      </c>
      <c r="F62" s="2">
        <v>-2676</v>
      </c>
      <c r="G62" s="2">
        <v>-2402</v>
      </c>
      <c r="H62" s="2">
        <v>79</v>
      </c>
      <c r="I62" s="28"/>
      <c r="J62" t="str">
        <f t="shared" si="0"/>
        <v>{ name: "Gerudo Canyon Mine", landmark: "Cave", type: "(Entrance 1 of 2)", region: 14, level: "Surface", x: -2676, y: -2402, z: 79, details: "" },</v>
      </c>
      <c r="M62" s="28"/>
      <c r="N62" s="28"/>
      <c r="O62" s="28"/>
      <c r="P62" s="28"/>
    </row>
    <row r="63" spans="1:16" x14ac:dyDescent="0.2">
      <c r="A63" t="s">
        <v>889</v>
      </c>
      <c r="B63" t="s">
        <v>2448</v>
      </c>
      <c r="C63" t="s">
        <v>798</v>
      </c>
      <c r="D63">
        <v>14</v>
      </c>
      <c r="E63" t="s">
        <v>785</v>
      </c>
      <c r="F63" s="2">
        <v>-2611</v>
      </c>
      <c r="G63" s="2">
        <v>-2604</v>
      </c>
      <c r="H63" s="2">
        <v>112</v>
      </c>
      <c r="I63" s="28"/>
      <c r="J63" t="str">
        <f t="shared" si="0"/>
        <v>{ name: "Gerudo Canyon Mine", landmark: "Cave", type: "(Entrance 2 of 2)", region: 14, level: "Surface", x: -2611, y: -2604, z: 112, details: "" },</v>
      </c>
      <c r="M63" s="28"/>
      <c r="N63" s="28"/>
      <c r="O63" s="28"/>
      <c r="P63" s="28"/>
    </row>
    <row r="64" spans="1:16" x14ac:dyDescent="0.2">
      <c r="A64" t="s">
        <v>2136</v>
      </c>
      <c r="B64" t="s">
        <v>2430</v>
      </c>
      <c r="C64" s="19" t="s">
        <v>798</v>
      </c>
      <c r="D64" s="19">
        <v>14</v>
      </c>
      <c r="E64" t="s">
        <v>785</v>
      </c>
      <c r="F64" s="2">
        <v>-4814</v>
      </c>
      <c r="G64" s="2">
        <v>-3875</v>
      </c>
      <c r="H64" s="2">
        <v>-1</v>
      </c>
      <c r="I64" s="28"/>
      <c r="J64" t="str">
        <f t="shared" si="0"/>
        <v>{ name: "Gerudo Great Skeleton Cave", landmark: "Cave", type: "", region: 14, level: "Surface", x: -4814, y: -3875, z: -1, details: "" },</v>
      </c>
      <c r="M64" s="28"/>
      <c r="N64" s="28"/>
      <c r="O64" s="28"/>
      <c r="P64" s="28"/>
    </row>
    <row r="65" spans="1:16" x14ac:dyDescent="0.2">
      <c r="A65" t="s">
        <v>891</v>
      </c>
      <c r="B65" t="s">
        <v>2447</v>
      </c>
      <c r="C65" s="19" t="s">
        <v>798</v>
      </c>
      <c r="D65" s="19">
        <v>14</v>
      </c>
      <c r="E65" t="s">
        <v>785</v>
      </c>
      <c r="F65" s="2">
        <v>-3763</v>
      </c>
      <c r="G65" s="2">
        <v>-2420</v>
      </c>
      <c r="H65" s="2">
        <v>24</v>
      </c>
      <c r="I65" s="28"/>
      <c r="J65" t="str">
        <f t="shared" si="0"/>
        <v>{ name: "Gerudo Sanctuary", landmark: "Cave", type: "(Entrance 1 of 2)", region: 14, level: "Surface", x: -3763, y: -2420, z: 24, details: "" },</v>
      </c>
      <c r="M65" s="28"/>
      <c r="N65" s="28"/>
      <c r="O65" s="28"/>
      <c r="P65" s="28"/>
    </row>
    <row r="66" spans="1:16" x14ac:dyDescent="0.2">
      <c r="A66" t="s">
        <v>891</v>
      </c>
      <c r="B66" t="s">
        <v>2448</v>
      </c>
      <c r="C66" s="19" t="s">
        <v>798</v>
      </c>
      <c r="D66" s="19">
        <v>14</v>
      </c>
      <c r="E66" t="s">
        <v>785</v>
      </c>
      <c r="F66" s="2">
        <v>-3763</v>
      </c>
      <c r="G66" s="2">
        <v>-2698</v>
      </c>
      <c r="H66" s="2">
        <v>35</v>
      </c>
      <c r="I66" s="28"/>
      <c r="J66" t="str">
        <f t="shared" si="0"/>
        <v>{ name: "Gerudo Sanctuary", landmark: "Cave", type: "(Entrance 2 of 2)", region: 14, level: "Surface", x: -3763, y: -2698, z: 35, details: "" },</v>
      </c>
      <c r="M66" s="28"/>
      <c r="N66" s="28"/>
      <c r="O66" s="28"/>
      <c r="P66" s="28"/>
    </row>
    <row r="67" spans="1:16" x14ac:dyDescent="0.2">
      <c r="A67" t="s">
        <v>892</v>
      </c>
      <c r="B67" t="s">
        <v>2447</v>
      </c>
      <c r="C67" t="s">
        <v>787</v>
      </c>
      <c r="D67">
        <v>3</v>
      </c>
      <c r="E67" t="s">
        <v>785</v>
      </c>
      <c r="F67" s="2">
        <v>-3865</v>
      </c>
      <c r="G67" s="2">
        <v>1011</v>
      </c>
      <c r="H67" s="2">
        <v>72</v>
      </c>
      <c r="I67" s="28"/>
      <c r="J67" t="str">
        <f t="shared" ref="J67:J130" si="1">"{ name: "&amp;CHAR(34)&amp;A67&amp;CHAR(34)&amp;", landmark: "&amp;CHAR(34)&amp;"Cave"&amp;CHAR(34)&amp;", type: "&amp;CHAR(34)&amp;B67&amp;CHAR(34)&amp;", region: "&amp;D67&amp;", level: "&amp;CHAR(34)&amp;E67&amp;CHAR(34)&amp;", x: "&amp;F67&amp;", y: "&amp;G67&amp;", z: "&amp;H67&amp;", details: "&amp;CHAR(34)&amp;I67&amp;CHAR(34)&amp;" },"</f>
        <v>{ name: "Gisa Crater Cave", landmark: "Cave", type: "(Entrance 1 of 2)", region: 3, level: "Surface", x: -3865, y: 1011, z: 72, details: "" },</v>
      </c>
      <c r="M67" s="28"/>
      <c r="N67" s="28"/>
      <c r="O67" s="28"/>
      <c r="P67" s="28"/>
    </row>
    <row r="68" spans="1:16" x14ac:dyDescent="0.2">
      <c r="A68" t="s">
        <v>892</v>
      </c>
      <c r="B68" t="s">
        <v>2448</v>
      </c>
      <c r="C68" t="s">
        <v>787</v>
      </c>
      <c r="D68">
        <v>3</v>
      </c>
      <c r="E68" t="s">
        <v>785</v>
      </c>
      <c r="F68" s="2">
        <v>-3931</v>
      </c>
      <c r="G68" s="2">
        <v>1090</v>
      </c>
      <c r="H68" s="2">
        <v>72</v>
      </c>
      <c r="I68" s="28"/>
      <c r="J68" t="str">
        <f t="shared" si="1"/>
        <v>{ name: "Gisa Crater Cave", landmark: "Cave", type: "(Entrance 2 of 2)", region: 3, level: "Surface", x: -3931, y: 1090, z: 72, details: "" },</v>
      </c>
      <c r="M68" s="28"/>
      <c r="N68" s="28"/>
      <c r="O68" s="28"/>
      <c r="P68" s="28"/>
    </row>
    <row r="69" spans="1:16" x14ac:dyDescent="0.2">
      <c r="A69" t="s">
        <v>893</v>
      </c>
      <c r="B69" t="s">
        <v>2430</v>
      </c>
      <c r="C69" t="s">
        <v>1264</v>
      </c>
      <c r="D69">
        <v>7</v>
      </c>
      <c r="E69" t="s">
        <v>785</v>
      </c>
      <c r="F69" s="2">
        <v>2015</v>
      </c>
      <c r="G69" s="2">
        <v>2038</v>
      </c>
      <c r="H69" s="2">
        <v>420</v>
      </c>
      <c r="I69" s="28"/>
      <c r="J69" t="str">
        <f t="shared" si="1"/>
        <v>{ name: "Gorko Tunnel", landmark: "Cave", type: "", region: 7, level: "Surface", x: 2015, y: 2038, z: 420, details: "" },</v>
      </c>
      <c r="M69" s="28"/>
      <c r="N69" s="28"/>
      <c r="O69" s="28"/>
      <c r="P69" s="28"/>
    </row>
    <row r="70" spans="1:16" x14ac:dyDescent="0.2">
      <c r="A70" t="s">
        <v>894</v>
      </c>
      <c r="B70" t="s">
        <v>2430</v>
      </c>
      <c r="C70" t="s">
        <v>1264</v>
      </c>
      <c r="D70">
        <v>7</v>
      </c>
      <c r="E70" t="s">
        <v>785</v>
      </c>
      <c r="F70" s="2">
        <v>1423</v>
      </c>
      <c r="G70" s="2">
        <v>2102</v>
      </c>
      <c r="H70" s="2">
        <v>284</v>
      </c>
      <c r="I70" s="28"/>
      <c r="J70" t="str">
        <f t="shared" si="1"/>
        <v>{ name: "Goronbi River Cave", landmark: "Cave", type: "", region: 7, level: "Surface", x: 1423, y: 2102, z: 284, details: "" },</v>
      </c>
      <c r="M70" s="28"/>
      <c r="N70" s="28"/>
      <c r="O70" s="28"/>
      <c r="P70" s="28"/>
    </row>
    <row r="71" spans="1:16" x14ac:dyDescent="0.2">
      <c r="A71" t="s">
        <v>895</v>
      </c>
      <c r="B71" t="s">
        <v>2430</v>
      </c>
      <c r="C71" t="s">
        <v>2123</v>
      </c>
      <c r="D71">
        <v>2</v>
      </c>
      <c r="E71" t="s">
        <v>785</v>
      </c>
      <c r="F71" s="2">
        <v>-832</v>
      </c>
      <c r="G71" s="2">
        <v>-1488</v>
      </c>
      <c r="H71" s="2">
        <v>26</v>
      </c>
      <c r="I71" s="28"/>
      <c r="J71" t="str">
        <f t="shared" si="1"/>
        <v>{ name: "Great Plateau Foothill Cave", landmark: "Cave", type: "", region: 2, level: "Surface", x: -832, y: -1488, z: 26, details: "" },</v>
      </c>
      <c r="M71" s="28"/>
      <c r="N71" s="28"/>
      <c r="O71" s="28"/>
      <c r="P71" s="28"/>
    </row>
    <row r="72" spans="1:16" x14ac:dyDescent="0.2">
      <c r="A72" t="s">
        <v>2134</v>
      </c>
      <c r="B72" t="s">
        <v>2430</v>
      </c>
      <c r="C72" t="s">
        <v>800</v>
      </c>
      <c r="D72">
        <v>4</v>
      </c>
      <c r="E72" t="s">
        <v>785</v>
      </c>
      <c r="F72" s="2">
        <v>-3814</v>
      </c>
      <c r="G72" s="2">
        <v>3595</v>
      </c>
      <c r="H72" s="2">
        <v>255</v>
      </c>
      <c r="I72" s="28"/>
      <c r="J72" t="str">
        <f t="shared" si="1"/>
        <v>{ name: "Hebra Great Skeleton Cave", landmark: "Cave", type: "", region: 4, level: "Surface", x: -3814, y: 3595, z: 255, details: "" },</v>
      </c>
      <c r="M72" s="28"/>
      <c r="N72" s="28"/>
      <c r="O72" s="28"/>
      <c r="P72" s="28"/>
    </row>
    <row r="73" spans="1:16" x14ac:dyDescent="0.2">
      <c r="A73" t="s">
        <v>897</v>
      </c>
      <c r="B73" t="s">
        <v>2430</v>
      </c>
      <c r="C73" t="s">
        <v>800</v>
      </c>
      <c r="D73">
        <v>4</v>
      </c>
      <c r="E73" t="s">
        <v>785</v>
      </c>
      <c r="F73" s="2">
        <v>-2900</v>
      </c>
      <c r="G73" s="2">
        <v>2510</v>
      </c>
      <c r="H73" s="2">
        <v>387</v>
      </c>
      <c r="I73" s="28"/>
      <c r="J73" t="str">
        <f t="shared" si="1"/>
        <v>{ name: "Hebra Headspring Cave", landmark: "Cave", type: "", region: 4, level: "Surface", x: -2900, y: 2510, z: 387, details: "" },</v>
      </c>
      <c r="M73" s="28"/>
      <c r="N73" s="28"/>
      <c r="O73" s="28"/>
      <c r="P73" s="28"/>
    </row>
    <row r="74" spans="1:16" x14ac:dyDescent="0.2">
      <c r="A74" t="s">
        <v>898</v>
      </c>
      <c r="B74" t="s">
        <v>2430</v>
      </c>
      <c r="C74" t="s">
        <v>800</v>
      </c>
      <c r="D74">
        <v>4</v>
      </c>
      <c r="E74" t="s">
        <v>785</v>
      </c>
      <c r="F74" s="2">
        <v>-2995</v>
      </c>
      <c r="G74" s="2">
        <v>3225</v>
      </c>
      <c r="H74" s="2">
        <v>539</v>
      </c>
      <c r="I74" s="28"/>
      <c r="J74" t="str">
        <f t="shared" si="1"/>
        <v>{ name: "Hebra Mountains Northwest Cave", landmark: "Cave", type: "", region: 4, level: "Surface", x: -2995, y: 3225, z: 539, details: "" },</v>
      </c>
      <c r="M74" s="28"/>
      <c r="N74" s="28"/>
      <c r="O74" s="28"/>
      <c r="P74" s="28"/>
    </row>
    <row r="75" spans="1:16" x14ac:dyDescent="0.2">
      <c r="A75" t="s">
        <v>899</v>
      </c>
      <c r="B75" t="s">
        <v>2447</v>
      </c>
      <c r="C75" t="s">
        <v>800</v>
      </c>
      <c r="D75">
        <v>4</v>
      </c>
      <c r="E75" t="s">
        <v>785</v>
      </c>
      <c r="F75" s="2">
        <v>-3398</v>
      </c>
      <c r="G75" s="2">
        <v>2499</v>
      </c>
      <c r="H75" s="2">
        <v>313</v>
      </c>
      <c r="I75" s="28"/>
      <c r="J75" t="str">
        <f t="shared" si="1"/>
        <v>{ name: "Hebra South Summit Cave", landmark: "Cave", type: "(Entrance 1 of 2)", region: 4, level: "Surface", x: -3398, y: 2499, z: 313, details: "" },</v>
      </c>
      <c r="M75" s="28"/>
      <c r="N75" s="28"/>
      <c r="O75" s="28"/>
      <c r="P75" s="28"/>
    </row>
    <row r="76" spans="1:16" x14ac:dyDescent="0.2">
      <c r="A76" t="s">
        <v>899</v>
      </c>
      <c r="B76" t="s">
        <v>2448</v>
      </c>
      <c r="C76" t="s">
        <v>800</v>
      </c>
      <c r="D76">
        <v>4</v>
      </c>
      <c r="E76" t="s">
        <v>785</v>
      </c>
      <c r="F76" s="2">
        <v>-3227</v>
      </c>
      <c r="G76" s="2">
        <v>2535</v>
      </c>
      <c r="H76" s="2">
        <v>441</v>
      </c>
      <c r="I76" s="28"/>
      <c r="J76" t="str">
        <f t="shared" si="1"/>
        <v>{ name: "Hebra South Summit Cave", landmark: "Cave", type: "(Entrance 2 of 2)", region: 4, level: "Surface", x: -3227, y: 2535, z: 441, details: "" },</v>
      </c>
      <c r="M76" s="28"/>
      <c r="N76" s="28"/>
      <c r="O76" s="28"/>
      <c r="P76" s="28"/>
    </row>
    <row r="77" spans="1:16" x14ac:dyDescent="0.2">
      <c r="A77" t="s">
        <v>900</v>
      </c>
      <c r="B77" t="s">
        <v>2430</v>
      </c>
      <c r="C77" t="s">
        <v>801</v>
      </c>
      <c r="D77">
        <v>9</v>
      </c>
      <c r="E77" t="s">
        <v>785</v>
      </c>
      <c r="F77" s="2">
        <v>4243</v>
      </c>
      <c r="G77" s="2">
        <v>-255</v>
      </c>
      <c r="H77" s="2">
        <v>-16</v>
      </c>
      <c r="I77" s="28"/>
      <c r="J77" t="str">
        <f t="shared" si="1"/>
        <v>{ name: "Horon Lagoon Cave", landmark: "Cave", type: "", region: 9, level: "Surface", x: 4243, y: -255, z: -16, details: "" },</v>
      </c>
      <c r="M77" s="28"/>
      <c r="N77" s="28"/>
      <c r="O77" s="28"/>
      <c r="P77" s="28"/>
    </row>
    <row r="78" spans="1:16" x14ac:dyDescent="0.2">
      <c r="A78" t="s">
        <v>901</v>
      </c>
      <c r="B78" t="s">
        <v>2430</v>
      </c>
      <c r="C78" t="s">
        <v>800</v>
      </c>
      <c r="D78">
        <v>4</v>
      </c>
      <c r="E78" t="s">
        <v>785</v>
      </c>
      <c r="F78" s="2">
        <v>-4429</v>
      </c>
      <c r="G78" s="2">
        <v>3760</v>
      </c>
      <c r="H78" s="2">
        <v>223</v>
      </c>
      <c r="I78" s="28"/>
      <c r="J78" t="str">
        <f t="shared" si="1"/>
        <v>{ name: "Icefall Foothills Cave", landmark: "Cave", type: "", region: 4, level: "Surface", x: -4429, y: 3760, z: 223, details: "" },</v>
      </c>
      <c r="M78" s="28"/>
      <c r="N78" s="28"/>
      <c r="O78" s="28"/>
      <c r="P78" s="28"/>
    </row>
    <row r="79" spans="1:16" x14ac:dyDescent="0.2">
      <c r="A79" t="s">
        <v>902</v>
      </c>
      <c r="B79" t="s">
        <v>2430</v>
      </c>
      <c r="C79" t="s">
        <v>1264</v>
      </c>
      <c r="D79">
        <v>7</v>
      </c>
      <c r="E79" t="s">
        <v>785</v>
      </c>
      <c r="F79" s="2">
        <v>1554</v>
      </c>
      <c r="G79" s="2">
        <v>3102</v>
      </c>
      <c r="H79" s="2">
        <v>392</v>
      </c>
      <c r="I79" s="28"/>
      <c r="J79" t="str">
        <f t="shared" si="1"/>
        <v>{ name: "Isle of Rabac Gallery", landmark: "Cave", type: "", region: 7, level: "Surface", x: 1554, y: 3102, z: 392, details: "" },</v>
      </c>
      <c r="M79" s="28"/>
      <c r="N79" s="28"/>
      <c r="O79" s="28"/>
      <c r="P79" s="28"/>
    </row>
    <row r="80" spans="1:16" x14ac:dyDescent="0.2">
      <c r="A80" t="s">
        <v>903</v>
      </c>
      <c r="B80" t="s">
        <v>2430</v>
      </c>
      <c r="C80" s="19" t="s">
        <v>803</v>
      </c>
      <c r="D80" s="19">
        <v>10</v>
      </c>
      <c r="E80" t="s">
        <v>785</v>
      </c>
      <c r="F80" s="2">
        <v>1947</v>
      </c>
      <c r="G80" s="2">
        <v>-981</v>
      </c>
      <c r="H80" s="2">
        <v>157</v>
      </c>
      <c r="I80" s="28"/>
      <c r="J80" t="str">
        <f t="shared" si="1"/>
        <v>{ name: "Kakariko Village Cave", landmark: "Cave", type: "", region: 10, level: "Surface", x: 1947, y: -981, z: 157, details: "" },</v>
      </c>
      <c r="M80" s="28"/>
      <c r="N80" s="28"/>
      <c r="O80" s="28"/>
      <c r="P80" s="28"/>
    </row>
    <row r="81" spans="1:16" x14ac:dyDescent="0.2">
      <c r="A81" t="s">
        <v>904</v>
      </c>
      <c r="B81" t="s">
        <v>2430</v>
      </c>
      <c r="C81" t="s">
        <v>794</v>
      </c>
      <c r="D81">
        <v>13</v>
      </c>
      <c r="E81" t="s">
        <v>785</v>
      </c>
      <c r="F81" s="2">
        <v>486</v>
      </c>
      <c r="G81" s="2">
        <v>-3831</v>
      </c>
      <c r="H81" s="2">
        <v>7</v>
      </c>
      <c r="I81" s="28"/>
      <c r="J81" t="str">
        <f t="shared" si="1"/>
        <v>{ name: "Komo Shoreline Cave", landmark: "Cave", type: "", region: 13, level: "Surface", x: 486, y: -3831, z: 7, details: "" },</v>
      </c>
      <c r="M81" s="28"/>
      <c r="N81" s="28"/>
      <c r="O81" s="28"/>
      <c r="P81" s="28"/>
    </row>
    <row r="82" spans="1:16" x14ac:dyDescent="0.2">
      <c r="A82" t="s">
        <v>905</v>
      </c>
      <c r="B82" t="s">
        <v>2430</v>
      </c>
      <c r="C82" t="s">
        <v>787</v>
      </c>
      <c r="D82">
        <v>3</v>
      </c>
      <c r="E82" t="s">
        <v>785</v>
      </c>
      <c r="F82" s="2">
        <v>-2395</v>
      </c>
      <c r="G82" s="2">
        <v>2276</v>
      </c>
      <c r="H82" s="2">
        <v>169</v>
      </c>
      <c r="I82" s="28"/>
      <c r="J82" t="str">
        <f t="shared" si="1"/>
        <v>{ name: "Kopeeki Drifts Cave", landmark: "Cave", type: "", region: 3, level: "Surface", x: -2395, y: 2276, z: 169, details: "" },</v>
      </c>
      <c r="M82" s="28"/>
      <c r="N82" s="28"/>
      <c r="O82" s="28"/>
      <c r="P82" s="28"/>
    </row>
    <row r="83" spans="1:16" x14ac:dyDescent="0.2">
      <c r="A83" t="s">
        <v>906</v>
      </c>
      <c r="B83" t="s">
        <v>2447</v>
      </c>
      <c r="C83" t="s">
        <v>798</v>
      </c>
      <c r="D83">
        <v>14</v>
      </c>
      <c r="E83" t="s">
        <v>785</v>
      </c>
      <c r="F83" s="2">
        <v>-2258</v>
      </c>
      <c r="G83" s="2">
        <v>-1759</v>
      </c>
      <c r="H83" s="2">
        <v>56</v>
      </c>
      <c r="I83" s="28"/>
      <c r="J83" t="str">
        <f t="shared" si="1"/>
        <v>{ name: "Koukot Plateau Cave", landmark: "Cave", type: "(Entrance 1 of 2)", region: 14, level: "Surface", x: -2258, y: -1759, z: 56, details: "" },</v>
      </c>
      <c r="M83" s="28"/>
      <c r="N83" s="28"/>
      <c r="O83" s="28"/>
      <c r="P83" s="28"/>
    </row>
    <row r="84" spans="1:16" x14ac:dyDescent="0.2">
      <c r="A84" t="s">
        <v>906</v>
      </c>
      <c r="B84" t="s">
        <v>2448</v>
      </c>
      <c r="C84" t="s">
        <v>798</v>
      </c>
      <c r="D84">
        <v>14</v>
      </c>
      <c r="E84" t="s">
        <v>785</v>
      </c>
      <c r="F84" s="2">
        <v>-2173</v>
      </c>
      <c r="G84" s="2">
        <v>-1841</v>
      </c>
      <c r="H84" s="2">
        <v>126</v>
      </c>
      <c r="I84" s="28"/>
      <c r="J84" t="str">
        <f t="shared" si="1"/>
        <v>{ name: "Koukot Plateau Cave", landmark: "Cave", type: "(Entrance 2 of 2)", region: 14, level: "Surface", x: -2173, y: -1841, z: 126, details: "" },</v>
      </c>
      <c r="M84" s="28"/>
      <c r="N84" s="28"/>
      <c r="O84" s="28"/>
      <c r="P84" s="28"/>
    </row>
    <row r="85" spans="1:16" x14ac:dyDescent="0.2">
      <c r="A85" t="s">
        <v>907</v>
      </c>
      <c r="B85" t="s">
        <v>2430</v>
      </c>
      <c r="C85" t="s">
        <v>1264</v>
      </c>
      <c r="D85">
        <v>7</v>
      </c>
      <c r="E85" t="s">
        <v>785</v>
      </c>
      <c r="F85" s="2">
        <v>2373</v>
      </c>
      <c r="G85" s="2">
        <v>3051</v>
      </c>
      <c r="H85" s="2">
        <v>445</v>
      </c>
      <c r="I85" s="28"/>
      <c r="J85" t="str">
        <f t="shared" si="1"/>
        <v>{ name: "Lake Darman Monster Den", landmark: "Cave", type: "", region: 7, level: "Surface", x: 2373, y: 3051, z: 445, details: "" },</v>
      </c>
      <c r="M85" s="28"/>
      <c r="N85" s="28"/>
      <c r="O85" s="28"/>
      <c r="P85" s="28"/>
    </row>
    <row r="86" spans="1:16" x14ac:dyDescent="0.2">
      <c r="A86" t="s">
        <v>908</v>
      </c>
      <c r="B86" t="s">
        <v>2447</v>
      </c>
      <c r="C86" t="s">
        <v>1264</v>
      </c>
      <c r="D86">
        <v>7</v>
      </c>
      <c r="E86" t="s">
        <v>785</v>
      </c>
      <c r="F86" s="2">
        <v>1929</v>
      </c>
      <c r="G86" s="2">
        <v>1271</v>
      </c>
      <c r="H86" s="2">
        <v>121</v>
      </c>
      <c r="I86" s="28"/>
      <c r="J86" t="str">
        <f t="shared" si="1"/>
        <v>{ name: "Lake Ferona Cave", landmark: "Cave", type: "(Entrance 1 of 2)", region: 7, level: "Surface", x: 1929, y: 1271, z: 121, details: "" },</v>
      </c>
      <c r="M86" s="28"/>
      <c r="N86" s="28"/>
      <c r="O86" s="28"/>
      <c r="P86" s="28"/>
    </row>
    <row r="87" spans="1:16" x14ac:dyDescent="0.2">
      <c r="A87" t="s">
        <v>908</v>
      </c>
      <c r="B87" t="s">
        <v>2448</v>
      </c>
      <c r="C87" t="s">
        <v>1264</v>
      </c>
      <c r="D87">
        <v>7</v>
      </c>
      <c r="E87" t="s">
        <v>785</v>
      </c>
      <c r="F87" s="2">
        <v>1931</v>
      </c>
      <c r="G87" s="2">
        <v>1304</v>
      </c>
      <c r="H87" s="2">
        <v>168</v>
      </c>
      <c r="I87" s="28"/>
      <c r="J87" t="str">
        <f t="shared" si="1"/>
        <v>{ name: "Lake Ferona Cave", landmark: "Cave", type: "(Entrance 2 of 2)", region: 7, level: "Surface", x: 1931, y: 1304, z: 168, details: "" },</v>
      </c>
      <c r="M87" s="28"/>
      <c r="N87" s="28"/>
      <c r="O87" s="28"/>
      <c r="P87" s="28"/>
    </row>
    <row r="88" spans="1:16" x14ac:dyDescent="0.2">
      <c r="A88" t="s">
        <v>909</v>
      </c>
      <c r="B88" t="s">
        <v>2430</v>
      </c>
      <c r="C88" t="s">
        <v>794</v>
      </c>
      <c r="D88">
        <v>13</v>
      </c>
      <c r="E88" t="s">
        <v>785</v>
      </c>
      <c r="F88" s="2">
        <v>125</v>
      </c>
      <c r="G88" s="2">
        <v>-2501</v>
      </c>
      <c r="H88" s="2">
        <v>-89</v>
      </c>
      <c r="I88" s="28"/>
      <c r="J88" t="str">
        <f t="shared" si="1"/>
        <v>{ name: "Lake Hylia Whirlpool Cave", landmark: "Cave", type: "", region: 13, level: "Surface", x: 125, y: -2501, z: -89, details: "" },</v>
      </c>
      <c r="M88" s="28"/>
      <c r="N88" s="28"/>
      <c r="O88" s="28"/>
      <c r="P88" s="28"/>
    </row>
    <row r="89" spans="1:16" x14ac:dyDescent="0.2">
      <c r="A89" t="s">
        <v>910</v>
      </c>
      <c r="B89" t="s">
        <v>2430</v>
      </c>
      <c r="C89" t="s">
        <v>1264</v>
      </c>
      <c r="D89">
        <v>7</v>
      </c>
      <c r="E89" t="s">
        <v>785</v>
      </c>
      <c r="F89" s="2">
        <v>2485</v>
      </c>
      <c r="G89" s="2">
        <v>1792</v>
      </c>
      <c r="H89" s="2">
        <v>157</v>
      </c>
      <c r="I89" s="28"/>
      <c r="J89" t="str">
        <f t="shared" si="1"/>
        <v>{ name: "Lake Intenoch Cave", landmark: "Cave", type: "", region: 7, level: "Surface", x: 2485, y: 1792, z: 157, details: "" },</v>
      </c>
      <c r="M89" s="28"/>
      <c r="N89" s="28"/>
      <c r="O89" s="28"/>
      <c r="P89" s="28"/>
    </row>
    <row r="90" spans="1:16" x14ac:dyDescent="0.2">
      <c r="A90" t="s">
        <v>911</v>
      </c>
      <c r="B90" t="s">
        <v>2430</v>
      </c>
      <c r="C90" t="s">
        <v>800</v>
      </c>
      <c r="D90">
        <v>4</v>
      </c>
      <c r="E90" t="s">
        <v>785</v>
      </c>
      <c r="F90" s="2">
        <v>-3930</v>
      </c>
      <c r="G90" s="2">
        <v>2861</v>
      </c>
      <c r="H90" s="2">
        <v>-18</v>
      </c>
      <c r="I90" s="28"/>
      <c r="J90" t="str">
        <f t="shared" si="1"/>
        <v>{ name: "Lake Kilsie Cave", landmark: "Cave", type: "", region: 4, level: "Surface", x: -3930, y: 2861, z: -18, details: "" },</v>
      </c>
      <c r="M90" s="28"/>
      <c r="N90" s="28"/>
      <c r="O90" s="28"/>
      <c r="P90" s="28"/>
    </row>
    <row r="91" spans="1:16" x14ac:dyDescent="0.2">
      <c r="A91" t="s">
        <v>912</v>
      </c>
      <c r="B91" t="s">
        <v>2447</v>
      </c>
      <c r="C91" t="s">
        <v>804</v>
      </c>
      <c r="D91">
        <v>11</v>
      </c>
      <c r="E91" t="s">
        <v>785</v>
      </c>
      <c r="F91" s="2">
        <v>3073</v>
      </c>
      <c r="G91" s="2">
        <v>-1137</v>
      </c>
      <c r="H91" s="2">
        <v>91</v>
      </c>
      <c r="I91" s="28"/>
      <c r="J91" t="str">
        <f t="shared" si="1"/>
        <v>{ name: "Lanayru Road East Cave", landmark: "Cave", type: "(Entrance 1 of 2)", region: 11, level: "Surface", x: 3073, y: -1137, z: 91, details: "" },</v>
      </c>
      <c r="M91" s="28"/>
      <c r="N91" s="28"/>
      <c r="O91" s="28"/>
      <c r="P91" s="28"/>
    </row>
    <row r="92" spans="1:16" x14ac:dyDescent="0.2">
      <c r="A92" t="s">
        <v>912</v>
      </c>
      <c r="B92" t="s">
        <v>2448</v>
      </c>
      <c r="C92" t="s">
        <v>804</v>
      </c>
      <c r="D92">
        <v>11</v>
      </c>
      <c r="E92" t="s">
        <v>785</v>
      </c>
      <c r="F92" s="2">
        <v>3476</v>
      </c>
      <c r="G92" s="2">
        <v>-968</v>
      </c>
      <c r="H92" s="2">
        <v>-8</v>
      </c>
      <c r="I92" s="28"/>
      <c r="J92" t="str">
        <f t="shared" si="1"/>
        <v>{ name: "Lanayru Road East Cave", landmark: "Cave", type: "(Entrance 2 of 2)", region: 11, level: "Surface", x: 3476, y: -968, z: -8, details: "" },</v>
      </c>
      <c r="M92" s="28"/>
      <c r="N92" s="28"/>
      <c r="O92" s="28"/>
      <c r="P92" s="28"/>
    </row>
    <row r="93" spans="1:16" x14ac:dyDescent="0.2">
      <c r="A93" t="s">
        <v>913</v>
      </c>
      <c r="B93" t="s">
        <v>2430</v>
      </c>
      <c r="C93" s="19" t="s">
        <v>803</v>
      </c>
      <c r="D93" s="19">
        <v>10</v>
      </c>
      <c r="E93" t="s">
        <v>785</v>
      </c>
      <c r="F93" s="2">
        <v>2698</v>
      </c>
      <c r="G93" s="2">
        <v>-1314</v>
      </c>
      <c r="H93" s="2">
        <v>111</v>
      </c>
      <c r="I93" s="28"/>
      <c r="J93" t="str">
        <f t="shared" si="1"/>
        <v>{ name: "Lanayru Road South Cave", landmark: "Cave", type: "", region: 10, level: "Surface", x: 2698, y: -1314, z: 111, details: "" },</v>
      </c>
      <c r="M93" s="28"/>
      <c r="N93" s="28"/>
      <c r="O93" s="28"/>
      <c r="P93" s="28"/>
    </row>
    <row r="94" spans="1:16" x14ac:dyDescent="0.2">
      <c r="A94" t="s">
        <v>914</v>
      </c>
      <c r="B94" t="s">
        <v>2430</v>
      </c>
      <c r="C94" t="s">
        <v>787</v>
      </c>
      <c r="D94">
        <v>3</v>
      </c>
      <c r="E94" t="s">
        <v>785</v>
      </c>
      <c r="F94" s="2">
        <v>-1734</v>
      </c>
      <c r="G94" s="2">
        <v>1165</v>
      </c>
      <c r="H94" s="2">
        <v>228</v>
      </c>
      <c r="I94" s="28"/>
      <c r="J94" t="str">
        <f t="shared" si="1"/>
        <v>{ name: "Lindor's Brow Cave", landmark: "Cave", type: "", region: 3, level: "Surface", x: -1734, y: 1165, z: 228, details: "" },</v>
      </c>
      <c r="M94" s="28"/>
      <c r="N94" s="28"/>
      <c r="O94" s="28"/>
      <c r="P94" s="28"/>
    </row>
    <row r="95" spans="1:16" x14ac:dyDescent="0.2">
      <c r="A95" t="s">
        <v>915</v>
      </c>
      <c r="B95" t="s">
        <v>2430</v>
      </c>
      <c r="C95" t="s">
        <v>1264</v>
      </c>
      <c r="D95">
        <v>7</v>
      </c>
      <c r="E95" t="s">
        <v>785</v>
      </c>
      <c r="F95" s="2">
        <v>2206</v>
      </c>
      <c r="G95" s="2">
        <v>3075</v>
      </c>
      <c r="H95" s="2">
        <v>405</v>
      </c>
      <c r="I95" s="28"/>
      <c r="J95" t="str">
        <f t="shared" si="1"/>
        <v>{ name: "Lizard's Burrow", landmark: "Cave", type: "", region: 7, level: "Surface", x: 2206, y: 3075, z: 405, details: "" },</v>
      </c>
      <c r="M95" s="28"/>
      <c r="N95" s="28"/>
      <c r="O95" s="28"/>
      <c r="P95" s="28"/>
    </row>
    <row r="96" spans="1:16" x14ac:dyDescent="0.2">
      <c r="A96" t="s">
        <v>916</v>
      </c>
      <c r="B96" t="s">
        <v>2430</v>
      </c>
      <c r="C96" t="s">
        <v>798</v>
      </c>
      <c r="D96">
        <v>14</v>
      </c>
      <c r="E96" t="s">
        <v>785</v>
      </c>
      <c r="F96" s="2">
        <v>-1744</v>
      </c>
      <c r="G96" s="2">
        <v>-2394</v>
      </c>
      <c r="H96" s="2">
        <v>-11</v>
      </c>
      <c r="I96" s="28"/>
      <c r="J96" t="str">
        <f t="shared" si="1"/>
        <v>{ name: "Lower Spectacle Rock Cave", landmark: "Cave", type: "", region: 14, level: "Surface", x: -1744, y: -2394, z: -11, details: "" },</v>
      </c>
      <c r="M96" s="28"/>
      <c r="N96" s="28"/>
      <c r="O96" s="28"/>
      <c r="P96" s="28"/>
    </row>
    <row r="97" spans="1:16" x14ac:dyDescent="0.2">
      <c r="A97" t="s">
        <v>917</v>
      </c>
      <c r="B97" t="s">
        <v>2430</v>
      </c>
      <c r="C97" t="s">
        <v>801</v>
      </c>
      <c r="D97">
        <v>9</v>
      </c>
      <c r="E97" t="s">
        <v>785</v>
      </c>
      <c r="F97" s="2">
        <v>3094</v>
      </c>
      <c r="G97" s="2">
        <v>-51</v>
      </c>
      <c r="H97" s="2">
        <v>79</v>
      </c>
      <c r="I97" s="28"/>
      <c r="J97" t="str">
        <f t="shared" si="1"/>
        <v>{ name: "Luto's Channel", landmark: "Cave", type: "", region: 9, level: "Surface", x: 3094, y: -51, z: 79, details: "" },</v>
      </c>
      <c r="M97" s="28"/>
      <c r="N97" s="28"/>
      <c r="O97" s="28"/>
      <c r="P97" s="28"/>
    </row>
    <row r="98" spans="1:16" x14ac:dyDescent="0.2">
      <c r="A98" t="s">
        <v>918</v>
      </c>
      <c r="B98" t="s">
        <v>2430</v>
      </c>
      <c r="C98" t="s">
        <v>804</v>
      </c>
      <c r="D98">
        <v>11</v>
      </c>
      <c r="E98" t="s">
        <v>785</v>
      </c>
      <c r="F98" s="2">
        <v>4585</v>
      </c>
      <c r="G98" s="2">
        <v>-2246</v>
      </c>
      <c r="H98" s="2">
        <v>-1</v>
      </c>
      <c r="I98" s="28"/>
      <c r="J98" t="str">
        <f t="shared" si="1"/>
        <v>{ name: "Mapla Point Cave", landmark: "Cave", type: "", region: 11, level: "Surface", x: 4585, y: -2246, z: -1, details: "" },</v>
      </c>
      <c r="M98" s="28"/>
      <c r="N98" s="28"/>
      <c r="O98" s="28"/>
      <c r="P98" s="28"/>
    </row>
    <row r="99" spans="1:16" x14ac:dyDescent="0.2">
      <c r="A99" t="s">
        <v>919</v>
      </c>
      <c r="B99" t="s">
        <v>2430</v>
      </c>
      <c r="C99" t="s">
        <v>797</v>
      </c>
      <c r="D99">
        <v>15</v>
      </c>
      <c r="E99" t="s">
        <v>785</v>
      </c>
      <c r="F99" s="2">
        <v>-3982</v>
      </c>
      <c r="G99" s="2">
        <v>-1245</v>
      </c>
      <c r="H99" s="2">
        <v>426</v>
      </c>
      <c r="I99" s="28"/>
      <c r="J99" t="str">
        <f t="shared" si="1"/>
        <v>{ name: "Meadela's Mantle Cave", landmark: "Cave", type: "", region: 15, level: "Surface", x: -3982, y: -1245, z: 426, details: "" },</v>
      </c>
      <c r="M99" s="28"/>
      <c r="N99" s="28"/>
      <c r="O99" s="28"/>
      <c r="P99" s="28"/>
    </row>
    <row r="100" spans="1:16" x14ac:dyDescent="0.2">
      <c r="A100" t="s">
        <v>920</v>
      </c>
      <c r="B100" t="s">
        <v>2447</v>
      </c>
      <c r="C100" t="s">
        <v>794</v>
      </c>
      <c r="D100">
        <v>13</v>
      </c>
      <c r="E100" t="s">
        <v>783</v>
      </c>
      <c r="F100" s="2">
        <v>380</v>
      </c>
      <c r="G100" s="2">
        <v>-1631</v>
      </c>
      <c r="H100" s="2">
        <v>1411</v>
      </c>
      <c r="I100" s="28"/>
      <c r="J100" t="str">
        <f t="shared" si="1"/>
        <v>{ name: "Mining Cave", landmark: "Cave", type: "(Entrance 1 of 2)", region: 13, level: "Sky", x: 380, y: -1631, z: 1411, details: "" },</v>
      </c>
      <c r="M100" s="28"/>
      <c r="N100" s="28"/>
      <c r="O100" s="28"/>
      <c r="P100" s="28"/>
    </row>
    <row r="101" spans="1:16" x14ac:dyDescent="0.2">
      <c r="A101" t="s">
        <v>920</v>
      </c>
      <c r="B101" t="s">
        <v>2448</v>
      </c>
      <c r="C101" t="s">
        <v>794</v>
      </c>
      <c r="D101">
        <v>13</v>
      </c>
      <c r="E101" t="s">
        <v>783</v>
      </c>
      <c r="F101" s="2">
        <v>489</v>
      </c>
      <c r="G101" s="2">
        <v>-1625</v>
      </c>
      <c r="H101" s="2">
        <v>1367</v>
      </c>
      <c r="I101" s="28"/>
      <c r="J101" t="str">
        <f t="shared" si="1"/>
        <v>{ name: "Mining Cave", landmark: "Cave", type: "(Entrance 2 of 2)", region: 13, level: "Sky", x: 489, y: -1625, z: 1367, details: "" },</v>
      </c>
      <c r="M101" s="28"/>
      <c r="N101" s="28"/>
      <c r="O101" s="28"/>
      <c r="P101" s="28"/>
    </row>
    <row r="102" spans="1:16" x14ac:dyDescent="0.2">
      <c r="A102" t="s">
        <v>921</v>
      </c>
      <c r="B102" t="s">
        <v>2430</v>
      </c>
      <c r="C102" t="s">
        <v>1696</v>
      </c>
      <c r="D102">
        <v>5</v>
      </c>
      <c r="E102" t="s">
        <v>785</v>
      </c>
      <c r="F102" s="2">
        <v>-1372</v>
      </c>
      <c r="G102" s="2">
        <v>2861</v>
      </c>
      <c r="H102" s="2">
        <v>197</v>
      </c>
      <c r="I102" s="28"/>
      <c r="J102" t="str">
        <f t="shared" si="1"/>
        <v>{ name: "Mount Drena Foothill Cave", landmark: "Cave", type: "", region: 5, level: "Surface", x: -1372, y: 2861, z: 197, details: "" },</v>
      </c>
      <c r="M102" s="28"/>
      <c r="N102" s="28"/>
      <c r="O102" s="28"/>
      <c r="P102" s="28"/>
    </row>
    <row r="103" spans="1:16" x14ac:dyDescent="0.2">
      <c r="A103" t="s">
        <v>922</v>
      </c>
      <c r="B103" t="s">
        <v>2447</v>
      </c>
      <c r="C103" t="s">
        <v>805</v>
      </c>
      <c r="D103">
        <v>12</v>
      </c>
      <c r="E103" t="s">
        <v>785</v>
      </c>
      <c r="F103" s="2">
        <v>3224</v>
      </c>
      <c r="G103" s="2">
        <v>-3017</v>
      </c>
      <c r="H103" s="2">
        <v>59</v>
      </c>
      <c r="I103" s="28"/>
      <c r="J103" t="str">
        <f t="shared" si="1"/>
        <v>{ name: "Mount Dunsel Cave", landmark: "Cave", type: "(Entrance 1 of 2)", region: 12, level: "Surface", x: 3224, y: -3017, z: 59, details: "" },</v>
      </c>
      <c r="M103" s="28"/>
      <c r="N103" s="28"/>
      <c r="O103" s="28"/>
      <c r="P103" s="28"/>
    </row>
    <row r="104" spans="1:16" x14ac:dyDescent="0.2">
      <c r="A104" t="s">
        <v>922</v>
      </c>
      <c r="B104" t="s">
        <v>2448</v>
      </c>
      <c r="C104" t="s">
        <v>805</v>
      </c>
      <c r="D104">
        <v>12</v>
      </c>
      <c r="E104" t="s">
        <v>785</v>
      </c>
      <c r="F104" s="2">
        <v>3291</v>
      </c>
      <c r="G104" s="2">
        <v>-3296</v>
      </c>
      <c r="H104" s="2">
        <v>64</v>
      </c>
      <c r="I104" s="28"/>
      <c r="J104" t="str">
        <f t="shared" si="1"/>
        <v>{ name: "Mount Dunsel Cave", landmark: "Cave", type: "(Entrance 2 of 2)", region: 12, level: "Surface", x: 3291, y: -3296, z: 64, details: "" },</v>
      </c>
      <c r="M104" s="28"/>
      <c r="N104" s="28"/>
      <c r="O104" s="28"/>
      <c r="P104" s="28"/>
    </row>
    <row r="105" spans="1:16" x14ac:dyDescent="0.2">
      <c r="A105" t="s">
        <v>923</v>
      </c>
      <c r="B105" t="s">
        <v>2447</v>
      </c>
      <c r="C105" t="s">
        <v>794</v>
      </c>
      <c r="D105">
        <v>13</v>
      </c>
      <c r="E105" t="s">
        <v>785</v>
      </c>
      <c r="F105" s="2">
        <v>1959</v>
      </c>
      <c r="G105" s="2">
        <v>-2611</v>
      </c>
      <c r="H105" s="2">
        <v>71</v>
      </c>
      <c r="I105" s="28"/>
      <c r="J105" t="str">
        <f t="shared" si="1"/>
        <v>{ name: "Mount Floria Cave", landmark: "Cave", type: "(Entrance 1 of 2)", region: 13, level: "Surface", x: 1959, y: -2611, z: 71, details: "" },</v>
      </c>
      <c r="M105" s="28"/>
      <c r="N105" s="28"/>
      <c r="O105" s="28"/>
      <c r="P105" s="28"/>
    </row>
    <row r="106" spans="1:16" x14ac:dyDescent="0.2">
      <c r="A106" t="s">
        <v>923</v>
      </c>
      <c r="B106" t="s">
        <v>2448</v>
      </c>
      <c r="C106" t="s">
        <v>794</v>
      </c>
      <c r="D106">
        <v>13</v>
      </c>
      <c r="E106" t="s">
        <v>785</v>
      </c>
      <c r="F106" s="2">
        <v>1789</v>
      </c>
      <c r="G106" s="2">
        <v>-2985</v>
      </c>
      <c r="H106" s="2">
        <v>80</v>
      </c>
      <c r="I106" s="28"/>
      <c r="J106" t="str">
        <f t="shared" si="1"/>
        <v>{ name: "Mount Floria Cave", landmark: "Cave", type: "(Entrance 2 of 2)", region: 13, level: "Surface", x: 1789, y: -2985, z: 80, details: "" },</v>
      </c>
      <c r="M106" s="28"/>
      <c r="N106" s="28"/>
      <c r="O106" s="28"/>
      <c r="P106" s="28"/>
    </row>
    <row r="107" spans="1:16" x14ac:dyDescent="0.2">
      <c r="A107" t="s">
        <v>924</v>
      </c>
      <c r="B107" t="s">
        <v>2447</v>
      </c>
      <c r="C107" t="s">
        <v>798</v>
      </c>
      <c r="D107">
        <v>14</v>
      </c>
      <c r="E107" t="s">
        <v>785</v>
      </c>
      <c r="F107" s="2">
        <v>-1967</v>
      </c>
      <c r="G107" s="2">
        <v>-2059</v>
      </c>
      <c r="H107" s="2">
        <v>30</v>
      </c>
      <c r="I107" s="28"/>
      <c r="J107" t="str">
        <f t="shared" si="1"/>
        <v>{ name: "Mount Nabooru Cave", landmark: "Cave", type: "(Entrance 1 of 2)", region: 14, level: "Surface", x: -1967, y: -2059, z: 30, details: "" },</v>
      </c>
      <c r="M107" s="28"/>
      <c r="N107" s="28"/>
      <c r="O107" s="28"/>
      <c r="P107" s="28"/>
    </row>
    <row r="108" spans="1:16" x14ac:dyDescent="0.2">
      <c r="A108" t="s">
        <v>924</v>
      </c>
      <c r="B108" t="s">
        <v>2448</v>
      </c>
      <c r="C108" t="s">
        <v>798</v>
      </c>
      <c r="D108">
        <v>14</v>
      </c>
      <c r="E108" t="s">
        <v>785</v>
      </c>
      <c r="F108" s="2">
        <v>-1795</v>
      </c>
      <c r="G108" s="2">
        <v>-1961</v>
      </c>
      <c r="H108" s="2">
        <v>31</v>
      </c>
      <c r="I108" s="28"/>
      <c r="J108" t="str">
        <f t="shared" si="1"/>
        <v>{ name: "Mount Nabooru Cave", landmark: "Cave", type: "(Entrance 2 of 2)", region: 14, level: "Surface", x: -1795, y: -1961, z: 31, details: "" },</v>
      </c>
      <c r="M108" s="28"/>
      <c r="N108" s="28"/>
      <c r="O108" s="28"/>
      <c r="P108" s="28"/>
    </row>
    <row r="109" spans="1:16" x14ac:dyDescent="0.2">
      <c r="A109" t="s">
        <v>925</v>
      </c>
      <c r="B109" t="s">
        <v>2430</v>
      </c>
      <c r="C109" t="s">
        <v>798</v>
      </c>
      <c r="D109">
        <v>14</v>
      </c>
      <c r="E109" t="s">
        <v>785</v>
      </c>
      <c r="F109" s="2">
        <v>-1726</v>
      </c>
      <c r="G109" s="2">
        <v>-2183</v>
      </c>
      <c r="H109" s="2">
        <v>5</v>
      </c>
      <c r="I109" s="28"/>
      <c r="J109" t="str">
        <f t="shared" si="1"/>
        <v>{ name: "Mount Nabooru South Cave", landmark: "Cave", type: "", region: 14, level: "Surface", x: -1726, y: -2183, z: 5, details: "" },</v>
      </c>
      <c r="M109" s="28"/>
      <c r="N109" s="28"/>
      <c r="O109" s="28"/>
      <c r="P109" s="28"/>
    </row>
    <row r="110" spans="1:16" x14ac:dyDescent="0.2">
      <c r="A110" t="s">
        <v>926</v>
      </c>
      <c r="B110" t="s">
        <v>2430</v>
      </c>
      <c r="C110" t="s">
        <v>797</v>
      </c>
      <c r="D110">
        <v>15</v>
      </c>
      <c r="E110" t="s">
        <v>785</v>
      </c>
      <c r="F110" s="2">
        <v>-3881</v>
      </c>
      <c r="G110" s="2">
        <v>-726</v>
      </c>
      <c r="H110" s="2">
        <v>569</v>
      </c>
      <c r="I110" s="28"/>
      <c r="J110" t="str">
        <f t="shared" si="1"/>
        <v>{ name: "Mystathi's Shelf Cave", landmark: "Cave", type: "", region: 15, level: "Surface", x: -3881, y: -726, z: 569, details: "" },</v>
      </c>
      <c r="M110" s="28"/>
      <c r="N110" s="28"/>
      <c r="O110" s="28"/>
      <c r="P110" s="28"/>
    </row>
    <row r="111" spans="1:16" x14ac:dyDescent="0.2">
      <c r="A111" t="s">
        <v>927</v>
      </c>
      <c r="B111" t="s">
        <v>2447</v>
      </c>
      <c r="C111" t="s">
        <v>1113</v>
      </c>
      <c r="D111">
        <v>8</v>
      </c>
      <c r="E111" t="s">
        <v>785</v>
      </c>
      <c r="F111" s="2">
        <v>4650</v>
      </c>
      <c r="G111" s="2">
        <v>3584</v>
      </c>
      <c r="H111" s="2">
        <v>-51</v>
      </c>
      <c r="I111" s="28"/>
      <c r="J111" t="str">
        <f t="shared" si="1"/>
        <v>{ name: "North Akkala Beach Cave", landmark: "Cave", type: "(Entrance 1 of 2)", region: 8, level: "Surface", x: 4650, y: 3584, z: -51, details: "" },</v>
      </c>
      <c r="M111" s="28"/>
      <c r="N111" s="28"/>
      <c r="O111" s="28"/>
      <c r="P111" s="28"/>
    </row>
    <row r="112" spans="1:16" x14ac:dyDescent="0.2">
      <c r="A112" t="s">
        <v>927</v>
      </c>
      <c r="B112" t="s">
        <v>2448</v>
      </c>
      <c r="C112" t="s">
        <v>1113</v>
      </c>
      <c r="D112">
        <v>8</v>
      </c>
      <c r="E112" t="s">
        <v>785</v>
      </c>
      <c r="F112" s="2">
        <v>4645</v>
      </c>
      <c r="G112" s="2">
        <v>3206</v>
      </c>
      <c r="H112" s="2">
        <v>6</v>
      </c>
      <c r="I112" s="28"/>
      <c r="J112" t="str">
        <f t="shared" si="1"/>
        <v>{ name: "North Akkala Beach Cave", landmark: "Cave", type: "(Entrance 2 of 2)", region: 8, level: "Surface", x: 4645, y: 3206, z: 6, details: "" },</v>
      </c>
      <c r="M112" s="28"/>
      <c r="N112" s="28"/>
      <c r="O112" s="28"/>
      <c r="P112" s="28"/>
    </row>
    <row r="113" spans="1:16" x14ac:dyDescent="0.2">
      <c r="A113" t="s">
        <v>928</v>
      </c>
      <c r="B113" t="s">
        <v>2430</v>
      </c>
      <c r="C113" t="s">
        <v>800</v>
      </c>
      <c r="D113">
        <v>4</v>
      </c>
      <c r="E113" t="s">
        <v>785</v>
      </c>
      <c r="F113" s="2">
        <v>-3960</v>
      </c>
      <c r="G113" s="2">
        <v>3245</v>
      </c>
      <c r="H113" s="2">
        <v>236</v>
      </c>
      <c r="I113" s="28"/>
      <c r="J113" t="str">
        <f t="shared" si="1"/>
        <v>{ name: "North Biron Snowshelf Cave", landmark: "Cave", type: "", region: 4, level: "Surface", x: -3960, y: 3245, z: 236, details: "" },</v>
      </c>
      <c r="M113" s="28"/>
      <c r="N113" s="28"/>
      <c r="O113" s="28"/>
      <c r="P113" s="28"/>
    </row>
    <row r="114" spans="1:16" x14ac:dyDescent="0.2">
      <c r="A114" t="s">
        <v>929</v>
      </c>
      <c r="B114" t="s">
        <v>2447</v>
      </c>
      <c r="C114" t="s">
        <v>787</v>
      </c>
      <c r="D114">
        <v>3</v>
      </c>
      <c r="E114" t="s">
        <v>785</v>
      </c>
      <c r="F114" s="2">
        <v>-1234</v>
      </c>
      <c r="G114" s="2">
        <v>770</v>
      </c>
      <c r="H114" s="2">
        <v>77</v>
      </c>
      <c r="I114" s="28"/>
      <c r="J114" t="str">
        <f t="shared" si="1"/>
        <v>{ name: "North Hyrule Plain Cave", landmark: "Cave", type: "(Entrance 1 of 2)", region: 3, level: "Surface", x: -1234, y: 770, z: 77, details: "" },</v>
      </c>
      <c r="M114" s="28"/>
      <c r="N114" s="28"/>
      <c r="O114" s="28"/>
      <c r="P114" s="28"/>
    </row>
    <row r="115" spans="1:16" x14ac:dyDescent="0.2">
      <c r="A115" t="s">
        <v>929</v>
      </c>
      <c r="B115" t="s">
        <v>2448</v>
      </c>
      <c r="C115" t="s">
        <v>787</v>
      </c>
      <c r="D115">
        <v>3</v>
      </c>
      <c r="E115" t="s">
        <v>785</v>
      </c>
      <c r="F115" s="2">
        <v>-1188</v>
      </c>
      <c r="G115" s="2">
        <v>644</v>
      </c>
      <c r="H115" s="2">
        <v>72</v>
      </c>
      <c r="I115" s="28"/>
      <c r="J115" t="str">
        <f t="shared" si="1"/>
        <v>{ name: "North Hyrule Plain Cave", landmark: "Cave", type: "(Entrance 2 of 2)", region: 3, level: "Surface", x: -1188, y: 644, z: 72, details: "" },</v>
      </c>
      <c r="M115" s="28"/>
      <c r="N115" s="28"/>
      <c r="O115" s="28"/>
      <c r="P115" s="28"/>
    </row>
    <row r="116" spans="1:16" x14ac:dyDescent="0.2">
      <c r="A116" t="s">
        <v>930</v>
      </c>
      <c r="B116" t="s">
        <v>2430</v>
      </c>
      <c r="C116" t="s">
        <v>804</v>
      </c>
      <c r="D116">
        <v>11</v>
      </c>
      <c r="E116" t="s">
        <v>785</v>
      </c>
      <c r="F116" s="2">
        <v>2504</v>
      </c>
      <c r="G116" s="2">
        <v>-2106</v>
      </c>
      <c r="H116" s="2">
        <v>6</v>
      </c>
      <c r="I116" s="28"/>
      <c r="J116" t="str">
        <f t="shared" si="1"/>
        <v>{ name: "Oakle's Navel Cave", landmark: "Cave", type: "", region: 11, level: "Surface", x: 2504, y: -2106, z: 6, details: "" },</v>
      </c>
      <c r="M116" s="28"/>
      <c r="N116" s="28"/>
      <c r="O116" s="28"/>
      <c r="P116" s="28"/>
    </row>
    <row r="117" spans="1:16" x14ac:dyDescent="0.2">
      <c r="A117" t="s">
        <v>2135</v>
      </c>
      <c r="B117" t="s">
        <v>2430</v>
      </c>
      <c r="C117" s="19" t="s">
        <v>798</v>
      </c>
      <c r="D117" s="19">
        <v>14</v>
      </c>
      <c r="E117" t="s">
        <v>785</v>
      </c>
      <c r="F117" s="2">
        <v>-3354</v>
      </c>
      <c r="G117" s="2">
        <v>-2693</v>
      </c>
      <c r="H117" s="2">
        <v>-4</v>
      </c>
      <c r="I117" s="28"/>
      <c r="J117" t="str">
        <f t="shared" si="1"/>
        <v>{ name: "Source of the Oasis Cave", landmark: "Cave", type: "", region: 14, level: "Surface", x: -3354, y: -2693, z: -4, details: "" },</v>
      </c>
      <c r="M117" s="28"/>
      <c r="N117" s="28"/>
      <c r="O117" s="28"/>
      <c r="P117" s="28"/>
    </row>
    <row r="118" spans="1:16" x14ac:dyDescent="0.2">
      <c r="A118" t="s">
        <v>932</v>
      </c>
      <c r="B118" t="s">
        <v>2430</v>
      </c>
      <c r="C118" t="s">
        <v>801</v>
      </c>
      <c r="D118">
        <v>9</v>
      </c>
      <c r="E118" t="s">
        <v>785</v>
      </c>
      <c r="F118" s="2">
        <v>2909</v>
      </c>
      <c r="G118" s="2">
        <v>-65</v>
      </c>
      <c r="H118" s="2">
        <v>81</v>
      </c>
      <c r="I118" s="28"/>
      <c r="J118" t="str">
        <f t="shared" si="1"/>
        <v>{ name: "Oren Bridge Cave", landmark: "Cave", type: "", region: 9, level: "Surface", x: 2909, y: -65, z: 81, details: "" },</v>
      </c>
      <c r="M118" s="28"/>
      <c r="N118" s="28"/>
      <c r="O118" s="28"/>
      <c r="P118" s="28"/>
    </row>
    <row r="119" spans="1:16" x14ac:dyDescent="0.2">
      <c r="A119" t="s">
        <v>933</v>
      </c>
      <c r="B119" t="s">
        <v>2430</v>
      </c>
      <c r="C119" t="s">
        <v>794</v>
      </c>
      <c r="D119">
        <v>13</v>
      </c>
      <c r="E119" t="s">
        <v>785</v>
      </c>
      <c r="F119" s="2">
        <v>671</v>
      </c>
      <c r="G119" s="2">
        <v>-3109</v>
      </c>
      <c r="H119" s="2">
        <v>23</v>
      </c>
      <c r="I119" s="28"/>
      <c r="J119" t="str">
        <f t="shared" si="1"/>
        <v>{ name: "Pagos Woods Excavation Site", landmark: "Cave", type: "", region: 13, level: "Surface", x: 671, y: -3109, z: 23, details: "" },</v>
      </c>
      <c r="M119" s="28"/>
      <c r="N119" s="28"/>
      <c r="O119" s="28"/>
      <c r="P119" s="28"/>
    </row>
    <row r="120" spans="1:16" x14ac:dyDescent="0.2">
      <c r="A120" t="s">
        <v>934</v>
      </c>
      <c r="B120" t="s">
        <v>2430</v>
      </c>
      <c r="C120" t="s">
        <v>2122</v>
      </c>
      <c r="D120">
        <v>1</v>
      </c>
      <c r="E120" t="s">
        <v>785</v>
      </c>
      <c r="F120" s="2">
        <v>-512</v>
      </c>
      <c r="G120" s="2">
        <v>127</v>
      </c>
      <c r="H120" s="2">
        <v>20</v>
      </c>
      <c r="I120" s="28"/>
      <c r="J120" t="str">
        <f t="shared" si="1"/>
        <v>{ name: "Passeri Greenbelt Cave", landmark: "Cave", type: "", region: 1, level: "Surface", x: -512, y: 127, z: 20, details: "" },</v>
      </c>
      <c r="M120" s="28"/>
      <c r="N120" s="28"/>
      <c r="O120" s="28"/>
      <c r="P120" s="28"/>
    </row>
    <row r="121" spans="1:16" x14ac:dyDescent="0.2">
      <c r="A121" t="s">
        <v>935</v>
      </c>
      <c r="B121" t="s">
        <v>2430</v>
      </c>
      <c r="C121" t="s">
        <v>1264</v>
      </c>
      <c r="D121">
        <v>7</v>
      </c>
      <c r="E121" t="s">
        <v>785</v>
      </c>
      <c r="F121" s="2">
        <v>1247</v>
      </c>
      <c r="G121" s="2">
        <v>1231</v>
      </c>
      <c r="H121" s="2">
        <v>25</v>
      </c>
      <c r="I121" s="28"/>
      <c r="J121" t="str">
        <f t="shared" si="1"/>
        <v>{ name: "Pico Pond Cave", landmark: "Cave", type: "", region: 7, level: "Surface", x: 1247, y: 1231, z: 25, details: "" },</v>
      </c>
      <c r="M121" s="28"/>
      <c r="N121" s="28"/>
      <c r="O121" s="28"/>
      <c r="P121" s="28"/>
    </row>
    <row r="122" spans="1:16" x14ac:dyDescent="0.2">
      <c r="A122" t="s">
        <v>936</v>
      </c>
      <c r="B122" t="s">
        <v>2447</v>
      </c>
      <c r="C122" t="s">
        <v>1696</v>
      </c>
      <c r="D122">
        <v>5</v>
      </c>
      <c r="E122" t="s">
        <v>785</v>
      </c>
      <c r="F122" s="2">
        <v>-2642</v>
      </c>
      <c r="G122" s="2">
        <v>3268</v>
      </c>
      <c r="H122" s="2">
        <v>249</v>
      </c>
      <c r="I122" s="28"/>
      <c r="J122" t="str">
        <f t="shared" si="1"/>
        <v>{ name: "Pikida Stonegrove Northwest Cave", landmark: "Cave", type: "(Entrance 1 of 2)", region: 5, level: "Surface", x: -2642, y: 3268, z: 249, details: "" },</v>
      </c>
      <c r="M122" s="28"/>
      <c r="N122" s="28"/>
      <c r="O122" s="28"/>
      <c r="P122" s="28"/>
    </row>
    <row r="123" spans="1:16" x14ac:dyDescent="0.2">
      <c r="A123" t="s">
        <v>936</v>
      </c>
      <c r="B123" t="s">
        <v>2448</v>
      </c>
      <c r="C123" t="s">
        <v>1696</v>
      </c>
      <c r="D123">
        <v>5</v>
      </c>
      <c r="E123" t="s">
        <v>785</v>
      </c>
      <c r="F123" s="2">
        <v>-2414</v>
      </c>
      <c r="G123" s="2">
        <v>3136</v>
      </c>
      <c r="H123" s="2">
        <v>372</v>
      </c>
      <c r="I123" s="28"/>
      <c r="J123" t="str">
        <f t="shared" si="1"/>
        <v>{ name: "Pikida Stonegrove Northwest Cave", landmark: "Cave", type: "(Entrance 2 of 2)", region: 5, level: "Surface", x: -2414, y: 3136, z: 372, details: "" },</v>
      </c>
      <c r="M123" s="28"/>
      <c r="N123" s="28"/>
      <c r="O123" s="28"/>
      <c r="P123" s="28"/>
    </row>
    <row r="124" spans="1:16" x14ac:dyDescent="0.2">
      <c r="A124" t="s">
        <v>937</v>
      </c>
      <c r="B124" t="s">
        <v>2447</v>
      </c>
      <c r="C124" t="s">
        <v>794</v>
      </c>
      <c r="D124">
        <v>13</v>
      </c>
      <c r="E124" t="s">
        <v>783</v>
      </c>
      <c r="F124" s="2">
        <v>587</v>
      </c>
      <c r="G124" s="2">
        <v>-1624</v>
      </c>
      <c r="H124" s="2">
        <v>1442</v>
      </c>
      <c r="I124" s="28"/>
      <c r="J124" t="str">
        <f t="shared" si="1"/>
        <v>{ name: "Pit Cave", landmark: "Cave", type: "(Entrance 1 of 2)", region: 13, level: "Sky", x: 587, y: -1624, z: 1442, details: "" },</v>
      </c>
      <c r="M124" s="28"/>
      <c r="N124" s="28"/>
      <c r="O124" s="28"/>
      <c r="P124" s="28"/>
    </row>
    <row r="125" spans="1:16" x14ac:dyDescent="0.2">
      <c r="A125" t="s">
        <v>937</v>
      </c>
      <c r="B125" t="s">
        <v>2448</v>
      </c>
      <c r="C125" t="s">
        <v>794</v>
      </c>
      <c r="D125">
        <v>13</v>
      </c>
      <c r="E125" t="s">
        <v>783</v>
      </c>
      <c r="F125" s="2">
        <v>632</v>
      </c>
      <c r="G125" s="2">
        <v>-1638</v>
      </c>
      <c r="H125" s="2">
        <v>1483</v>
      </c>
      <c r="I125" s="28"/>
      <c r="J125" t="str">
        <f t="shared" si="1"/>
        <v>{ name: "Pit Cave", landmark: "Cave", type: "(Entrance 2 of 2)", region: 13, level: "Sky", x: 632, y: -1638, z: 1483, details: "" },</v>
      </c>
      <c r="M125" s="28"/>
      <c r="N125" s="28"/>
      <c r="O125" s="28"/>
      <c r="P125" s="28"/>
    </row>
    <row r="126" spans="1:16" x14ac:dyDescent="0.2">
      <c r="A126" t="s">
        <v>938</v>
      </c>
      <c r="B126" t="s">
        <v>2430</v>
      </c>
      <c r="C126" t="s">
        <v>801</v>
      </c>
      <c r="D126">
        <v>9</v>
      </c>
      <c r="E126" t="s">
        <v>785</v>
      </c>
      <c r="F126" s="2">
        <v>3660</v>
      </c>
      <c r="G126" s="2">
        <v>538</v>
      </c>
      <c r="H126" s="2">
        <v>268</v>
      </c>
      <c r="I126" s="28"/>
      <c r="J126" t="str">
        <f t="shared" si="1"/>
        <v>{ name: "Ploymus Mountain Cave", landmark: "Cave", type: "", region: 9, level: "Surface", x: 3660, y: 538, z: 268, details: "" },</v>
      </c>
      <c r="M126" s="28"/>
      <c r="N126" s="28"/>
      <c r="O126" s="28"/>
      <c r="P126" s="28"/>
    </row>
    <row r="127" spans="1:16" x14ac:dyDescent="0.2">
      <c r="A127" t="s">
        <v>939</v>
      </c>
      <c r="B127" t="s">
        <v>2447</v>
      </c>
      <c r="C127" t="s">
        <v>2123</v>
      </c>
      <c r="D127">
        <v>2</v>
      </c>
      <c r="E127" t="s">
        <v>783</v>
      </c>
      <c r="F127" s="2">
        <v>260</v>
      </c>
      <c r="G127" s="2">
        <v>-1557</v>
      </c>
      <c r="H127" s="2">
        <v>1361</v>
      </c>
      <c r="I127" s="28"/>
      <c r="J127" t="str">
        <f t="shared" si="1"/>
        <v>{ name: "Pondside Cave", landmark: "Cave", type: "(Entrance 1 of 2)", region: 2, level: "Sky", x: 260, y: -1557, z: 1361, details: "" },</v>
      </c>
      <c r="M127" s="28"/>
      <c r="N127" s="28"/>
      <c r="O127" s="28"/>
      <c r="P127" s="28"/>
    </row>
    <row r="128" spans="1:16" x14ac:dyDescent="0.2">
      <c r="A128" t="s">
        <v>939</v>
      </c>
      <c r="B128" t="s">
        <v>2448</v>
      </c>
      <c r="C128" t="s">
        <v>2123</v>
      </c>
      <c r="D128">
        <v>2</v>
      </c>
      <c r="E128" t="s">
        <v>783</v>
      </c>
      <c r="F128" s="2">
        <v>170</v>
      </c>
      <c r="G128" s="2">
        <v>-1633</v>
      </c>
      <c r="H128" s="2">
        <v>1377</v>
      </c>
      <c r="I128" s="28"/>
      <c r="J128" t="str">
        <f t="shared" si="1"/>
        <v>{ name: "Pondside Cave", landmark: "Cave", type: "(Entrance 2 of 2)", region: 2, level: "Sky", x: 170, y: -1633, z: 1377, details: "" },</v>
      </c>
      <c r="M128" s="28"/>
      <c r="N128" s="28"/>
      <c r="O128" s="28"/>
      <c r="P128" s="28"/>
    </row>
    <row r="129" spans="1:16" x14ac:dyDescent="0.2">
      <c r="A129" t="s">
        <v>940</v>
      </c>
      <c r="B129" t="s">
        <v>2430</v>
      </c>
      <c r="C129" t="s">
        <v>794</v>
      </c>
      <c r="D129">
        <v>13</v>
      </c>
      <c r="E129" t="s">
        <v>785</v>
      </c>
      <c r="F129" s="2">
        <v>608</v>
      </c>
      <c r="G129" s="2">
        <v>-2210</v>
      </c>
      <c r="H129" s="2">
        <v>50</v>
      </c>
      <c r="I129" s="28"/>
      <c r="J129" t="str">
        <f t="shared" si="1"/>
        <v>{ name: "Popla Foothills Excavation Site", landmark: "Cave", type: "", region: 13, level: "Surface", x: 608, y: -2210, z: 50, details: "" },</v>
      </c>
      <c r="M129" s="28"/>
      <c r="N129" s="28"/>
      <c r="O129" s="28"/>
      <c r="P129" s="28"/>
    </row>
    <row r="130" spans="1:16" x14ac:dyDescent="0.2">
      <c r="A130" t="s">
        <v>941</v>
      </c>
      <c r="B130" t="s">
        <v>2447</v>
      </c>
      <c r="C130" t="s">
        <v>801</v>
      </c>
      <c r="D130">
        <v>9</v>
      </c>
      <c r="E130" t="s">
        <v>785</v>
      </c>
      <c r="F130" s="2">
        <v>3708</v>
      </c>
      <c r="G130" s="2">
        <v>608</v>
      </c>
      <c r="H130" s="2">
        <v>343</v>
      </c>
      <c r="I130" s="28"/>
      <c r="J130" t="str">
        <f t="shared" si="1"/>
        <v>{ name: "Pristine Sanctum", landmark: "Cave", type: "(Entrance 1 of 2)", region: 9, level: "Surface", x: 3708, y: 608, z: 343, details: "" },</v>
      </c>
      <c r="M130" s="28"/>
      <c r="N130" s="28"/>
      <c r="O130" s="28"/>
      <c r="P130" s="28"/>
    </row>
    <row r="131" spans="1:16" x14ac:dyDescent="0.2">
      <c r="A131" t="s">
        <v>941</v>
      </c>
      <c r="B131" t="s">
        <v>2448</v>
      </c>
      <c r="C131" t="s">
        <v>801</v>
      </c>
      <c r="D131">
        <v>9</v>
      </c>
      <c r="E131" t="s">
        <v>785</v>
      </c>
      <c r="F131" s="2">
        <v>3622</v>
      </c>
      <c r="G131" s="2">
        <v>583</v>
      </c>
      <c r="H131" s="2">
        <v>169</v>
      </c>
      <c r="I131" s="28"/>
      <c r="J131" t="str">
        <f t="shared" ref="J131:J194" si="2">"{ name: "&amp;CHAR(34)&amp;A131&amp;CHAR(34)&amp;", landmark: "&amp;CHAR(34)&amp;"Cave"&amp;CHAR(34)&amp;", type: "&amp;CHAR(34)&amp;B131&amp;CHAR(34)&amp;", region: "&amp;D131&amp;", level: "&amp;CHAR(34)&amp;E131&amp;CHAR(34)&amp;", x: "&amp;F131&amp;", y: "&amp;G131&amp;", z: "&amp;H131&amp;", details: "&amp;CHAR(34)&amp;I131&amp;CHAR(34)&amp;" },"</f>
        <v>{ name: "Pristine Sanctum", landmark: "Cave", type: "(Entrance 2 of 2)", region: 9, level: "Surface", x: 3622, y: 583, z: 169, details: "" },</v>
      </c>
      <c r="M131" s="28"/>
      <c r="N131" s="28"/>
      <c r="O131" s="28"/>
      <c r="P131" s="28"/>
    </row>
    <row r="132" spans="1:16" x14ac:dyDescent="0.2">
      <c r="A132" t="s">
        <v>942</v>
      </c>
      <c r="B132" t="s">
        <v>2430</v>
      </c>
      <c r="C132" t="s">
        <v>794</v>
      </c>
      <c r="D132">
        <v>13</v>
      </c>
      <c r="E132" t="s">
        <v>785</v>
      </c>
      <c r="F132" s="2">
        <v>283</v>
      </c>
      <c r="G132" s="2">
        <v>-3851</v>
      </c>
      <c r="H132" s="2">
        <v>33</v>
      </c>
      <c r="I132" s="28"/>
      <c r="J132" t="str">
        <f t="shared" si="2"/>
        <v>{ name: "Puffer Beach Overhead Cave", landmark: "Cave", type: "", region: 13, level: "Surface", x: 283, y: -3851, z: 33, details: "" },</v>
      </c>
      <c r="M132" s="28"/>
      <c r="N132" s="28"/>
      <c r="O132" s="28"/>
      <c r="P132" s="28"/>
    </row>
    <row r="133" spans="1:16" x14ac:dyDescent="0.2">
      <c r="A133" t="s">
        <v>943</v>
      </c>
      <c r="B133" t="s">
        <v>2430</v>
      </c>
      <c r="C133" s="19" t="s">
        <v>798</v>
      </c>
      <c r="D133" s="19">
        <v>14</v>
      </c>
      <c r="E133" t="s">
        <v>785</v>
      </c>
      <c r="F133" s="2">
        <v>-3238</v>
      </c>
      <c r="G133" s="2">
        <v>-2939</v>
      </c>
      <c r="H133" s="2">
        <v>-65</v>
      </c>
      <c r="I133" s="28"/>
      <c r="J133" t="str">
        <f t="shared" si="2"/>
        <v>{ name: "Quicksand Lake Cave", landmark: "Cave", type: "", region: 14, level: "Surface", x: -3238, y: -2939, z: -65, details: "" },</v>
      </c>
      <c r="M133" s="28"/>
      <c r="N133" s="28"/>
      <c r="O133" s="28"/>
      <c r="P133" s="28"/>
    </row>
    <row r="134" spans="1:16" x14ac:dyDescent="0.2">
      <c r="A134" t="s">
        <v>944</v>
      </c>
      <c r="B134" t="s">
        <v>2447</v>
      </c>
      <c r="C134" t="s">
        <v>801</v>
      </c>
      <c r="D134">
        <v>9</v>
      </c>
      <c r="E134" t="s">
        <v>785</v>
      </c>
      <c r="F134" s="2">
        <v>2958</v>
      </c>
      <c r="G134" s="2">
        <v>253</v>
      </c>
      <c r="H134" s="2">
        <v>202</v>
      </c>
      <c r="I134" s="28"/>
      <c r="J134" t="str">
        <f t="shared" si="2"/>
        <v>{ name: "Ralis Channel", landmark: "Cave", type: "(Entrance 1 of 2)", region: 9, level: "Surface", x: 2958, y: 253, z: 202, details: "" },</v>
      </c>
      <c r="M134" s="28"/>
      <c r="N134" s="28"/>
      <c r="O134" s="28"/>
      <c r="P134" s="28"/>
    </row>
    <row r="135" spans="1:16" x14ac:dyDescent="0.2">
      <c r="A135" t="s">
        <v>944</v>
      </c>
      <c r="B135" t="s">
        <v>2448</v>
      </c>
      <c r="C135" t="s">
        <v>801</v>
      </c>
      <c r="D135">
        <v>9</v>
      </c>
      <c r="E135" t="s">
        <v>785</v>
      </c>
      <c r="F135" s="2">
        <v>2912</v>
      </c>
      <c r="G135" s="2">
        <v>170</v>
      </c>
      <c r="H135" s="2">
        <v>157</v>
      </c>
      <c r="I135" s="28"/>
      <c r="J135" t="str">
        <f t="shared" si="2"/>
        <v>{ name: "Ralis Channel", landmark: "Cave", type: "(Entrance 2 of 2)", region: 9, level: "Surface", x: 2912, y: 170, z: 157, details: "" },</v>
      </c>
      <c r="M135" s="28"/>
      <c r="N135" s="28"/>
      <c r="O135" s="28"/>
      <c r="P135" s="28"/>
    </row>
    <row r="136" spans="1:16" x14ac:dyDescent="0.2">
      <c r="A136" t="s">
        <v>945</v>
      </c>
      <c r="B136" t="s">
        <v>2447</v>
      </c>
      <c r="C136" t="s">
        <v>2122</v>
      </c>
      <c r="D136">
        <v>1</v>
      </c>
      <c r="E136" t="s">
        <v>785</v>
      </c>
      <c r="F136" s="2">
        <v>6</v>
      </c>
      <c r="G136" s="2">
        <v>-157</v>
      </c>
      <c r="H136" s="2">
        <v>30</v>
      </c>
      <c r="I136" s="28"/>
      <c r="J136" t="str">
        <f t="shared" si="2"/>
        <v>{ name: "Ranch Ruins Cave", landmark: "Cave", type: "(Entrance 1 of 2)", region: 1, level: "Surface", x: 6, y: -157, z: 30, details: "" },</v>
      </c>
      <c r="M136" s="28"/>
      <c r="N136" s="28"/>
      <c r="O136" s="28"/>
      <c r="P136" s="28"/>
    </row>
    <row r="137" spans="1:16" x14ac:dyDescent="0.2">
      <c r="A137" t="s">
        <v>945</v>
      </c>
      <c r="B137" t="s">
        <v>2448</v>
      </c>
      <c r="C137" t="s">
        <v>2122</v>
      </c>
      <c r="D137">
        <v>1</v>
      </c>
      <c r="E137" t="s">
        <v>785</v>
      </c>
      <c r="F137" s="2">
        <v>37</v>
      </c>
      <c r="G137" s="2">
        <v>-198</v>
      </c>
      <c r="H137" s="2">
        <v>18</v>
      </c>
      <c r="I137" s="28"/>
      <c r="J137" t="str">
        <f t="shared" si="2"/>
        <v>{ name: "Ranch Ruins Cave", landmark: "Cave", type: "(Entrance 2 of 2)", region: 1, level: "Surface", x: 37, y: -198, z: 18, details: "" },</v>
      </c>
      <c r="M137" s="28"/>
      <c r="N137" s="28"/>
      <c r="O137" s="28"/>
      <c r="P137" s="28"/>
    </row>
    <row r="138" spans="1:16" x14ac:dyDescent="0.2">
      <c r="A138" t="s">
        <v>946</v>
      </c>
      <c r="B138" t="s">
        <v>2430</v>
      </c>
      <c r="C138" t="s">
        <v>794</v>
      </c>
      <c r="D138">
        <v>13</v>
      </c>
      <c r="E138" t="s">
        <v>785</v>
      </c>
      <c r="F138" s="2">
        <v>1813</v>
      </c>
      <c r="G138" s="2">
        <v>-3738</v>
      </c>
      <c r="H138" s="2">
        <v>118</v>
      </c>
      <c r="I138" s="28"/>
      <c r="J138" t="str">
        <f t="shared" si="2"/>
        <v>{ name: "Rassla Lake Cave", landmark: "Cave", type: "", region: 13, level: "Surface", x: 1813, y: -3738, z: 118, details: "" },</v>
      </c>
      <c r="M138" s="28"/>
      <c r="N138" s="28"/>
      <c r="O138" s="28"/>
      <c r="P138" s="28"/>
    </row>
    <row r="139" spans="1:16" x14ac:dyDescent="0.2">
      <c r="A139" t="s">
        <v>947</v>
      </c>
      <c r="B139" t="s">
        <v>2430</v>
      </c>
      <c r="C139" t="s">
        <v>789</v>
      </c>
      <c r="D139">
        <v>6</v>
      </c>
      <c r="E139" t="s">
        <v>785</v>
      </c>
      <c r="F139" s="2">
        <v>676</v>
      </c>
      <c r="G139" s="2">
        <v>1389</v>
      </c>
      <c r="H139" s="2">
        <v>45</v>
      </c>
      <c r="I139" s="28"/>
      <c r="J139" t="str">
        <f t="shared" si="2"/>
        <v>{ name: "Rauru Hillside Cave", landmark: "Cave", type: "", region: 6, level: "Surface", x: 676, y: 1389, z: 45, details: "" },</v>
      </c>
      <c r="M139" s="28"/>
      <c r="N139" s="28"/>
      <c r="O139" s="28"/>
      <c r="P139" s="28"/>
    </row>
    <row r="140" spans="1:16" x14ac:dyDescent="0.2">
      <c r="A140" t="s">
        <v>948</v>
      </c>
      <c r="B140" t="s">
        <v>2430</v>
      </c>
      <c r="C140" t="s">
        <v>2122</v>
      </c>
      <c r="D140">
        <v>1</v>
      </c>
      <c r="E140" t="s">
        <v>785</v>
      </c>
      <c r="F140" s="2">
        <v>845</v>
      </c>
      <c r="G140" s="2">
        <v>31</v>
      </c>
      <c r="H140" s="2">
        <v>15</v>
      </c>
      <c r="I140" s="28"/>
      <c r="J140" t="str">
        <f t="shared" si="2"/>
        <v>{ name: "Rebonae Bridge Cave", landmark: "Cave", type: "", region: 1, level: "Surface", x: 845, y: 31, z: 15, details: "" },</v>
      </c>
      <c r="M140" s="28"/>
      <c r="N140" s="28"/>
      <c r="O140" s="28"/>
      <c r="P140" s="28"/>
    </row>
    <row r="141" spans="1:16" x14ac:dyDescent="0.2">
      <c r="A141" t="s">
        <v>949</v>
      </c>
      <c r="B141" t="s">
        <v>2430</v>
      </c>
      <c r="C141" t="s">
        <v>801</v>
      </c>
      <c r="D141">
        <v>9</v>
      </c>
      <c r="E141" t="s">
        <v>785</v>
      </c>
      <c r="F141" s="2">
        <v>3809</v>
      </c>
      <c r="G141" s="2">
        <v>419</v>
      </c>
      <c r="H141" s="2">
        <v>208</v>
      </c>
      <c r="I141" s="28"/>
      <c r="J141" t="str">
        <f t="shared" si="2"/>
        <v>{ name: "Reservoir Lakefront Cavern", landmark: "Cave", type: "", region: 9, level: "Surface", x: 3809, y: 419, z: 208, details: "" },</v>
      </c>
      <c r="M141" s="28"/>
      <c r="N141" s="28"/>
      <c r="O141" s="28"/>
      <c r="P141" s="28"/>
    </row>
    <row r="142" spans="1:16" x14ac:dyDescent="0.2">
      <c r="A142" t="s">
        <v>950</v>
      </c>
      <c r="B142" t="s">
        <v>2447</v>
      </c>
      <c r="C142" t="s">
        <v>804</v>
      </c>
      <c r="D142">
        <v>11</v>
      </c>
      <c r="E142" t="s">
        <v>785</v>
      </c>
      <c r="F142" s="2">
        <v>3748</v>
      </c>
      <c r="G142" s="2">
        <v>-2026</v>
      </c>
      <c r="H142" s="2">
        <v>190</v>
      </c>
      <c r="I142" s="28"/>
      <c r="J142" t="str">
        <f t="shared" si="2"/>
        <v>{ name: "Retsam Forest Cave", landmark: "Cave", type: "(Entrance 1 of 2)", region: 11, level: "Surface", x: 3748, y: -2026, z: 190, details: "" },</v>
      </c>
      <c r="M142" s="28"/>
      <c r="N142" s="28"/>
      <c r="O142" s="28"/>
      <c r="P142" s="28"/>
    </row>
    <row r="143" spans="1:16" x14ac:dyDescent="0.2">
      <c r="A143" t="s">
        <v>950</v>
      </c>
      <c r="B143" t="s">
        <v>2448</v>
      </c>
      <c r="C143" t="s">
        <v>804</v>
      </c>
      <c r="D143">
        <v>11</v>
      </c>
      <c r="E143" t="s">
        <v>785</v>
      </c>
      <c r="F143" s="2">
        <v>3757</v>
      </c>
      <c r="G143" s="2">
        <v>-2066</v>
      </c>
      <c r="H143" s="2">
        <v>214</v>
      </c>
      <c r="I143" s="28"/>
      <c r="J143" t="str">
        <f t="shared" si="2"/>
        <v>{ name: "Retsam Forest Cave", landmark: "Cave", type: "(Entrance 2 of 2)", region: 11, level: "Surface", x: 3757, y: -2066, z: 214, details: "" },</v>
      </c>
      <c r="M143" s="28"/>
      <c r="N143" s="28"/>
      <c r="O143" s="28"/>
      <c r="P143" s="28"/>
    </row>
    <row r="144" spans="1:16" x14ac:dyDescent="0.2">
      <c r="A144" t="s">
        <v>951</v>
      </c>
      <c r="B144" t="s">
        <v>2430</v>
      </c>
      <c r="C144" t="s">
        <v>2123</v>
      </c>
      <c r="D144">
        <v>2</v>
      </c>
      <c r="E144" t="s">
        <v>785</v>
      </c>
      <c r="F144" s="2">
        <v>-1092</v>
      </c>
      <c r="G144" s="2">
        <v>-2162</v>
      </c>
      <c r="H144" s="2">
        <v>143</v>
      </c>
      <c r="I144" s="28"/>
      <c r="J144" t="str">
        <f t="shared" si="2"/>
        <v>{ name: "River of the Dead Waterfall Cave", landmark: "Cave", type: "", region: 2, level: "Surface", x: -1092, y: -2162, z: 143, details: "" },</v>
      </c>
      <c r="M144" s="28"/>
      <c r="N144" s="28"/>
      <c r="O144" s="28"/>
      <c r="P144" s="28"/>
    </row>
    <row r="145" spans="1:16" x14ac:dyDescent="0.2">
      <c r="A145" t="s">
        <v>952</v>
      </c>
      <c r="B145" t="s">
        <v>2430</v>
      </c>
      <c r="C145" s="19" t="s">
        <v>803</v>
      </c>
      <c r="D145" s="19">
        <v>10</v>
      </c>
      <c r="E145" t="s">
        <v>785</v>
      </c>
      <c r="F145" s="2">
        <v>2492</v>
      </c>
      <c r="G145" s="2">
        <v>-1477</v>
      </c>
      <c r="H145" s="2">
        <v>12</v>
      </c>
      <c r="I145" s="28"/>
      <c r="J145" t="str">
        <f t="shared" si="2"/>
        <v>{ name: "Robred Dropoff Cave", landmark: "Cave", type: "", region: 10, level: "Surface", x: 2492, y: -1477, z: 12, details: "" },</v>
      </c>
      <c r="M145" s="28"/>
      <c r="N145" s="28"/>
      <c r="O145" s="28"/>
      <c r="P145" s="28"/>
    </row>
    <row r="146" spans="1:16" x14ac:dyDescent="0.2">
      <c r="A146" t="s">
        <v>953</v>
      </c>
      <c r="B146" t="s">
        <v>2430</v>
      </c>
      <c r="C146" t="s">
        <v>794</v>
      </c>
      <c r="D146">
        <v>13</v>
      </c>
      <c r="E146" t="s">
        <v>785</v>
      </c>
      <c r="F146" s="2">
        <v>1896</v>
      </c>
      <c r="G146" s="2">
        <v>-3111</v>
      </c>
      <c r="H146" s="2">
        <v>132</v>
      </c>
      <c r="I146" s="28"/>
      <c r="J146" t="str">
        <f t="shared" si="2"/>
        <v>{ name: "Rodai Lakefront Tunnel", landmark: "Cave", type: "", region: 13, level: "Surface", x: 1896, y: -3111, z: 132, details: "" },</v>
      </c>
      <c r="M146" s="28"/>
      <c r="N146" s="28"/>
      <c r="O146" s="28"/>
      <c r="P146" s="28"/>
    </row>
    <row r="147" spans="1:16" x14ac:dyDescent="0.2">
      <c r="A147" t="s">
        <v>954</v>
      </c>
      <c r="B147" t="s">
        <v>2430</v>
      </c>
      <c r="C147" t="s">
        <v>800</v>
      </c>
      <c r="D147">
        <v>4</v>
      </c>
      <c r="E147" t="s">
        <v>785</v>
      </c>
      <c r="F147" s="2">
        <v>-3559</v>
      </c>
      <c r="G147" s="2">
        <v>2488</v>
      </c>
      <c r="H147" s="2">
        <v>227</v>
      </c>
      <c r="I147" s="28"/>
      <c r="J147" t="str">
        <f t="shared" si="2"/>
        <v>{ name: "Rospro Pass Cave", landmark: "Cave", type: "", region: 4, level: "Surface", x: -3559, y: 2488, z: 227, details: "" },</v>
      </c>
      <c r="M147" s="28"/>
      <c r="N147" s="28"/>
      <c r="O147" s="28"/>
      <c r="P147" s="28"/>
    </row>
    <row r="148" spans="1:16" x14ac:dyDescent="0.2">
      <c r="A148" t="s">
        <v>955</v>
      </c>
      <c r="B148" t="s">
        <v>2449</v>
      </c>
      <c r="C148" t="s">
        <v>2122</v>
      </c>
      <c r="D148">
        <v>1</v>
      </c>
      <c r="E148" t="s">
        <v>785</v>
      </c>
      <c r="F148" s="2">
        <v>-325</v>
      </c>
      <c r="G148" s="2">
        <v>802</v>
      </c>
      <c r="H148" s="2">
        <v>54</v>
      </c>
      <c r="I148" s="28"/>
      <c r="J148" t="str">
        <f t="shared" si="2"/>
        <v>{ name: "Royal Hidden Passage", landmark: "Cave", type: "(Entrance 1 of 3)", region: 1, level: "Surface", x: -325, y: 802, z: 54, details: "" },</v>
      </c>
      <c r="M148" s="28"/>
      <c r="N148" s="28"/>
      <c r="O148" s="28"/>
      <c r="P148" s="28"/>
    </row>
    <row r="149" spans="1:16" x14ac:dyDescent="0.2">
      <c r="A149" t="s">
        <v>955</v>
      </c>
      <c r="B149" t="s">
        <v>2450</v>
      </c>
      <c r="C149" t="s">
        <v>2122</v>
      </c>
      <c r="D149">
        <v>1</v>
      </c>
      <c r="E149" t="s">
        <v>785</v>
      </c>
      <c r="F149" s="2">
        <v>-253</v>
      </c>
      <c r="G149" s="2">
        <v>767</v>
      </c>
      <c r="H149" s="2">
        <v>27</v>
      </c>
      <c r="I149" s="28"/>
      <c r="J149" t="str">
        <f t="shared" si="2"/>
        <v>{ name: "Royal Hidden Passage", landmark: "Cave", type: "(Entrance 2 of 3)", region: 1, level: "Surface", x: -253, y: 767, z: 27, details: "" },</v>
      </c>
      <c r="M149" s="28"/>
      <c r="N149" s="28"/>
      <c r="O149" s="28"/>
      <c r="P149" s="28"/>
    </row>
    <row r="150" spans="1:16" x14ac:dyDescent="0.2">
      <c r="A150" t="s">
        <v>955</v>
      </c>
      <c r="B150" t="s">
        <v>2451</v>
      </c>
      <c r="C150" t="s">
        <v>2122</v>
      </c>
      <c r="D150">
        <v>1</v>
      </c>
      <c r="E150" t="s">
        <v>785</v>
      </c>
      <c r="F150" s="2">
        <v>-254</v>
      </c>
      <c r="G150" s="2">
        <v>129</v>
      </c>
      <c r="H150" s="2">
        <v>8</v>
      </c>
      <c r="I150" s="28"/>
      <c r="J150" t="str">
        <f t="shared" si="2"/>
        <v>{ name: "Royal Hidden Passage", landmark: "Cave", type: "(Entrance 3 of 3)", region: 1, level: "Surface", x: -254, y: 129, z: 8, details: "" },</v>
      </c>
      <c r="M150" s="28"/>
      <c r="N150" s="28"/>
      <c r="O150" s="28"/>
      <c r="P150" s="28"/>
    </row>
    <row r="151" spans="1:16" x14ac:dyDescent="0.2">
      <c r="A151" t="s">
        <v>956</v>
      </c>
      <c r="B151" t="s">
        <v>2430</v>
      </c>
      <c r="C151" t="s">
        <v>2122</v>
      </c>
      <c r="D151">
        <v>1</v>
      </c>
      <c r="E151" t="s">
        <v>785</v>
      </c>
      <c r="F151" s="2">
        <v>-1404</v>
      </c>
      <c r="G151" s="2">
        <v>-256</v>
      </c>
      <c r="H151" s="2">
        <v>-3</v>
      </c>
      <c r="I151" s="28"/>
      <c r="J151" t="str">
        <f t="shared" si="2"/>
        <v>{ name: "Sage Temple Cave", landmark: "Cave", type: "", region: 1, level: "Surface", x: -1404, y: -256, z: -3, details: "" },</v>
      </c>
      <c r="M151" s="28"/>
      <c r="N151" s="28"/>
      <c r="O151" s="28"/>
      <c r="P151" s="28"/>
    </row>
    <row r="152" spans="1:16" x14ac:dyDescent="0.2">
      <c r="A152" t="s">
        <v>957</v>
      </c>
      <c r="B152" t="s">
        <v>2447</v>
      </c>
      <c r="C152" t="s">
        <v>803</v>
      </c>
      <c r="D152">
        <v>10</v>
      </c>
      <c r="E152" t="s">
        <v>785</v>
      </c>
      <c r="F152" s="2">
        <v>1328</v>
      </c>
      <c r="G152" s="2">
        <v>-1156</v>
      </c>
      <c r="H152" s="2">
        <v>134</v>
      </c>
      <c r="I152" s="28"/>
      <c r="J152" t="str">
        <f t="shared" si="2"/>
        <v>{ name: "Sahasra Slope Cave", landmark: "Cave", type: "(Entrance 1 of 2)", region: 10, level: "Surface", x: 1328, y: -1156, z: 134, details: "" },</v>
      </c>
      <c r="M152" s="28"/>
      <c r="N152" s="28"/>
      <c r="O152" s="28"/>
      <c r="P152" s="28"/>
    </row>
    <row r="153" spans="1:16" x14ac:dyDescent="0.2">
      <c r="A153" t="s">
        <v>957</v>
      </c>
      <c r="B153" t="s">
        <v>2448</v>
      </c>
      <c r="C153" t="s">
        <v>803</v>
      </c>
      <c r="D153">
        <v>10</v>
      </c>
      <c r="E153" t="s">
        <v>785</v>
      </c>
      <c r="F153" s="2">
        <v>1373</v>
      </c>
      <c r="G153" s="2">
        <v>-1197</v>
      </c>
      <c r="H153" s="2">
        <v>129</v>
      </c>
      <c r="I153" s="28"/>
      <c r="J153" t="str">
        <f t="shared" si="2"/>
        <v>{ name: "Sahasra Slope Cave", landmark: "Cave", type: "(Entrance 2 of 2)", region: 10, level: "Surface", x: 1373, y: -1197, z: 129, details: "" },</v>
      </c>
      <c r="M153" s="28"/>
      <c r="N153" s="28"/>
      <c r="O153" s="28"/>
      <c r="P153" s="28"/>
    </row>
    <row r="154" spans="1:16" x14ac:dyDescent="0.2">
      <c r="A154" t="s">
        <v>958</v>
      </c>
      <c r="B154" t="s">
        <v>2430</v>
      </c>
      <c r="C154" t="s">
        <v>794</v>
      </c>
      <c r="D154">
        <v>13</v>
      </c>
      <c r="E154" t="s">
        <v>785</v>
      </c>
      <c r="F154" s="2">
        <v>1203</v>
      </c>
      <c r="G154" s="2">
        <v>-3170</v>
      </c>
      <c r="H154" s="2">
        <v>25</v>
      </c>
      <c r="I154" s="28"/>
      <c r="J154" t="str">
        <f t="shared" si="2"/>
        <v>{ name: "Sarjon Woods Cave", landmark: "Cave", type: "", region: 13, level: "Surface", x: 1203, y: -3170, z: 25, details: "" },</v>
      </c>
      <c r="M154" s="28"/>
      <c r="N154" s="28"/>
      <c r="O154" s="28"/>
      <c r="P154" s="28"/>
    </row>
    <row r="155" spans="1:16" x14ac:dyDescent="0.2">
      <c r="A155" t="s">
        <v>959</v>
      </c>
      <c r="B155" t="s">
        <v>2430</v>
      </c>
      <c r="C155" t="s">
        <v>2123</v>
      </c>
      <c r="D155">
        <v>2</v>
      </c>
      <c r="E155" t="s">
        <v>785</v>
      </c>
      <c r="F155" s="2">
        <v>-2151</v>
      </c>
      <c r="G155" s="2">
        <v>-360</v>
      </c>
      <c r="H155" s="2">
        <v>276</v>
      </c>
      <c r="I155" s="28"/>
      <c r="J155" t="str">
        <f t="shared" si="2"/>
        <v>{ name: "Satori Mountain Cave", landmark: "Cave", type: "", region: 2, level: "Surface", x: -2151, y: -360, z: 276, details: "" },</v>
      </c>
      <c r="M155" s="28"/>
      <c r="N155" s="28"/>
      <c r="O155" s="28"/>
      <c r="P155" s="28"/>
    </row>
    <row r="156" spans="1:16" x14ac:dyDescent="0.2">
      <c r="A156" t="s">
        <v>960</v>
      </c>
      <c r="B156" t="s">
        <v>2430</v>
      </c>
      <c r="C156" t="s">
        <v>2123</v>
      </c>
      <c r="D156">
        <v>2</v>
      </c>
      <c r="E156" t="s">
        <v>785</v>
      </c>
      <c r="F156" s="2">
        <v>-2198</v>
      </c>
      <c r="G156" s="2">
        <v>-807</v>
      </c>
      <c r="H156" s="2">
        <v>117</v>
      </c>
      <c r="I156" s="28"/>
      <c r="J156" t="str">
        <f t="shared" si="2"/>
        <v>{ name: "Satori Mountain Foothill Cave", landmark: "Cave", type: "", region: 2, level: "Surface", x: -2198, y: -807, z: 117, details: "" },</v>
      </c>
      <c r="M156" s="28"/>
      <c r="N156" s="28"/>
      <c r="O156" s="28"/>
      <c r="P156" s="28"/>
    </row>
    <row r="157" spans="1:16" x14ac:dyDescent="0.2">
      <c r="A157" t="s">
        <v>961</v>
      </c>
      <c r="B157" t="s">
        <v>2430</v>
      </c>
      <c r="C157" t="s">
        <v>2123</v>
      </c>
      <c r="D157">
        <v>2</v>
      </c>
      <c r="E157" t="s">
        <v>785</v>
      </c>
      <c r="F157" s="2">
        <v>-1061</v>
      </c>
      <c r="G157" s="2">
        <v>-1829</v>
      </c>
      <c r="H157" s="2">
        <v>142</v>
      </c>
      <c r="I157" s="28"/>
      <c r="J157" t="str">
        <f t="shared" si="2"/>
        <v>{ name: "Shrine of Resurrection", landmark: "Cave", type: "", region: 2, level: "Surface", x: -1061, y: -1829, z: 142, details: "" },</v>
      </c>
      <c r="M157" s="28"/>
      <c r="N157" s="28"/>
      <c r="O157" s="28"/>
      <c r="P157" s="28"/>
    </row>
    <row r="158" spans="1:16" x14ac:dyDescent="0.2">
      <c r="A158" t="s">
        <v>962</v>
      </c>
      <c r="B158" t="s">
        <v>2430</v>
      </c>
      <c r="C158" t="s">
        <v>1113</v>
      </c>
      <c r="D158">
        <v>8</v>
      </c>
      <c r="E158" t="s">
        <v>785</v>
      </c>
      <c r="F158" s="2">
        <v>3321</v>
      </c>
      <c r="G158" s="2">
        <v>3424</v>
      </c>
      <c r="H158" s="2">
        <v>171</v>
      </c>
      <c r="I158" s="28"/>
      <c r="J158" t="str">
        <f t="shared" si="2"/>
        <v>{ name: "Skull Lake Cave", landmark: "Cave", type: "", region: 8, level: "Surface", x: 3321, y: 3424, z: 171, details: "" },</v>
      </c>
      <c r="M158" s="28"/>
      <c r="N158" s="28"/>
      <c r="O158" s="28"/>
      <c r="P158" s="28"/>
    </row>
    <row r="159" spans="1:16" x14ac:dyDescent="0.2">
      <c r="A159" t="s">
        <v>963</v>
      </c>
      <c r="B159" t="s">
        <v>2430</v>
      </c>
      <c r="C159" s="19" t="s">
        <v>798</v>
      </c>
      <c r="D159" s="19">
        <v>14</v>
      </c>
      <c r="E159" t="s">
        <v>785</v>
      </c>
      <c r="F159" s="2">
        <v>-2939</v>
      </c>
      <c r="G159" s="2">
        <v>-3857</v>
      </c>
      <c r="H159" s="2">
        <v>-37</v>
      </c>
      <c r="I159" s="28"/>
      <c r="J159" t="str">
        <f t="shared" si="2"/>
        <v>{ name: "South Gerudo Cave", landmark: "Cave", type: "", region: 14, level: "Surface", x: -2939, y: -3857, z: -37, details: "" },</v>
      </c>
      <c r="M159" s="28"/>
      <c r="N159" s="28"/>
      <c r="O159" s="28"/>
      <c r="P159" s="28"/>
    </row>
    <row r="160" spans="1:16" x14ac:dyDescent="0.2">
      <c r="A160" t="s">
        <v>964</v>
      </c>
      <c r="B160" t="s">
        <v>2430</v>
      </c>
      <c r="C160" t="s">
        <v>1264</v>
      </c>
      <c r="D160">
        <v>7</v>
      </c>
      <c r="E160" t="s">
        <v>785</v>
      </c>
      <c r="F160" s="2">
        <v>1800</v>
      </c>
      <c r="G160" s="2">
        <v>1983</v>
      </c>
      <c r="H160" s="2">
        <v>320</v>
      </c>
      <c r="I160" s="28"/>
      <c r="J160" t="str">
        <f t="shared" si="2"/>
        <v>{ name: "Southern Mine", landmark: "Cave", type: "", region: 7, level: "Surface", x: 1800, y: 1983, z: 320, details: "" },</v>
      </c>
      <c r="M160" s="28"/>
      <c r="N160" s="28"/>
      <c r="O160" s="28"/>
      <c r="P160" s="28"/>
    </row>
    <row r="161" spans="1:16" x14ac:dyDescent="0.2">
      <c r="A161" t="s">
        <v>965</v>
      </c>
      <c r="B161" t="s">
        <v>2430</v>
      </c>
      <c r="C161" t="s">
        <v>798</v>
      </c>
      <c r="D161">
        <v>14</v>
      </c>
      <c r="E161" t="s">
        <v>785</v>
      </c>
      <c r="F161" s="2">
        <v>-2215</v>
      </c>
      <c r="G161" s="2">
        <v>-2395</v>
      </c>
      <c r="H161" s="2">
        <v>247</v>
      </c>
      <c r="I161" s="28"/>
      <c r="J161" t="str">
        <f t="shared" si="2"/>
        <v>{ name: "Spectacle Rock Cave", landmark: "Cave", type: "", region: 14, level: "Surface", x: -2215, y: -2395, z: 247, details: "" },</v>
      </c>
      <c r="M161" s="28"/>
      <c r="N161" s="28"/>
      <c r="O161" s="28"/>
      <c r="P161" s="28"/>
    </row>
    <row r="162" spans="1:16" x14ac:dyDescent="0.2">
      <c r="A162" t="s">
        <v>966</v>
      </c>
      <c r="B162" t="s">
        <v>2430</v>
      </c>
      <c r="C162" t="s">
        <v>798</v>
      </c>
      <c r="D162">
        <v>14</v>
      </c>
      <c r="E162" t="s">
        <v>785</v>
      </c>
      <c r="F162" s="2">
        <v>-1527</v>
      </c>
      <c r="G162" s="2">
        <v>-2222</v>
      </c>
      <c r="H162" s="2">
        <v>-20</v>
      </c>
      <c r="I162" s="28"/>
      <c r="J162" t="str">
        <f t="shared" si="2"/>
        <v>{ name: "Stalry Plateau Cave", landmark: "Cave", type: "", region: 14, level: "Surface", x: -1527, y: -2222, z: -20, details: "" },</v>
      </c>
      <c r="M162" s="28"/>
      <c r="N162" s="28"/>
      <c r="O162" s="28"/>
      <c r="P162" s="28"/>
    </row>
    <row r="163" spans="1:16" x14ac:dyDescent="0.2">
      <c r="A163" t="s">
        <v>967</v>
      </c>
      <c r="B163" t="s">
        <v>2430</v>
      </c>
      <c r="C163" t="s">
        <v>797</v>
      </c>
      <c r="D163">
        <v>15</v>
      </c>
      <c r="E163" t="s">
        <v>785</v>
      </c>
      <c r="F163" s="2">
        <v>-4384</v>
      </c>
      <c r="G163" s="2">
        <v>-536</v>
      </c>
      <c r="H163" s="2">
        <v>473</v>
      </c>
      <c r="I163" s="28"/>
      <c r="J163" t="str">
        <f t="shared" si="2"/>
        <v>{ name: "Statue of the Eighth Heroine Cave", landmark: "Cave", type: "", region: 15, level: "Surface", x: -4384, y: -536, z: 473, details: "" },</v>
      </c>
      <c r="M163" s="28"/>
      <c r="N163" s="28"/>
      <c r="O163" s="28"/>
      <c r="P163" s="28"/>
    </row>
    <row r="164" spans="1:16" x14ac:dyDescent="0.2">
      <c r="A164" t="s">
        <v>968</v>
      </c>
      <c r="B164" t="s">
        <v>2430</v>
      </c>
      <c r="C164" t="s">
        <v>800</v>
      </c>
      <c r="D164">
        <v>4</v>
      </c>
      <c r="E164" t="s">
        <v>785</v>
      </c>
      <c r="F164" s="2">
        <v>-4041</v>
      </c>
      <c r="G164" s="2">
        <v>2671</v>
      </c>
      <c r="H164" s="2">
        <v>23</v>
      </c>
      <c r="I164" s="28"/>
      <c r="J164" t="str">
        <f t="shared" si="2"/>
        <v>{ name: "Sturnida Springs Cave", landmark: "Cave", type: "", region: 4, level: "Surface", x: -4041, y: 2671, z: 23, details: "" },</v>
      </c>
      <c r="M164" s="28"/>
      <c r="N164" s="28"/>
      <c r="O164" s="28"/>
      <c r="P164" s="28"/>
    </row>
    <row r="165" spans="1:16" x14ac:dyDescent="0.2">
      <c r="A165" t="s">
        <v>969</v>
      </c>
      <c r="B165" t="s">
        <v>2430</v>
      </c>
      <c r="C165" t="s">
        <v>798</v>
      </c>
      <c r="D165">
        <v>14</v>
      </c>
      <c r="E165" t="s">
        <v>785</v>
      </c>
      <c r="F165" s="2">
        <v>-2457</v>
      </c>
      <c r="G165" s="2">
        <v>-1798</v>
      </c>
      <c r="H165" s="2">
        <v>176</v>
      </c>
      <c r="I165" s="28"/>
      <c r="J165" t="str">
        <f t="shared" si="2"/>
        <v>{ name: "Taafei Hill Cave", landmark: "Cave", type: "", region: 14, level: "Surface", x: -2457, y: -1798, z: 176, details: "" },</v>
      </c>
      <c r="M165" s="28"/>
      <c r="N165" s="28"/>
      <c r="O165" s="28"/>
      <c r="P165" s="28"/>
    </row>
    <row r="166" spans="1:16" x14ac:dyDescent="0.2">
      <c r="A166" t="s">
        <v>970</v>
      </c>
      <c r="B166" t="s">
        <v>2449</v>
      </c>
      <c r="C166" s="19" t="s">
        <v>801</v>
      </c>
      <c r="D166" s="19">
        <v>9</v>
      </c>
      <c r="E166" t="s">
        <v>785</v>
      </c>
      <c r="F166" s="2">
        <v>2674</v>
      </c>
      <c r="G166" s="2">
        <v>287</v>
      </c>
      <c r="H166" s="2">
        <v>89</v>
      </c>
      <c r="I166" s="28"/>
      <c r="J166" t="str">
        <f t="shared" si="2"/>
        <v>{ name: "Tabahl Woods Cave", landmark: "Cave", type: "(Entrance 1 of 3)", region: 9, level: "Surface", x: 2674, y: 287, z: 89, details: "" },</v>
      </c>
      <c r="M166" s="28"/>
      <c r="N166" s="28"/>
      <c r="O166" s="28"/>
      <c r="P166" s="28"/>
    </row>
    <row r="167" spans="1:16" x14ac:dyDescent="0.2">
      <c r="A167" t="s">
        <v>970</v>
      </c>
      <c r="B167" t="s">
        <v>2450</v>
      </c>
      <c r="C167" s="19" t="s">
        <v>801</v>
      </c>
      <c r="D167" s="19">
        <v>9</v>
      </c>
      <c r="E167" t="s">
        <v>785</v>
      </c>
      <c r="F167" s="2">
        <v>2605</v>
      </c>
      <c r="G167" s="2">
        <v>227</v>
      </c>
      <c r="H167" s="2">
        <v>75</v>
      </c>
      <c r="I167" s="28"/>
      <c r="J167" t="str">
        <f t="shared" si="2"/>
        <v>{ name: "Tabahl Woods Cave", landmark: "Cave", type: "(Entrance 2 of 3)", region: 9, level: "Surface", x: 2605, y: 227, z: 75, details: "" },</v>
      </c>
      <c r="M167" s="28"/>
      <c r="N167" s="28"/>
      <c r="O167" s="28"/>
      <c r="P167" s="28"/>
    </row>
    <row r="168" spans="1:16" x14ac:dyDescent="0.2">
      <c r="A168" t="s">
        <v>970</v>
      </c>
      <c r="B168" t="s">
        <v>2451</v>
      </c>
      <c r="C168" s="19" t="s">
        <v>801</v>
      </c>
      <c r="D168" s="19">
        <v>9</v>
      </c>
      <c r="E168" t="s">
        <v>785</v>
      </c>
      <c r="F168" s="2">
        <v>2679</v>
      </c>
      <c r="G168" s="2">
        <v>217</v>
      </c>
      <c r="H168" s="2">
        <v>92</v>
      </c>
      <c r="I168" s="28"/>
      <c r="J168" t="str">
        <f t="shared" si="2"/>
        <v>{ name: "Tabahl Woods Cave", landmark: "Cave", type: "(Entrance 3 of 3)", region: 9, level: "Surface", x: 2679, y: 217, z: 92, details: "" },</v>
      </c>
      <c r="M168" s="28"/>
      <c r="N168" s="28"/>
      <c r="O168" s="28"/>
      <c r="P168" s="28"/>
    </row>
    <row r="169" spans="1:16" x14ac:dyDescent="0.2">
      <c r="A169" t="s">
        <v>971</v>
      </c>
      <c r="B169" t="s">
        <v>2430</v>
      </c>
      <c r="C169" t="s">
        <v>787</v>
      </c>
      <c r="D169">
        <v>3</v>
      </c>
      <c r="E169" t="s">
        <v>785</v>
      </c>
      <c r="F169" s="2">
        <v>-2840</v>
      </c>
      <c r="G169" s="2">
        <v>1771</v>
      </c>
      <c r="H169" s="2">
        <v>222</v>
      </c>
      <c r="I169" s="28"/>
      <c r="J169" t="str">
        <f t="shared" si="2"/>
        <v>{ name: "Tabantha Hills Cave", landmark: "Cave", type: "", region: 3, level: "Surface", x: -2840, y: 1771, z: 222, details: "" },</v>
      </c>
      <c r="M169" s="28"/>
      <c r="N169" s="28"/>
      <c r="O169" s="28"/>
      <c r="P169" s="28"/>
    </row>
    <row r="170" spans="1:16" x14ac:dyDescent="0.2">
      <c r="A170" t="s">
        <v>972</v>
      </c>
      <c r="B170" t="s">
        <v>2430</v>
      </c>
      <c r="C170" t="s">
        <v>800</v>
      </c>
      <c r="D170">
        <v>4</v>
      </c>
      <c r="E170" t="s">
        <v>785</v>
      </c>
      <c r="F170" s="2">
        <v>-3214</v>
      </c>
      <c r="G170" s="2">
        <v>2462</v>
      </c>
      <c r="H170" s="2">
        <v>345</v>
      </c>
      <c r="I170" s="28"/>
      <c r="J170" t="str">
        <f t="shared" si="2"/>
        <v>{ name: "Talonto Peak Cave", landmark: "Cave", type: "", region: 4, level: "Surface", x: -3214, y: 2462, z: 345, details: "" },</v>
      </c>
      <c r="M170" s="28"/>
      <c r="N170" s="28"/>
      <c r="O170" s="28"/>
      <c r="P170" s="28"/>
    </row>
    <row r="171" spans="1:16" x14ac:dyDescent="0.2">
      <c r="A171" t="s">
        <v>973</v>
      </c>
      <c r="B171" t="s">
        <v>2430</v>
      </c>
      <c r="C171" t="s">
        <v>2123</v>
      </c>
      <c r="D171">
        <v>2</v>
      </c>
      <c r="E171" t="s">
        <v>785</v>
      </c>
      <c r="F171" s="2">
        <v>-2921</v>
      </c>
      <c r="G171" s="2">
        <v>-804</v>
      </c>
      <c r="H171" s="2">
        <v>7</v>
      </c>
      <c r="I171" s="28"/>
      <c r="J171" t="str">
        <f t="shared" si="2"/>
        <v>{ name: "Tamio River Downstream Cave", landmark: "Cave", type: "", region: 2, level: "Surface", x: -2921, y: -804, z: 7, details: "" },</v>
      </c>
      <c r="M171" s="28"/>
      <c r="N171" s="28"/>
      <c r="O171" s="28"/>
      <c r="P171" s="28"/>
    </row>
    <row r="172" spans="1:16" x14ac:dyDescent="0.2">
      <c r="A172" t="s">
        <v>974</v>
      </c>
      <c r="B172" t="s">
        <v>2430</v>
      </c>
      <c r="C172" t="s">
        <v>787</v>
      </c>
      <c r="D172">
        <v>3</v>
      </c>
      <c r="E172" t="s">
        <v>785</v>
      </c>
      <c r="F172" s="2">
        <v>-2049</v>
      </c>
      <c r="G172" s="2">
        <v>1631</v>
      </c>
      <c r="H172" s="2">
        <v>-56</v>
      </c>
      <c r="I172" s="28"/>
      <c r="J172" t="str">
        <f t="shared" si="2"/>
        <v>{ name: "Tanagar Canyon East Cave", landmark: "Cave", type: "", region: 3, level: "Surface", x: -2049, y: 1631, z: -56, details: "" },</v>
      </c>
      <c r="M172" s="28"/>
      <c r="N172" s="28"/>
      <c r="O172" s="28"/>
      <c r="P172" s="28"/>
    </row>
    <row r="173" spans="1:16" x14ac:dyDescent="0.2">
      <c r="A173" t="s">
        <v>975</v>
      </c>
      <c r="B173" t="s">
        <v>2430</v>
      </c>
      <c r="C173" t="s">
        <v>787</v>
      </c>
      <c r="D173">
        <v>3</v>
      </c>
      <c r="E173" t="s">
        <v>785</v>
      </c>
      <c r="F173" s="2">
        <v>-3308</v>
      </c>
      <c r="G173" s="2">
        <v>789</v>
      </c>
      <c r="H173" s="2">
        <v>-101</v>
      </c>
      <c r="I173" s="28"/>
      <c r="J173" t="str">
        <f t="shared" si="2"/>
        <v>{ name: "Tanagar Canyon West Cave", landmark: "Cave", type: "", region: 3, level: "Surface", x: -3308, y: 789, z: -101, details: "" },</v>
      </c>
      <c r="M173" s="28"/>
      <c r="N173" s="28"/>
      <c r="O173" s="28"/>
      <c r="P173" s="28"/>
    </row>
    <row r="174" spans="1:16" x14ac:dyDescent="0.2">
      <c r="A174" t="s">
        <v>976</v>
      </c>
      <c r="B174" t="s">
        <v>2430</v>
      </c>
      <c r="C174" t="s">
        <v>804</v>
      </c>
      <c r="D174">
        <v>11</v>
      </c>
      <c r="E174" t="s">
        <v>785</v>
      </c>
      <c r="F174" s="2">
        <v>4473</v>
      </c>
      <c r="G174" s="2">
        <v>-826</v>
      </c>
      <c r="H174" s="2">
        <v>31</v>
      </c>
      <c r="I174" s="28"/>
      <c r="J174" t="str">
        <f t="shared" si="2"/>
        <v>{ name: "Tarm Point Cave", landmark: "Cave", type: "", region: 11, level: "Surface", x: 4473, y: -826, z: 31, details: "" },</v>
      </c>
      <c r="M174" s="28"/>
      <c r="N174" s="28"/>
      <c r="O174" s="28"/>
      <c r="P174" s="28"/>
    </row>
    <row r="175" spans="1:16" x14ac:dyDescent="0.2">
      <c r="A175" t="s">
        <v>977</v>
      </c>
      <c r="B175" t="s">
        <v>2430</v>
      </c>
      <c r="C175" t="s">
        <v>1113</v>
      </c>
      <c r="D175">
        <v>8</v>
      </c>
      <c r="E175" t="s">
        <v>785</v>
      </c>
      <c r="F175" s="2">
        <v>3925</v>
      </c>
      <c r="G175" s="2">
        <v>1576</v>
      </c>
      <c r="H175" s="2">
        <v>107</v>
      </c>
      <c r="I175" s="28"/>
      <c r="J175" t="str">
        <f t="shared" si="2"/>
        <v>{ name: "Tarrey Town Tunnel", landmark: "Cave", type: "", region: 8, level: "Surface", x: 3925, y: 1576, z: 107, details: "" },</v>
      </c>
      <c r="M175" s="28"/>
      <c r="N175" s="28"/>
      <c r="O175" s="28"/>
      <c r="P175" s="28"/>
    </row>
    <row r="176" spans="1:16" x14ac:dyDescent="0.2">
      <c r="A176" t="s">
        <v>978</v>
      </c>
      <c r="B176" t="s">
        <v>2430</v>
      </c>
      <c r="C176" t="s">
        <v>787</v>
      </c>
      <c r="D176">
        <v>3</v>
      </c>
      <c r="E176" t="s">
        <v>785</v>
      </c>
      <c r="F176" s="2">
        <v>-2268</v>
      </c>
      <c r="G176" s="2">
        <v>899</v>
      </c>
      <c r="H176" s="2">
        <v>86</v>
      </c>
      <c r="I176" s="28"/>
      <c r="J176" t="str">
        <f t="shared" si="2"/>
        <v>{ name: "Thundra Plateau Cave", landmark: "Cave", type: "", region: 3, level: "Surface", x: -2268, y: 899, z: 86, details: "" },</v>
      </c>
      <c r="M176" s="28"/>
      <c r="N176" s="28"/>
      <c r="O176" s="28"/>
      <c r="P176" s="28"/>
    </row>
    <row r="177" spans="1:16" x14ac:dyDescent="0.2">
      <c r="A177" t="s">
        <v>979</v>
      </c>
      <c r="B177" t="s">
        <v>2430</v>
      </c>
      <c r="C177" t="s">
        <v>803</v>
      </c>
      <c r="D177">
        <v>10</v>
      </c>
      <c r="E177" t="s">
        <v>785</v>
      </c>
      <c r="F177" s="2">
        <v>1169</v>
      </c>
      <c r="G177" s="2">
        <v>-2443</v>
      </c>
      <c r="H177" s="2">
        <v>177</v>
      </c>
      <c r="I177" s="28"/>
      <c r="J177" t="str">
        <f t="shared" si="2"/>
        <v>{ name: "Tobio's Hollow Cave", landmark: "Cave", type: "", region: 10, level: "Surface", x: 1169, y: -2443, z: 177, details: "" },</v>
      </c>
      <c r="M177" s="28"/>
      <c r="N177" s="28"/>
      <c r="O177" s="28"/>
      <c r="P177" s="28"/>
    </row>
    <row r="178" spans="1:16" x14ac:dyDescent="0.2">
      <c r="A178" t="s">
        <v>980</v>
      </c>
      <c r="B178" t="s">
        <v>2430</v>
      </c>
      <c r="C178" t="s">
        <v>794</v>
      </c>
      <c r="D178">
        <v>13</v>
      </c>
      <c r="E178" t="s">
        <v>785</v>
      </c>
      <c r="F178" s="2">
        <v>1446</v>
      </c>
      <c r="G178" s="2">
        <v>-3483</v>
      </c>
      <c r="H178" s="2">
        <v>77</v>
      </c>
      <c r="I178" s="28"/>
      <c r="J178" t="str">
        <f t="shared" si="2"/>
        <v>{ name: "Ubota Point Cave", landmark: "Cave", type: "", region: 13, level: "Surface", x: 1446, y: -3483, z: 77, details: "" },</v>
      </c>
      <c r="M178" s="28"/>
      <c r="N178" s="28"/>
      <c r="O178" s="28"/>
      <c r="P178" s="28"/>
    </row>
    <row r="179" spans="1:16" x14ac:dyDescent="0.2">
      <c r="A179" t="s">
        <v>981</v>
      </c>
      <c r="B179" t="s">
        <v>2447</v>
      </c>
      <c r="C179" t="s">
        <v>801</v>
      </c>
      <c r="D179">
        <v>9</v>
      </c>
      <c r="E179" t="s">
        <v>785</v>
      </c>
      <c r="F179" s="2">
        <v>4272</v>
      </c>
      <c r="G179" s="2">
        <v>774</v>
      </c>
      <c r="H179" s="2">
        <v>144</v>
      </c>
      <c r="I179" s="28"/>
      <c r="J179" t="str">
        <f t="shared" si="2"/>
        <v>{ name: "Ulria Grotto East Cave", landmark: "Cave", type: "(Entrance 1 of 2)", region: 9, level: "Surface", x: 4272, y: 774, z: 144, details: "" },</v>
      </c>
      <c r="M179" s="28"/>
      <c r="N179" s="28"/>
      <c r="O179" s="28"/>
      <c r="P179" s="28"/>
    </row>
    <row r="180" spans="1:16" x14ac:dyDescent="0.2">
      <c r="A180" t="s">
        <v>981</v>
      </c>
      <c r="B180" t="s">
        <v>2448</v>
      </c>
      <c r="C180" t="s">
        <v>801</v>
      </c>
      <c r="D180">
        <v>9</v>
      </c>
      <c r="E180" t="s">
        <v>785</v>
      </c>
      <c r="F180" s="2">
        <v>4505</v>
      </c>
      <c r="G180" s="2">
        <v>705</v>
      </c>
      <c r="H180" s="2">
        <v>96</v>
      </c>
      <c r="I180" s="28"/>
      <c r="J180" t="str">
        <f t="shared" si="2"/>
        <v>{ name: "Ulria Grotto East Cave", landmark: "Cave", type: "(Entrance 2 of 2)", region: 9, level: "Surface", x: 4505, y: 705, z: 96, details: "" },</v>
      </c>
      <c r="M180" s="28"/>
      <c r="N180" s="28"/>
      <c r="O180" s="28"/>
      <c r="P180" s="28"/>
    </row>
    <row r="181" spans="1:16" x14ac:dyDescent="0.2">
      <c r="A181" t="s">
        <v>982</v>
      </c>
      <c r="B181" t="s">
        <v>2430</v>
      </c>
      <c r="C181" t="s">
        <v>801</v>
      </c>
      <c r="D181">
        <v>9</v>
      </c>
      <c r="E181" t="s">
        <v>785</v>
      </c>
      <c r="F181" s="2">
        <v>4122</v>
      </c>
      <c r="G181" s="2">
        <v>662</v>
      </c>
      <c r="H181" s="2">
        <v>187</v>
      </c>
      <c r="I181" s="28"/>
      <c r="J181" t="str">
        <f t="shared" si="2"/>
        <v>{ name: "Ulria Grotto South Cave", landmark: "Cave", type: "", region: 9, level: "Surface", x: 4122, y: 662, z: 187, details: "" },</v>
      </c>
      <c r="M181" s="28"/>
      <c r="N181" s="28"/>
      <c r="O181" s="28"/>
      <c r="P181" s="28"/>
    </row>
    <row r="182" spans="1:16" x14ac:dyDescent="0.2">
      <c r="A182" t="s">
        <v>2138</v>
      </c>
      <c r="B182" t="s">
        <v>2447</v>
      </c>
      <c r="C182" t="s">
        <v>801</v>
      </c>
      <c r="D182">
        <v>9</v>
      </c>
      <c r="E182" t="s">
        <v>785</v>
      </c>
      <c r="F182" s="2">
        <v>2863</v>
      </c>
      <c r="G182" s="2">
        <v>346</v>
      </c>
      <c r="H182" s="2">
        <v>227</v>
      </c>
      <c r="I182" s="28"/>
      <c r="J182" t="str">
        <f t="shared" si="2"/>
        <v>{ name: "Upland Zorana Byroad Cave", landmark: "Cave", type: "(Entrance 1 of 2)", region: 9, level: "Surface", x: 2863, y: 346, z: 227, details: "" },</v>
      </c>
      <c r="M182" s="28"/>
      <c r="N182" s="28"/>
      <c r="O182" s="28"/>
      <c r="P182" s="28"/>
    </row>
    <row r="183" spans="1:16" x14ac:dyDescent="0.2">
      <c r="A183" t="s">
        <v>2138</v>
      </c>
      <c r="B183" t="s">
        <v>2448</v>
      </c>
      <c r="C183" t="s">
        <v>801</v>
      </c>
      <c r="D183">
        <v>9</v>
      </c>
      <c r="E183" t="s">
        <v>785</v>
      </c>
      <c r="F183" s="2">
        <v>2700</v>
      </c>
      <c r="G183" s="2">
        <v>479</v>
      </c>
      <c r="H183" s="2">
        <v>201</v>
      </c>
      <c r="I183" s="28"/>
      <c r="J183" t="str">
        <f t="shared" si="2"/>
        <v>{ name: "Upland Zorana Byroad Cave", landmark: "Cave", type: "(Entrance 2 of 2)", region: 9, level: "Surface", x: 2700, y: 479, z: 201, details: "" },</v>
      </c>
      <c r="M183" s="28"/>
      <c r="N183" s="28"/>
      <c r="O183" s="28"/>
      <c r="P183" s="28"/>
    </row>
    <row r="184" spans="1:16" x14ac:dyDescent="0.2">
      <c r="A184" t="s">
        <v>984</v>
      </c>
      <c r="B184" t="s">
        <v>2430</v>
      </c>
      <c r="C184" t="s">
        <v>801</v>
      </c>
      <c r="D184">
        <v>9</v>
      </c>
      <c r="E184" t="s">
        <v>785</v>
      </c>
      <c r="F184" s="2">
        <v>3147</v>
      </c>
      <c r="G184" s="2">
        <v>667</v>
      </c>
      <c r="H184" s="2">
        <v>177</v>
      </c>
      <c r="I184" s="28"/>
      <c r="J184" t="str">
        <f t="shared" si="2"/>
        <v>{ name: "Upland Zorana Foothill Cave", landmark: "Cave", type: "", region: 9, level: "Surface", x: 3147, y: 667, z: 177, details: "" },</v>
      </c>
      <c r="M184" s="28"/>
      <c r="N184" s="28"/>
      <c r="O184" s="28"/>
      <c r="P184" s="28"/>
    </row>
    <row r="185" spans="1:16" x14ac:dyDescent="0.2">
      <c r="A185" t="s">
        <v>985</v>
      </c>
      <c r="B185" t="s">
        <v>2447</v>
      </c>
      <c r="C185" s="19" t="s">
        <v>801</v>
      </c>
      <c r="D185" s="19">
        <v>9</v>
      </c>
      <c r="E185" t="s">
        <v>785</v>
      </c>
      <c r="F185" s="2">
        <v>2570</v>
      </c>
      <c r="G185" s="2">
        <v>517</v>
      </c>
      <c r="H185" s="2">
        <v>164</v>
      </c>
      <c r="I185" s="28"/>
      <c r="J185" t="str">
        <f t="shared" si="2"/>
        <v>{ name: "Upland Zorana Mountainside Cave", landmark: "Cave", type: "(Entrance 1 of 2)", region: 9, level: "Surface", x: 2570, y: 517, z: 164, details: "" },</v>
      </c>
      <c r="M185" s="28"/>
      <c r="N185" s="28"/>
      <c r="O185" s="28"/>
      <c r="P185" s="28"/>
    </row>
    <row r="186" spans="1:16" x14ac:dyDescent="0.2">
      <c r="A186" t="s">
        <v>985</v>
      </c>
      <c r="B186" t="s">
        <v>2448</v>
      </c>
      <c r="C186" t="s">
        <v>801</v>
      </c>
      <c r="D186">
        <v>9</v>
      </c>
      <c r="E186" t="s">
        <v>785</v>
      </c>
      <c r="F186" s="2">
        <v>2633</v>
      </c>
      <c r="G186" s="2">
        <v>526</v>
      </c>
      <c r="H186" s="2">
        <v>188</v>
      </c>
      <c r="I186" s="28"/>
      <c r="J186" t="str">
        <f t="shared" si="2"/>
        <v>{ name: "Upland Zorana Mountainside Cave", landmark: "Cave", type: "(Entrance 2 of 2)", region: 9, level: "Surface", x: 2633, y: 526, z: 188, details: "" },</v>
      </c>
      <c r="M186" s="28"/>
      <c r="N186" s="28"/>
      <c r="O186" s="28"/>
      <c r="P186" s="28"/>
    </row>
    <row r="187" spans="1:16" x14ac:dyDescent="0.2">
      <c r="A187" t="s">
        <v>986</v>
      </c>
      <c r="B187" t="s">
        <v>2430</v>
      </c>
      <c r="C187" s="19" t="s">
        <v>801</v>
      </c>
      <c r="D187" s="19">
        <v>9</v>
      </c>
      <c r="E187" t="s">
        <v>785</v>
      </c>
      <c r="F187" s="2">
        <v>2850</v>
      </c>
      <c r="G187" s="2">
        <v>477</v>
      </c>
      <c r="H187" s="2">
        <v>324</v>
      </c>
      <c r="I187" s="28"/>
      <c r="J187" t="str">
        <f t="shared" si="2"/>
        <v>{ name: "Upland Zorana Summit Cave", landmark: "Cave", type: "", region: 9, level: "Surface", x: 2850, y: 477, z: 324, details: "" },</v>
      </c>
      <c r="M187" s="28"/>
      <c r="N187" s="28"/>
      <c r="O187" s="28"/>
      <c r="P187" s="28"/>
    </row>
    <row r="188" spans="1:16" x14ac:dyDescent="0.2">
      <c r="A188" t="s">
        <v>987</v>
      </c>
      <c r="B188" t="s">
        <v>2430</v>
      </c>
      <c r="C188" s="19" t="s">
        <v>798</v>
      </c>
      <c r="D188" s="19">
        <v>14</v>
      </c>
      <c r="E188" t="s">
        <v>785</v>
      </c>
      <c r="F188" s="2">
        <v>-3827</v>
      </c>
      <c r="G188" s="2">
        <v>-2650</v>
      </c>
      <c r="H188" s="2">
        <v>35</v>
      </c>
      <c r="I188" s="28"/>
      <c r="J188" t="str">
        <f t="shared" si="2"/>
        <v>{ name: "Valley of Silent Statues", landmark: "Cave", type: "", region: 14, level: "Surface", x: -3827, y: -2650, z: 35, details: "" },</v>
      </c>
      <c r="M188" s="28"/>
      <c r="N188" s="28"/>
      <c r="O188" s="28"/>
      <c r="P188" s="28"/>
    </row>
    <row r="189" spans="1:16" x14ac:dyDescent="0.2">
      <c r="A189" t="s">
        <v>988</v>
      </c>
      <c r="B189" t="s">
        <v>2447</v>
      </c>
      <c r="C189" t="s">
        <v>804</v>
      </c>
      <c r="D189">
        <v>11</v>
      </c>
      <c r="E189" t="s">
        <v>785</v>
      </c>
      <c r="F189" s="2">
        <v>4225</v>
      </c>
      <c r="G189" s="2">
        <v>-1738</v>
      </c>
      <c r="H189" s="2">
        <v>180</v>
      </c>
      <c r="I189" s="28"/>
      <c r="J189" t="str">
        <f t="shared" si="2"/>
        <v>{ name: "Walnot Mountain Cave", landmark: "Cave", type: "(Entrance 1 of 2)", region: 11, level: "Surface", x: 4225, y: -1738, z: 180, details: "" },</v>
      </c>
      <c r="M189" s="28"/>
      <c r="N189" s="28"/>
      <c r="O189" s="28"/>
      <c r="P189" s="28"/>
    </row>
    <row r="190" spans="1:16" x14ac:dyDescent="0.2">
      <c r="A190" t="s">
        <v>988</v>
      </c>
      <c r="B190" t="s">
        <v>2448</v>
      </c>
      <c r="C190" t="s">
        <v>804</v>
      </c>
      <c r="D190">
        <v>11</v>
      </c>
      <c r="E190" t="s">
        <v>785</v>
      </c>
      <c r="F190" s="2">
        <v>3933</v>
      </c>
      <c r="G190" s="2">
        <v>-2069</v>
      </c>
      <c r="H190" s="2">
        <v>127</v>
      </c>
      <c r="I190" s="28"/>
      <c r="J190" t="str">
        <f t="shared" si="2"/>
        <v>{ name: "Walnot Mountain Cave", landmark: "Cave", type: "(Entrance 2 of 2)", region: 11, level: "Surface", x: 3933, y: -2069, z: 127, details: "" },</v>
      </c>
      <c r="M190" s="28"/>
      <c r="N190" s="28"/>
      <c r="O190" s="28"/>
      <c r="P190" s="28"/>
    </row>
    <row r="191" spans="1:16" x14ac:dyDescent="0.2">
      <c r="A191" t="s">
        <v>989</v>
      </c>
      <c r="B191" t="s">
        <v>2430</v>
      </c>
      <c r="C191" s="19" t="s">
        <v>798</v>
      </c>
      <c r="D191" s="19">
        <v>14</v>
      </c>
      <c r="E191" t="s">
        <v>785</v>
      </c>
      <c r="F191" s="2">
        <v>-4673</v>
      </c>
      <c r="G191" s="2">
        <v>-1986</v>
      </c>
      <c r="H191" s="2">
        <v>9</v>
      </c>
      <c r="I191" s="28"/>
      <c r="J191" t="str">
        <f t="shared" si="2"/>
        <v>{ name: "West Gerudo Underground Ruins", landmark: "Cave", type: "", region: 14, level: "Surface", x: -4673, y: -1986, z: 9, details: "" },</v>
      </c>
      <c r="M191" s="28"/>
      <c r="N191" s="28"/>
      <c r="O191" s="28"/>
      <c r="P191" s="28"/>
    </row>
    <row r="192" spans="1:16" x14ac:dyDescent="0.2">
      <c r="A192" t="s">
        <v>990</v>
      </c>
      <c r="B192" t="s">
        <v>2430</v>
      </c>
      <c r="C192" t="s">
        <v>800</v>
      </c>
      <c r="D192">
        <v>4</v>
      </c>
      <c r="E192" t="s">
        <v>785</v>
      </c>
      <c r="F192" s="2">
        <v>-3958</v>
      </c>
      <c r="G192" s="2">
        <v>2029</v>
      </c>
      <c r="H192" s="2">
        <v>200</v>
      </c>
      <c r="I192" s="28"/>
      <c r="J192" t="str">
        <f t="shared" si="2"/>
        <v>{ name: "West Lake Totori Cave", landmark: "Cave", type: "", region: 4, level: "Surface", x: -3958, y: 2029, z: 200, details: "" },</v>
      </c>
      <c r="M192" s="28"/>
      <c r="N192" s="28"/>
      <c r="O192" s="28"/>
      <c r="P192" s="28"/>
    </row>
    <row r="193" spans="1:16" x14ac:dyDescent="0.2">
      <c r="A193" t="s">
        <v>991</v>
      </c>
      <c r="B193" t="s">
        <v>2430</v>
      </c>
      <c r="C193" t="s">
        <v>1264</v>
      </c>
      <c r="D193">
        <v>7</v>
      </c>
      <c r="E193" t="s">
        <v>785</v>
      </c>
      <c r="F193" s="2">
        <v>1642</v>
      </c>
      <c r="G193" s="2">
        <v>1729</v>
      </c>
      <c r="H193" s="2">
        <v>279</v>
      </c>
      <c r="I193" s="28"/>
      <c r="J193" t="str">
        <f t="shared" si="2"/>
        <v>{ name: "West Restaurant Cave", landmark: "Cave", type: "", region: 7, level: "Surface", x: 1642, y: 1729, z: 279, details: "" },</v>
      </c>
      <c r="M193" s="28"/>
      <c r="N193" s="28"/>
      <c r="O193" s="28"/>
      <c r="P193" s="28"/>
    </row>
    <row r="194" spans="1:16" x14ac:dyDescent="0.2">
      <c r="A194" t="s">
        <v>992</v>
      </c>
      <c r="B194" t="s">
        <v>2430</v>
      </c>
      <c r="C194" t="s">
        <v>2123</v>
      </c>
      <c r="D194">
        <v>2</v>
      </c>
      <c r="E194" t="s">
        <v>785</v>
      </c>
      <c r="F194" s="2">
        <v>-72</v>
      </c>
      <c r="G194" s="2">
        <v>-1045</v>
      </c>
      <c r="H194" s="2">
        <v>17</v>
      </c>
      <c r="I194" s="28"/>
      <c r="J194" t="str">
        <f t="shared" si="2"/>
        <v>{ name: "Whistling Hill Cave", landmark: "Cave", type: "", region: 2, level: "Surface", x: -72, y: -1045, z: 17, details: "" },</v>
      </c>
      <c r="M194" s="28"/>
      <c r="N194" s="28"/>
      <c r="O194" s="28"/>
      <c r="P194" s="28"/>
    </row>
    <row r="195" spans="1:16" x14ac:dyDescent="0.2">
      <c r="A195" t="s">
        <v>993</v>
      </c>
      <c r="B195" t="s">
        <v>2430</v>
      </c>
      <c r="C195" t="s">
        <v>798</v>
      </c>
      <c r="D195">
        <v>14</v>
      </c>
      <c r="E195" t="s">
        <v>785</v>
      </c>
      <c r="F195" s="2">
        <v>-2433</v>
      </c>
      <c r="G195" s="2">
        <v>-1819</v>
      </c>
      <c r="H195" s="2">
        <v>145</v>
      </c>
      <c r="I195" s="28"/>
      <c r="J195" t="str">
        <f t="shared" ref="J195:J198" si="3">"{ name: "&amp;CHAR(34)&amp;A195&amp;CHAR(34)&amp;", landmark: "&amp;CHAR(34)&amp;"Cave"&amp;CHAR(34)&amp;", type: "&amp;CHAR(34)&amp;B195&amp;CHAR(34)&amp;", region: "&amp;D195&amp;", level: "&amp;CHAR(34)&amp;E195&amp;CHAR(34)&amp;", x: "&amp;F195&amp;", y: "&amp;G195&amp;", z: "&amp;H195&amp;", details: "&amp;CHAR(34)&amp;I195&amp;CHAR(34)&amp;" },"</f>
        <v>{ name: "Yiga Blademaster Station", landmark: "Cave", type: "", region: 14, level: "Surface", x: -2433, y: -1819, z: 145, details: "" },</v>
      </c>
      <c r="M195" s="28"/>
      <c r="N195" s="28"/>
      <c r="O195" s="28"/>
      <c r="P195" s="28"/>
    </row>
    <row r="196" spans="1:16" x14ac:dyDescent="0.2">
      <c r="A196" t="s">
        <v>994</v>
      </c>
      <c r="B196" t="s">
        <v>2430</v>
      </c>
      <c r="C196" t="s">
        <v>789</v>
      </c>
      <c r="D196">
        <v>6</v>
      </c>
      <c r="E196" t="s">
        <v>785</v>
      </c>
      <c r="F196" s="2">
        <v>-643</v>
      </c>
      <c r="G196" s="2">
        <v>2040</v>
      </c>
      <c r="H196" s="2">
        <v>154</v>
      </c>
      <c r="I196" s="28"/>
      <c r="J196" t="str">
        <f t="shared" si="3"/>
        <v>{ name: "Yiga Clan Maritta Branch", landmark: "Cave", type: "", region: 6, level: "Surface", x: -643, y: 2040, z: 154, details: "" },</v>
      </c>
      <c r="M196" s="28"/>
      <c r="N196" s="28"/>
      <c r="O196" s="28"/>
      <c r="P196" s="28"/>
    </row>
    <row r="197" spans="1:16" x14ac:dyDescent="0.2">
      <c r="A197" t="s">
        <v>995</v>
      </c>
      <c r="B197" t="s">
        <v>2430</v>
      </c>
      <c r="C197" t="s">
        <v>1264</v>
      </c>
      <c r="D197">
        <v>7</v>
      </c>
      <c r="E197" t="s">
        <v>785</v>
      </c>
      <c r="F197" s="2">
        <v>1764</v>
      </c>
      <c r="G197" s="2">
        <v>2837</v>
      </c>
      <c r="H197" s="2">
        <v>399</v>
      </c>
      <c r="J197" t="str">
        <f t="shared" si="3"/>
        <v>{ name: "YunoboCo HQ East Cave", landmark: "Cave", type: "", region: 7, level: "Surface", x: 1764, y: 2837, z: 399, details: "" },</v>
      </c>
    </row>
    <row r="198" spans="1:16" x14ac:dyDescent="0.2">
      <c r="A198" t="s">
        <v>996</v>
      </c>
      <c r="B198" t="s">
        <v>2430</v>
      </c>
      <c r="C198" t="s">
        <v>1264</v>
      </c>
      <c r="D198">
        <v>7</v>
      </c>
      <c r="E198" t="s">
        <v>785</v>
      </c>
      <c r="F198" s="2">
        <v>1713</v>
      </c>
      <c r="G198" s="2">
        <v>2718</v>
      </c>
      <c r="H198" s="2">
        <v>400</v>
      </c>
      <c r="J198" t="str">
        <f t="shared" si="3"/>
        <v>{ name: "YunoboCo HQ South Cave", landmark: "Cave", type: "", region: 7, level: "Surface", x: 1713, y: 2718, z: 400, details: "" },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5"/>
  </sheetPr>
  <dimension ref="A1:N40"/>
  <sheetViews>
    <sheetView topLeftCell="A25" workbookViewId="0">
      <selection activeCell="A42" sqref="A42:A77"/>
    </sheetView>
  </sheetViews>
  <sheetFormatPr baseColWidth="10" defaultRowHeight="16" x14ac:dyDescent="0.2"/>
  <cols>
    <col min="1" max="1" width="31.5" bestFit="1" customWidth="1"/>
    <col min="2" max="2" width="7.33203125" bestFit="1" customWidth="1"/>
    <col min="3" max="3" width="25.33203125" bestFit="1" customWidth="1"/>
    <col min="4" max="4" width="10.6640625" style="2" bestFit="1" customWidth="1"/>
    <col min="6" max="8" width="10.83203125" style="2"/>
  </cols>
  <sheetData>
    <row r="1" spans="1:14" x14ac:dyDescent="0.2">
      <c r="A1" s="6" t="s">
        <v>781</v>
      </c>
      <c r="B1" s="6" t="s">
        <v>2141</v>
      </c>
      <c r="C1" s="6" t="s">
        <v>8</v>
      </c>
      <c r="D1" s="4" t="s">
        <v>2132</v>
      </c>
      <c r="E1" s="6" t="s">
        <v>777</v>
      </c>
      <c r="F1" s="4" t="s">
        <v>778</v>
      </c>
      <c r="G1" s="4" t="s">
        <v>779</v>
      </c>
      <c r="H1" s="4" t="s">
        <v>780</v>
      </c>
      <c r="I1" s="4" t="s">
        <v>2139</v>
      </c>
      <c r="J1" s="4" t="s">
        <v>2133</v>
      </c>
    </row>
    <row r="2" spans="1:14" x14ac:dyDescent="0.2">
      <c r="A2" t="s">
        <v>813</v>
      </c>
      <c r="C2" t="s">
        <v>797</v>
      </c>
      <c r="D2" s="2">
        <v>15</v>
      </c>
      <c r="E2" t="s">
        <v>785</v>
      </c>
      <c r="F2" s="2">
        <v>-3680</v>
      </c>
      <c r="G2" s="2">
        <v>-1853</v>
      </c>
      <c r="H2" s="2">
        <v>76</v>
      </c>
      <c r="J2" t="s">
        <v>2518</v>
      </c>
      <c r="M2" s="28" t="s">
        <v>808</v>
      </c>
      <c r="N2" t="str">
        <f>IF(COUNTIF(M:M,A2)=0,"OH NO","")</f>
        <v/>
      </c>
    </row>
    <row r="3" spans="1:14" x14ac:dyDescent="0.2">
      <c r="A3" t="s">
        <v>832</v>
      </c>
      <c r="C3" t="s">
        <v>801</v>
      </c>
      <c r="D3" s="2">
        <v>9</v>
      </c>
      <c r="E3" t="s">
        <v>785</v>
      </c>
      <c r="F3" s="2">
        <v>3272</v>
      </c>
      <c r="G3" s="2">
        <v>442</v>
      </c>
      <c r="H3" s="2">
        <v>-21</v>
      </c>
      <c r="J3" t="s">
        <v>2505</v>
      </c>
      <c r="M3" s="28" t="s">
        <v>809</v>
      </c>
      <c r="N3" t="str">
        <f t="shared" ref="N3:N40" si="0">IF(COUNTIF(M:M,A3)=0,"OH NO","")</f>
        <v/>
      </c>
    </row>
    <row r="4" spans="1:14" x14ac:dyDescent="0.2">
      <c r="A4" t="s">
        <v>812</v>
      </c>
      <c r="C4" t="s">
        <v>1264</v>
      </c>
      <c r="D4" s="2">
        <v>7</v>
      </c>
      <c r="E4" t="s">
        <v>785</v>
      </c>
      <c r="F4" s="2">
        <v>2535</v>
      </c>
      <c r="G4" s="2">
        <v>2603</v>
      </c>
      <c r="H4" s="2">
        <v>644</v>
      </c>
      <c r="J4" t="s">
        <v>2499</v>
      </c>
      <c r="M4" s="28" t="s">
        <v>833</v>
      </c>
      <c r="N4" t="str">
        <f t="shared" si="0"/>
        <v/>
      </c>
    </row>
    <row r="5" spans="1:14" x14ac:dyDescent="0.2">
      <c r="A5" t="s">
        <v>1209</v>
      </c>
      <c r="C5" t="s">
        <v>789</v>
      </c>
      <c r="D5" s="2">
        <v>6</v>
      </c>
      <c r="E5" t="s">
        <v>785</v>
      </c>
      <c r="F5" s="2">
        <v>418</v>
      </c>
      <c r="G5" s="2">
        <v>2193</v>
      </c>
      <c r="H5" s="2">
        <v>144</v>
      </c>
      <c r="J5" t="s">
        <v>2496</v>
      </c>
      <c r="M5" s="28" t="s">
        <v>810</v>
      </c>
      <c r="N5" t="str">
        <f t="shared" si="0"/>
        <v/>
      </c>
    </row>
    <row r="6" spans="1:14" x14ac:dyDescent="0.2">
      <c r="A6" t="s">
        <v>1240</v>
      </c>
      <c r="C6" t="s">
        <v>789</v>
      </c>
      <c r="D6" s="2">
        <v>6</v>
      </c>
      <c r="E6" t="s">
        <v>785</v>
      </c>
      <c r="F6" s="2">
        <v>-63</v>
      </c>
      <c r="G6" s="2">
        <v>2984</v>
      </c>
      <c r="H6" s="2">
        <v>127</v>
      </c>
      <c r="J6" t="s">
        <v>2497</v>
      </c>
      <c r="M6" s="28" t="s">
        <v>812</v>
      </c>
      <c r="N6" t="str">
        <f t="shared" si="0"/>
        <v/>
      </c>
    </row>
    <row r="7" spans="1:14" x14ac:dyDescent="0.2">
      <c r="A7" t="s">
        <v>808</v>
      </c>
      <c r="C7" t="s">
        <v>1113</v>
      </c>
      <c r="D7" s="2">
        <v>8</v>
      </c>
      <c r="E7" t="s">
        <v>785</v>
      </c>
      <c r="F7" s="2">
        <v>4037</v>
      </c>
      <c r="G7" s="2">
        <v>2177</v>
      </c>
      <c r="H7" s="2">
        <v>29</v>
      </c>
      <c r="J7" t="s">
        <v>2501</v>
      </c>
      <c r="M7" s="28" t="s">
        <v>811</v>
      </c>
      <c r="N7" t="str">
        <f t="shared" si="0"/>
        <v/>
      </c>
    </row>
    <row r="8" spans="1:14" x14ac:dyDescent="0.2">
      <c r="A8" t="s">
        <v>814</v>
      </c>
      <c r="C8" t="s">
        <v>798</v>
      </c>
      <c r="D8" s="2">
        <v>14</v>
      </c>
      <c r="E8" t="s">
        <v>785</v>
      </c>
      <c r="F8" s="2">
        <v>-2491</v>
      </c>
      <c r="G8" s="2">
        <v>-3068</v>
      </c>
      <c r="H8" s="2">
        <v>81</v>
      </c>
      <c r="J8" t="s">
        <v>2516</v>
      </c>
      <c r="M8" s="28" t="s">
        <v>1500</v>
      </c>
      <c r="N8" t="str">
        <f t="shared" si="0"/>
        <v/>
      </c>
    </row>
    <row r="9" spans="1:14" x14ac:dyDescent="0.2">
      <c r="A9" t="s">
        <v>828</v>
      </c>
      <c r="C9" t="s">
        <v>803</v>
      </c>
      <c r="D9" s="2">
        <v>10</v>
      </c>
      <c r="E9" t="s">
        <v>785</v>
      </c>
      <c r="F9" s="2">
        <v>1974</v>
      </c>
      <c r="G9" s="2">
        <v>-855</v>
      </c>
      <c r="H9" s="2">
        <v>178</v>
      </c>
      <c r="J9" t="s">
        <v>2507</v>
      </c>
      <c r="M9" s="28" t="s">
        <v>813</v>
      </c>
      <c r="N9" t="str">
        <f t="shared" si="0"/>
        <v/>
      </c>
    </row>
    <row r="10" spans="1:14" x14ac:dyDescent="0.2">
      <c r="A10" t="s">
        <v>1272</v>
      </c>
      <c r="C10" t="s">
        <v>789</v>
      </c>
      <c r="D10" s="2">
        <v>6</v>
      </c>
      <c r="E10" t="s">
        <v>785</v>
      </c>
      <c r="F10" s="2">
        <v>-453</v>
      </c>
      <c r="G10" s="2">
        <v>1721</v>
      </c>
      <c r="H10" s="2">
        <v>169</v>
      </c>
      <c r="J10" t="s">
        <v>2498</v>
      </c>
      <c r="M10" s="28" t="s">
        <v>814</v>
      </c>
      <c r="N10" t="str">
        <f t="shared" si="0"/>
        <v/>
      </c>
    </row>
    <row r="11" spans="1:14" x14ac:dyDescent="0.2">
      <c r="A11" t="s">
        <v>1275</v>
      </c>
      <c r="C11" t="s">
        <v>805</v>
      </c>
      <c r="D11" s="2">
        <v>12</v>
      </c>
      <c r="E11" t="s">
        <v>785</v>
      </c>
      <c r="F11" s="2">
        <v>4507</v>
      </c>
      <c r="G11" s="2">
        <v>-3459</v>
      </c>
      <c r="H11" s="2">
        <v>-17</v>
      </c>
      <c r="J11" t="s">
        <v>2510</v>
      </c>
      <c r="M11" s="28" t="s">
        <v>815</v>
      </c>
      <c r="N11" t="str">
        <f t="shared" si="0"/>
        <v/>
      </c>
    </row>
    <row r="12" spans="1:14" x14ac:dyDescent="0.2">
      <c r="A12" t="s">
        <v>818</v>
      </c>
      <c r="C12" t="s">
        <v>2123</v>
      </c>
      <c r="D12" s="2">
        <v>2</v>
      </c>
      <c r="E12" t="s">
        <v>785</v>
      </c>
      <c r="F12" s="2">
        <v>-128</v>
      </c>
      <c r="G12" s="2">
        <v>-1658</v>
      </c>
      <c r="H12" s="2">
        <v>10</v>
      </c>
      <c r="J12" t="s">
        <v>2487</v>
      </c>
      <c r="M12" s="28" t="s">
        <v>816</v>
      </c>
      <c r="N12" t="str">
        <f t="shared" si="0"/>
        <v/>
      </c>
    </row>
    <row r="13" spans="1:14" x14ac:dyDescent="0.2">
      <c r="A13" t="s">
        <v>815</v>
      </c>
      <c r="C13" t="s">
        <v>797</v>
      </c>
      <c r="D13" s="2">
        <v>15</v>
      </c>
      <c r="E13" t="s">
        <v>785</v>
      </c>
      <c r="F13" s="2">
        <v>-4203</v>
      </c>
      <c r="G13" s="2">
        <v>-639</v>
      </c>
      <c r="H13" s="2">
        <v>682</v>
      </c>
      <c r="J13" t="s">
        <v>2519</v>
      </c>
      <c r="M13" s="28" t="s">
        <v>817</v>
      </c>
      <c r="N13" t="str">
        <f t="shared" si="0"/>
        <v/>
      </c>
    </row>
    <row r="14" spans="1:14" x14ac:dyDescent="0.2">
      <c r="A14" t="s">
        <v>819</v>
      </c>
      <c r="C14" t="s">
        <v>2123</v>
      </c>
      <c r="D14" s="2">
        <v>2</v>
      </c>
      <c r="E14" t="s">
        <v>785</v>
      </c>
      <c r="F14" s="2">
        <v>-450</v>
      </c>
      <c r="G14" s="2">
        <v>-1993</v>
      </c>
      <c r="H14" s="2">
        <v>71</v>
      </c>
      <c r="J14" t="s">
        <v>2488</v>
      </c>
      <c r="M14" s="28" t="s">
        <v>1209</v>
      </c>
      <c r="N14" t="str">
        <f t="shared" si="0"/>
        <v/>
      </c>
    </row>
    <row r="15" spans="1:14" x14ac:dyDescent="0.2">
      <c r="A15" t="s">
        <v>820</v>
      </c>
      <c r="C15" t="s">
        <v>2123</v>
      </c>
      <c r="D15" s="2">
        <v>2</v>
      </c>
      <c r="E15" t="s">
        <v>785</v>
      </c>
      <c r="F15" s="2">
        <v>-662</v>
      </c>
      <c r="G15" s="2">
        <v>-1510</v>
      </c>
      <c r="H15" s="2">
        <v>-518</v>
      </c>
      <c r="J15" t="s">
        <v>2489</v>
      </c>
      <c r="M15" s="28" t="s">
        <v>1240</v>
      </c>
      <c r="N15" t="str">
        <f t="shared" si="0"/>
        <v/>
      </c>
    </row>
    <row r="16" spans="1:14" x14ac:dyDescent="0.2">
      <c r="A16" t="s">
        <v>821</v>
      </c>
      <c r="C16" t="s">
        <v>2123</v>
      </c>
      <c r="D16" s="2">
        <v>2</v>
      </c>
      <c r="E16" t="s">
        <v>785</v>
      </c>
      <c r="F16" s="2">
        <v>-930</v>
      </c>
      <c r="G16" s="2">
        <v>-2316</v>
      </c>
      <c r="H16" s="2">
        <v>167</v>
      </c>
      <c r="J16" t="s">
        <v>2490</v>
      </c>
      <c r="M16" s="28" t="s">
        <v>1272</v>
      </c>
      <c r="N16" t="str">
        <f t="shared" si="0"/>
        <v/>
      </c>
    </row>
    <row r="17" spans="1:14" x14ac:dyDescent="0.2">
      <c r="A17" t="s">
        <v>822</v>
      </c>
      <c r="C17" t="s">
        <v>2123</v>
      </c>
      <c r="D17" s="2">
        <v>2</v>
      </c>
      <c r="E17" t="s">
        <v>785</v>
      </c>
      <c r="F17" s="2">
        <v>-1429</v>
      </c>
      <c r="G17" s="2">
        <v>-1993</v>
      </c>
      <c r="H17" s="2">
        <v>231</v>
      </c>
      <c r="J17" t="s">
        <v>2491</v>
      </c>
      <c r="M17" s="28" t="s">
        <v>1512</v>
      </c>
      <c r="N17" t="str">
        <f t="shared" si="0"/>
        <v/>
      </c>
    </row>
    <row r="18" spans="1:14" x14ac:dyDescent="0.2">
      <c r="A18" t="s">
        <v>829</v>
      </c>
      <c r="C18" t="s">
        <v>794</v>
      </c>
      <c r="D18" s="2">
        <v>13</v>
      </c>
      <c r="E18" t="s">
        <v>785</v>
      </c>
      <c r="F18" s="2">
        <v>222</v>
      </c>
      <c r="G18" s="2">
        <v>-2119</v>
      </c>
      <c r="H18" s="2">
        <v>53</v>
      </c>
      <c r="J18" t="s">
        <v>2512</v>
      </c>
      <c r="M18" s="28" t="s">
        <v>830</v>
      </c>
      <c r="N18" t="str">
        <f t="shared" si="0"/>
        <v/>
      </c>
    </row>
    <row r="19" spans="1:14" x14ac:dyDescent="0.2">
      <c r="A19" t="s">
        <v>823</v>
      </c>
      <c r="C19" t="s">
        <v>2122</v>
      </c>
      <c r="D19" s="2">
        <v>1</v>
      </c>
      <c r="E19" t="s">
        <v>785</v>
      </c>
      <c r="F19" s="2">
        <v>-254</v>
      </c>
      <c r="G19" s="2">
        <v>1012</v>
      </c>
      <c r="H19" s="2">
        <v>-65</v>
      </c>
      <c r="J19" t="str">
        <f>"{ name: "&amp;CHAR(34)&amp;A19&amp;CHAR(34)&amp;", landmark: "&amp;CHAR(34)&amp;"Chasm"&amp;CHAR(34)&amp;", type: "&amp;CHAR(34)&amp;B19&amp;CHAR(34)&amp;", region: "&amp;D19&amp;", level: "&amp;CHAR(34)&amp;E19&amp;CHAR(34)&amp;", x: "&amp;F19&amp;", y: "&amp;G19&amp;", z: "&amp;H19&amp;", details: "&amp;CHAR(34)&amp;I19&amp;CHAR(34)&amp;" },"</f>
        <v>{ name: "Hyrule Castle Chasm", landmark: "Chasm", type: "", region: 1, level: "Surface", x: -254, y: 1012, z: -65, details: "" },</v>
      </c>
      <c r="M19" s="28" t="s">
        <v>818</v>
      </c>
      <c r="N19" t="str">
        <f t="shared" si="0"/>
        <v/>
      </c>
    </row>
    <row r="20" spans="1:14" x14ac:dyDescent="0.2">
      <c r="A20" t="s">
        <v>824</v>
      </c>
      <c r="C20" t="s">
        <v>2122</v>
      </c>
      <c r="D20" s="2">
        <v>1</v>
      </c>
      <c r="E20" t="s">
        <v>785</v>
      </c>
      <c r="F20" s="2">
        <v>170</v>
      </c>
      <c r="G20" s="2">
        <v>882</v>
      </c>
      <c r="H20" s="2">
        <v>9</v>
      </c>
      <c r="J20" t="s">
        <v>2483</v>
      </c>
      <c r="M20" s="28" t="s">
        <v>819</v>
      </c>
      <c r="N20" t="str">
        <f t="shared" si="0"/>
        <v/>
      </c>
    </row>
    <row r="21" spans="1:14" x14ac:dyDescent="0.2">
      <c r="A21" t="s">
        <v>1392</v>
      </c>
      <c r="C21" t="s">
        <v>2122</v>
      </c>
      <c r="D21" s="2">
        <v>1</v>
      </c>
      <c r="E21" t="s">
        <v>785</v>
      </c>
      <c r="F21" s="2">
        <v>-923</v>
      </c>
      <c r="G21" s="2">
        <v>667</v>
      </c>
      <c r="H21" s="2">
        <v>15</v>
      </c>
      <c r="J21" t="s">
        <v>2484</v>
      </c>
      <c r="M21" s="28" t="s">
        <v>820</v>
      </c>
      <c r="N21" t="str">
        <f t="shared" si="0"/>
        <v/>
      </c>
    </row>
    <row r="22" spans="1:14" x14ac:dyDescent="0.2">
      <c r="A22" t="s">
        <v>825</v>
      </c>
      <c r="C22" t="s">
        <v>2122</v>
      </c>
      <c r="D22" s="2">
        <v>1</v>
      </c>
      <c r="E22" t="s">
        <v>785</v>
      </c>
      <c r="F22" s="2">
        <v>-251</v>
      </c>
      <c r="G22" s="2">
        <v>-305</v>
      </c>
      <c r="H22" s="2">
        <v>-479</v>
      </c>
      <c r="J22" t="s">
        <v>2485</v>
      </c>
      <c r="M22" s="28" t="s">
        <v>821</v>
      </c>
      <c r="N22" t="str">
        <f t="shared" si="0"/>
        <v/>
      </c>
    </row>
    <row r="23" spans="1:14" x14ac:dyDescent="0.2">
      <c r="A23" t="s">
        <v>826</v>
      </c>
      <c r="C23" t="s">
        <v>787</v>
      </c>
      <c r="D23" s="2">
        <v>3</v>
      </c>
      <c r="E23" t="s">
        <v>785</v>
      </c>
      <c r="F23" s="2">
        <v>-2645</v>
      </c>
      <c r="G23" s="2">
        <v>1126</v>
      </c>
      <c r="H23" s="2">
        <v>175</v>
      </c>
      <c r="J23" t="s">
        <v>2492</v>
      </c>
      <c r="M23" s="28" t="s">
        <v>822</v>
      </c>
      <c r="N23" t="str">
        <f t="shared" si="0"/>
        <v/>
      </c>
    </row>
    <row r="24" spans="1:14" x14ac:dyDescent="0.2">
      <c r="A24" t="s">
        <v>1434</v>
      </c>
      <c r="C24" t="s">
        <v>794</v>
      </c>
      <c r="D24" s="2">
        <v>13</v>
      </c>
      <c r="E24" t="s">
        <v>785</v>
      </c>
      <c r="F24" s="2">
        <v>-332</v>
      </c>
      <c r="G24" s="2">
        <v>-2598</v>
      </c>
      <c r="H24" s="2">
        <v>-52</v>
      </c>
      <c r="J24" t="s">
        <v>2513</v>
      </c>
      <c r="M24" s="28" t="s">
        <v>823</v>
      </c>
      <c r="N24" t="str">
        <f t="shared" si="0"/>
        <v/>
      </c>
    </row>
    <row r="25" spans="1:14" x14ac:dyDescent="0.2">
      <c r="A25" t="s">
        <v>1454</v>
      </c>
      <c r="C25" t="s">
        <v>803</v>
      </c>
      <c r="D25" s="2">
        <v>10</v>
      </c>
      <c r="E25" t="s">
        <v>785</v>
      </c>
      <c r="F25" s="2">
        <v>1727</v>
      </c>
      <c r="G25" s="2">
        <v>158</v>
      </c>
      <c r="H25" s="2">
        <v>-5</v>
      </c>
      <c r="J25" t="s">
        <v>2508</v>
      </c>
      <c r="M25" s="28" t="s">
        <v>824</v>
      </c>
      <c r="N25" t="str">
        <f t="shared" si="0"/>
        <v/>
      </c>
    </row>
    <row r="26" spans="1:14" x14ac:dyDescent="0.2">
      <c r="A26" t="s">
        <v>833</v>
      </c>
      <c r="C26" t="s">
        <v>1113</v>
      </c>
      <c r="D26" s="2">
        <v>8</v>
      </c>
      <c r="E26" t="s">
        <v>785</v>
      </c>
      <c r="F26" s="2">
        <v>4663</v>
      </c>
      <c r="G26" s="2">
        <v>3697</v>
      </c>
      <c r="H26" s="2">
        <v>50</v>
      </c>
      <c r="J26" t="s">
        <v>2502</v>
      </c>
      <c r="M26" s="28" t="s">
        <v>1392</v>
      </c>
      <c r="N26" t="str">
        <f t="shared" si="0"/>
        <v/>
      </c>
    </row>
    <row r="27" spans="1:14" x14ac:dyDescent="0.2">
      <c r="A27" t="s">
        <v>1500</v>
      </c>
      <c r="C27" t="s">
        <v>805</v>
      </c>
      <c r="D27" s="2">
        <v>12</v>
      </c>
      <c r="E27" t="s">
        <v>785</v>
      </c>
      <c r="F27" s="2">
        <v>2513</v>
      </c>
      <c r="G27" s="2">
        <v>-2380</v>
      </c>
      <c r="H27" s="2">
        <v>131</v>
      </c>
      <c r="J27" t="s">
        <v>2511</v>
      </c>
      <c r="M27" s="28" t="s">
        <v>825</v>
      </c>
      <c r="N27" t="str">
        <f t="shared" si="0"/>
        <v/>
      </c>
    </row>
    <row r="28" spans="1:14" x14ac:dyDescent="0.2">
      <c r="A28" t="s">
        <v>1512</v>
      </c>
      <c r="C28" t="s">
        <v>1264</v>
      </c>
      <c r="D28" s="2">
        <v>7</v>
      </c>
      <c r="E28" t="s">
        <v>785</v>
      </c>
      <c r="F28" s="2">
        <v>1055</v>
      </c>
      <c r="G28" s="2">
        <v>1668</v>
      </c>
      <c r="H28" s="2">
        <v>150</v>
      </c>
      <c r="J28" t="s">
        <v>2500</v>
      </c>
      <c r="M28" s="28" t="s">
        <v>826</v>
      </c>
      <c r="N28" t="str">
        <f t="shared" si="0"/>
        <v/>
      </c>
    </row>
    <row r="29" spans="1:14" x14ac:dyDescent="0.2">
      <c r="A29" s="33" t="s">
        <v>1520</v>
      </c>
      <c r="C29" t="s">
        <v>2123</v>
      </c>
      <c r="D29" s="2">
        <v>2</v>
      </c>
      <c r="E29" t="s">
        <v>785</v>
      </c>
      <c r="F29" s="2">
        <v>-1313</v>
      </c>
      <c r="G29" s="2">
        <v>-625</v>
      </c>
      <c r="H29" s="2">
        <v>9</v>
      </c>
      <c r="J29" t="s">
        <v>2486</v>
      </c>
      <c r="M29" s="28" t="s">
        <v>1434</v>
      </c>
      <c r="N29" t="str">
        <f t="shared" si="0"/>
        <v>OH NO</v>
      </c>
    </row>
    <row r="30" spans="1:14" x14ac:dyDescent="0.2">
      <c r="A30" t="s">
        <v>827</v>
      </c>
      <c r="C30" t="s">
        <v>804</v>
      </c>
      <c r="D30" s="2">
        <v>11</v>
      </c>
      <c r="E30" t="s">
        <v>785</v>
      </c>
      <c r="F30" s="2">
        <v>3591</v>
      </c>
      <c r="G30" s="2">
        <v>-1341</v>
      </c>
      <c r="H30" s="2">
        <v>117</v>
      </c>
      <c r="J30" t="s">
        <v>2509</v>
      </c>
      <c r="M30" s="28" t="s">
        <v>832</v>
      </c>
      <c r="N30" t="str">
        <f t="shared" si="0"/>
        <v/>
      </c>
    </row>
    <row r="31" spans="1:14" x14ac:dyDescent="0.2">
      <c r="A31" t="s">
        <v>830</v>
      </c>
      <c r="C31" t="s">
        <v>1696</v>
      </c>
      <c r="D31" s="2">
        <v>5</v>
      </c>
      <c r="E31" t="s">
        <v>785</v>
      </c>
      <c r="F31" s="2">
        <v>-814</v>
      </c>
      <c r="G31" s="2">
        <v>3535</v>
      </c>
      <c r="H31" s="2">
        <v>235</v>
      </c>
      <c r="J31" t="s">
        <v>2495</v>
      </c>
      <c r="M31" s="28" t="s">
        <v>1454</v>
      </c>
      <c r="N31" t="str">
        <f t="shared" si="0"/>
        <v/>
      </c>
    </row>
    <row r="32" spans="1:14" x14ac:dyDescent="0.2">
      <c r="A32" t="s">
        <v>831</v>
      </c>
      <c r="C32" t="s">
        <v>800</v>
      </c>
      <c r="D32" s="2">
        <v>4</v>
      </c>
      <c r="E32" t="s">
        <v>785</v>
      </c>
      <c r="F32" s="2">
        <v>-3571</v>
      </c>
      <c r="G32" s="2">
        <v>1803</v>
      </c>
      <c r="H32" s="2">
        <v>123</v>
      </c>
      <c r="J32" t="s">
        <v>2494</v>
      </c>
      <c r="M32" s="28" t="s">
        <v>827</v>
      </c>
      <c r="N32" t="str">
        <f t="shared" si="0"/>
        <v/>
      </c>
    </row>
    <row r="33" spans="1:14" x14ac:dyDescent="0.2">
      <c r="A33" s="33" t="s">
        <v>1627</v>
      </c>
      <c r="C33" t="s">
        <v>787</v>
      </c>
      <c r="D33" s="2">
        <v>3</v>
      </c>
      <c r="E33" t="s">
        <v>785</v>
      </c>
      <c r="F33" s="2">
        <v>-1069</v>
      </c>
      <c r="G33" s="2">
        <v>2326</v>
      </c>
      <c r="H33" s="2">
        <v>99</v>
      </c>
      <c r="J33" t="s">
        <v>2493</v>
      </c>
      <c r="M33" s="28" t="s">
        <v>1275</v>
      </c>
      <c r="N33" t="str">
        <f t="shared" si="0"/>
        <v>OH NO</v>
      </c>
    </row>
    <row r="34" spans="1:14" x14ac:dyDescent="0.2">
      <c r="A34" t="s">
        <v>811</v>
      </c>
      <c r="C34" t="s">
        <v>1113</v>
      </c>
      <c r="D34" s="2">
        <v>8</v>
      </c>
      <c r="E34" t="s">
        <v>785</v>
      </c>
      <c r="F34" s="2">
        <v>3248</v>
      </c>
      <c r="G34" s="2">
        <v>3441</v>
      </c>
      <c r="H34" s="2">
        <v>-43</v>
      </c>
      <c r="J34" t="s">
        <v>2503</v>
      </c>
      <c r="M34" s="28" t="s">
        <v>831</v>
      </c>
      <c r="N34" t="str">
        <f t="shared" si="0"/>
        <v/>
      </c>
    </row>
    <row r="35" spans="1:14" x14ac:dyDescent="0.2">
      <c r="A35" t="s">
        <v>809</v>
      </c>
      <c r="C35" t="s">
        <v>1113</v>
      </c>
      <c r="D35" s="2">
        <v>8</v>
      </c>
      <c r="E35" t="s">
        <v>785</v>
      </c>
      <c r="F35" s="2">
        <v>3284</v>
      </c>
      <c r="G35" s="2">
        <v>1303</v>
      </c>
      <c r="H35" s="2">
        <v>217</v>
      </c>
      <c r="J35" t="s">
        <v>2504</v>
      </c>
      <c r="M35" s="28" t="s">
        <v>828</v>
      </c>
      <c r="N35" t="str">
        <f t="shared" si="0"/>
        <v/>
      </c>
    </row>
    <row r="36" spans="1:14" x14ac:dyDescent="0.2">
      <c r="A36" t="s">
        <v>816</v>
      </c>
      <c r="C36" t="s">
        <v>798</v>
      </c>
      <c r="D36" s="2">
        <v>14</v>
      </c>
      <c r="E36" t="s">
        <v>785</v>
      </c>
      <c r="F36" s="2">
        <v>-1795</v>
      </c>
      <c r="G36" s="2">
        <v>-3462</v>
      </c>
      <c r="H36" s="2">
        <v>46</v>
      </c>
      <c r="J36" t="s">
        <v>2517</v>
      </c>
      <c r="M36" s="28" t="s">
        <v>829</v>
      </c>
      <c r="N36" t="str">
        <f t="shared" si="0"/>
        <v/>
      </c>
    </row>
    <row r="37" spans="1:14" x14ac:dyDescent="0.2">
      <c r="A37" s="33" t="s">
        <v>1674</v>
      </c>
      <c r="C37" t="s">
        <v>794</v>
      </c>
      <c r="D37" s="2">
        <v>13</v>
      </c>
      <c r="E37" t="s">
        <v>785</v>
      </c>
      <c r="F37" s="2">
        <v>783</v>
      </c>
      <c r="G37" s="2">
        <v>-1497</v>
      </c>
      <c r="H37" s="2">
        <v>21</v>
      </c>
      <c r="J37" t="s">
        <v>2514</v>
      </c>
      <c r="M37" s="28" t="s">
        <v>1722</v>
      </c>
      <c r="N37" t="str">
        <f t="shared" si="0"/>
        <v>OH NO</v>
      </c>
    </row>
    <row r="38" spans="1:14" x14ac:dyDescent="0.2">
      <c r="A38" t="s">
        <v>810</v>
      </c>
      <c r="C38" t="s">
        <v>801</v>
      </c>
      <c r="D38" s="2">
        <v>9</v>
      </c>
      <c r="E38" t="s">
        <v>785</v>
      </c>
      <c r="F38" s="2">
        <v>4708</v>
      </c>
      <c r="G38" s="2">
        <v>1308</v>
      </c>
      <c r="H38" s="2">
        <v>61</v>
      </c>
      <c r="J38" t="s">
        <v>2506</v>
      </c>
      <c r="M38" s="21"/>
      <c r="N38" t="str">
        <f>IF(COUNTIF(M:M,A38)=0,"OH NO","")</f>
        <v/>
      </c>
    </row>
    <row r="39" spans="1:14" x14ac:dyDescent="0.2">
      <c r="A39" t="s">
        <v>1722</v>
      </c>
      <c r="C39" t="s">
        <v>794</v>
      </c>
      <c r="D39" s="2">
        <v>13</v>
      </c>
      <c r="E39" t="s">
        <v>785</v>
      </c>
      <c r="F39" s="2">
        <v>1305</v>
      </c>
      <c r="G39" s="2">
        <v>-2397</v>
      </c>
      <c r="H39" s="2">
        <v>62</v>
      </c>
      <c r="J39" t="s">
        <v>2515</v>
      </c>
      <c r="M39" s="21"/>
      <c r="N39" t="str">
        <f t="shared" si="0"/>
        <v/>
      </c>
    </row>
    <row r="40" spans="1:14" x14ac:dyDescent="0.2">
      <c r="A40" t="s">
        <v>817</v>
      </c>
      <c r="C40" t="s">
        <v>797</v>
      </c>
      <c r="D40" s="2">
        <v>15</v>
      </c>
      <c r="E40" t="s">
        <v>785</v>
      </c>
      <c r="F40" s="2">
        <v>-3429</v>
      </c>
      <c r="G40" s="2">
        <v>-1334</v>
      </c>
      <c r="H40" s="2">
        <v>335</v>
      </c>
      <c r="J40" t="s">
        <v>2520</v>
      </c>
      <c r="M40" s="21"/>
      <c r="N40" t="str">
        <f t="shared" si="0"/>
        <v/>
      </c>
    </row>
  </sheetData>
  <autoFilter ref="A1:J40" xr:uid="{D3556292-572C-6940-86CF-28B5941B8F64}">
    <sortState xmlns:xlrd2="http://schemas.microsoft.com/office/spreadsheetml/2017/richdata2" ref="A2:J40">
      <sortCondition ref="A1:A40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F26" sqref="F26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2141</v>
      </c>
      <c r="C1" s="6" t="s">
        <v>2132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2139</v>
      </c>
      <c r="I1" s="6" t="s">
        <v>2133</v>
      </c>
    </row>
    <row r="2" spans="1:9" x14ac:dyDescent="0.2">
      <c r="A2" s="21" t="s">
        <v>2548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2471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s="21" t="s">
        <v>2537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2463</v>
      </c>
      <c r="I3" t="s">
        <v>2551</v>
      </c>
    </row>
    <row r="4" spans="1:9" x14ac:dyDescent="0.2">
      <c r="A4" s="21" t="s">
        <v>2524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2454</v>
      </c>
      <c r="I4" t="s">
        <v>2552</v>
      </c>
    </row>
    <row r="5" spans="1:9" x14ac:dyDescent="0.2">
      <c r="A5" s="21" t="s">
        <v>2531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2475</v>
      </c>
      <c r="I5" t="s">
        <v>2553</v>
      </c>
    </row>
    <row r="6" spans="1:9" x14ac:dyDescent="0.2">
      <c r="A6" s="21" t="s">
        <v>2541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2466</v>
      </c>
      <c r="I6" t="s">
        <v>2554</v>
      </c>
    </row>
    <row r="7" spans="1:9" x14ac:dyDescent="0.2">
      <c r="A7" s="21" t="s">
        <v>2545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2469</v>
      </c>
      <c r="I7" t="s">
        <v>2555</v>
      </c>
    </row>
    <row r="8" spans="1:9" x14ac:dyDescent="0.2">
      <c r="A8" s="21" t="s">
        <v>2527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2474</v>
      </c>
      <c r="I8" t="s">
        <v>2556</v>
      </c>
    </row>
    <row r="9" spans="1:9" x14ac:dyDescent="0.2">
      <c r="A9" s="21" t="s">
        <v>2523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2453</v>
      </c>
      <c r="I9" t="s">
        <v>2557</v>
      </c>
    </row>
    <row r="10" spans="1:9" x14ac:dyDescent="0.2">
      <c r="A10" s="21" t="s">
        <v>2532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2459</v>
      </c>
      <c r="I10" t="s">
        <v>2558</v>
      </c>
    </row>
    <row r="11" spans="1:9" x14ac:dyDescent="0.2">
      <c r="A11" s="21" t="s">
        <v>2521</v>
      </c>
      <c r="C11">
        <v>7</v>
      </c>
      <c r="D11" t="s">
        <v>1002</v>
      </c>
      <c r="E11" s="2">
        <v>2190</v>
      </c>
      <c r="F11" s="2">
        <v>2640</v>
      </c>
      <c r="G11" s="2">
        <v>-963</v>
      </c>
      <c r="H11" t="s">
        <v>2452</v>
      </c>
      <c r="I11" t="s">
        <v>2559</v>
      </c>
    </row>
    <row r="12" spans="1:9" x14ac:dyDescent="0.2">
      <c r="A12" s="21" t="s">
        <v>2536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2462</v>
      </c>
      <c r="I12" t="s">
        <v>2560</v>
      </c>
    </row>
    <row r="13" spans="1:9" x14ac:dyDescent="0.2">
      <c r="A13" s="21" t="s">
        <v>2534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2461</v>
      </c>
      <c r="I13" t="s">
        <v>2561</v>
      </c>
    </row>
    <row r="14" spans="1:9" x14ac:dyDescent="0.2">
      <c r="A14" s="21" t="s">
        <v>2535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2477</v>
      </c>
      <c r="I14" t="s">
        <v>2562</v>
      </c>
    </row>
    <row r="15" spans="1:9" x14ac:dyDescent="0.2">
      <c r="A15" s="21" t="s">
        <v>2549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2472</v>
      </c>
      <c r="I15" t="s">
        <v>2563</v>
      </c>
    </row>
    <row r="16" spans="1:9" x14ac:dyDescent="0.2">
      <c r="A16" s="21" t="s">
        <v>2530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2458</v>
      </c>
      <c r="I16" t="s">
        <v>2564</v>
      </c>
    </row>
    <row r="17" spans="1:9" x14ac:dyDescent="0.2">
      <c r="A17" s="21" t="s">
        <v>2544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2480</v>
      </c>
      <c r="I17" t="s">
        <v>2565</v>
      </c>
    </row>
    <row r="18" spans="1:9" x14ac:dyDescent="0.2">
      <c r="A18" s="21" t="s">
        <v>2550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2470</v>
      </c>
      <c r="I18" t="s">
        <v>2566</v>
      </c>
    </row>
    <row r="19" spans="1:9" x14ac:dyDescent="0.2">
      <c r="A19" s="21" t="s">
        <v>2533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2460</v>
      </c>
      <c r="I19" t="s">
        <v>2567</v>
      </c>
    </row>
    <row r="20" spans="1:9" x14ac:dyDescent="0.2">
      <c r="A20" s="21" t="s">
        <v>2546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2479</v>
      </c>
      <c r="I20" t="s">
        <v>2568</v>
      </c>
    </row>
    <row r="21" spans="1:9" x14ac:dyDescent="0.2">
      <c r="A21" s="21" t="s">
        <v>2547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2481</v>
      </c>
      <c r="I21" t="s">
        <v>2569</v>
      </c>
    </row>
    <row r="22" spans="1:9" x14ac:dyDescent="0.2">
      <c r="A22" s="21" t="s">
        <v>2538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2464</v>
      </c>
      <c r="I22" t="s">
        <v>2570</v>
      </c>
    </row>
    <row r="23" spans="1:9" x14ac:dyDescent="0.2">
      <c r="A23" s="21" t="s">
        <v>2543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2468</v>
      </c>
      <c r="I23" t="s">
        <v>2571</v>
      </c>
    </row>
    <row r="24" spans="1:9" x14ac:dyDescent="0.2">
      <c r="A24" s="21" t="s">
        <v>2539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2465</v>
      </c>
      <c r="I24" t="s">
        <v>2572</v>
      </c>
    </row>
    <row r="25" spans="1:9" x14ac:dyDescent="0.2">
      <c r="A25" s="21" t="s">
        <v>2522</v>
      </c>
      <c r="C25">
        <v>13</v>
      </c>
      <c r="D25" t="s">
        <v>1002</v>
      </c>
      <c r="E25" s="2">
        <v>1058</v>
      </c>
      <c r="F25" s="2">
        <v>-2320</v>
      </c>
      <c r="G25" s="2">
        <v>-553</v>
      </c>
      <c r="H25" t="s">
        <v>2476</v>
      </c>
      <c r="I25" t="s">
        <v>2573</v>
      </c>
    </row>
    <row r="26" spans="1:9" x14ac:dyDescent="0.2">
      <c r="A26" s="21" t="s">
        <v>2525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2455</v>
      </c>
      <c r="I26" t="s">
        <v>2574</v>
      </c>
    </row>
    <row r="27" spans="1:9" x14ac:dyDescent="0.2">
      <c r="A27" s="21" t="s">
        <v>2528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2456</v>
      </c>
      <c r="I27" t="s">
        <v>2575</v>
      </c>
    </row>
    <row r="28" spans="1:9" x14ac:dyDescent="0.2">
      <c r="A28" s="21" t="s">
        <v>2529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2457</v>
      </c>
      <c r="I28" t="s">
        <v>2576</v>
      </c>
    </row>
    <row r="29" spans="1:9" x14ac:dyDescent="0.2">
      <c r="A29" s="21" t="s">
        <v>2542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2467</v>
      </c>
      <c r="I29" t="s">
        <v>2577</v>
      </c>
    </row>
    <row r="30" spans="1:9" x14ac:dyDescent="0.2">
      <c r="A30" s="21" t="s">
        <v>2526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2473</v>
      </c>
      <c r="I30" t="s">
        <v>2578</v>
      </c>
    </row>
    <row r="31" spans="1:9" x14ac:dyDescent="0.2">
      <c r="A31" s="21" t="s">
        <v>2540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2478</v>
      </c>
      <c r="I31" t="s">
        <v>2579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2132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2128</v>
      </c>
    </row>
    <row r="2" spans="1:9" x14ac:dyDescent="0.2">
      <c r="A2" s="1" t="s">
        <v>1870</v>
      </c>
      <c r="B2" t="s">
        <v>2122</v>
      </c>
      <c r="C2">
        <v>1</v>
      </c>
      <c r="D2" t="s">
        <v>1002</v>
      </c>
      <c r="E2">
        <v>219</v>
      </c>
      <c r="F2">
        <v>1082</v>
      </c>
      <c r="G2">
        <v>-474</v>
      </c>
      <c r="H2" t="s">
        <v>2042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1871</v>
      </c>
      <c r="B3" t="s">
        <v>2122</v>
      </c>
      <c r="C3">
        <v>1</v>
      </c>
      <c r="D3" t="s">
        <v>1002</v>
      </c>
      <c r="E3">
        <v>-180</v>
      </c>
      <c r="F3">
        <v>1170</v>
      </c>
      <c r="G3">
        <v>-515</v>
      </c>
      <c r="H3" t="s">
        <v>2039</v>
      </c>
      <c r="I3" t="s">
        <v>2297</v>
      </c>
    </row>
    <row r="4" spans="1:9" x14ac:dyDescent="0.2">
      <c r="A4" s="1" t="s">
        <v>1865</v>
      </c>
      <c r="B4" t="s">
        <v>2122</v>
      </c>
      <c r="C4">
        <v>1</v>
      </c>
      <c r="D4" t="s">
        <v>1002</v>
      </c>
      <c r="E4">
        <v>-885</v>
      </c>
      <c r="F4">
        <v>418</v>
      </c>
      <c r="G4">
        <v>-497</v>
      </c>
      <c r="H4" t="s">
        <v>2017</v>
      </c>
      <c r="I4" t="s">
        <v>2298</v>
      </c>
    </row>
    <row r="5" spans="1:9" x14ac:dyDescent="0.2">
      <c r="A5" s="1" t="s">
        <v>1864</v>
      </c>
      <c r="B5" t="s">
        <v>2122</v>
      </c>
      <c r="C5">
        <v>1</v>
      </c>
      <c r="D5" t="s">
        <v>1002</v>
      </c>
      <c r="E5">
        <v>-785</v>
      </c>
      <c r="F5">
        <v>-433</v>
      </c>
      <c r="G5">
        <v>-469</v>
      </c>
      <c r="H5" t="s">
        <v>2003</v>
      </c>
      <c r="I5" t="s">
        <v>2299</v>
      </c>
    </row>
    <row r="6" spans="1:9" x14ac:dyDescent="0.2">
      <c r="A6" s="1" t="s">
        <v>1863</v>
      </c>
      <c r="B6" t="s">
        <v>2122</v>
      </c>
      <c r="C6">
        <v>1</v>
      </c>
      <c r="D6" t="s">
        <v>1002</v>
      </c>
      <c r="E6">
        <v>-240</v>
      </c>
      <c r="F6">
        <v>-374</v>
      </c>
      <c r="G6">
        <v>-478</v>
      </c>
      <c r="H6" t="s">
        <v>2016</v>
      </c>
      <c r="I6" t="s">
        <v>2300</v>
      </c>
    </row>
    <row r="7" spans="1:9" x14ac:dyDescent="0.2">
      <c r="A7" s="1" t="s">
        <v>1867</v>
      </c>
      <c r="B7" t="s">
        <v>2122</v>
      </c>
      <c r="C7">
        <v>1</v>
      </c>
      <c r="D7" t="s">
        <v>1002</v>
      </c>
      <c r="E7">
        <v>333</v>
      </c>
      <c r="F7">
        <v>468</v>
      </c>
      <c r="G7">
        <v>-479</v>
      </c>
      <c r="H7" t="s">
        <v>2035</v>
      </c>
      <c r="I7" t="s">
        <v>2301</v>
      </c>
    </row>
    <row r="8" spans="1:9" x14ac:dyDescent="0.2">
      <c r="A8" s="1" t="s">
        <v>1866</v>
      </c>
      <c r="B8" t="s">
        <v>2122</v>
      </c>
      <c r="C8">
        <v>1</v>
      </c>
      <c r="D8" t="s">
        <v>1002</v>
      </c>
      <c r="E8">
        <v>-205</v>
      </c>
      <c r="F8">
        <v>451</v>
      </c>
      <c r="G8">
        <v>-472</v>
      </c>
      <c r="H8" t="s">
        <v>2028</v>
      </c>
      <c r="I8" t="s">
        <v>2302</v>
      </c>
    </row>
    <row r="9" spans="1:9" x14ac:dyDescent="0.2">
      <c r="A9" s="1" t="s">
        <v>1856</v>
      </c>
      <c r="B9" t="s">
        <v>2123</v>
      </c>
      <c r="C9">
        <v>2</v>
      </c>
      <c r="D9" t="s">
        <v>1002</v>
      </c>
      <c r="E9">
        <v>-1443</v>
      </c>
      <c r="F9">
        <v>-1616</v>
      </c>
      <c r="G9">
        <v>-538</v>
      </c>
      <c r="H9" t="s">
        <v>1975</v>
      </c>
      <c r="I9" t="s">
        <v>2303</v>
      </c>
    </row>
    <row r="10" spans="1:9" x14ac:dyDescent="0.2">
      <c r="A10" s="1" t="s">
        <v>1857</v>
      </c>
      <c r="B10" t="s">
        <v>2123</v>
      </c>
      <c r="C10">
        <v>2</v>
      </c>
      <c r="D10" t="s">
        <v>1002</v>
      </c>
      <c r="E10">
        <v>-1082</v>
      </c>
      <c r="F10">
        <v>-2187</v>
      </c>
      <c r="G10">
        <v>-562</v>
      </c>
      <c r="H10" t="s">
        <v>1974</v>
      </c>
      <c r="I10" t="s">
        <v>2304</v>
      </c>
    </row>
    <row r="11" spans="1:9" x14ac:dyDescent="0.2">
      <c r="A11" s="1" t="s">
        <v>1855</v>
      </c>
      <c r="B11" t="s">
        <v>2123</v>
      </c>
      <c r="C11">
        <v>2</v>
      </c>
      <c r="D11" t="s">
        <v>1002</v>
      </c>
      <c r="E11">
        <v>-1422</v>
      </c>
      <c r="F11">
        <v>-1350</v>
      </c>
      <c r="G11">
        <v>-517</v>
      </c>
      <c r="H11" t="s">
        <v>1979</v>
      </c>
      <c r="I11" t="s">
        <v>2305</v>
      </c>
    </row>
    <row r="12" spans="1:9" x14ac:dyDescent="0.2">
      <c r="A12" s="1" t="s">
        <v>1854</v>
      </c>
      <c r="B12" t="s">
        <v>2123</v>
      </c>
      <c r="C12">
        <v>2</v>
      </c>
      <c r="D12" t="s">
        <v>1002</v>
      </c>
      <c r="E12">
        <v>-2140</v>
      </c>
      <c r="F12">
        <v>-873</v>
      </c>
      <c r="G12">
        <v>-542</v>
      </c>
      <c r="H12" t="s">
        <v>1976</v>
      </c>
      <c r="I12" t="s">
        <v>2306</v>
      </c>
    </row>
    <row r="13" spans="1:9" x14ac:dyDescent="0.2">
      <c r="A13" s="1" t="s">
        <v>1853</v>
      </c>
      <c r="B13" t="s">
        <v>2123</v>
      </c>
      <c r="C13">
        <v>2</v>
      </c>
      <c r="D13" t="s">
        <v>1002</v>
      </c>
      <c r="E13">
        <v>-1921</v>
      </c>
      <c r="F13">
        <v>-356</v>
      </c>
      <c r="G13">
        <v>-635</v>
      </c>
      <c r="H13" t="s">
        <v>1984</v>
      </c>
      <c r="I13" t="s">
        <v>2307</v>
      </c>
    </row>
    <row r="14" spans="1:9" x14ac:dyDescent="0.2">
      <c r="A14" s="1" t="s">
        <v>1860</v>
      </c>
      <c r="B14" t="s">
        <v>2123</v>
      </c>
      <c r="C14">
        <v>2</v>
      </c>
      <c r="D14" t="s">
        <v>1002</v>
      </c>
      <c r="E14">
        <v>-73</v>
      </c>
      <c r="F14">
        <v>-1115</v>
      </c>
      <c r="G14">
        <v>-471</v>
      </c>
      <c r="H14" t="s">
        <v>2004</v>
      </c>
      <c r="I14" t="s">
        <v>2308</v>
      </c>
    </row>
    <row r="15" spans="1:9" x14ac:dyDescent="0.2">
      <c r="A15" s="1" t="s">
        <v>1861</v>
      </c>
      <c r="B15" t="s">
        <v>2123</v>
      </c>
      <c r="C15">
        <v>2</v>
      </c>
      <c r="D15" t="s">
        <v>1002</v>
      </c>
      <c r="E15">
        <v>-705</v>
      </c>
      <c r="F15">
        <v>-866</v>
      </c>
      <c r="G15">
        <v>-481</v>
      </c>
      <c r="H15" t="s">
        <v>1997</v>
      </c>
      <c r="I15" t="s">
        <v>2309</v>
      </c>
    </row>
    <row r="16" spans="1:9" x14ac:dyDescent="0.2">
      <c r="A16" s="1" t="s">
        <v>1858</v>
      </c>
      <c r="B16" t="s">
        <v>2123</v>
      </c>
      <c r="C16">
        <v>2</v>
      </c>
      <c r="D16" t="s">
        <v>1002</v>
      </c>
      <c r="E16">
        <v>-710</v>
      </c>
      <c r="F16">
        <v>-1550</v>
      </c>
      <c r="G16">
        <v>-517</v>
      </c>
      <c r="H16" t="s">
        <v>1986</v>
      </c>
      <c r="I16" t="s">
        <v>2310</v>
      </c>
    </row>
    <row r="17" spans="1:9" x14ac:dyDescent="0.2">
      <c r="A17" s="1" t="s">
        <v>1859</v>
      </c>
      <c r="B17" t="s">
        <v>2123</v>
      </c>
      <c r="C17">
        <v>2</v>
      </c>
      <c r="D17" t="s">
        <v>1002</v>
      </c>
      <c r="E17">
        <v>-176</v>
      </c>
      <c r="F17">
        <v>-1557</v>
      </c>
      <c r="G17">
        <v>-473</v>
      </c>
      <c r="H17" t="s">
        <v>1992</v>
      </c>
      <c r="I17" t="s">
        <v>2311</v>
      </c>
    </row>
    <row r="18" spans="1:9" x14ac:dyDescent="0.2">
      <c r="A18" s="1" t="s">
        <v>1862</v>
      </c>
      <c r="B18" t="s">
        <v>2123</v>
      </c>
      <c r="C18">
        <v>2</v>
      </c>
      <c r="D18" t="s">
        <v>1002</v>
      </c>
      <c r="E18">
        <v>344</v>
      </c>
      <c r="F18">
        <v>-1007</v>
      </c>
      <c r="G18">
        <v>-468</v>
      </c>
      <c r="H18" t="s">
        <v>2012</v>
      </c>
      <c r="I18" t="s">
        <v>2312</v>
      </c>
    </row>
    <row r="19" spans="1:9" x14ac:dyDescent="0.2">
      <c r="A19" s="1" t="s">
        <v>1916</v>
      </c>
      <c r="B19" t="s">
        <v>787</v>
      </c>
      <c r="C19">
        <v>3</v>
      </c>
      <c r="D19" t="s">
        <v>1002</v>
      </c>
      <c r="E19">
        <v>-3950</v>
      </c>
      <c r="F19">
        <v>1138</v>
      </c>
      <c r="G19">
        <v>-551</v>
      </c>
      <c r="H19" t="s">
        <v>1978</v>
      </c>
      <c r="I19" t="s">
        <v>2313</v>
      </c>
    </row>
    <row r="20" spans="1:9" x14ac:dyDescent="0.2">
      <c r="A20" s="1" t="s">
        <v>1849</v>
      </c>
      <c r="B20" t="s">
        <v>787</v>
      </c>
      <c r="C20">
        <v>3</v>
      </c>
      <c r="D20" t="s">
        <v>1002</v>
      </c>
      <c r="E20">
        <v>-1413</v>
      </c>
      <c r="F20">
        <v>757</v>
      </c>
      <c r="G20">
        <v>-538</v>
      </c>
      <c r="H20" t="s">
        <v>2013</v>
      </c>
      <c r="I20" t="s">
        <v>2314</v>
      </c>
    </row>
    <row r="21" spans="1:9" x14ac:dyDescent="0.2">
      <c r="A21" s="1" t="s">
        <v>1917</v>
      </c>
      <c r="B21" t="s">
        <v>787</v>
      </c>
      <c r="C21">
        <v>3</v>
      </c>
      <c r="D21" t="s">
        <v>1002</v>
      </c>
      <c r="E21">
        <v>-3079</v>
      </c>
      <c r="F21">
        <v>1618</v>
      </c>
      <c r="G21">
        <v>-687</v>
      </c>
      <c r="H21" t="s">
        <v>1999</v>
      </c>
      <c r="I21" t="s">
        <v>2315</v>
      </c>
    </row>
    <row r="22" spans="1:9" x14ac:dyDescent="0.2">
      <c r="A22" s="1" t="s">
        <v>1915</v>
      </c>
      <c r="B22" t="s">
        <v>787</v>
      </c>
      <c r="C22">
        <v>3</v>
      </c>
      <c r="D22" t="s">
        <v>1002</v>
      </c>
      <c r="E22">
        <v>-3538</v>
      </c>
      <c r="F22">
        <v>853</v>
      </c>
      <c r="G22">
        <v>-576</v>
      </c>
      <c r="H22" t="s">
        <v>1982</v>
      </c>
      <c r="I22" t="s">
        <v>2316</v>
      </c>
    </row>
    <row r="23" spans="1:9" x14ac:dyDescent="0.2">
      <c r="A23" s="1" t="s">
        <v>1850</v>
      </c>
      <c r="B23" t="s">
        <v>787</v>
      </c>
      <c r="C23">
        <v>3</v>
      </c>
      <c r="D23" t="s">
        <v>1002</v>
      </c>
      <c r="E23">
        <v>-1828</v>
      </c>
      <c r="F23">
        <v>1196</v>
      </c>
      <c r="G23">
        <v>-723</v>
      </c>
      <c r="H23" t="s">
        <v>2015</v>
      </c>
      <c r="I23" t="s">
        <v>2317</v>
      </c>
    </row>
    <row r="24" spans="1:9" x14ac:dyDescent="0.2">
      <c r="A24" s="1" t="s">
        <v>1852</v>
      </c>
      <c r="B24" t="s">
        <v>787</v>
      </c>
      <c r="C24">
        <v>3</v>
      </c>
      <c r="D24" t="s">
        <v>1002</v>
      </c>
      <c r="E24">
        <v>-2848</v>
      </c>
      <c r="F24">
        <v>629</v>
      </c>
      <c r="G24">
        <v>-621</v>
      </c>
      <c r="H24" t="s">
        <v>1987</v>
      </c>
      <c r="I24" t="s">
        <v>2318</v>
      </c>
    </row>
    <row r="25" spans="1:9" x14ac:dyDescent="0.2">
      <c r="A25" s="1" t="s">
        <v>1851</v>
      </c>
      <c r="B25" t="s">
        <v>787</v>
      </c>
      <c r="C25">
        <v>3</v>
      </c>
      <c r="D25" t="s">
        <v>1002</v>
      </c>
      <c r="E25">
        <v>-2534</v>
      </c>
      <c r="F25">
        <v>1167</v>
      </c>
      <c r="G25">
        <v>-623</v>
      </c>
      <c r="H25" t="s">
        <v>2001</v>
      </c>
      <c r="I25" t="s">
        <v>2319</v>
      </c>
    </row>
    <row r="26" spans="1:9" x14ac:dyDescent="0.2">
      <c r="A26" s="1" t="s">
        <v>1847</v>
      </c>
      <c r="B26" t="s">
        <v>787</v>
      </c>
      <c r="C26">
        <v>3</v>
      </c>
      <c r="D26" t="s">
        <v>1002</v>
      </c>
      <c r="E26">
        <v>-1106</v>
      </c>
      <c r="F26">
        <v>2086</v>
      </c>
      <c r="G26">
        <v>-554</v>
      </c>
      <c r="H26" t="s">
        <v>2038</v>
      </c>
      <c r="I26" t="s">
        <v>2320</v>
      </c>
    </row>
    <row r="27" spans="1:9" x14ac:dyDescent="0.2">
      <c r="A27" s="1" t="s">
        <v>1922</v>
      </c>
      <c r="B27" t="s">
        <v>800</v>
      </c>
      <c r="C27">
        <v>4</v>
      </c>
      <c r="D27" t="s">
        <v>1002</v>
      </c>
      <c r="E27">
        <v>-4391</v>
      </c>
      <c r="F27">
        <v>3714</v>
      </c>
      <c r="G27">
        <v>-702</v>
      </c>
      <c r="H27" t="s">
        <v>2010</v>
      </c>
      <c r="I27" t="s">
        <v>2321</v>
      </c>
    </row>
    <row r="28" spans="1:9" x14ac:dyDescent="0.2">
      <c r="A28" s="1" t="s">
        <v>2104</v>
      </c>
      <c r="B28" t="s">
        <v>800</v>
      </c>
      <c r="C28">
        <v>4</v>
      </c>
      <c r="D28" t="s">
        <v>1002</v>
      </c>
      <c r="E28">
        <v>-2996</v>
      </c>
      <c r="F28">
        <v>3102</v>
      </c>
      <c r="G28">
        <v>-1027</v>
      </c>
      <c r="H28" t="s">
        <v>2026</v>
      </c>
      <c r="I28" t="s">
        <v>2322</v>
      </c>
    </row>
    <row r="29" spans="1:9" x14ac:dyDescent="0.2">
      <c r="A29" s="1" t="s">
        <v>1923</v>
      </c>
      <c r="B29" t="s">
        <v>800</v>
      </c>
      <c r="C29">
        <v>4</v>
      </c>
      <c r="D29" t="s">
        <v>1002</v>
      </c>
      <c r="E29">
        <v>-3506</v>
      </c>
      <c r="F29">
        <v>3570</v>
      </c>
      <c r="G29">
        <v>-826</v>
      </c>
      <c r="H29" t="s">
        <v>2024</v>
      </c>
      <c r="I29" t="s">
        <v>2323</v>
      </c>
    </row>
    <row r="30" spans="1:9" x14ac:dyDescent="0.2">
      <c r="A30" s="1" t="s">
        <v>1924</v>
      </c>
      <c r="B30" t="s">
        <v>800</v>
      </c>
      <c r="C30">
        <v>4</v>
      </c>
      <c r="D30" t="s">
        <v>1002</v>
      </c>
      <c r="E30">
        <v>-2559</v>
      </c>
      <c r="F30">
        <v>3353</v>
      </c>
      <c r="G30">
        <v>-690</v>
      </c>
      <c r="H30" t="s">
        <v>2034</v>
      </c>
      <c r="I30" t="s">
        <v>2324</v>
      </c>
    </row>
    <row r="31" spans="1:9" x14ac:dyDescent="0.2">
      <c r="A31" s="1" t="s">
        <v>1921</v>
      </c>
      <c r="B31" t="s">
        <v>800</v>
      </c>
      <c r="C31">
        <v>4</v>
      </c>
      <c r="D31" t="s">
        <v>1002</v>
      </c>
      <c r="E31">
        <v>-4539</v>
      </c>
      <c r="F31">
        <v>2881</v>
      </c>
      <c r="G31">
        <v>-707</v>
      </c>
      <c r="H31" t="s">
        <v>1995</v>
      </c>
      <c r="I31" t="s">
        <v>2325</v>
      </c>
    </row>
    <row r="32" spans="1:9" x14ac:dyDescent="0.2">
      <c r="A32" s="1" t="s">
        <v>1918</v>
      </c>
      <c r="B32" t="s">
        <v>800</v>
      </c>
      <c r="C32">
        <v>4</v>
      </c>
      <c r="D32" t="s">
        <v>1002</v>
      </c>
      <c r="E32">
        <v>-3650</v>
      </c>
      <c r="F32">
        <v>1805</v>
      </c>
      <c r="G32">
        <v>-417</v>
      </c>
      <c r="H32" t="s">
        <v>1991</v>
      </c>
      <c r="I32" t="s">
        <v>2326</v>
      </c>
    </row>
    <row r="33" spans="1:9" x14ac:dyDescent="0.2">
      <c r="A33" s="1" t="s">
        <v>1919</v>
      </c>
      <c r="B33" t="s">
        <v>800</v>
      </c>
      <c r="C33">
        <v>4</v>
      </c>
      <c r="D33" t="s">
        <v>1002</v>
      </c>
      <c r="E33">
        <v>-4059</v>
      </c>
      <c r="F33">
        <v>1991</v>
      </c>
      <c r="G33">
        <v>-674</v>
      </c>
      <c r="H33" t="s">
        <v>1988</v>
      </c>
      <c r="I33" t="s">
        <v>2327</v>
      </c>
    </row>
    <row r="34" spans="1:9" x14ac:dyDescent="0.2">
      <c r="A34" s="1" t="s">
        <v>1920</v>
      </c>
      <c r="B34" t="s">
        <v>800</v>
      </c>
      <c r="C34">
        <v>4</v>
      </c>
      <c r="D34" t="s">
        <v>1002</v>
      </c>
      <c r="E34">
        <v>-3355</v>
      </c>
      <c r="F34">
        <v>2387</v>
      </c>
      <c r="G34">
        <v>-802</v>
      </c>
      <c r="H34" t="s">
        <v>2007</v>
      </c>
      <c r="I34" t="s">
        <v>2328</v>
      </c>
    </row>
    <row r="35" spans="1:9" x14ac:dyDescent="0.2">
      <c r="A35" s="1" t="s">
        <v>1925</v>
      </c>
      <c r="B35" t="s">
        <v>1696</v>
      </c>
      <c r="C35">
        <v>5</v>
      </c>
      <c r="D35" t="s">
        <v>1002</v>
      </c>
      <c r="E35">
        <v>-2319</v>
      </c>
      <c r="F35">
        <v>2201</v>
      </c>
      <c r="G35">
        <v>-781</v>
      </c>
      <c r="H35" t="s">
        <v>2020</v>
      </c>
      <c r="I35" t="s">
        <v>2329</v>
      </c>
    </row>
    <row r="36" spans="1:9" x14ac:dyDescent="0.2">
      <c r="A36" s="1" t="s">
        <v>1929</v>
      </c>
      <c r="B36" t="s">
        <v>1696</v>
      </c>
      <c r="C36">
        <v>5</v>
      </c>
      <c r="D36" t="s">
        <v>1002</v>
      </c>
      <c r="E36">
        <v>-823</v>
      </c>
      <c r="F36">
        <v>3535</v>
      </c>
      <c r="G36">
        <v>-636</v>
      </c>
      <c r="H36" t="s">
        <v>2063</v>
      </c>
      <c r="I36" t="s">
        <v>2330</v>
      </c>
    </row>
    <row r="37" spans="1:9" x14ac:dyDescent="0.2">
      <c r="A37" s="1" t="s">
        <v>1926</v>
      </c>
      <c r="B37" t="s">
        <v>1696</v>
      </c>
      <c r="C37">
        <v>5</v>
      </c>
      <c r="D37" t="s">
        <v>1002</v>
      </c>
      <c r="E37">
        <v>-1638</v>
      </c>
      <c r="F37">
        <v>2643</v>
      </c>
      <c r="G37">
        <v>-685</v>
      </c>
      <c r="H37" t="s">
        <v>2040</v>
      </c>
      <c r="I37" t="s">
        <v>2331</v>
      </c>
    </row>
    <row r="38" spans="1:9" x14ac:dyDescent="0.2">
      <c r="A38" s="1" t="s">
        <v>1928</v>
      </c>
      <c r="B38" t="s">
        <v>1696</v>
      </c>
      <c r="C38">
        <v>5</v>
      </c>
      <c r="D38" t="s">
        <v>1002</v>
      </c>
      <c r="E38">
        <v>-1404</v>
      </c>
      <c r="F38">
        <v>3677</v>
      </c>
      <c r="G38">
        <v>-712</v>
      </c>
      <c r="H38" t="s">
        <v>2056</v>
      </c>
      <c r="I38" t="s">
        <v>2332</v>
      </c>
    </row>
    <row r="39" spans="1:9" x14ac:dyDescent="0.2">
      <c r="A39" s="1" t="s">
        <v>1927</v>
      </c>
      <c r="B39" t="s">
        <v>1696</v>
      </c>
      <c r="C39">
        <v>5</v>
      </c>
      <c r="D39" t="s">
        <v>1002</v>
      </c>
      <c r="E39">
        <v>-1165</v>
      </c>
      <c r="F39">
        <v>2602</v>
      </c>
      <c r="G39">
        <v>-350</v>
      </c>
      <c r="H39" t="s">
        <v>2043</v>
      </c>
      <c r="I39" t="s">
        <v>2333</v>
      </c>
    </row>
    <row r="40" spans="1:9" x14ac:dyDescent="0.2">
      <c r="A40" s="1" t="s">
        <v>1875</v>
      </c>
      <c r="B40" t="s">
        <v>789</v>
      </c>
      <c r="C40">
        <v>6</v>
      </c>
      <c r="D40" t="s">
        <v>1002</v>
      </c>
      <c r="E40">
        <v>619</v>
      </c>
      <c r="F40">
        <v>2211</v>
      </c>
      <c r="G40">
        <v>-611</v>
      </c>
      <c r="H40" t="s">
        <v>2064</v>
      </c>
      <c r="I40" t="s">
        <v>2334</v>
      </c>
    </row>
    <row r="41" spans="1:9" x14ac:dyDescent="0.2">
      <c r="A41" s="1" t="s">
        <v>1888</v>
      </c>
      <c r="B41" t="s">
        <v>789</v>
      </c>
      <c r="C41">
        <v>6</v>
      </c>
      <c r="D41" t="s">
        <v>1002</v>
      </c>
      <c r="E41">
        <v>393</v>
      </c>
      <c r="F41">
        <v>3485</v>
      </c>
      <c r="G41">
        <v>-594</v>
      </c>
      <c r="H41" t="s">
        <v>2078</v>
      </c>
      <c r="I41" t="s">
        <v>2335</v>
      </c>
    </row>
    <row r="42" spans="1:9" x14ac:dyDescent="0.2">
      <c r="A42" s="1" t="s">
        <v>1887</v>
      </c>
      <c r="B42" t="s">
        <v>789</v>
      </c>
      <c r="C42">
        <v>6</v>
      </c>
      <c r="D42" t="s">
        <v>1002</v>
      </c>
      <c r="E42">
        <v>1270</v>
      </c>
      <c r="F42">
        <v>3733</v>
      </c>
      <c r="G42">
        <v>-553</v>
      </c>
      <c r="H42" t="s">
        <v>2087</v>
      </c>
      <c r="I42" t="s">
        <v>2336</v>
      </c>
    </row>
    <row r="43" spans="1:9" x14ac:dyDescent="0.2">
      <c r="A43" s="1" t="s">
        <v>1848</v>
      </c>
      <c r="B43" t="s">
        <v>789</v>
      </c>
      <c r="C43">
        <v>6</v>
      </c>
      <c r="D43" t="s">
        <v>1002</v>
      </c>
      <c r="E43">
        <v>-594</v>
      </c>
      <c r="F43">
        <v>1551</v>
      </c>
      <c r="G43">
        <v>-599</v>
      </c>
      <c r="H43" t="s">
        <v>2037</v>
      </c>
      <c r="I43" t="s">
        <v>2337</v>
      </c>
    </row>
    <row r="44" spans="1:9" x14ac:dyDescent="0.2">
      <c r="A44" s="1" t="s">
        <v>1846</v>
      </c>
      <c r="B44" t="s">
        <v>789</v>
      </c>
      <c r="C44">
        <v>6</v>
      </c>
      <c r="D44" t="s">
        <v>1002</v>
      </c>
      <c r="E44">
        <v>-395</v>
      </c>
      <c r="F44">
        <v>2736</v>
      </c>
      <c r="G44">
        <v>-725</v>
      </c>
      <c r="H44" t="s">
        <v>2058</v>
      </c>
      <c r="I44" t="s">
        <v>2338</v>
      </c>
    </row>
    <row r="45" spans="1:9" x14ac:dyDescent="0.2">
      <c r="A45" s="1" t="s">
        <v>1874</v>
      </c>
      <c r="B45" t="s">
        <v>789</v>
      </c>
      <c r="C45">
        <v>6</v>
      </c>
      <c r="D45" t="s">
        <v>1002</v>
      </c>
      <c r="E45">
        <v>166</v>
      </c>
      <c r="F45">
        <v>2319</v>
      </c>
      <c r="G45">
        <v>-625</v>
      </c>
      <c r="H45" t="s">
        <v>2060</v>
      </c>
      <c r="I45" t="s">
        <v>2339</v>
      </c>
    </row>
    <row r="46" spans="1:9" x14ac:dyDescent="0.2">
      <c r="A46" s="1" t="s">
        <v>1872</v>
      </c>
      <c r="B46" t="s">
        <v>789</v>
      </c>
      <c r="C46">
        <v>6</v>
      </c>
      <c r="D46" t="s">
        <v>1002</v>
      </c>
      <c r="E46">
        <v>408</v>
      </c>
      <c r="F46">
        <v>2133</v>
      </c>
      <c r="G46">
        <v>-592</v>
      </c>
      <c r="H46" t="s">
        <v>2061</v>
      </c>
      <c r="I46" t="s">
        <v>2340</v>
      </c>
    </row>
    <row r="47" spans="1:9" x14ac:dyDescent="0.2">
      <c r="A47" s="1" t="s">
        <v>1873</v>
      </c>
      <c r="B47" t="s">
        <v>789</v>
      </c>
      <c r="C47">
        <v>6</v>
      </c>
      <c r="D47" t="s">
        <v>1002</v>
      </c>
      <c r="E47">
        <v>353</v>
      </c>
      <c r="F47">
        <v>1890</v>
      </c>
      <c r="G47">
        <v>-625</v>
      </c>
      <c r="H47" t="s">
        <v>2055</v>
      </c>
      <c r="I47" t="s">
        <v>2341</v>
      </c>
    </row>
    <row r="48" spans="1:9" x14ac:dyDescent="0.2">
      <c r="A48" s="1" t="s">
        <v>1845</v>
      </c>
      <c r="B48" t="s">
        <v>789</v>
      </c>
      <c r="C48">
        <v>6</v>
      </c>
      <c r="D48" t="s">
        <v>1002</v>
      </c>
      <c r="E48">
        <v>700</v>
      </c>
      <c r="F48">
        <v>2793</v>
      </c>
      <c r="G48">
        <v>-671</v>
      </c>
      <c r="H48" t="s">
        <v>2071</v>
      </c>
      <c r="I48" t="s">
        <v>2342</v>
      </c>
    </row>
    <row r="49" spans="1:9" x14ac:dyDescent="0.2">
      <c r="A49" s="1" t="s">
        <v>1878</v>
      </c>
      <c r="B49" t="s">
        <v>1264</v>
      </c>
      <c r="C49">
        <v>7</v>
      </c>
      <c r="D49" t="s">
        <v>1002</v>
      </c>
      <c r="E49">
        <v>2567</v>
      </c>
      <c r="F49">
        <v>1245</v>
      </c>
      <c r="G49">
        <v>-600</v>
      </c>
      <c r="H49" t="s">
        <v>2077</v>
      </c>
      <c r="I49" t="s">
        <v>2343</v>
      </c>
    </row>
    <row r="50" spans="1:9" x14ac:dyDescent="0.2">
      <c r="A50" s="1" t="s">
        <v>1879</v>
      </c>
      <c r="B50" t="s">
        <v>1264</v>
      </c>
      <c r="C50">
        <v>7</v>
      </c>
      <c r="D50" t="s">
        <v>1002</v>
      </c>
      <c r="E50">
        <v>1761</v>
      </c>
      <c r="F50">
        <v>2508</v>
      </c>
      <c r="G50">
        <v>-719</v>
      </c>
      <c r="H50" t="s">
        <v>2080</v>
      </c>
      <c r="I50" t="s">
        <v>2344</v>
      </c>
    </row>
    <row r="51" spans="1:9" x14ac:dyDescent="0.2">
      <c r="A51" s="1" t="s">
        <v>1883</v>
      </c>
      <c r="B51" t="s">
        <v>1264</v>
      </c>
      <c r="C51">
        <v>7</v>
      </c>
      <c r="D51" t="s">
        <v>1002</v>
      </c>
      <c r="E51">
        <v>2401</v>
      </c>
      <c r="F51">
        <v>3273</v>
      </c>
      <c r="G51">
        <v>-844</v>
      </c>
      <c r="H51" t="s">
        <v>2093</v>
      </c>
      <c r="I51" t="s">
        <v>2345</v>
      </c>
    </row>
    <row r="52" spans="1:9" x14ac:dyDescent="0.2">
      <c r="A52" s="1" t="s">
        <v>1882</v>
      </c>
      <c r="B52" t="s">
        <v>1264</v>
      </c>
      <c r="C52">
        <v>7</v>
      </c>
      <c r="D52" t="s">
        <v>1002</v>
      </c>
      <c r="E52">
        <v>1833</v>
      </c>
      <c r="F52">
        <v>3179</v>
      </c>
      <c r="G52">
        <v>-838</v>
      </c>
      <c r="H52" t="s">
        <v>2088</v>
      </c>
      <c r="I52" t="s">
        <v>2346</v>
      </c>
    </row>
    <row r="53" spans="1:9" x14ac:dyDescent="0.2">
      <c r="A53" s="1" t="s">
        <v>1877</v>
      </c>
      <c r="B53" t="s">
        <v>1264</v>
      </c>
      <c r="C53">
        <v>7</v>
      </c>
      <c r="D53" t="s">
        <v>1002</v>
      </c>
      <c r="E53">
        <v>1798</v>
      </c>
      <c r="F53">
        <v>1639</v>
      </c>
      <c r="G53">
        <v>-749</v>
      </c>
      <c r="H53" t="s">
        <v>2068</v>
      </c>
      <c r="I53" t="s">
        <v>2347</v>
      </c>
    </row>
    <row r="54" spans="1:9" x14ac:dyDescent="0.2">
      <c r="A54" s="1" t="s">
        <v>1885</v>
      </c>
      <c r="B54" t="s">
        <v>1264</v>
      </c>
      <c r="C54">
        <v>7</v>
      </c>
      <c r="D54" t="s">
        <v>1002</v>
      </c>
      <c r="E54">
        <v>2959</v>
      </c>
      <c r="F54">
        <v>2758</v>
      </c>
      <c r="G54">
        <v>-963</v>
      </c>
      <c r="H54" t="s">
        <v>2094</v>
      </c>
      <c r="I54" t="s">
        <v>2348</v>
      </c>
    </row>
    <row r="55" spans="1:9" x14ac:dyDescent="0.2">
      <c r="A55" s="1" t="s">
        <v>1880</v>
      </c>
      <c r="B55" t="s">
        <v>1264</v>
      </c>
      <c r="C55">
        <v>7</v>
      </c>
      <c r="D55" t="s">
        <v>1002</v>
      </c>
      <c r="E55">
        <v>1842</v>
      </c>
      <c r="F55">
        <v>2841</v>
      </c>
      <c r="G55">
        <v>-838</v>
      </c>
      <c r="H55" t="s">
        <v>2083</v>
      </c>
      <c r="I55" t="s">
        <v>2349</v>
      </c>
    </row>
    <row r="56" spans="1:9" x14ac:dyDescent="0.2">
      <c r="A56" s="1" t="s">
        <v>1881</v>
      </c>
      <c r="B56" t="s">
        <v>1264</v>
      </c>
      <c r="C56">
        <v>7</v>
      </c>
      <c r="D56" t="s">
        <v>1002</v>
      </c>
      <c r="E56">
        <v>2367</v>
      </c>
      <c r="F56">
        <v>2598</v>
      </c>
      <c r="G56">
        <v>-948</v>
      </c>
      <c r="H56" t="s">
        <v>2086</v>
      </c>
      <c r="I56" t="s">
        <v>2350</v>
      </c>
    </row>
    <row r="57" spans="1:9" x14ac:dyDescent="0.2">
      <c r="A57" s="1" t="s">
        <v>1886</v>
      </c>
      <c r="B57" t="s">
        <v>1264</v>
      </c>
      <c r="C57">
        <v>7</v>
      </c>
      <c r="D57" t="s">
        <v>1002</v>
      </c>
      <c r="E57">
        <v>2678</v>
      </c>
      <c r="F57">
        <v>1905</v>
      </c>
      <c r="G57">
        <v>-688</v>
      </c>
      <c r="H57" t="s">
        <v>2082</v>
      </c>
      <c r="I57" t="s">
        <v>2351</v>
      </c>
    </row>
    <row r="58" spans="1:9" x14ac:dyDescent="0.2">
      <c r="A58" s="1" t="s">
        <v>1884</v>
      </c>
      <c r="B58" t="s">
        <v>1264</v>
      </c>
      <c r="C58">
        <v>7</v>
      </c>
      <c r="D58" t="s">
        <v>1002</v>
      </c>
      <c r="E58">
        <v>2863</v>
      </c>
      <c r="F58">
        <v>3637</v>
      </c>
      <c r="G58">
        <v>-685</v>
      </c>
      <c r="H58" t="s">
        <v>2096</v>
      </c>
      <c r="I58" t="s">
        <v>2352</v>
      </c>
    </row>
    <row r="59" spans="1:9" x14ac:dyDescent="0.2">
      <c r="A59" s="1" t="s">
        <v>1876</v>
      </c>
      <c r="B59" t="s">
        <v>1264</v>
      </c>
      <c r="C59">
        <v>7</v>
      </c>
      <c r="D59" t="s">
        <v>1002</v>
      </c>
      <c r="E59">
        <v>1059</v>
      </c>
      <c r="F59">
        <v>1276</v>
      </c>
      <c r="G59">
        <v>-495</v>
      </c>
      <c r="H59" t="s">
        <v>2057</v>
      </c>
      <c r="I59" t="s">
        <v>2353</v>
      </c>
    </row>
    <row r="60" spans="1:9" x14ac:dyDescent="0.2">
      <c r="A60" s="1" t="s">
        <v>1841</v>
      </c>
      <c r="B60" t="s">
        <v>1113</v>
      </c>
      <c r="C60">
        <v>8</v>
      </c>
      <c r="D60" t="s">
        <v>1002</v>
      </c>
      <c r="E60">
        <v>3809</v>
      </c>
      <c r="F60">
        <v>1219</v>
      </c>
      <c r="G60">
        <v>-536</v>
      </c>
      <c r="H60" t="s">
        <v>2089</v>
      </c>
      <c r="I60" t="s">
        <v>2354</v>
      </c>
    </row>
    <row r="61" spans="1:9" x14ac:dyDescent="0.2">
      <c r="A61" s="1" t="s">
        <v>1838</v>
      </c>
      <c r="B61" t="s">
        <v>1113</v>
      </c>
      <c r="C61">
        <v>8</v>
      </c>
      <c r="D61" t="s">
        <v>1002</v>
      </c>
      <c r="E61">
        <v>3839</v>
      </c>
      <c r="F61">
        <v>2301</v>
      </c>
      <c r="G61">
        <v>-488</v>
      </c>
      <c r="H61" t="s">
        <v>2095</v>
      </c>
      <c r="I61" t="s">
        <v>2355</v>
      </c>
    </row>
    <row r="62" spans="1:9" x14ac:dyDescent="0.2">
      <c r="A62" s="1" t="s">
        <v>1839</v>
      </c>
      <c r="B62" t="s">
        <v>1113</v>
      </c>
      <c r="C62">
        <v>8</v>
      </c>
      <c r="D62" t="s">
        <v>1002</v>
      </c>
      <c r="E62">
        <v>3061</v>
      </c>
      <c r="F62">
        <v>1823</v>
      </c>
      <c r="G62">
        <v>-662</v>
      </c>
      <c r="H62" t="s">
        <v>2085</v>
      </c>
      <c r="I62" t="s">
        <v>2356</v>
      </c>
    </row>
    <row r="63" spans="1:9" x14ac:dyDescent="0.2">
      <c r="A63" s="1" t="s">
        <v>1836</v>
      </c>
      <c r="B63" t="s">
        <v>1113</v>
      </c>
      <c r="C63">
        <v>8</v>
      </c>
      <c r="D63" t="s">
        <v>1002</v>
      </c>
      <c r="E63">
        <v>4664</v>
      </c>
      <c r="F63">
        <v>3262</v>
      </c>
      <c r="G63">
        <v>-454</v>
      </c>
      <c r="H63" t="s">
        <v>2102</v>
      </c>
      <c r="I63" t="s">
        <v>2357</v>
      </c>
    </row>
    <row r="64" spans="1:9" x14ac:dyDescent="0.2">
      <c r="A64" s="1" t="s">
        <v>1843</v>
      </c>
      <c r="B64" t="s">
        <v>1113</v>
      </c>
      <c r="C64">
        <v>8</v>
      </c>
      <c r="D64" t="s">
        <v>1002</v>
      </c>
      <c r="E64">
        <v>4513</v>
      </c>
      <c r="F64">
        <v>2116</v>
      </c>
      <c r="G64">
        <v>-453</v>
      </c>
      <c r="H64" t="s">
        <v>2097</v>
      </c>
      <c r="I64" t="s">
        <v>2358</v>
      </c>
    </row>
    <row r="65" spans="1:9" x14ac:dyDescent="0.2">
      <c r="A65" s="1" t="s">
        <v>1835</v>
      </c>
      <c r="B65" t="s">
        <v>1113</v>
      </c>
      <c r="C65">
        <v>8</v>
      </c>
      <c r="D65" t="s">
        <v>1002</v>
      </c>
      <c r="E65">
        <v>4653</v>
      </c>
      <c r="F65">
        <v>3702</v>
      </c>
      <c r="G65">
        <v>-400</v>
      </c>
      <c r="H65" t="s">
        <v>2103</v>
      </c>
      <c r="I65" t="s">
        <v>2359</v>
      </c>
    </row>
    <row r="66" spans="1:9" x14ac:dyDescent="0.2">
      <c r="A66" s="1" t="s">
        <v>1840</v>
      </c>
      <c r="B66" t="s">
        <v>1113</v>
      </c>
      <c r="C66">
        <v>8</v>
      </c>
      <c r="D66" t="s">
        <v>1002</v>
      </c>
      <c r="E66">
        <v>3305</v>
      </c>
      <c r="F66">
        <v>1443</v>
      </c>
      <c r="G66">
        <v>-790</v>
      </c>
      <c r="H66" t="s">
        <v>2084</v>
      </c>
      <c r="I66" t="s">
        <v>2360</v>
      </c>
    </row>
    <row r="67" spans="1:9" x14ac:dyDescent="0.2">
      <c r="A67" s="1" t="s">
        <v>1834</v>
      </c>
      <c r="B67" t="s">
        <v>1113</v>
      </c>
      <c r="C67">
        <v>8</v>
      </c>
      <c r="D67" t="s">
        <v>1002</v>
      </c>
      <c r="E67">
        <v>3431</v>
      </c>
      <c r="F67">
        <v>3355</v>
      </c>
      <c r="G67">
        <v>-431</v>
      </c>
      <c r="H67" t="s">
        <v>2099</v>
      </c>
      <c r="I67" t="s">
        <v>2361</v>
      </c>
    </row>
    <row r="68" spans="1:9" x14ac:dyDescent="0.2">
      <c r="A68" s="1" t="s">
        <v>1837</v>
      </c>
      <c r="B68" t="s">
        <v>1113</v>
      </c>
      <c r="C68">
        <v>8</v>
      </c>
      <c r="D68" t="s">
        <v>1002</v>
      </c>
      <c r="E68">
        <v>4346</v>
      </c>
      <c r="F68">
        <v>2875</v>
      </c>
      <c r="G68">
        <v>-608</v>
      </c>
      <c r="H68" t="s">
        <v>2101</v>
      </c>
      <c r="I68" t="s">
        <v>2362</v>
      </c>
    </row>
    <row r="69" spans="1:9" x14ac:dyDescent="0.2">
      <c r="A69" s="1" t="s">
        <v>1935</v>
      </c>
      <c r="B69" t="s">
        <v>801</v>
      </c>
      <c r="C69">
        <v>9</v>
      </c>
      <c r="D69" t="s">
        <v>1002</v>
      </c>
      <c r="E69">
        <v>3784</v>
      </c>
      <c r="F69">
        <v>579</v>
      </c>
      <c r="G69">
        <v>-926</v>
      </c>
      <c r="H69" t="s">
        <v>2081</v>
      </c>
      <c r="I69" t="s">
        <v>2363</v>
      </c>
    </row>
    <row r="70" spans="1:9" x14ac:dyDescent="0.2">
      <c r="A70" s="1" t="s">
        <v>1934</v>
      </c>
      <c r="B70" t="s">
        <v>801</v>
      </c>
      <c r="C70">
        <v>9</v>
      </c>
      <c r="D70" t="s">
        <v>1002</v>
      </c>
      <c r="E70">
        <v>3298</v>
      </c>
      <c r="F70">
        <v>424</v>
      </c>
      <c r="G70">
        <v>-749</v>
      </c>
      <c r="H70" t="s">
        <v>2075</v>
      </c>
      <c r="I70" t="s">
        <v>2364</v>
      </c>
    </row>
    <row r="71" spans="1:9" x14ac:dyDescent="0.2">
      <c r="A71" s="1" t="s">
        <v>1842</v>
      </c>
      <c r="B71" t="s">
        <v>801</v>
      </c>
      <c r="C71">
        <v>9</v>
      </c>
      <c r="D71" t="s">
        <v>1002</v>
      </c>
      <c r="E71">
        <v>4166</v>
      </c>
      <c r="F71">
        <v>1323</v>
      </c>
      <c r="G71">
        <v>-673</v>
      </c>
      <c r="H71" t="s">
        <v>2092</v>
      </c>
      <c r="I71" t="s">
        <v>2365</v>
      </c>
    </row>
    <row r="72" spans="1:9" x14ac:dyDescent="0.2">
      <c r="A72" s="1" t="s">
        <v>1936</v>
      </c>
      <c r="B72" t="s">
        <v>801</v>
      </c>
      <c r="C72">
        <v>9</v>
      </c>
      <c r="D72" t="s">
        <v>1002</v>
      </c>
      <c r="E72">
        <v>3887</v>
      </c>
      <c r="F72">
        <v>-217</v>
      </c>
      <c r="G72">
        <v>-608</v>
      </c>
      <c r="H72" t="s">
        <v>2074</v>
      </c>
      <c r="I72" t="s">
        <v>2366</v>
      </c>
    </row>
    <row r="73" spans="1:9" x14ac:dyDescent="0.2">
      <c r="A73" s="1" t="s">
        <v>1937</v>
      </c>
      <c r="B73" t="s">
        <v>801</v>
      </c>
      <c r="C73">
        <v>9</v>
      </c>
      <c r="D73" t="s">
        <v>1002</v>
      </c>
      <c r="E73">
        <v>4412</v>
      </c>
      <c r="F73">
        <v>-610</v>
      </c>
      <c r="G73">
        <v>-513</v>
      </c>
      <c r="H73" t="s">
        <v>2076</v>
      </c>
      <c r="I73" t="s">
        <v>2367</v>
      </c>
    </row>
    <row r="74" spans="1:9" x14ac:dyDescent="0.2">
      <c r="A74" s="1" t="s">
        <v>1932</v>
      </c>
      <c r="B74" t="s">
        <v>801</v>
      </c>
      <c r="C74">
        <v>9</v>
      </c>
      <c r="D74" t="s">
        <v>1002</v>
      </c>
      <c r="E74">
        <v>2277</v>
      </c>
      <c r="F74">
        <v>150</v>
      </c>
      <c r="G74">
        <v>-501</v>
      </c>
      <c r="H74" t="s">
        <v>2059</v>
      </c>
      <c r="I74" t="s">
        <v>2368</v>
      </c>
    </row>
    <row r="75" spans="1:9" x14ac:dyDescent="0.2">
      <c r="A75" s="1" t="s">
        <v>1844</v>
      </c>
      <c r="B75" t="s">
        <v>801</v>
      </c>
      <c r="C75">
        <v>9</v>
      </c>
      <c r="D75" t="s">
        <v>1002</v>
      </c>
      <c r="E75">
        <v>4498</v>
      </c>
      <c r="F75">
        <v>825</v>
      </c>
      <c r="G75">
        <v>-535</v>
      </c>
      <c r="H75" t="s">
        <v>2091</v>
      </c>
      <c r="I75" t="s">
        <v>2369</v>
      </c>
    </row>
    <row r="76" spans="1:9" x14ac:dyDescent="0.2">
      <c r="A76" s="1" t="s">
        <v>1933</v>
      </c>
      <c r="B76" t="s">
        <v>801</v>
      </c>
      <c r="C76">
        <v>9</v>
      </c>
      <c r="D76" t="s">
        <v>1002</v>
      </c>
      <c r="E76">
        <v>2918</v>
      </c>
      <c r="F76">
        <v>505</v>
      </c>
      <c r="G76">
        <v>-795</v>
      </c>
      <c r="H76" t="s">
        <v>2067</v>
      </c>
      <c r="I76" t="s">
        <v>2370</v>
      </c>
    </row>
    <row r="77" spans="1:9" x14ac:dyDescent="0.2">
      <c r="A77" s="1" t="s">
        <v>1944</v>
      </c>
      <c r="B77" t="s">
        <v>803</v>
      </c>
      <c r="C77">
        <v>10</v>
      </c>
      <c r="D77" t="s">
        <v>1002</v>
      </c>
      <c r="E77">
        <v>1770</v>
      </c>
      <c r="F77">
        <v>-1050</v>
      </c>
      <c r="G77">
        <v>-61</v>
      </c>
      <c r="H77" t="s">
        <v>2033</v>
      </c>
      <c r="I77" t="s">
        <v>2371</v>
      </c>
    </row>
    <row r="78" spans="1:9" x14ac:dyDescent="0.2">
      <c r="A78" s="1" t="s">
        <v>1930</v>
      </c>
      <c r="B78" t="s">
        <v>803</v>
      </c>
      <c r="C78">
        <v>10</v>
      </c>
      <c r="D78" t="s">
        <v>1002</v>
      </c>
      <c r="E78">
        <v>915</v>
      </c>
      <c r="F78">
        <v>-250</v>
      </c>
      <c r="G78">
        <v>-481</v>
      </c>
      <c r="H78" t="s">
        <v>2032</v>
      </c>
      <c r="I78" t="s">
        <v>2372</v>
      </c>
    </row>
    <row r="79" spans="1:9" x14ac:dyDescent="0.2">
      <c r="A79" s="1" t="s">
        <v>1943</v>
      </c>
      <c r="B79" t="s">
        <v>803</v>
      </c>
      <c r="C79">
        <v>10</v>
      </c>
      <c r="D79" t="s">
        <v>1002</v>
      </c>
      <c r="E79">
        <v>1183</v>
      </c>
      <c r="F79">
        <v>-780</v>
      </c>
      <c r="G79">
        <v>-500</v>
      </c>
      <c r="H79" t="s">
        <v>2029</v>
      </c>
      <c r="I79" t="s">
        <v>2373</v>
      </c>
    </row>
    <row r="80" spans="1:9" x14ac:dyDescent="0.2">
      <c r="A80" s="1" t="s">
        <v>1939</v>
      </c>
      <c r="B80" t="s">
        <v>803</v>
      </c>
      <c r="C80">
        <v>10</v>
      </c>
      <c r="D80" t="s">
        <v>1002</v>
      </c>
      <c r="E80">
        <v>2755</v>
      </c>
      <c r="F80">
        <v>-1089</v>
      </c>
      <c r="G80">
        <v>-54</v>
      </c>
      <c r="H80" t="s">
        <v>2047</v>
      </c>
      <c r="I80" t="s">
        <v>2374</v>
      </c>
    </row>
    <row r="81" spans="1:9" x14ac:dyDescent="0.2">
      <c r="A81" s="1" t="s">
        <v>1868</v>
      </c>
      <c r="B81" t="s">
        <v>803</v>
      </c>
      <c r="C81">
        <v>10</v>
      </c>
      <c r="D81" t="s">
        <v>1002</v>
      </c>
      <c r="E81">
        <v>1202</v>
      </c>
      <c r="F81">
        <v>329</v>
      </c>
      <c r="G81">
        <v>-574</v>
      </c>
      <c r="H81" t="s">
        <v>2044</v>
      </c>
      <c r="I81" t="s">
        <v>2375</v>
      </c>
    </row>
    <row r="82" spans="1:9" x14ac:dyDescent="0.2">
      <c r="A82" s="1" t="s">
        <v>1945</v>
      </c>
      <c r="B82" t="s">
        <v>803</v>
      </c>
      <c r="C82">
        <v>10</v>
      </c>
      <c r="D82" t="s">
        <v>1002</v>
      </c>
      <c r="E82">
        <v>1564</v>
      </c>
      <c r="F82">
        <v>-1945</v>
      </c>
      <c r="G82">
        <v>-464</v>
      </c>
      <c r="H82" t="s">
        <v>2019</v>
      </c>
      <c r="I82" t="s">
        <v>2376</v>
      </c>
    </row>
    <row r="83" spans="1:9" x14ac:dyDescent="0.2">
      <c r="A83" s="1" t="s">
        <v>1938</v>
      </c>
      <c r="B83" t="s">
        <v>803</v>
      </c>
      <c r="C83">
        <v>10</v>
      </c>
      <c r="D83" t="s">
        <v>1002</v>
      </c>
      <c r="E83">
        <v>2362</v>
      </c>
      <c r="F83">
        <v>-511</v>
      </c>
      <c r="G83">
        <v>-589</v>
      </c>
      <c r="H83" t="s">
        <v>2050</v>
      </c>
      <c r="I83" t="s">
        <v>2377</v>
      </c>
    </row>
    <row r="84" spans="1:9" x14ac:dyDescent="0.2">
      <c r="A84" s="1" t="s">
        <v>1931</v>
      </c>
      <c r="B84" t="s">
        <v>803</v>
      </c>
      <c r="C84">
        <v>10</v>
      </c>
      <c r="D84" t="s">
        <v>1002</v>
      </c>
      <c r="E84">
        <v>1743</v>
      </c>
      <c r="F84">
        <v>18</v>
      </c>
      <c r="G84">
        <v>-459</v>
      </c>
      <c r="H84" t="s">
        <v>2049</v>
      </c>
      <c r="I84" t="s">
        <v>2378</v>
      </c>
    </row>
    <row r="85" spans="1:9" x14ac:dyDescent="0.2">
      <c r="A85" s="1" t="s">
        <v>1869</v>
      </c>
      <c r="B85" t="s">
        <v>803</v>
      </c>
      <c r="C85">
        <v>10</v>
      </c>
      <c r="D85" t="s">
        <v>1002</v>
      </c>
      <c r="E85">
        <v>756</v>
      </c>
      <c r="F85">
        <v>823</v>
      </c>
      <c r="G85">
        <v>-531</v>
      </c>
      <c r="H85" t="s">
        <v>2045</v>
      </c>
      <c r="I85" t="s">
        <v>2379</v>
      </c>
    </row>
    <row r="86" spans="1:9" x14ac:dyDescent="0.2">
      <c r="A86" s="1" t="s">
        <v>1952</v>
      </c>
      <c r="B86" t="s">
        <v>804</v>
      </c>
      <c r="C86">
        <v>11</v>
      </c>
      <c r="D86" t="s">
        <v>1002</v>
      </c>
      <c r="E86">
        <v>4231</v>
      </c>
      <c r="F86">
        <v>-2178</v>
      </c>
      <c r="G86">
        <v>-521</v>
      </c>
      <c r="H86" t="s">
        <v>2052</v>
      </c>
      <c r="I86" t="s">
        <v>2380</v>
      </c>
    </row>
    <row r="87" spans="1:9" x14ac:dyDescent="0.2">
      <c r="A87" s="1" t="s">
        <v>1950</v>
      </c>
      <c r="B87" t="s">
        <v>804</v>
      </c>
      <c r="C87">
        <v>11</v>
      </c>
      <c r="D87" t="s">
        <v>1002</v>
      </c>
      <c r="E87">
        <v>3469</v>
      </c>
      <c r="F87">
        <v>-2180</v>
      </c>
      <c r="G87">
        <v>-594</v>
      </c>
      <c r="H87" t="s">
        <v>2041</v>
      </c>
      <c r="I87" t="s">
        <v>2381</v>
      </c>
    </row>
    <row r="88" spans="1:9" x14ac:dyDescent="0.2">
      <c r="A88" s="1" t="s">
        <v>1951</v>
      </c>
      <c r="B88" t="s">
        <v>804</v>
      </c>
      <c r="C88">
        <v>11</v>
      </c>
      <c r="D88" t="s">
        <v>1002</v>
      </c>
      <c r="E88">
        <v>3730</v>
      </c>
      <c r="F88">
        <v>-2057</v>
      </c>
      <c r="G88">
        <v>-665</v>
      </c>
      <c r="H88" t="s">
        <v>2048</v>
      </c>
      <c r="I88" t="s">
        <v>2382</v>
      </c>
    </row>
    <row r="89" spans="1:9" x14ac:dyDescent="0.2">
      <c r="A89" s="1" t="s">
        <v>1942</v>
      </c>
      <c r="B89" t="s">
        <v>804</v>
      </c>
      <c r="C89">
        <v>11</v>
      </c>
      <c r="D89" t="s">
        <v>1002</v>
      </c>
      <c r="E89">
        <v>4266</v>
      </c>
      <c r="F89">
        <v>-1674</v>
      </c>
      <c r="G89">
        <v>-628</v>
      </c>
      <c r="H89" t="s">
        <v>2062</v>
      </c>
      <c r="I89" t="s">
        <v>2383</v>
      </c>
    </row>
    <row r="90" spans="1:9" x14ac:dyDescent="0.2">
      <c r="A90" s="1" t="s">
        <v>1940</v>
      </c>
      <c r="B90" t="s">
        <v>804</v>
      </c>
      <c r="C90">
        <v>11</v>
      </c>
      <c r="D90" t="s">
        <v>1002</v>
      </c>
      <c r="E90">
        <v>3346</v>
      </c>
      <c r="F90">
        <v>-1188</v>
      </c>
      <c r="G90">
        <v>-610</v>
      </c>
      <c r="H90" t="s">
        <v>2054</v>
      </c>
      <c r="I90" t="s">
        <v>2384</v>
      </c>
    </row>
    <row r="91" spans="1:9" x14ac:dyDescent="0.2">
      <c r="A91" s="1" t="s">
        <v>1941</v>
      </c>
      <c r="B91" t="s">
        <v>804</v>
      </c>
      <c r="C91">
        <v>11</v>
      </c>
      <c r="D91" t="s">
        <v>1002</v>
      </c>
      <c r="E91">
        <v>3527</v>
      </c>
      <c r="F91">
        <v>-1481</v>
      </c>
      <c r="G91">
        <v>-612</v>
      </c>
      <c r="H91" t="s">
        <v>2051</v>
      </c>
      <c r="I91" t="s">
        <v>2385</v>
      </c>
    </row>
    <row r="92" spans="1:9" x14ac:dyDescent="0.2">
      <c r="A92" s="1" t="s">
        <v>1947</v>
      </c>
      <c r="B92" t="s">
        <v>805</v>
      </c>
      <c r="C92">
        <v>12</v>
      </c>
      <c r="D92" t="s">
        <v>1002</v>
      </c>
      <c r="E92">
        <v>3094</v>
      </c>
      <c r="F92">
        <v>-3209</v>
      </c>
      <c r="G92">
        <v>-594</v>
      </c>
      <c r="H92" t="s">
        <v>2021</v>
      </c>
      <c r="I92" t="s">
        <v>2386</v>
      </c>
    </row>
    <row r="93" spans="1:9" x14ac:dyDescent="0.2">
      <c r="A93" s="1" t="s">
        <v>1948</v>
      </c>
      <c r="B93" t="s">
        <v>805</v>
      </c>
      <c r="C93">
        <v>12</v>
      </c>
      <c r="D93" t="s">
        <v>1002</v>
      </c>
      <c r="E93">
        <v>2826</v>
      </c>
      <c r="F93">
        <v>-3271</v>
      </c>
      <c r="G93">
        <v>-527</v>
      </c>
      <c r="H93" t="s">
        <v>2018</v>
      </c>
      <c r="I93" t="s">
        <v>2387</v>
      </c>
    </row>
    <row r="94" spans="1:9" x14ac:dyDescent="0.2">
      <c r="A94" s="1" t="s">
        <v>1949</v>
      </c>
      <c r="B94" t="s">
        <v>805</v>
      </c>
      <c r="C94">
        <v>12</v>
      </c>
      <c r="D94" t="s">
        <v>1002</v>
      </c>
      <c r="E94">
        <v>4632</v>
      </c>
      <c r="F94">
        <v>-3712</v>
      </c>
      <c r="G94">
        <v>-506</v>
      </c>
      <c r="H94" t="s">
        <v>2127</v>
      </c>
      <c r="I94" t="s">
        <v>2388</v>
      </c>
    </row>
    <row r="95" spans="1:9" x14ac:dyDescent="0.2">
      <c r="A95" s="1" t="s">
        <v>1946</v>
      </c>
      <c r="B95" t="s">
        <v>805</v>
      </c>
      <c r="C95">
        <v>12</v>
      </c>
      <c r="D95" t="s">
        <v>1002</v>
      </c>
      <c r="E95">
        <v>2304</v>
      </c>
      <c r="F95">
        <v>-2377</v>
      </c>
      <c r="G95">
        <v>-617</v>
      </c>
      <c r="H95" t="s">
        <v>2022</v>
      </c>
      <c r="I95" t="s">
        <v>2389</v>
      </c>
    </row>
    <row r="96" spans="1:9" x14ac:dyDescent="0.2">
      <c r="A96" s="1" t="s">
        <v>1893</v>
      </c>
      <c r="B96" t="s">
        <v>794</v>
      </c>
      <c r="C96">
        <v>13</v>
      </c>
      <c r="D96" t="s">
        <v>1002</v>
      </c>
      <c r="E96">
        <v>104</v>
      </c>
      <c r="F96">
        <v>-2517</v>
      </c>
      <c r="G96">
        <v>-414</v>
      </c>
      <c r="H96" t="s">
        <v>1983</v>
      </c>
      <c r="I96" t="s">
        <v>2390</v>
      </c>
    </row>
    <row r="97" spans="1:9" x14ac:dyDescent="0.2">
      <c r="A97" s="1" t="s">
        <v>1890</v>
      </c>
      <c r="B97" t="s">
        <v>794</v>
      </c>
      <c r="C97">
        <v>13</v>
      </c>
      <c r="D97" t="s">
        <v>1002</v>
      </c>
      <c r="E97">
        <v>348</v>
      </c>
      <c r="F97">
        <v>-2050</v>
      </c>
      <c r="G97">
        <v>-471</v>
      </c>
      <c r="H97" t="s">
        <v>1993</v>
      </c>
      <c r="I97" t="s">
        <v>2391</v>
      </c>
    </row>
    <row r="98" spans="1:9" x14ac:dyDescent="0.2">
      <c r="A98" s="1" t="s">
        <v>1895</v>
      </c>
      <c r="B98" t="s">
        <v>794</v>
      </c>
      <c r="C98">
        <v>13</v>
      </c>
      <c r="D98" t="s">
        <v>1002</v>
      </c>
      <c r="E98">
        <v>669</v>
      </c>
      <c r="F98">
        <v>-3358</v>
      </c>
      <c r="G98">
        <v>-484</v>
      </c>
      <c r="H98" t="s">
        <v>1981</v>
      </c>
      <c r="I98" t="s">
        <v>2392</v>
      </c>
    </row>
    <row r="99" spans="1:9" x14ac:dyDescent="0.2">
      <c r="A99" s="1" t="s">
        <v>1891</v>
      </c>
      <c r="B99" t="s">
        <v>794</v>
      </c>
      <c r="C99">
        <v>13</v>
      </c>
      <c r="D99" t="s">
        <v>1002</v>
      </c>
      <c r="E99">
        <v>867</v>
      </c>
      <c r="F99">
        <v>-2280</v>
      </c>
      <c r="G99">
        <v>-556</v>
      </c>
      <c r="H99" t="s">
        <v>2000</v>
      </c>
      <c r="I99" t="s">
        <v>2393</v>
      </c>
    </row>
    <row r="100" spans="1:9" x14ac:dyDescent="0.2">
      <c r="A100" s="1" t="s">
        <v>1896</v>
      </c>
      <c r="B100" t="s">
        <v>794</v>
      </c>
      <c r="C100">
        <v>13</v>
      </c>
      <c r="D100" t="s">
        <v>1002</v>
      </c>
      <c r="E100">
        <v>-562</v>
      </c>
      <c r="F100">
        <v>-3524</v>
      </c>
      <c r="G100">
        <v>-574</v>
      </c>
      <c r="H100" t="s">
        <v>1968</v>
      </c>
      <c r="I100" t="s">
        <v>2394</v>
      </c>
    </row>
    <row r="101" spans="1:9" x14ac:dyDescent="0.2">
      <c r="A101" s="1" t="s">
        <v>1892</v>
      </c>
      <c r="B101" t="s">
        <v>794</v>
      </c>
      <c r="C101">
        <v>13</v>
      </c>
      <c r="D101" t="s">
        <v>1002</v>
      </c>
      <c r="E101">
        <v>1217</v>
      </c>
      <c r="F101">
        <v>-2542</v>
      </c>
      <c r="G101">
        <v>-612</v>
      </c>
      <c r="H101" t="s">
        <v>2002</v>
      </c>
      <c r="I101" t="s">
        <v>2395</v>
      </c>
    </row>
    <row r="102" spans="1:9" x14ac:dyDescent="0.2">
      <c r="A102" s="1" t="s">
        <v>1894</v>
      </c>
      <c r="B102" t="s">
        <v>794</v>
      </c>
      <c r="C102">
        <v>13</v>
      </c>
      <c r="D102" t="s">
        <v>1002</v>
      </c>
      <c r="E102">
        <v>1516</v>
      </c>
      <c r="F102">
        <v>-3576</v>
      </c>
      <c r="G102">
        <v>-529</v>
      </c>
      <c r="H102" t="s">
        <v>1989</v>
      </c>
      <c r="I102" t="s">
        <v>2396</v>
      </c>
    </row>
    <row r="103" spans="1:9" x14ac:dyDescent="0.2">
      <c r="A103" s="1" t="s">
        <v>1889</v>
      </c>
      <c r="B103" t="s">
        <v>794</v>
      </c>
      <c r="C103">
        <v>13</v>
      </c>
      <c r="D103" t="s">
        <v>1002</v>
      </c>
      <c r="E103">
        <v>931</v>
      </c>
      <c r="F103">
        <v>-1902</v>
      </c>
      <c r="G103">
        <v>-461</v>
      </c>
      <c r="H103" t="s">
        <v>2006</v>
      </c>
      <c r="I103" t="s">
        <v>2397</v>
      </c>
    </row>
    <row r="104" spans="1:9" x14ac:dyDescent="0.2">
      <c r="A104" s="1" t="s">
        <v>1905</v>
      </c>
      <c r="B104" t="s">
        <v>798</v>
      </c>
      <c r="C104">
        <v>14</v>
      </c>
      <c r="D104" t="s">
        <v>1002</v>
      </c>
      <c r="E104">
        <v>-2445</v>
      </c>
      <c r="F104">
        <v>-3345</v>
      </c>
      <c r="G104">
        <v>-465</v>
      </c>
      <c r="H104" t="s">
        <v>1961</v>
      </c>
      <c r="I104" t="s">
        <v>2398</v>
      </c>
    </row>
    <row r="105" spans="1:9" x14ac:dyDescent="0.2">
      <c r="A105" s="1" t="s">
        <v>1909</v>
      </c>
      <c r="B105" t="s">
        <v>798</v>
      </c>
      <c r="C105">
        <v>14</v>
      </c>
      <c r="D105" t="s">
        <v>1002</v>
      </c>
      <c r="E105">
        <v>-3726</v>
      </c>
      <c r="F105">
        <v>-3625</v>
      </c>
      <c r="G105">
        <v>-494</v>
      </c>
      <c r="H105" t="s">
        <v>1955</v>
      </c>
      <c r="I105" t="s">
        <v>2399</v>
      </c>
    </row>
    <row r="106" spans="1:9" x14ac:dyDescent="0.2">
      <c r="A106" s="1" t="s">
        <v>1911</v>
      </c>
      <c r="B106" t="s">
        <v>798</v>
      </c>
      <c r="C106">
        <v>14</v>
      </c>
      <c r="D106" t="s">
        <v>1002</v>
      </c>
      <c r="E106">
        <v>-4679</v>
      </c>
      <c r="F106">
        <v>-3086</v>
      </c>
      <c r="G106">
        <v>-503</v>
      </c>
      <c r="H106" t="s">
        <v>1954</v>
      </c>
      <c r="I106" t="s">
        <v>2400</v>
      </c>
    </row>
    <row r="107" spans="1:9" x14ac:dyDescent="0.2">
      <c r="A107" s="1" t="s">
        <v>1908</v>
      </c>
      <c r="B107" t="s">
        <v>798</v>
      </c>
      <c r="C107">
        <v>14</v>
      </c>
      <c r="D107" t="s">
        <v>1002</v>
      </c>
      <c r="E107">
        <v>-3883</v>
      </c>
      <c r="F107">
        <v>-2964</v>
      </c>
      <c r="G107">
        <v>-434</v>
      </c>
      <c r="H107" t="s">
        <v>1956</v>
      </c>
      <c r="I107" t="s">
        <v>2401</v>
      </c>
    </row>
    <row r="108" spans="1:9" x14ac:dyDescent="0.2">
      <c r="A108" s="1" t="s">
        <v>1901</v>
      </c>
      <c r="B108" t="s">
        <v>798</v>
      </c>
      <c r="C108">
        <v>14</v>
      </c>
      <c r="D108" t="s">
        <v>1002</v>
      </c>
      <c r="E108">
        <v>-2031</v>
      </c>
      <c r="F108">
        <v>-1847</v>
      </c>
      <c r="G108">
        <v>-504</v>
      </c>
      <c r="H108" t="s">
        <v>1970</v>
      </c>
      <c r="I108" t="s">
        <v>2402</v>
      </c>
    </row>
    <row r="109" spans="1:9" x14ac:dyDescent="0.2">
      <c r="A109" s="1" t="s">
        <v>1910</v>
      </c>
      <c r="B109" t="s">
        <v>798</v>
      </c>
      <c r="C109">
        <v>14</v>
      </c>
      <c r="D109" t="s">
        <v>1002</v>
      </c>
      <c r="E109">
        <v>-4159</v>
      </c>
      <c r="F109">
        <v>-3824</v>
      </c>
      <c r="G109">
        <v>-478</v>
      </c>
      <c r="H109" t="s">
        <v>1953</v>
      </c>
      <c r="I109" t="s">
        <v>2403</v>
      </c>
    </row>
    <row r="110" spans="1:9" x14ac:dyDescent="0.2">
      <c r="A110" s="1" t="s">
        <v>1902</v>
      </c>
      <c r="B110" t="s">
        <v>798</v>
      </c>
      <c r="C110">
        <v>14</v>
      </c>
      <c r="D110" t="s">
        <v>1002</v>
      </c>
      <c r="E110">
        <v>-1529</v>
      </c>
      <c r="F110">
        <v>-2928</v>
      </c>
      <c r="G110">
        <v>-731</v>
      </c>
      <c r="H110" t="s">
        <v>1966</v>
      </c>
      <c r="I110" t="s">
        <v>2404</v>
      </c>
    </row>
    <row r="111" spans="1:9" x14ac:dyDescent="0.2">
      <c r="A111" s="1" t="s">
        <v>1903</v>
      </c>
      <c r="B111" t="s">
        <v>798</v>
      </c>
      <c r="C111">
        <v>14</v>
      </c>
      <c r="D111" t="s">
        <v>1002</v>
      </c>
      <c r="E111">
        <v>-2658</v>
      </c>
      <c r="F111">
        <v>-2236</v>
      </c>
      <c r="G111">
        <v>-488</v>
      </c>
      <c r="H111" t="s">
        <v>1964</v>
      </c>
      <c r="I111" t="s">
        <v>2405</v>
      </c>
    </row>
    <row r="112" spans="1:9" x14ac:dyDescent="0.2">
      <c r="A112" s="1" t="s">
        <v>1906</v>
      </c>
      <c r="B112" t="s">
        <v>798</v>
      </c>
      <c r="C112">
        <v>14</v>
      </c>
      <c r="D112" t="s">
        <v>1002</v>
      </c>
      <c r="E112">
        <v>-3211</v>
      </c>
      <c r="F112">
        <v>-3007</v>
      </c>
      <c r="G112">
        <v>-470</v>
      </c>
      <c r="H112" t="s">
        <v>1958</v>
      </c>
      <c r="I112" t="s">
        <v>2406</v>
      </c>
    </row>
    <row r="113" spans="1:9" x14ac:dyDescent="0.2">
      <c r="A113" s="1" t="s">
        <v>1912</v>
      </c>
      <c r="B113" t="s">
        <v>798</v>
      </c>
      <c r="C113">
        <v>14</v>
      </c>
      <c r="D113" t="s">
        <v>1002</v>
      </c>
      <c r="E113">
        <v>-4168</v>
      </c>
      <c r="F113">
        <v>-2144</v>
      </c>
      <c r="G113">
        <v>-487</v>
      </c>
      <c r="H113" t="s">
        <v>1957</v>
      </c>
      <c r="I113" t="s">
        <v>2407</v>
      </c>
    </row>
    <row r="114" spans="1:9" x14ac:dyDescent="0.2">
      <c r="A114" s="1" t="s">
        <v>1904</v>
      </c>
      <c r="B114" t="s">
        <v>798</v>
      </c>
      <c r="C114">
        <v>14</v>
      </c>
      <c r="D114" t="s">
        <v>1002</v>
      </c>
      <c r="E114">
        <v>-1795</v>
      </c>
      <c r="F114">
        <v>-3485</v>
      </c>
      <c r="G114">
        <v>-477</v>
      </c>
      <c r="H114" t="s">
        <v>1994</v>
      </c>
      <c r="I114" t="s">
        <v>2408</v>
      </c>
    </row>
    <row r="115" spans="1:9" x14ac:dyDescent="0.2">
      <c r="A115" s="1" t="s">
        <v>1907</v>
      </c>
      <c r="B115" t="s">
        <v>798</v>
      </c>
      <c r="C115">
        <v>14</v>
      </c>
      <c r="D115" t="s">
        <v>1002</v>
      </c>
      <c r="E115">
        <v>-3292</v>
      </c>
      <c r="F115">
        <v>-2509</v>
      </c>
      <c r="G115">
        <v>-475</v>
      </c>
      <c r="H115" t="s">
        <v>1960</v>
      </c>
      <c r="I115" t="s">
        <v>2409</v>
      </c>
    </row>
    <row r="116" spans="1:9" x14ac:dyDescent="0.2">
      <c r="A116" s="1" t="s">
        <v>1914</v>
      </c>
      <c r="B116" t="s">
        <v>797</v>
      </c>
      <c r="C116">
        <v>15</v>
      </c>
      <c r="D116" t="s">
        <v>1002</v>
      </c>
      <c r="E116">
        <v>-3496</v>
      </c>
      <c r="F116">
        <v>-197</v>
      </c>
      <c r="G116">
        <v>-516</v>
      </c>
      <c r="H116" t="s">
        <v>1973</v>
      </c>
      <c r="I116" t="s">
        <v>2410</v>
      </c>
    </row>
    <row r="117" spans="1:9" x14ac:dyDescent="0.2">
      <c r="A117" s="1" t="s">
        <v>1900</v>
      </c>
      <c r="B117" t="s">
        <v>797</v>
      </c>
      <c r="C117">
        <v>15</v>
      </c>
      <c r="D117" t="s">
        <v>1002</v>
      </c>
      <c r="E117">
        <v>-2523</v>
      </c>
      <c r="F117">
        <v>-1770</v>
      </c>
      <c r="G117">
        <v>-713</v>
      </c>
      <c r="H117" t="s">
        <v>1967</v>
      </c>
      <c r="I117" t="s">
        <v>2411</v>
      </c>
    </row>
    <row r="118" spans="1:9" x14ac:dyDescent="0.2">
      <c r="A118" s="1" t="s">
        <v>1897</v>
      </c>
      <c r="B118" t="s">
        <v>797</v>
      </c>
      <c r="C118">
        <v>15</v>
      </c>
      <c r="D118" t="s">
        <v>1002</v>
      </c>
      <c r="E118">
        <v>-4468</v>
      </c>
      <c r="F118">
        <v>-670</v>
      </c>
      <c r="G118">
        <v>-949</v>
      </c>
      <c r="H118" t="s">
        <v>1962</v>
      </c>
      <c r="I118" t="s">
        <v>2412</v>
      </c>
    </row>
    <row r="119" spans="1:9" x14ac:dyDescent="0.2">
      <c r="A119" s="1" t="s">
        <v>1913</v>
      </c>
      <c r="B119" t="s">
        <v>797</v>
      </c>
      <c r="C119">
        <v>15</v>
      </c>
      <c r="D119" t="s">
        <v>1002</v>
      </c>
      <c r="E119">
        <v>-4152</v>
      </c>
      <c r="F119">
        <v>98</v>
      </c>
      <c r="G119">
        <v>-489</v>
      </c>
      <c r="H119" t="s">
        <v>1969</v>
      </c>
      <c r="I119" t="s">
        <v>2413</v>
      </c>
    </row>
    <row r="120" spans="1:9" x14ac:dyDescent="0.2">
      <c r="A120" s="1" t="s">
        <v>1898</v>
      </c>
      <c r="B120" t="s">
        <v>797</v>
      </c>
      <c r="C120">
        <v>15</v>
      </c>
      <c r="D120" t="s">
        <v>1002</v>
      </c>
      <c r="E120">
        <v>-4637</v>
      </c>
      <c r="F120">
        <v>-1514</v>
      </c>
      <c r="G120">
        <v>-890</v>
      </c>
      <c r="H120" t="s">
        <v>1959</v>
      </c>
      <c r="I120" t="s">
        <v>2414</v>
      </c>
    </row>
    <row r="121" spans="1:9" x14ac:dyDescent="0.2">
      <c r="A121" s="1" t="s">
        <v>1899</v>
      </c>
      <c r="B121" t="s">
        <v>797</v>
      </c>
      <c r="C121">
        <v>15</v>
      </c>
      <c r="D121" t="s">
        <v>1002</v>
      </c>
      <c r="E121">
        <v>-3407</v>
      </c>
      <c r="F121">
        <v>-1362</v>
      </c>
      <c r="G121">
        <v>-77</v>
      </c>
      <c r="H121" t="s">
        <v>1965</v>
      </c>
      <c r="I121" t="s">
        <v>2415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7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2141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8" t="s">
        <v>2133</v>
      </c>
      <c r="J1" s="10"/>
      <c r="K1" s="10"/>
    </row>
    <row r="2" spans="1:11" x14ac:dyDescent="0.2">
      <c r="A2" s="1" t="s">
        <v>2017</v>
      </c>
      <c r="B2" s="1" t="s">
        <v>2145</v>
      </c>
      <c r="C2" s="2" t="s">
        <v>2122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7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20"/>
    </row>
    <row r="3" spans="1:11" x14ac:dyDescent="0.2">
      <c r="A3" s="1" t="s">
        <v>2016</v>
      </c>
      <c r="B3" s="1" t="s">
        <v>2145</v>
      </c>
      <c r="C3" s="2" t="s">
        <v>2122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7" t="s">
        <v>2146</v>
      </c>
    </row>
    <row r="4" spans="1:11" x14ac:dyDescent="0.2">
      <c r="A4" s="1" t="s">
        <v>2028</v>
      </c>
      <c r="B4" s="1" t="s">
        <v>2144</v>
      </c>
      <c r="C4" s="2" t="s">
        <v>2122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7" t="s">
        <v>2147</v>
      </c>
    </row>
    <row r="5" spans="1:11" x14ac:dyDescent="0.2">
      <c r="A5" s="1" t="s">
        <v>2042</v>
      </c>
      <c r="B5" s="1" t="s">
        <v>2145</v>
      </c>
      <c r="C5" s="2" t="s">
        <v>2122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7" t="s">
        <v>2148</v>
      </c>
    </row>
    <row r="6" spans="1:11" x14ac:dyDescent="0.2">
      <c r="A6" s="1" t="s">
        <v>2039</v>
      </c>
      <c r="B6" s="1" t="s">
        <v>2145</v>
      </c>
      <c r="C6" s="2" t="s">
        <v>2122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7" t="s">
        <v>2149</v>
      </c>
    </row>
    <row r="7" spans="1:11" x14ac:dyDescent="0.2">
      <c r="A7" s="1" t="s">
        <v>2003</v>
      </c>
      <c r="B7" s="1" t="s">
        <v>2145</v>
      </c>
      <c r="C7" s="2" t="s">
        <v>2122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7" t="s">
        <v>2150</v>
      </c>
    </row>
    <row r="8" spans="1:11" x14ac:dyDescent="0.2">
      <c r="A8" s="1" t="s">
        <v>2035</v>
      </c>
      <c r="B8" s="1" t="s">
        <v>2144</v>
      </c>
      <c r="C8" s="2" t="s">
        <v>2122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7" t="s">
        <v>2151</v>
      </c>
    </row>
    <row r="9" spans="1:11" x14ac:dyDescent="0.2">
      <c r="A9" s="1" t="s">
        <v>1998</v>
      </c>
      <c r="B9" s="1" t="s">
        <v>2145</v>
      </c>
      <c r="C9" s="2" t="s">
        <v>2123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7" t="s">
        <v>2152</v>
      </c>
    </row>
    <row r="10" spans="1:11" x14ac:dyDescent="0.2">
      <c r="A10" s="1" t="s">
        <v>1980</v>
      </c>
      <c r="B10" s="1" t="s">
        <v>2143</v>
      </c>
      <c r="C10" s="2" t="s">
        <v>2123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7" t="s">
        <v>2153</v>
      </c>
    </row>
    <row r="11" spans="1:11" x14ac:dyDescent="0.2">
      <c r="A11" s="1" t="s">
        <v>2014</v>
      </c>
      <c r="B11" s="1" t="s">
        <v>2145</v>
      </c>
      <c r="C11" s="2" t="s">
        <v>2123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7" t="s">
        <v>2154</v>
      </c>
    </row>
    <row r="12" spans="1:11" x14ac:dyDescent="0.2">
      <c r="A12" s="1" t="s">
        <v>1992</v>
      </c>
      <c r="B12" s="1" t="s">
        <v>2142</v>
      </c>
      <c r="C12" s="2" t="s">
        <v>2123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7" t="s">
        <v>2155</v>
      </c>
    </row>
    <row r="13" spans="1:11" x14ac:dyDescent="0.2">
      <c r="A13" s="1" t="s">
        <v>1986</v>
      </c>
      <c r="B13" s="1" t="s">
        <v>2145</v>
      </c>
      <c r="C13" s="2" t="s">
        <v>2123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7" t="s">
        <v>2156</v>
      </c>
    </row>
    <row r="14" spans="1:11" x14ac:dyDescent="0.2">
      <c r="A14" s="1" t="s">
        <v>1997</v>
      </c>
      <c r="B14" s="1" t="s">
        <v>2145</v>
      </c>
      <c r="C14" s="2" t="s">
        <v>2123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7" t="s">
        <v>2157</v>
      </c>
    </row>
    <row r="15" spans="1:11" x14ac:dyDescent="0.2">
      <c r="A15" s="1" t="s">
        <v>1975</v>
      </c>
      <c r="B15" s="1" t="s">
        <v>2145</v>
      </c>
      <c r="C15" s="2" t="s">
        <v>2123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7" t="s">
        <v>2158</v>
      </c>
    </row>
    <row r="16" spans="1:11" x14ac:dyDescent="0.2">
      <c r="A16" s="1" t="s">
        <v>1984</v>
      </c>
      <c r="B16" s="1" t="s">
        <v>2145</v>
      </c>
      <c r="C16" s="2" t="s">
        <v>2123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7" t="s">
        <v>2159</v>
      </c>
    </row>
    <row r="17" spans="1:11" x14ac:dyDescent="0.2">
      <c r="A17" s="1" t="s">
        <v>1974</v>
      </c>
      <c r="B17" s="1" t="s">
        <v>2145</v>
      </c>
      <c r="C17" s="2" t="s">
        <v>2123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7" t="s">
        <v>2160</v>
      </c>
      <c r="J17" s="11"/>
      <c r="K17" s="11"/>
    </row>
    <row r="18" spans="1:11" x14ac:dyDescent="0.2">
      <c r="A18" s="1" t="s">
        <v>2012</v>
      </c>
      <c r="B18" s="1" t="s">
        <v>2145</v>
      </c>
      <c r="C18" s="2" t="s">
        <v>2123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7" t="s">
        <v>2161</v>
      </c>
      <c r="J18" s="11"/>
      <c r="K18" s="11"/>
    </row>
    <row r="19" spans="1:11" x14ac:dyDescent="0.2">
      <c r="A19" s="1" t="s">
        <v>2004</v>
      </c>
      <c r="B19" s="1" t="s">
        <v>2144</v>
      </c>
      <c r="C19" s="2" t="s">
        <v>2123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7" t="s">
        <v>2162</v>
      </c>
      <c r="J19" s="11"/>
      <c r="K19" s="11"/>
    </row>
    <row r="20" spans="1:11" x14ac:dyDescent="0.2">
      <c r="A20" s="1" t="s">
        <v>1979</v>
      </c>
      <c r="B20" s="1" t="s">
        <v>2145</v>
      </c>
      <c r="C20" s="2" t="s">
        <v>2123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7" t="s">
        <v>2163</v>
      </c>
      <c r="J20" s="11"/>
      <c r="K20" s="11"/>
    </row>
    <row r="21" spans="1:11" x14ac:dyDescent="0.2">
      <c r="A21" s="1" t="s">
        <v>1976</v>
      </c>
      <c r="B21" s="1" t="s">
        <v>2143</v>
      </c>
      <c r="C21" s="2" t="s">
        <v>2123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7" t="s">
        <v>2164</v>
      </c>
      <c r="J21" s="11"/>
      <c r="K21" s="11"/>
    </row>
    <row r="22" spans="1:11" x14ac:dyDescent="0.2">
      <c r="A22" s="1" t="s">
        <v>2126</v>
      </c>
      <c r="B22" s="1" t="s">
        <v>2143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7" t="s">
        <v>2165</v>
      </c>
      <c r="J22" s="11"/>
      <c r="K22" s="11"/>
    </row>
    <row r="23" spans="1:11" x14ac:dyDescent="0.2">
      <c r="A23" s="1" t="s">
        <v>1977</v>
      </c>
      <c r="B23" s="1" t="s">
        <v>2143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7" t="s">
        <v>2166</v>
      </c>
      <c r="J23" s="11"/>
      <c r="K23" s="11"/>
    </row>
    <row r="24" spans="1:11" x14ac:dyDescent="0.2">
      <c r="A24" s="1" t="s">
        <v>1996</v>
      </c>
      <c r="B24" s="1" t="s">
        <v>2144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7" t="s">
        <v>2167</v>
      </c>
      <c r="J24" s="11"/>
      <c r="K24" s="11"/>
    </row>
    <row r="25" spans="1:11" x14ac:dyDescent="0.2">
      <c r="A25" s="1" t="s">
        <v>1978</v>
      </c>
      <c r="B25" s="1" t="s">
        <v>2143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7" t="s">
        <v>2168</v>
      </c>
      <c r="J25" s="11"/>
      <c r="K25" s="11"/>
    </row>
    <row r="26" spans="1:11" x14ac:dyDescent="0.2">
      <c r="A26" s="1" t="s">
        <v>1982</v>
      </c>
      <c r="B26" s="1" t="s">
        <v>2145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7" t="s">
        <v>2169</v>
      </c>
      <c r="J26" s="11"/>
      <c r="K26" s="11"/>
    </row>
    <row r="27" spans="1:11" x14ac:dyDescent="0.2">
      <c r="A27" s="1" t="s">
        <v>2038</v>
      </c>
      <c r="B27" s="1" t="s">
        <v>2145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7" t="s">
        <v>2170</v>
      </c>
      <c r="J27" s="11"/>
      <c r="K27" s="11"/>
    </row>
    <row r="28" spans="1:11" x14ac:dyDescent="0.2">
      <c r="A28" s="1" t="s">
        <v>1987</v>
      </c>
      <c r="B28" s="1" t="s">
        <v>2144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7" t="s">
        <v>2171</v>
      </c>
      <c r="J28" s="11"/>
      <c r="K28" s="11"/>
    </row>
    <row r="29" spans="1:11" x14ac:dyDescent="0.2">
      <c r="A29" s="1" t="s">
        <v>1999</v>
      </c>
      <c r="B29" s="1" t="s">
        <v>2145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7" t="s">
        <v>2172</v>
      </c>
      <c r="J29" s="11"/>
      <c r="K29" s="11"/>
    </row>
    <row r="30" spans="1:11" x14ac:dyDescent="0.2">
      <c r="A30" s="1" t="s">
        <v>2001</v>
      </c>
      <c r="B30" s="1" t="s">
        <v>2145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7" t="s">
        <v>2173</v>
      </c>
      <c r="J30" s="11"/>
      <c r="K30" s="11"/>
    </row>
    <row r="31" spans="1:11" x14ac:dyDescent="0.2">
      <c r="A31" s="1" t="s">
        <v>2013</v>
      </c>
      <c r="B31" s="1" t="s">
        <v>2145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7" t="s">
        <v>2174</v>
      </c>
      <c r="J31" s="11"/>
      <c r="K31" s="11"/>
    </row>
    <row r="32" spans="1:11" x14ac:dyDescent="0.2">
      <c r="A32" s="1" t="s">
        <v>2015</v>
      </c>
      <c r="B32" s="1" t="s">
        <v>2143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7" t="s">
        <v>2175</v>
      </c>
      <c r="J32" s="11"/>
      <c r="K32" s="11"/>
    </row>
    <row r="33" spans="1:11" x14ac:dyDescent="0.2">
      <c r="A33" s="1" t="s">
        <v>2005</v>
      </c>
      <c r="B33" s="1" t="s">
        <v>2145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7" t="s">
        <v>2176</v>
      </c>
      <c r="J33" s="11"/>
      <c r="K33" s="11"/>
    </row>
    <row r="34" spans="1:11" x14ac:dyDescent="0.2">
      <c r="A34" s="1" t="s">
        <v>2027</v>
      </c>
      <c r="B34" s="1" t="s">
        <v>2143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7" t="s">
        <v>2177</v>
      </c>
      <c r="J34" s="11"/>
      <c r="K34" s="11"/>
    </row>
    <row r="35" spans="1:11" x14ac:dyDescent="0.2">
      <c r="A35" s="1" t="s">
        <v>2025</v>
      </c>
      <c r="B35" s="1" t="s">
        <v>2145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7" t="s">
        <v>2178</v>
      </c>
      <c r="J35" s="11"/>
      <c r="K35" s="11"/>
    </row>
    <row r="36" spans="1:11" x14ac:dyDescent="0.2">
      <c r="A36" s="1" t="s">
        <v>2024</v>
      </c>
      <c r="B36" s="1" t="s">
        <v>2142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7" t="s">
        <v>2179</v>
      </c>
      <c r="J36" s="11"/>
      <c r="K36" s="11"/>
    </row>
    <row r="37" spans="1:11" x14ac:dyDescent="0.2">
      <c r="A37" s="1" t="s">
        <v>1991</v>
      </c>
      <c r="B37" s="1" t="s">
        <v>2145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7" t="s">
        <v>2180</v>
      </c>
      <c r="J37" s="11"/>
      <c r="K37" s="11"/>
    </row>
    <row r="38" spans="1:11" x14ac:dyDescent="0.2">
      <c r="A38" s="1" t="s">
        <v>2010</v>
      </c>
      <c r="B38" s="1" t="s">
        <v>2142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7" t="s">
        <v>2181</v>
      </c>
      <c r="J38" s="11"/>
      <c r="K38" s="11"/>
    </row>
    <row r="39" spans="1:11" x14ac:dyDescent="0.2">
      <c r="A39" s="1" t="s">
        <v>2026</v>
      </c>
      <c r="B39" s="1" t="s">
        <v>2143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7" t="s">
        <v>2182</v>
      </c>
      <c r="J39" s="11"/>
      <c r="K39" s="11"/>
    </row>
    <row r="40" spans="1:11" x14ac:dyDescent="0.2">
      <c r="A40" s="1" t="s">
        <v>2007</v>
      </c>
      <c r="B40" s="1" t="s">
        <v>2145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7" t="s">
        <v>2183</v>
      </c>
      <c r="J40" s="11"/>
      <c r="K40" s="11"/>
    </row>
    <row r="41" spans="1:11" x14ac:dyDescent="0.2">
      <c r="A41" s="1" t="s">
        <v>2034</v>
      </c>
      <c r="B41" s="1" t="s">
        <v>2143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7" t="s">
        <v>2184</v>
      </c>
      <c r="J41" s="11"/>
      <c r="K41" s="11"/>
    </row>
    <row r="42" spans="1:11" x14ac:dyDescent="0.2">
      <c r="A42" s="1" t="s">
        <v>1995</v>
      </c>
      <c r="B42" s="1" t="s">
        <v>2145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7" t="s">
        <v>2185</v>
      </c>
      <c r="J42" s="11"/>
      <c r="K42" s="11"/>
    </row>
    <row r="43" spans="1:11" x14ac:dyDescent="0.2">
      <c r="A43" s="1" t="s">
        <v>1988</v>
      </c>
      <c r="B43" s="1" t="s">
        <v>2145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7" t="s">
        <v>2186</v>
      </c>
      <c r="J43" s="11"/>
      <c r="K43" s="11"/>
    </row>
    <row r="44" spans="1:11" x14ac:dyDescent="0.2">
      <c r="A44" s="1" t="s">
        <v>2046</v>
      </c>
      <c r="B44" s="1" t="s">
        <v>2143</v>
      </c>
      <c r="C44" s="2" t="s">
        <v>1696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7" t="s">
        <v>2187</v>
      </c>
      <c r="J44" s="11"/>
      <c r="K44" s="11"/>
    </row>
    <row r="45" spans="1:11" x14ac:dyDescent="0.2">
      <c r="A45" s="1" t="s">
        <v>2070</v>
      </c>
      <c r="B45" s="1" t="s">
        <v>2145</v>
      </c>
      <c r="C45" s="2" t="s">
        <v>1696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7" t="s">
        <v>2188</v>
      </c>
      <c r="J45" s="11"/>
      <c r="K45" s="11"/>
    </row>
    <row r="46" spans="1:11" x14ac:dyDescent="0.2">
      <c r="A46" s="1" t="s">
        <v>2063</v>
      </c>
      <c r="B46" s="1" t="s">
        <v>2143</v>
      </c>
      <c r="C46" s="2" t="s">
        <v>1696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7" t="s">
        <v>2189</v>
      </c>
      <c r="J46" s="11"/>
      <c r="K46" s="11"/>
    </row>
    <row r="47" spans="1:11" x14ac:dyDescent="0.2">
      <c r="A47" s="1" t="s">
        <v>2043</v>
      </c>
      <c r="B47" s="1" t="s">
        <v>2145</v>
      </c>
      <c r="C47" s="2" t="s">
        <v>1696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7" t="s">
        <v>2190</v>
      </c>
      <c r="J47" s="11"/>
      <c r="K47" s="11"/>
    </row>
    <row r="48" spans="1:11" x14ac:dyDescent="0.2">
      <c r="A48" s="1" t="s">
        <v>2020</v>
      </c>
      <c r="B48" s="1" t="s">
        <v>2142</v>
      </c>
      <c r="C48" s="2" t="s">
        <v>1696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7" t="s">
        <v>2191</v>
      </c>
      <c r="J48" s="11"/>
      <c r="K48" s="11"/>
    </row>
    <row r="49" spans="1:11" x14ac:dyDescent="0.2">
      <c r="A49" s="1" t="s">
        <v>2040</v>
      </c>
      <c r="B49" s="1" t="s">
        <v>2145</v>
      </c>
      <c r="C49" s="2" t="s">
        <v>1696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7" t="s">
        <v>2192</v>
      </c>
      <c r="J49" s="11"/>
      <c r="K49" s="11"/>
    </row>
    <row r="50" spans="1:11" x14ac:dyDescent="0.2">
      <c r="A50" s="1" t="s">
        <v>2056</v>
      </c>
      <c r="B50" s="1" t="s">
        <v>2145</v>
      </c>
      <c r="C50" s="2" t="s">
        <v>1696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7" t="s">
        <v>2193</v>
      </c>
      <c r="J50" s="11"/>
      <c r="K50" s="11"/>
    </row>
    <row r="51" spans="1:11" x14ac:dyDescent="0.2">
      <c r="A51" s="1" t="s">
        <v>2066</v>
      </c>
      <c r="B51" s="1" t="s">
        <v>2143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7" t="s">
        <v>2194</v>
      </c>
      <c r="J51" s="11"/>
      <c r="K51" s="11"/>
    </row>
    <row r="52" spans="1:11" x14ac:dyDescent="0.2">
      <c r="A52" s="1" t="s">
        <v>2053</v>
      </c>
      <c r="B52" s="1" t="s">
        <v>2142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7" t="s">
        <v>2195</v>
      </c>
      <c r="J52" s="11"/>
      <c r="K52" s="11"/>
    </row>
    <row r="53" spans="1:11" x14ac:dyDescent="0.2">
      <c r="A53" s="1" t="s">
        <v>2058</v>
      </c>
      <c r="B53" s="1" t="s">
        <v>2145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7" t="s">
        <v>2196</v>
      </c>
      <c r="J53" s="11"/>
      <c r="K53" s="11"/>
    </row>
    <row r="54" spans="1:11" x14ac:dyDescent="0.2">
      <c r="A54" s="1" t="s">
        <v>2087</v>
      </c>
      <c r="B54" s="1" t="s">
        <v>2145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7" t="s">
        <v>2197</v>
      </c>
      <c r="J54" s="11"/>
      <c r="K54" s="11"/>
    </row>
    <row r="55" spans="1:11" x14ac:dyDescent="0.2">
      <c r="A55" s="1" t="s">
        <v>2078</v>
      </c>
      <c r="B55" s="1" t="s">
        <v>2143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7" t="s">
        <v>2198</v>
      </c>
      <c r="J55" s="11"/>
      <c r="K55" s="11"/>
    </row>
    <row r="56" spans="1:11" x14ac:dyDescent="0.2">
      <c r="A56" s="1" t="s">
        <v>2061</v>
      </c>
      <c r="B56" s="1" t="s">
        <v>2145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7" t="s">
        <v>2199</v>
      </c>
      <c r="J56" s="11"/>
      <c r="K56" s="11"/>
    </row>
    <row r="57" spans="1:11" x14ac:dyDescent="0.2">
      <c r="A57" s="1" t="s">
        <v>2055</v>
      </c>
      <c r="B57" s="1" t="s">
        <v>2143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7" t="s">
        <v>2200</v>
      </c>
      <c r="J57" s="11"/>
      <c r="K57" s="11"/>
    </row>
    <row r="58" spans="1:11" x14ac:dyDescent="0.2">
      <c r="A58" s="1" t="s">
        <v>2064</v>
      </c>
      <c r="B58" s="1" t="s">
        <v>2143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7" t="s">
        <v>2201</v>
      </c>
      <c r="J58" s="11"/>
      <c r="K58" s="11"/>
    </row>
    <row r="59" spans="1:11" x14ac:dyDescent="0.2">
      <c r="A59" s="1" t="s">
        <v>2060</v>
      </c>
      <c r="B59" s="1" t="s">
        <v>2143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7" t="s">
        <v>2202</v>
      </c>
      <c r="J59" s="11"/>
      <c r="K59" s="11"/>
    </row>
    <row r="60" spans="1:11" x14ac:dyDescent="0.2">
      <c r="A60" s="1" t="s">
        <v>2071</v>
      </c>
      <c r="B60" s="1" t="s">
        <v>2145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7" t="s">
        <v>2203</v>
      </c>
      <c r="J60" s="11"/>
      <c r="K60" s="11"/>
    </row>
    <row r="61" spans="1:11" x14ac:dyDescent="0.2">
      <c r="A61" s="1" t="s">
        <v>2037</v>
      </c>
      <c r="B61" s="1" t="s">
        <v>2143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7" t="s">
        <v>2204</v>
      </c>
      <c r="J61" s="11"/>
      <c r="K61" s="11"/>
    </row>
    <row r="62" spans="1:11" x14ac:dyDescent="0.2">
      <c r="A62" s="1" t="s">
        <v>2065</v>
      </c>
      <c r="B62" s="1" t="s">
        <v>2145</v>
      </c>
      <c r="C62" s="2" t="s">
        <v>1264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7" t="s">
        <v>2205</v>
      </c>
      <c r="J62" s="11"/>
      <c r="K62" s="11"/>
    </row>
    <row r="63" spans="1:11" x14ac:dyDescent="0.2">
      <c r="A63" s="1" t="s">
        <v>2057</v>
      </c>
      <c r="B63" s="1" t="s">
        <v>2145</v>
      </c>
      <c r="C63" s="2" t="s">
        <v>1264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7" t="s">
        <v>2206</v>
      </c>
      <c r="J63" s="11"/>
      <c r="K63" s="11"/>
    </row>
    <row r="64" spans="1:11" x14ac:dyDescent="0.2">
      <c r="A64" s="1" t="s">
        <v>2083</v>
      </c>
      <c r="B64" s="1" t="s">
        <v>2142</v>
      </c>
      <c r="C64" s="2" t="s">
        <v>1264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7" t="s">
        <v>2207</v>
      </c>
      <c r="J64" s="11"/>
      <c r="K64" s="11"/>
    </row>
    <row r="65" spans="1:11" x14ac:dyDescent="0.2">
      <c r="A65" s="1" t="s">
        <v>2088</v>
      </c>
      <c r="B65" s="1" t="s">
        <v>2143</v>
      </c>
      <c r="C65" s="2" t="s">
        <v>1264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7" t="s">
        <v>2208</v>
      </c>
      <c r="J65" s="11"/>
      <c r="K65" s="11"/>
    </row>
    <row r="66" spans="1:11" x14ac:dyDescent="0.2">
      <c r="A66" s="1" t="s">
        <v>2096</v>
      </c>
      <c r="B66" s="1" t="s">
        <v>2142</v>
      </c>
      <c r="C66" s="2" t="s">
        <v>1264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7" t="s">
        <v>2209</v>
      </c>
      <c r="J66" s="11"/>
      <c r="K66" s="11"/>
    </row>
    <row r="67" spans="1:11" x14ac:dyDescent="0.2">
      <c r="A67" s="1" t="s">
        <v>2077</v>
      </c>
      <c r="B67" s="1" t="s">
        <v>2145</v>
      </c>
      <c r="C67" s="2" t="s">
        <v>1264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7" t="s">
        <v>2210</v>
      </c>
      <c r="J67" s="11"/>
      <c r="K67" s="11"/>
    </row>
    <row r="68" spans="1:11" x14ac:dyDescent="0.2">
      <c r="A68" s="1" t="s">
        <v>2080</v>
      </c>
      <c r="B68" s="1" t="s">
        <v>2145</v>
      </c>
      <c r="C68" s="2" t="s">
        <v>1264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7" t="s">
        <v>2211</v>
      </c>
      <c r="J68" s="11"/>
      <c r="K68" s="11"/>
    </row>
    <row r="69" spans="1:11" x14ac:dyDescent="0.2">
      <c r="A69" s="1" t="s">
        <v>2094</v>
      </c>
      <c r="B69" s="1" t="s">
        <v>2143</v>
      </c>
      <c r="C69" s="2" t="s">
        <v>1264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7" t="s">
        <v>2212</v>
      </c>
      <c r="J69" s="11"/>
      <c r="K69" s="11"/>
    </row>
    <row r="70" spans="1:11" x14ac:dyDescent="0.2">
      <c r="A70" s="1" t="s">
        <v>2082</v>
      </c>
      <c r="B70" s="1" t="s">
        <v>2143</v>
      </c>
      <c r="C70" s="2" t="s">
        <v>1264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7" t="s">
        <v>2213</v>
      </c>
      <c r="J70" s="11"/>
      <c r="K70" s="11"/>
    </row>
    <row r="71" spans="1:11" x14ac:dyDescent="0.2">
      <c r="A71" s="1" t="s">
        <v>2093</v>
      </c>
      <c r="B71" s="1" t="s">
        <v>2145</v>
      </c>
      <c r="C71" s="2" t="s">
        <v>1264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7" t="s">
        <v>2214</v>
      </c>
      <c r="J71" s="11"/>
      <c r="K71" s="11"/>
    </row>
    <row r="72" spans="1:11" x14ac:dyDescent="0.2">
      <c r="A72" s="1" t="s">
        <v>2086</v>
      </c>
      <c r="B72" s="1" t="s">
        <v>2145</v>
      </c>
      <c r="C72" s="2" t="s">
        <v>1264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7" t="s">
        <v>2215</v>
      </c>
      <c r="J72" s="11"/>
      <c r="K72" s="11"/>
    </row>
    <row r="73" spans="1:11" x14ac:dyDescent="0.2">
      <c r="A73" s="1" t="s">
        <v>2068</v>
      </c>
      <c r="B73" s="1" t="s">
        <v>2145</v>
      </c>
      <c r="C73" s="2" t="s">
        <v>1264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7" t="s">
        <v>2216</v>
      </c>
      <c r="J73" s="11"/>
      <c r="K73" s="11"/>
    </row>
    <row r="74" spans="1:11" x14ac:dyDescent="0.2">
      <c r="A74" s="1" t="s">
        <v>2098</v>
      </c>
      <c r="B74" s="1" t="s">
        <v>2143</v>
      </c>
      <c r="C74" s="2" t="s">
        <v>1113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7" t="s">
        <v>2217</v>
      </c>
      <c r="J74" s="11"/>
      <c r="K74" s="11"/>
    </row>
    <row r="75" spans="1:11" x14ac:dyDescent="0.2">
      <c r="A75" s="1" t="s">
        <v>2100</v>
      </c>
      <c r="B75" s="1" t="s">
        <v>2145</v>
      </c>
      <c r="C75" s="2" t="s">
        <v>1113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7" t="s">
        <v>2218</v>
      </c>
      <c r="J75" s="11"/>
      <c r="K75" s="11"/>
    </row>
    <row r="76" spans="1:11" x14ac:dyDescent="0.2">
      <c r="A76" s="1" t="s">
        <v>2090</v>
      </c>
      <c r="B76" s="1" t="s">
        <v>2143</v>
      </c>
      <c r="C76" s="2" t="s">
        <v>1113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7" t="s">
        <v>2219</v>
      </c>
      <c r="J76" s="11"/>
      <c r="K76" s="11"/>
    </row>
    <row r="77" spans="1:11" x14ac:dyDescent="0.2">
      <c r="A77" s="1" t="s">
        <v>2084</v>
      </c>
      <c r="B77" s="1" t="s">
        <v>2145</v>
      </c>
      <c r="C77" s="2" t="s">
        <v>1113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7" t="s">
        <v>2220</v>
      </c>
      <c r="J77" s="11"/>
      <c r="K77" s="11"/>
    </row>
    <row r="78" spans="1:11" x14ac:dyDescent="0.2">
      <c r="A78" s="1" t="s">
        <v>2097</v>
      </c>
      <c r="B78" s="1" t="s">
        <v>2145</v>
      </c>
      <c r="C78" s="2" t="s">
        <v>1113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7" t="s">
        <v>2221</v>
      </c>
      <c r="J78" s="11"/>
      <c r="K78" s="11"/>
    </row>
    <row r="79" spans="1:11" x14ac:dyDescent="0.2">
      <c r="A79" s="1" t="s">
        <v>2103</v>
      </c>
      <c r="B79" s="1" t="s">
        <v>2143</v>
      </c>
      <c r="C79" s="2" t="s">
        <v>1113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7" t="s">
        <v>2222</v>
      </c>
      <c r="J79" s="11"/>
      <c r="K79" s="11"/>
    </row>
    <row r="80" spans="1:11" x14ac:dyDescent="0.2">
      <c r="A80" s="1" t="s">
        <v>2089</v>
      </c>
      <c r="B80" s="1" t="s">
        <v>2143</v>
      </c>
      <c r="C80" s="2" t="s">
        <v>1113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7" t="s">
        <v>2223</v>
      </c>
      <c r="J80" s="11"/>
      <c r="K80" s="11"/>
    </row>
    <row r="81" spans="1:11" x14ac:dyDescent="0.2">
      <c r="A81" s="1" t="s">
        <v>2101</v>
      </c>
      <c r="B81" s="1" t="s">
        <v>2145</v>
      </c>
      <c r="C81" s="2" t="s">
        <v>1113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7" t="s">
        <v>2224</v>
      </c>
      <c r="J81" s="11"/>
      <c r="K81" s="11"/>
    </row>
    <row r="82" spans="1:11" x14ac:dyDescent="0.2">
      <c r="A82" s="1" t="s">
        <v>2099</v>
      </c>
      <c r="B82" s="1" t="s">
        <v>2145</v>
      </c>
      <c r="C82" s="2" t="s">
        <v>1113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7" t="s">
        <v>2225</v>
      </c>
      <c r="J82" s="11"/>
      <c r="K82" s="11"/>
    </row>
    <row r="83" spans="1:11" x14ac:dyDescent="0.2">
      <c r="A83" s="1" t="s">
        <v>2085</v>
      </c>
      <c r="B83" s="1" t="s">
        <v>2142</v>
      </c>
      <c r="C83" s="2" t="s">
        <v>1113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7" t="s">
        <v>2226</v>
      </c>
      <c r="J83" s="11"/>
      <c r="K83" s="11"/>
    </row>
    <row r="84" spans="1:11" x14ac:dyDescent="0.2">
      <c r="A84" s="1" t="s">
        <v>2102</v>
      </c>
      <c r="B84" s="1" t="s">
        <v>2145</v>
      </c>
      <c r="C84" s="2" t="s">
        <v>1113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7" t="s">
        <v>2227</v>
      </c>
      <c r="J84" s="11"/>
      <c r="K84" s="11"/>
    </row>
    <row r="85" spans="1:11" x14ac:dyDescent="0.2">
      <c r="A85" s="1" t="s">
        <v>2095</v>
      </c>
      <c r="B85" s="1" t="s">
        <v>2144</v>
      </c>
      <c r="C85" s="2" t="s">
        <v>1113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7" t="s">
        <v>2228</v>
      </c>
      <c r="J85" s="11"/>
      <c r="K85" s="11"/>
    </row>
    <row r="86" spans="1:11" x14ac:dyDescent="0.2">
      <c r="A86" s="1" t="s">
        <v>2079</v>
      </c>
      <c r="B86" s="1" t="s">
        <v>2145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7" t="s">
        <v>2229</v>
      </c>
      <c r="J86" s="11"/>
      <c r="K86" s="11"/>
    </row>
    <row r="87" spans="1:11" x14ac:dyDescent="0.2">
      <c r="A87" s="1" t="s">
        <v>2069</v>
      </c>
      <c r="B87" s="1" t="s">
        <v>2145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7" t="s">
        <v>2230</v>
      </c>
      <c r="J87" s="11"/>
      <c r="K87" s="11"/>
    </row>
    <row r="88" spans="1:11" x14ac:dyDescent="0.2">
      <c r="A88" s="1" t="s">
        <v>2074</v>
      </c>
      <c r="B88" s="1" t="s">
        <v>2145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7" t="s">
        <v>2231</v>
      </c>
      <c r="J88" s="11"/>
      <c r="K88" s="11"/>
    </row>
    <row r="89" spans="1:11" x14ac:dyDescent="0.2">
      <c r="A89" s="1" t="s">
        <v>2091</v>
      </c>
      <c r="B89" s="1" t="s">
        <v>2145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7" t="s">
        <v>2232</v>
      </c>
      <c r="J89" s="11"/>
      <c r="K89" s="11"/>
    </row>
    <row r="90" spans="1:11" x14ac:dyDescent="0.2">
      <c r="A90" s="1" t="s">
        <v>2081</v>
      </c>
      <c r="B90" s="1" t="s">
        <v>2145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7" t="s">
        <v>2233</v>
      </c>
      <c r="J90" s="11"/>
      <c r="K90" s="11"/>
    </row>
    <row r="91" spans="1:11" x14ac:dyDescent="0.2">
      <c r="A91" s="1" t="s">
        <v>2067</v>
      </c>
      <c r="B91" s="1" t="s">
        <v>2143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7" t="s">
        <v>2234</v>
      </c>
      <c r="J91" s="11"/>
      <c r="K91" s="11"/>
    </row>
    <row r="92" spans="1:11" x14ac:dyDescent="0.2">
      <c r="A92" s="1" t="s">
        <v>2059</v>
      </c>
      <c r="B92" s="1" t="s">
        <v>2143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7" t="s">
        <v>2235</v>
      </c>
      <c r="J92" s="11"/>
      <c r="K92" s="11"/>
    </row>
    <row r="93" spans="1:11" x14ac:dyDescent="0.2">
      <c r="A93" s="1" t="s">
        <v>2075</v>
      </c>
      <c r="B93" s="1" t="s">
        <v>2145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7" t="s">
        <v>2236</v>
      </c>
      <c r="J93" s="11"/>
      <c r="K93" s="11"/>
    </row>
    <row r="94" spans="1:11" x14ac:dyDescent="0.2">
      <c r="A94" s="1" t="s">
        <v>2092</v>
      </c>
      <c r="B94" s="1" t="s">
        <v>2142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7" t="s">
        <v>2237</v>
      </c>
      <c r="J94" s="11"/>
      <c r="K94" s="11"/>
    </row>
    <row r="95" spans="1:11" x14ac:dyDescent="0.2">
      <c r="A95" s="1" t="s">
        <v>2076</v>
      </c>
      <c r="B95" s="1" t="s">
        <v>2143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7" t="s">
        <v>2238</v>
      </c>
      <c r="J95" s="11"/>
      <c r="K95" s="11"/>
    </row>
    <row r="96" spans="1:11" x14ac:dyDescent="0.2">
      <c r="A96" s="1" t="s">
        <v>2030</v>
      </c>
      <c r="B96" s="1" t="s">
        <v>2143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7" t="s">
        <v>2239</v>
      </c>
      <c r="J96" s="11"/>
      <c r="K96" s="11"/>
    </row>
    <row r="97" spans="1:11" x14ac:dyDescent="0.2">
      <c r="A97" s="1" t="s">
        <v>2009</v>
      </c>
      <c r="B97" s="1" t="s">
        <v>2143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7" t="s">
        <v>2240</v>
      </c>
      <c r="J97" s="11"/>
      <c r="K97" s="11"/>
    </row>
    <row r="98" spans="1:11" x14ac:dyDescent="0.2">
      <c r="A98" s="1" t="s">
        <v>2031</v>
      </c>
      <c r="B98" s="1" t="s">
        <v>2142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7" t="s">
        <v>2241</v>
      </c>
      <c r="J98" s="11"/>
      <c r="K98" s="11"/>
    </row>
    <row r="99" spans="1:11" x14ac:dyDescent="0.2">
      <c r="A99" s="1" t="s">
        <v>2019</v>
      </c>
      <c r="B99" s="1" t="s">
        <v>2144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7" t="s">
        <v>2242</v>
      </c>
      <c r="J99" s="11"/>
      <c r="K99" s="11"/>
    </row>
    <row r="100" spans="1:11" x14ac:dyDescent="0.2">
      <c r="A100" s="1" t="s">
        <v>2044</v>
      </c>
      <c r="B100" s="1" t="s">
        <v>2142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7" t="s">
        <v>2243</v>
      </c>
      <c r="J100" s="11"/>
      <c r="K100" s="11"/>
    </row>
    <row r="101" spans="1:11" x14ac:dyDescent="0.2">
      <c r="A101" s="1" t="s">
        <v>2049</v>
      </c>
      <c r="B101" s="1" t="s">
        <v>2145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7" t="s">
        <v>2244</v>
      </c>
      <c r="J101" s="11"/>
      <c r="K101" s="11"/>
    </row>
    <row r="102" spans="1:11" x14ac:dyDescent="0.2">
      <c r="A102" s="1" t="s">
        <v>2050</v>
      </c>
      <c r="B102" s="1" t="s">
        <v>2143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7" t="s">
        <v>2245</v>
      </c>
      <c r="J102" s="11"/>
      <c r="K102" s="11"/>
    </row>
    <row r="103" spans="1:11" x14ac:dyDescent="0.2">
      <c r="A103" s="1" t="s">
        <v>2033</v>
      </c>
      <c r="B103" s="1" t="s">
        <v>2145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7" t="s">
        <v>2246</v>
      </c>
      <c r="J103" s="11"/>
      <c r="K103" s="11"/>
    </row>
    <row r="104" spans="1:11" x14ac:dyDescent="0.2">
      <c r="A104" s="1" t="s">
        <v>2029</v>
      </c>
      <c r="B104" s="1" t="s">
        <v>2145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7" t="s">
        <v>2247</v>
      </c>
      <c r="J104" s="11"/>
      <c r="K104" s="11"/>
    </row>
    <row r="105" spans="1:11" x14ac:dyDescent="0.2">
      <c r="A105" s="1" t="s">
        <v>2047</v>
      </c>
      <c r="B105" s="1" t="s">
        <v>2143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7" t="s">
        <v>2248</v>
      </c>
      <c r="J105" s="11"/>
      <c r="K105" s="11"/>
    </row>
    <row r="106" spans="1:11" x14ac:dyDescent="0.2">
      <c r="A106" s="1" t="s">
        <v>2045</v>
      </c>
      <c r="B106" s="1" t="s">
        <v>2145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7" t="s">
        <v>2249</v>
      </c>
      <c r="J106" s="11"/>
      <c r="K106" s="11"/>
    </row>
    <row r="107" spans="1:11" x14ac:dyDescent="0.2">
      <c r="A107" s="1" t="s">
        <v>2032</v>
      </c>
      <c r="B107" s="1" t="s">
        <v>2145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7" t="s">
        <v>2250</v>
      </c>
      <c r="J107" s="11"/>
      <c r="K107" s="11"/>
    </row>
    <row r="108" spans="1:11" x14ac:dyDescent="0.2">
      <c r="A108" s="1" t="s">
        <v>2072</v>
      </c>
      <c r="B108" s="1" t="s">
        <v>2145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7" t="s">
        <v>2251</v>
      </c>
      <c r="J108" s="11"/>
      <c r="K108" s="11"/>
    </row>
    <row r="109" spans="1:11" x14ac:dyDescent="0.2">
      <c r="A109" s="1" t="s">
        <v>2073</v>
      </c>
      <c r="B109" s="1" t="s">
        <v>2143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7" t="s">
        <v>2252</v>
      </c>
      <c r="J109" s="11"/>
      <c r="K109" s="11"/>
    </row>
    <row r="110" spans="1:11" x14ac:dyDescent="0.2">
      <c r="A110" s="1" t="s">
        <v>2052</v>
      </c>
      <c r="B110" s="1" t="s">
        <v>2145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7" t="s">
        <v>2253</v>
      </c>
      <c r="J110" s="11"/>
      <c r="K110" s="11"/>
    </row>
    <row r="111" spans="1:11" x14ac:dyDescent="0.2">
      <c r="A111" s="1" t="s">
        <v>2062</v>
      </c>
      <c r="B111" s="1" t="s">
        <v>2145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7" t="s">
        <v>2254</v>
      </c>
      <c r="J111" s="11"/>
      <c r="K111" s="11"/>
    </row>
    <row r="112" spans="1:11" x14ac:dyDescent="0.2">
      <c r="A112" s="1" t="s">
        <v>2054</v>
      </c>
      <c r="B112" s="1" t="s">
        <v>2143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7" t="s">
        <v>2255</v>
      </c>
      <c r="J112" s="11"/>
      <c r="K112" s="11"/>
    </row>
    <row r="113" spans="1:11" x14ac:dyDescent="0.2">
      <c r="A113" s="1" t="s">
        <v>2048</v>
      </c>
      <c r="B113" s="1" t="s">
        <v>2143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7" t="s">
        <v>2256</v>
      </c>
      <c r="J113" s="11"/>
      <c r="K113" s="11"/>
    </row>
    <row r="114" spans="1:11" x14ac:dyDescent="0.2">
      <c r="A114" s="1" t="s">
        <v>2051</v>
      </c>
      <c r="B114" s="1" t="s">
        <v>2142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7" t="s">
        <v>2257</v>
      </c>
      <c r="J114" s="11"/>
      <c r="K114" s="11"/>
    </row>
    <row r="115" spans="1:11" x14ac:dyDescent="0.2">
      <c r="A115" s="1" t="s">
        <v>2041</v>
      </c>
      <c r="B115" s="1" t="s">
        <v>2145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7" t="s">
        <v>2258</v>
      </c>
      <c r="J115" s="11"/>
      <c r="K115" s="11"/>
    </row>
    <row r="116" spans="1:11" x14ac:dyDescent="0.2">
      <c r="A116" s="1" t="s">
        <v>2023</v>
      </c>
      <c r="B116" s="1" t="s">
        <v>2143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7" t="s">
        <v>2259</v>
      </c>
      <c r="J116" s="11"/>
      <c r="K116" s="11"/>
    </row>
    <row r="117" spans="1:11" x14ac:dyDescent="0.2">
      <c r="A117" s="1" t="s">
        <v>2021</v>
      </c>
      <c r="B117" s="1" t="s">
        <v>2143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7" t="s">
        <v>2260</v>
      </c>
      <c r="J117" s="11"/>
      <c r="K117" s="11"/>
    </row>
    <row r="118" spans="1:11" x14ac:dyDescent="0.2">
      <c r="A118" s="1" t="s">
        <v>2036</v>
      </c>
      <c r="B118" s="1" t="s">
        <v>2143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7" t="s">
        <v>2261</v>
      </c>
      <c r="J118" s="11"/>
      <c r="K118" s="11"/>
    </row>
    <row r="119" spans="1:11" x14ac:dyDescent="0.2">
      <c r="A119" s="1" t="s">
        <v>2018</v>
      </c>
      <c r="B119" s="1" t="s">
        <v>2142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7" t="s">
        <v>2262</v>
      </c>
      <c r="J119" s="11"/>
      <c r="K119" s="11"/>
    </row>
    <row r="120" spans="1:11" x14ac:dyDescent="0.2">
      <c r="A120" s="1" t="s">
        <v>2022</v>
      </c>
      <c r="B120" s="1" t="s">
        <v>2143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7" t="s">
        <v>2263</v>
      </c>
      <c r="J120" s="11"/>
      <c r="K120" s="11"/>
    </row>
    <row r="121" spans="1:11" x14ac:dyDescent="0.2">
      <c r="A121" s="1" t="s">
        <v>2011</v>
      </c>
      <c r="B121" s="1" t="s">
        <v>2145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7" t="s">
        <v>2264</v>
      </c>
      <c r="J121" s="11"/>
      <c r="K121" s="11"/>
    </row>
    <row r="122" spans="1:11" x14ac:dyDescent="0.2">
      <c r="A122" s="1" t="s">
        <v>1990</v>
      </c>
      <c r="B122" s="1" t="s">
        <v>2143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7" t="s">
        <v>2265</v>
      </c>
      <c r="J122" s="11"/>
      <c r="K122" s="11"/>
    </row>
    <row r="123" spans="1:11" x14ac:dyDescent="0.2">
      <c r="A123" s="1" t="s">
        <v>1985</v>
      </c>
      <c r="B123" s="1" t="s">
        <v>2145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7" t="s">
        <v>2266</v>
      </c>
      <c r="J123" s="11"/>
      <c r="K123" s="11"/>
    </row>
    <row r="124" spans="1:11" x14ac:dyDescent="0.2">
      <c r="A124" s="1" t="s">
        <v>2008</v>
      </c>
      <c r="B124" s="1" t="s">
        <v>2145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7" t="s">
        <v>2267</v>
      </c>
      <c r="J124" s="11"/>
      <c r="K124" s="11"/>
    </row>
    <row r="125" spans="1:11" x14ac:dyDescent="0.2">
      <c r="A125" s="1" t="s">
        <v>1983</v>
      </c>
      <c r="B125" s="1" t="s">
        <v>2143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7" t="s">
        <v>2268</v>
      </c>
      <c r="J125" s="11"/>
      <c r="K125" s="11"/>
    </row>
    <row r="126" spans="1:11" x14ac:dyDescent="0.2">
      <c r="A126" s="1" t="s">
        <v>1968</v>
      </c>
      <c r="B126" s="1" t="s">
        <v>2143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7" t="s">
        <v>2269</v>
      </c>
      <c r="J126" s="11"/>
      <c r="K126" s="11"/>
    </row>
    <row r="127" spans="1:11" x14ac:dyDescent="0.2">
      <c r="A127" s="1" t="s">
        <v>2000</v>
      </c>
      <c r="B127" s="1" t="s">
        <v>2145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7" t="s">
        <v>2270</v>
      </c>
      <c r="J127" s="11"/>
      <c r="K127" s="11"/>
    </row>
    <row r="128" spans="1:11" x14ac:dyDescent="0.2">
      <c r="A128" s="1" t="s">
        <v>2006</v>
      </c>
      <c r="B128" s="1" t="s">
        <v>2143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7" t="s">
        <v>2271</v>
      </c>
      <c r="J128" s="11"/>
      <c r="K128" s="11"/>
    </row>
    <row r="129" spans="1:11" x14ac:dyDescent="0.2">
      <c r="A129" s="1" t="s">
        <v>1989</v>
      </c>
      <c r="B129" s="1" t="s">
        <v>2145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7" t="s">
        <v>2272</v>
      </c>
      <c r="J129" s="11"/>
      <c r="K129" s="11"/>
    </row>
    <row r="130" spans="1:11" x14ac:dyDescent="0.2">
      <c r="A130" s="1" t="s">
        <v>1993</v>
      </c>
      <c r="B130" s="1" t="s">
        <v>2143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7" t="s">
        <v>2273</v>
      </c>
      <c r="J130" s="11"/>
      <c r="K130" s="11"/>
    </row>
    <row r="131" spans="1:11" x14ac:dyDescent="0.2">
      <c r="A131" s="1" t="s">
        <v>2002</v>
      </c>
      <c r="B131" s="1" t="s">
        <v>2143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7" t="s">
        <v>2274</v>
      </c>
      <c r="J131" s="11"/>
      <c r="K131" s="11"/>
    </row>
    <row r="132" spans="1:11" x14ac:dyDescent="0.2">
      <c r="A132" s="1" t="s">
        <v>1981</v>
      </c>
      <c r="B132" s="1" t="s">
        <v>2145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7" t="s">
        <v>2275</v>
      </c>
      <c r="J132" s="11"/>
      <c r="K132" s="11"/>
    </row>
    <row r="133" spans="1:11" x14ac:dyDescent="0.2">
      <c r="A133" s="1" t="s">
        <v>1972</v>
      </c>
      <c r="B133" s="1" t="s">
        <v>2145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7" t="s">
        <v>2276</v>
      </c>
      <c r="J133" s="11"/>
      <c r="K133" s="11"/>
    </row>
    <row r="134" spans="1:11" x14ac:dyDescent="0.2">
      <c r="A134" s="1" t="s">
        <v>1963</v>
      </c>
      <c r="B134" s="1" t="s">
        <v>2143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7" t="s">
        <v>2277</v>
      </c>
      <c r="J134" s="11"/>
      <c r="K134" s="11"/>
    </row>
    <row r="135" spans="1:11" x14ac:dyDescent="0.2">
      <c r="A135" s="1" t="s">
        <v>1958</v>
      </c>
      <c r="B135" s="1" t="s">
        <v>2143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7" t="s">
        <v>2278</v>
      </c>
      <c r="J135" s="11"/>
      <c r="K135" s="11"/>
    </row>
    <row r="136" spans="1:11" x14ac:dyDescent="0.2">
      <c r="A136" s="1" t="s">
        <v>1953</v>
      </c>
      <c r="B136" s="1" t="s">
        <v>2143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7" t="s">
        <v>2279</v>
      </c>
      <c r="J136" s="11"/>
      <c r="K136" s="11"/>
    </row>
    <row r="137" spans="1:11" x14ac:dyDescent="0.2">
      <c r="A137" s="1" t="s">
        <v>1955</v>
      </c>
      <c r="B137" s="1" t="s">
        <v>2145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7" t="s">
        <v>2280</v>
      </c>
      <c r="J137" s="11"/>
      <c r="K137" s="11"/>
    </row>
    <row r="138" spans="1:11" x14ac:dyDescent="0.2">
      <c r="A138" s="1" t="s">
        <v>1966</v>
      </c>
      <c r="B138" s="1" t="s">
        <v>2145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7" t="s">
        <v>2281</v>
      </c>
      <c r="J138" s="11"/>
      <c r="K138" s="11"/>
    </row>
    <row r="139" spans="1:11" x14ac:dyDescent="0.2">
      <c r="A139" s="1" t="s">
        <v>1957</v>
      </c>
      <c r="B139" s="1" t="s">
        <v>2145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7" t="s">
        <v>2282</v>
      </c>
      <c r="J139" s="11"/>
      <c r="K139" s="11"/>
    </row>
    <row r="140" spans="1:11" x14ac:dyDescent="0.2">
      <c r="A140" s="1" t="s">
        <v>1960</v>
      </c>
      <c r="B140" s="1" t="s">
        <v>2145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7" t="s">
        <v>2283</v>
      </c>
      <c r="J140" s="11"/>
      <c r="K140" s="11"/>
    </row>
    <row r="141" spans="1:11" x14ac:dyDescent="0.2">
      <c r="A141" s="1" t="s">
        <v>1954</v>
      </c>
      <c r="B141" s="1" t="s">
        <v>2142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7" t="s">
        <v>2284</v>
      </c>
      <c r="J141" s="11"/>
      <c r="K141" s="11"/>
    </row>
    <row r="142" spans="1:11" x14ac:dyDescent="0.2">
      <c r="A142" s="1" t="s">
        <v>1994</v>
      </c>
      <c r="B142" s="1" t="s">
        <v>2143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7" t="s">
        <v>2285</v>
      </c>
      <c r="J142" s="11"/>
      <c r="K142" s="11"/>
    </row>
    <row r="143" spans="1:11" x14ac:dyDescent="0.2">
      <c r="A143" s="1" t="s">
        <v>1970</v>
      </c>
      <c r="B143" s="1" t="s">
        <v>2143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7" t="s">
        <v>2286</v>
      </c>
      <c r="J143" s="11"/>
      <c r="K143" s="11"/>
    </row>
    <row r="144" spans="1:11" x14ac:dyDescent="0.2">
      <c r="A144" s="1" t="s">
        <v>1961</v>
      </c>
      <c r="B144" s="1" t="s">
        <v>2145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7" t="s">
        <v>2287</v>
      </c>
      <c r="J144" s="11"/>
      <c r="K144" s="11"/>
    </row>
    <row r="145" spans="1:11" x14ac:dyDescent="0.2">
      <c r="A145" s="1" t="s">
        <v>1956</v>
      </c>
      <c r="B145" s="1" t="s">
        <v>2145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7" t="s">
        <v>2288</v>
      </c>
      <c r="J145" s="11"/>
      <c r="K145" s="11"/>
    </row>
    <row r="146" spans="1:11" x14ac:dyDescent="0.2">
      <c r="A146" s="1" t="s">
        <v>1964</v>
      </c>
      <c r="B146" s="1" t="s">
        <v>2145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7" t="s">
        <v>2289</v>
      </c>
      <c r="J146" s="11"/>
      <c r="K146" s="11"/>
    </row>
    <row r="147" spans="1:11" x14ac:dyDescent="0.2">
      <c r="A147" s="1" t="s">
        <v>1971</v>
      </c>
      <c r="B147" s="1" t="s">
        <v>2143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7" t="s">
        <v>2290</v>
      </c>
      <c r="J147" s="11"/>
      <c r="K147" s="11"/>
    </row>
    <row r="148" spans="1:11" x14ac:dyDescent="0.2">
      <c r="A148" s="1" t="s">
        <v>1969</v>
      </c>
      <c r="B148" s="1" t="s">
        <v>2145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7" t="s">
        <v>2291</v>
      </c>
      <c r="J148" s="11"/>
      <c r="K148" s="11"/>
    </row>
    <row r="149" spans="1:11" x14ac:dyDescent="0.2">
      <c r="A149" s="1" t="s">
        <v>1959</v>
      </c>
      <c r="B149" s="1" t="s">
        <v>2145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7" t="s">
        <v>2292</v>
      </c>
      <c r="J149" s="11"/>
      <c r="K149" s="11"/>
    </row>
    <row r="150" spans="1:11" x14ac:dyDescent="0.2">
      <c r="A150" s="1" t="s">
        <v>1962</v>
      </c>
      <c r="B150" s="1" t="s">
        <v>2143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7" t="s">
        <v>2293</v>
      </c>
      <c r="J150" s="11"/>
      <c r="K150" s="11"/>
    </row>
    <row r="151" spans="1:11" x14ac:dyDescent="0.2">
      <c r="A151" s="1" t="s">
        <v>1965</v>
      </c>
      <c r="B151" s="1" t="s">
        <v>2145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7" t="s">
        <v>2294</v>
      </c>
      <c r="J151" s="11"/>
      <c r="K151" s="11"/>
    </row>
    <row r="152" spans="1:11" x14ac:dyDescent="0.2">
      <c r="A152" s="1" t="s">
        <v>1967</v>
      </c>
      <c r="B152" s="1" t="s">
        <v>2143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7" t="s">
        <v>2295</v>
      </c>
      <c r="J152" s="11"/>
      <c r="K152" s="11"/>
    </row>
    <row r="153" spans="1:11" x14ac:dyDescent="0.2">
      <c r="A153" s="1" t="s">
        <v>1973</v>
      </c>
      <c r="B153" s="1" t="s">
        <v>2145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7" t="s">
        <v>2296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H28" sqref="H28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2141</v>
      </c>
      <c r="C1" s="6" t="s">
        <v>2132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2139</v>
      </c>
      <c r="I1" s="6" t="s">
        <v>2133</v>
      </c>
    </row>
    <row r="2" spans="1:9" x14ac:dyDescent="0.2">
      <c r="A2" t="s">
        <v>1509</v>
      </c>
      <c r="B2" t="s">
        <v>1472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1509</v>
      </c>
      <c r="B3" t="s">
        <v>1219</v>
      </c>
      <c r="C3">
        <v>2</v>
      </c>
      <c r="D3" t="s">
        <v>785</v>
      </c>
      <c r="E3">
        <v>-1689</v>
      </c>
      <c r="F3">
        <v>-1663</v>
      </c>
      <c r="G3">
        <v>22</v>
      </c>
      <c r="I3" t="str">
        <f t="shared" ref="I3:I17" si="0">"{ name: "&amp;CHAR(34)&amp;A3&amp;CHAR(34)&amp;", landmark: "&amp;CHAR(34)&amp;"Stable"&amp;CHAR(34)&amp;", type: "&amp;CHAR(34)&amp;B3&amp;CHAR(34)&amp;", region: "&amp;C3&amp;", level: "&amp;CHAR(34)&amp;D3&amp;CHAR(34)&amp;", x: "&amp;E3&amp;", y: "&amp;F3&amp;", z: "&amp;G3&amp;", details: "&amp;CHAR(34)&amp;H3&amp;CHAR(34)&amp;" },"</f>
        <v>{ name: "Mini Stable", landmark: "Stable", type: "Digdogg Suspension Bridge", region: 2, level: "Surface", x: -1689, y: -1663, z: 22, details: "" },</v>
      </c>
    </row>
    <row r="4" spans="1:9" x14ac:dyDescent="0.2">
      <c r="A4" t="s">
        <v>1564</v>
      </c>
      <c r="C4">
        <v>2</v>
      </c>
      <c r="D4" t="s">
        <v>785</v>
      </c>
      <c r="E4">
        <v>-1448</v>
      </c>
      <c r="F4">
        <v>-1268</v>
      </c>
      <c r="G4">
        <v>32</v>
      </c>
      <c r="I4" t="str">
        <f t="shared" si="0"/>
        <v>{ name: "Outskirt Stable", landmark: "Stable", type: "", region: 2, level: "Surface", x: -1448, y: -1268, z: 32, details: "" },</v>
      </c>
    </row>
    <row r="5" spans="1:9" x14ac:dyDescent="0.2">
      <c r="A5" t="s">
        <v>1618</v>
      </c>
      <c r="C5">
        <v>2</v>
      </c>
      <c r="D5" t="s">
        <v>785</v>
      </c>
      <c r="E5">
        <v>341</v>
      </c>
      <c r="F5">
        <v>-1095</v>
      </c>
      <c r="G5">
        <v>10</v>
      </c>
      <c r="I5" t="str">
        <f t="shared" si="0"/>
        <v>{ name: "Riverside Stable", landmark: "Stable", type: "", region: 2, level: "Surface", x: 341, y: -1095, z: 10, details: "" },</v>
      </c>
    </row>
    <row r="6" spans="1:9" x14ac:dyDescent="0.2">
      <c r="A6" t="s">
        <v>1541</v>
      </c>
      <c r="C6">
        <v>3</v>
      </c>
      <c r="D6" t="s">
        <v>785</v>
      </c>
      <c r="E6">
        <v>-1361</v>
      </c>
      <c r="F6">
        <v>724</v>
      </c>
      <c r="G6">
        <v>85</v>
      </c>
      <c r="I6" t="str">
        <f t="shared" si="0"/>
        <v>{ name: "New Serenne Stable", landmark: "Stable", type: "", region: 3, level: "Surface", x: -1361, y: 724, z: 85, details: "" },</v>
      </c>
    </row>
    <row r="7" spans="1:9" x14ac:dyDescent="0.2">
      <c r="A7" t="s">
        <v>1693</v>
      </c>
      <c r="C7">
        <v>3</v>
      </c>
      <c r="D7" t="s">
        <v>785</v>
      </c>
      <c r="E7">
        <v>-2931</v>
      </c>
      <c r="F7">
        <v>548</v>
      </c>
      <c r="G7">
        <v>169</v>
      </c>
      <c r="I7" t="str">
        <f t="shared" si="0"/>
        <v>{ name: "Tabantha Bridge Stable", landmark: "Stable", type: "", region: 3, level: "Surface", x: -2931, y: 548, z: 169, details: "" },</v>
      </c>
    </row>
    <row r="8" spans="1:9" x14ac:dyDescent="0.2">
      <c r="A8" t="s">
        <v>1662</v>
      </c>
      <c r="C8">
        <v>5</v>
      </c>
      <c r="D8" t="s">
        <v>785</v>
      </c>
      <c r="E8">
        <v>-1654</v>
      </c>
      <c r="F8">
        <v>2572</v>
      </c>
      <c r="G8">
        <v>233</v>
      </c>
      <c r="I8" t="str">
        <f t="shared" si="0"/>
        <v>{ name: "Snowfield Stable", landmark: "Stable", type: "", region: 5, level: "Surface", x: -1654, y: 2572, z: 233, details: "" },</v>
      </c>
    </row>
    <row r="9" spans="1:9" x14ac:dyDescent="0.2">
      <c r="A9" t="s">
        <v>1041</v>
      </c>
      <c r="C9">
        <v>7</v>
      </c>
      <c r="D9" t="s">
        <v>785</v>
      </c>
      <c r="E9">
        <v>2613</v>
      </c>
      <c r="F9">
        <v>1143</v>
      </c>
      <c r="G9">
        <v>148</v>
      </c>
      <c r="I9" t="str">
        <f t="shared" si="0"/>
        <v>{ name: "Foothill Stable", landmark: "Stable", type: "", region: 7, level: "Surface", x: 2613, y: 1143, z: 148, details: "" },</v>
      </c>
    </row>
    <row r="10" spans="1:9" x14ac:dyDescent="0.2">
      <c r="A10" t="s">
        <v>1766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tr">
        <f t="shared" si="0"/>
        <v>{ name: "Woodland Stable", landmark: "Stable", type: "", region: 7, level: "Surface", x: 1066, y: 1142, z: 21, details: "" },</v>
      </c>
    </row>
    <row r="11" spans="1:9" x14ac:dyDescent="0.2">
      <c r="A11" t="s">
        <v>1038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tr">
        <f t="shared" si="0"/>
        <v>{ name: "East Akkala Stable", landmark: "Stable", type: "", region: 8, level: "Surface", x: 4229, y: 2748, z: 125, details: "" },</v>
      </c>
    </row>
    <row r="12" spans="1:9" x14ac:dyDescent="0.2">
      <c r="A12" t="s">
        <v>1088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tr">
        <f t="shared" si="0"/>
        <v>{ name: "South Akkala Stable", landmark: "Stable", type: "", region: 8, level: "Surface", x: 3151, y: 1692, z: 201, details: "" },</v>
      </c>
    </row>
    <row r="13" spans="1:9" x14ac:dyDescent="0.2">
      <c r="A13" t="s">
        <v>1245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tr">
        <f t="shared" si="0"/>
        <v>{ name: "Dueling Peaks Stable", landmark: "Stable", type: "", region: 10, level: "Surface", x: 1764, y: -1927, z: 13, details: "" },</v>
      </c>
    </row>
    <row r="14" spans="1:9" x14ac:dyDescent="0.2">
      <c r="A14" t="s">
        <v>1760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tr">
        <f t="shared" si="0"/>
        <v>{ name: "Wetland Stable", landmark: "Stable", type: "", region: 10, level: "Surface", x: 889, y: -175, z: 26, details: "" },</v>
      </c>
    </row>
    <row r="15" spans="1:9" x14ac:dyDescent="0.2">
      <c r="A15" t="s">
        <v>1382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tr">
        <f t="shared" si="0"/>
        <v>{ name: "Highland Stable", landmark: "Stable", type: "", region: 13, level: "Surface", x: 530, y: -3451, z: 53, details: "" },</v>
      </c>
    </row>
    <row r="16" spans="1:9" x14ac:dyDescent="0.2">
      <c r="A16" t="s">
        <v>1056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tr">
        <f t="shared" si="0"/>
        <v>{ name: "Lakeside Stable", landmark: "Stable", type: "", region: 13, level: "Surface", x: 1552, y: -3537, z: 72, details: "" },</v>
      </c>
    </row>
    <row r="17" spans="1:9" x14ac:dyDescent="0.2">
      <c r="A17" t="s">
        <v>1044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tr">
        <f t="shared" si="0"/>
        <v>{ name: "Gerudo Canyon Stable", landmark: "Stable", type: "", region: 14, level: "Surface", x: -2803, y: -2228, z: 29, details: "" },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31" sqref="E31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2132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1472</v>
      </c>
      <c r="B2" t="s">
        <v>2122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2123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2416</v>
      </c>
      <c r="I3" s="11"/>
      <c r="K3" s="11"/>
    </row>
    <row r="4" spans="1:11" x14ac:dyDescent="0.2">
      <c r="A4" s="1" t="s">
        <v>1462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2417</v>
      </c>
      <c r="I4" s="11"/>
      <c r="K4" s="11"/>
    </row>
    <row r="5" spans="1:11" x14ac:dyDescent="0.2">
      <c r="A5" s="1" t="s">
        <v>1625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2418</v>
      </c>
      <c r="I5" s="11"/>
      <c r="K5" s="11"/>
    </row>
    <row r="6" spans="1:11" x14ac:dyDescent="0.2">
      <c r="A6" s="1" t="s">
        <v>1079</v>
      </c>
      <c r="B6" t="s">
        <v>1696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2419</v>
      </c>
      <c r="I6" s="11"/>
      <c r="K6" s="11"/>
    </row>
    <row r="7" spans="1:11" x14ac:dyDescent="0.2">
      <c r="A7" s="1" t="s">
        <v>2124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2420</v>
      </c>
      <c r="I7" s="11"/>
      <c r="J7" s="11"/>
      <c r="K7" s="11"/>
    </row>
    <row r="8" spans="1:11" x14ac:dyDescent="0.2">
      <c r="A8" s="1" t="s">
        <v>791</v>
      </c>
      <c r="B8" t="s">
        <v>1264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2421</v>
      </c>
      <c r="I8" s="11"/>
      <c r="J8" s="11"/>
      <c r="K8" s="11"/>
    </row>
    <row r="9" spans="1:11" x14ac:dyDescent="0.2">
      <c r="A9" s="1" t="s">
        <v>1736</v>
      </c>
      <c r="B9" t="s">
        <v>1113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2422</v>
      </c>
      <c r="I9" s="11"/>
      <c r="J9" s="11"/>
      <c r="K9" s="11"/>
    </row>
    <row r="10" spans="1:11" x14ac:dyDescent="0.2">
      <c r="A10" s="1" t="s">
        <v>1099</v>
      </c>
      <c r="B10" t="s">
        <v>2130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2423</v>
      </c>
      <c r="I10" s="11"/>
      <c r="J10" s="11"/>
      <c r="K10" s="11"/>
    </row>
    <row r="11" spans="1:11" x14ac:dyDescent="0.2">
      <c r="A11" s="1" t="s">
        <v>1084</v>
      </c>
      <c r="B11" t="s">
        <v>2129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2424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2425</v>
      </c>
      <c r="I12" s="11"/>
      <c r="J12" s="11"/>
      <c r="K12" s="11"/>
    </row>
    <row r="13" spans="1:11" x14ac:dyDescent="0.2">
      <c r="A13" s="1" t="s">
        <v>1591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2426</v>
      </c>
      <c r="I13" s="11"/>
      <c r="J13" s="11"/>
      <c r="K13" s="11"/>
    </row>
    <row r="14" spans="1:11" x14ac:dyDescent="0.2">
      <c r="A14" s="1" t="s">
        <v>1580</v>
      </c>
      <c r="B14" t="s">
        <v>794</v>
      </c>
      <c r="C14">
        <v>13</v>
      </c>
      <c r="D14" t="s">
        <v>785</v>
      </c>
      <c r="E14" s="7">
        <v>604</v>
      </c>
      <c r="F14" s="7">
        <v>-2127</v>
      </c>
      <c r="G14" s="7">
        <v>98</v>
      </c>
      <c r="H14" s="7" t="s">
        <v>2427</v>
      </c>
      <c r="I14" s="11"/>
      <c r="J14" s="11"/>
      <c r="K14" s="11"/>
    </row>
    <row r="15" spans="1:11" x14ac:dyDescent="0.2">
      <c r="A15" s="1" t="s">
        <v>1043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2428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2429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I12"/>
  <sheetViews>
    <sheetView workbookViewId="0">
      <selection activeCell="D26" sqref="D26"/>
    </sheetView>
  </sheetViews>
  <sheetFormatPr baseColWidth="10" defaultRowHeight="16" x14ac:dyDescent="0.2"/>
  <cols>
    <col min="1" max="1" width="22.1640625" bestFit="1" customWidth="1"/>
  </cols>
  <sheetData>
    <row r="1" spans="1:9" s="6" customFormat="1" x14ac:dyDescent="0.2">
      <c r="A1" s="6" t="s">
        <v>781</v>
      </c>
      <c r="B1" s="6" t="s">
        <v>2141</v>
      </c>
      <c r="C1" s="6" t="s">
        <v>2132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2139</v>
      </c>
      <c r="I1" s="6" t="s">
        <v>2133</v>
      </c>
    </row>
    <row r="2" spans="1:9" x14ac:dyDescent="0.2">
      <c r="A2" t="s">
        <v>1472</v>
      </c>
      <c r="B2" t="s">
        <v>2986</v>
      </c>
      <c r="C2">
        <v>1</v>
      </c>
      <c r="D2" t="s">
        <v>785</v>
      </c>
      <c r="E2">
        <v>-254</v>
      </c>
      <c r="F2">
        <v>102</v>
      </c>
      <c r="G2">
        <v>18</v>
      </c>
      <c r="I2" t="str">
        <f>"{ name: "&amp;CHAR(34)&amp;A2&amp;CHAR(34)&amp;", landmark: "&amp;CHAR(34)&amp;"Village"&amp;CHAR(34)&amp;",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"Village", type: "Village", region: 1, level: "Surface", x: -254, y: 102, z: 18, details: "" },</v>
      </c>
    </row>
    <row r="3" spans="1:9" x14ac:dyDescent="0.2">
      <c r="A3" t="s">
        <v>847</v>
      </c>
      <c r="B3" t="s">
        <v>2986</v>
      </c>
      <c r="C3">
        <v>4</v>
      </c>
      <c r="D3" t="s">
        <v>785</v>
      </c>
      <c r="E3">
        <v>-3621</v>
      </c>
      <c r="F3">
        <v>1800</v>
      </c>
      <c r="G3">
        <v>103</v>
      </c>
      <c r="I3" t="s">
        <v>2992</v>
      </c>
    </row>
    <row r="4" spans="1:9" x14ac:dyDescent="0.2">
      <c r="A4" t="s">
        <v>1429</v>
      </c>
      <c r="B4" t="s">
        <v>2986</v>
      </c>
      <c r="C4">
        <v>6</v>
      </c>
      <c r="D4" t="s">
        <v>785</v>
      </c>
      <c r="E4">
        <v>419</v>
      </c>
      <c r="F4">
        <v>2140</v>
      </c>
      <c r="G4">
        <v>-106</v>
      </c>
      <c r="I4" t="s">
        <v>2993</v>
      </c>
    </row>
    <row r="5" spans="1:9" x14ac:dyDescent="0.2">
      <c r="A5" t="s">
        <v>1331</v>
      </c>
      <c r="B5" t="s">
        <v>2986</v>
      </c>
      <c r="C5">
        <v>7</v>
      </c>
      <c r="D5" t="s">
        <v>785</v>
      </c>
      <c r="E5">
        <v>1657</v>
      </c>
      <c r="F5">
        <v>2440</v>
      </c>
      <c r="G5">
        <v>340</v>
      </c>
      <c r="I5" t="s">
        <v>2994</v>
      </c>
    </row>
    <row r="6" spans="1:9" x14ac:dyDescent="0.2">
      <c r="A6" t="s">
        <v>1707</v>
      </c>
      <c r="B6" t="s">
        <v>2986</v>
      </c>
      <c r="C6">
        <v>8</v>
      </c>
      <c r="D6" t="s">
        <v>785</v>
      </c>
      <c r="E6">
        <v>3966</v>
      </c>
      <c r="F6">
        <v>1611</v>
      </c>
      <c r="G6">
        <v>128</v>
      </c>
      <c r="I6" t="s">
        <v>2995</v>
      </c>
    </row>
    <row r="7" spans="1:9" x14ac:dyDescent="0.2">
      <c r="A7" t="s">
        <v>1780</v>
      </c>
      <c r="B7" t="s">
        <v>2986</v>
      </c>
      <c r="C7">
        <v>9</v>
      </c>
      <c r="D7" t="s">
        <v>785</v>
      </c>
      <c r="E7">
        <v>3331</v>
      </c>
      <c r="F7">
        <v>533</v>
      </c>
      <c r="G7">
        <v>137</v>
      </c>
      <c r="I7" t="s">
        <v>2996</v>
      </c>
    </row>
    <row r="8" spans="1:9" x14ac:dyDescent="0.2">
      <c r="A8" t="s">
        <v>1009</v>
      </c>
      <c r="B8" t="s">
        <v>2986</v>
      </c>
      <c r="C8">
        <v>10</v>
      </c>
      <c r="D8" t="s">
        <v>785</v>
      </c>
      <c r="E8">
        <v>1865</v>
      </c>
      <c r="F8">
        <v>-999</v>
      </c>
      <c r="G8">
        <v>115</v>
      </c>
      <c r="I8" t="s">
        <v>2997</v>
      </c>
    </row>
    <row r="9" spans="1:9" x14ac:dyDescent="0.2">
      <c r="A9" t="s">
        <v>1358</v>
      </c>
      <c r="B9" t="s">
        <v>2986</v>
      </c>
      <c r="C9">
        <v>11</v>
      </c>
      <c r="D9" t="s">
        <v>785</v>
      </c>
      <c r="E9">
        <v>3384</v>
      </c>
      <c r="F9">
        <v>-2139</v>
      </c>
      <c r="G9">
        <v>232</v>
      </c>
      <c r="I9" t="s">
        <v>2998</v>
      </c>
    </row>
    <row r="10" spans="1:9" x14ac:dyDescent="0.2">
      <c r="A10" t="s">
        <v>1480</v>
      </c>
      <c r="B10" t="s">
        <v>2986</v>
      </c>
      <c r="C10">
        <v>12</v>
      </c>
      <c r="D10" t="s">
        <v>785</v>
      </c>
      <c r="E10">
        <v>2884</v>
      </c>
      <c r="F10">
        <v>-3432</v>
      </c>
      <c r="G10">
        <v>60</v>
      </c>
      <c r="I10" t="s">
        <v>2999</v>
      </c>
    </row>
    <row r="11" spans="1:9" x14ac:dyDescent="0.2">
      <c r="A11" t="s">
        <v>1313</v>
      </c>
      <c r="B11" t="s">
        <v>2986</v>
      </c>
      <c r="C11">
        <v>14</v>
      </c>
      <c r="D11" t="s">
        <v>785</v>
      </c>
      <c r="E11">
        <v>-3859</v>
      </c>
      <c r="F11">
        <v>-2941</v>
      </c>
      <c r="G11">
        <v>33</v>
      </c>
      <c r="I11" t="s">
        <v>3000</v>
      </c>
    </row>
    <row r="12" spans="1:9" x14ac:dyDescent="0.2">
      <c r="A12" t="s">
        <v>1415</v>
      </c>
      <c r="B12" t="s">
        <v>2986</v>
      </c>
      <c r="C12">
        <v>14</v>
      </c>
      <c r="D12" t="s">
        <v>785</v>
      </c>
      <c r="E12">
        <v>-3269</v>
      </c>
      <c r="F12">
        <v>-2558</v>
      </c>
      <c r="G12">
        <v>23</v>
      </c>
      <c r="I12" t="s">
        <v>3001</v>
      </c>
    </row>
  </sheetData>
  <autoFilter ref="A1:I1" xr:uid="{A095D5C8-FF81-DA46-ADE3-61DE071C2139}">
    <sortState xmlns:xlrd2="http://schemas.microsoft.com/office/spreadsheetml/2017/richdata2" ref="A2:I21">
      <sortCondition ref="B1:B21"/>
    </sortState>
  </autoFilter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0CF4-E851-8648-ADA2-2D32FF15FCC0}">
  <sheetPr codeName="Sheet17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2141</v>
      </c>
      <c r="D1" s="6" t="s">
        <v>2132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2139</v>
      </c>
      <c r="J1" s="6" t="s">
        <v>2133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2120</v>
      </c>
      <c r="AC1" s="4" t="s">
        <v>2121</v>
      </c>
      <c r="AD1" s="4" t="s">
        <v>2131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2122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2123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1696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1264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1113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2130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2129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2125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sheetPr codeName="Sheet20"/>
  <dimension ref="B1:C65"/>
  <sheetViews>
    <sheetView topLeftCell="A33" workbookViewId="0">
      <selection activeCell="B51" sqref="B51"/>
    </sheetView>
  </sheetViews>
  <sheetFormatPr baseColWidth="10" defaultRowHeight="16" x14ac:dyDescent="0.2"/>
  <cols>
    <col min="2" max="2" width="34.33203125" bestFit="1" customWidth="1"/>
  </cols>
  <sheetData>
    <row r="1" spans="2:3" x14ac:dyDescent="0.2">
      <c r="B1" t="s">
        <v>2827</v>
      </c>
      <c r="C1" t="s">
        <v>2828</v>
      </c>
    </row>
    <row r="2" spans="2:3" x14ac:dyDescent="0.2">
      <c r="B2" t="s">
        <v>2123</v>
      </c>
    </row>
    <row r="3" spans="2:3" x14ac:dyDescent="0.2">
      <c r="B3" t="s">
        <v>787</v>
      </c>
    </row>
    <row r="4" spans="2:3" x14ac:dyDescent="0.2">
      <c r="B4" t="s">
        <v>2829</v>
      </c>
      <c r="C4" t="s">
        <v>2830</v>
      </c>
    </row>
    <row r="5" spans="2:3" x14ac:dyDescent="0.2">
      <c r="B5" t="s">
        <v>1696</v>
      </c>
    </row>
    <row r="6" spans="2:3" x14ac:dyDescent="0.2">
      <c r="B6" t="s">
        <v>789</v>
      </c>
    </row>
    <row r="7" spans="2:3" x14ac:dyDescent="0.2">
      <c r="B7" t="s">
        <v>2831</v>
      </c>
      <c r="C7" t="s">
        <v>2832</v>
      </c>
    </row>
    <row r="8" spans="2:3" x14ac:dyDescent="0.2">
      <c r="B8" t="s">
        <v>2833</v>
      </c>
      <c r="C8" t="s">
        <v>2834</v>
      </c>
    </row>
    <row r="9" spans="2:3" x14ac:dyDescent="0.2">
      <c r="B9" t="s">
        <v>2835</v>
      </c>
      <c r="C9" t="s">
        <v>2836</v>
      </c>
    </row>
    <row r="10" spans="2:3" x14ac:dyDescent="0.2">
      <c r="B10" t="s">
        <v>803</v>
      </c>
    </row>
    <row r="11" spans="2:3" x14ac:dyDescent="0.2">
      <c r="B11" t="s">
        <v>2837</v>
      </c>
      <c r="C11" t="s">
        <v>2838</v>
      </c>
    </row>
    <row r="12" spans="2:3" x14ac:dyDescent="0.2">
      <c r="B12" t="s">
        <v>2839</v>
      </c>
      <c r="C12" t="s">
        <v>2840</v>
      </c>
    </row>
    <row r="13" spans="2:3" x14ac:dyDescent="0.2">
      <c r="B13" t="s">
        <v>2841</v>
      </c>
      <c r="C13" t="s">
        <v>2842</v>
      </c>
    </row>
    <row r="14" spans="2:3" x14ac:dyDescent="0.2">
      <c r="B14" t="s">
        <v>2843</v>
      </c>
      <c r="C14" t="s">
        <v>2844</v>
      </c>
    </row>
    <row r="15" spans="2:3" x14ac:dyDescent="0.2">
      <c r="B15" t="s">
        <v>797</v>
      </c>
    </row>
    <row r="18" spans="2:3" x14ac:dyDescent="0.2">
      <c r="B18" t="s">
        <v>2122</v>
      </c>
      <c r="C18" s="21">
        <v>1</v>
      </c>
    </row>
    <row r="19" spans="2:3" x14ac:dyDescent="0.2">
      <c r="B19" t="s">
        <v>2123</v>
      </c>
      <c r="C19" s="21">
        <v>2</v>
      </c>
    </row>
    <row r="20" spans="2:3" x14ac:dyDescent="0.2">
      <c r="B20" t="s">
        <v>787</v>
      </c>
      <c r="C20" s="21">
        <v>3</v>
      </c>
    </row>
    <row r="21" spans="2:3" x14ac:dyDescent="0.2">
      <c r="B21" t="s">
        <v>800</v>
      </c>
      <c r="C21" s="21">
        <v>4</v>
      </c>
    </row>
    <row r="22" spans="2:3" x14ac:dyDescent="0.2">
      <c r="B22" t="s">
        <v>1696</v>
      </c>
      <c r="C22" s="21">
        <v>5</v>
      </c>
    </row>
    <row r="23" spans="2:3" x14ac:dyDescent="0.2">
      <c r="B23" t="s">
        <v>789</v>
      </c>
      <c r="C23" s="21">
        <v>6</v>
      </c>
    </row>
    <row r="24" spans="2:3" x14ac:dyDescent="0.2">
      <c r="B24" t="s">
        <v>1264</v>
      </c>
      <c r="C24" s="21">
        <v>7</v>
      </c>
    </row>
    <row r="25" spans="2:3" x14ac:dyDescent="0.2">
      <c r="B25" t="s">
        <v>1113</v>
      </c>
      <c r="C25" s="21">
        <v>8</v>
      </c>
    </row>
    <row r="26" spans="2:3" x14ac:dyDescent="0.2">
      <c r="B26" t="s">
        <v>801</v>
      </c>
      <c r="C26" s="21">
        <v>9</v>
      </c>
    </row>
    <row r="27" spans="2:3" x14ac:dyDescent="0.2">
      <c r="B27" t="s">
        <v>803</v>
      </c>
      <c r="C27" s="21">
        <v>10</v>
      </c>
    </row>
    <row r="28" spans="2:3" x14ac:dyDescent="0.2">
      <c r="B28" t="s">
        <v>804</v>
      </c>
      <c r="C28" s="21">
        <v>11</v>
      </c>
    </row>
    <row r="29" spans="2:3" x14ac:dyDescent="0.2">
      <c r="B29" t="s">
        <v>805</v>
      </c>
      <c r="C29" s="21">
        <v>12</v>
      </c>
    </row>
    <row r="30" spans="2:3" x14ac:dyDescent="0.2">
      <c r="B30" t="s">
        <v>794</v>
      </c>
      <c r="C30" s="21">
        <v>13</v>
      </c>
    </row>
    <row r="31" spans="2:3" x14ac:dyDescent="0.2">
      <c r="B31" t="s">
        <v>798</v>
      </c>
      <c r="C31" s="21">
        <v>14</v>
      </c>
    </row>
    <row r="32" spans="2:3" x14ac:dyDescent="0.2">
      <c r="B32" t="s">
        <v>797</v>
      </c>
      <c r="C32" s="21">
        <v>15</v>
      </c>
    </row>
    <row r="33" spans="2:3" x14ac:dyDescent="0.2">
      <c r="C33" s="21"/>
    </row>
    <row r="35" spans="2:3" x14ac:dyDescent="0.2">
      <c r="B35" t="s">
        <v>8</v>
      </c>
      <c r="C35" t="s">
        <v>2132</v>
      </c>
    </row>
    <row r="36" spans="2:3" x14ac:dyDescent="0.2">
      <c r="B36" t="s">
        <v>2832</v>
      </c>
      <c r="C36" s="21">
        <v>7</v>
      </c>
    </row>
    <row r="37" spans="2:3" x14ac:dyDescent="0.2">
      <c r="B37" t="s">
        <v>2834</v>
      </c>
      <c r="C37" s="21">
        <v>8</v>
      </c>
    </row>
    <row r="38" spans="2:3" x14ac:dyDescent="0.2">
      <c r="B38" t="s">
        <v>2840</v>
      </c>
      <c r="C38" s="21">
        <v>12</v>
      </c>
    </row>
    <row r="39" spans="2:3" x14ac:dyDescent="0.2">
      <c r="B39" t="s">
        <v>2844</v>
      </c>
      <c r="C39" s="21">
        <v>14</v>
      </c>
    </row>
    <row r="40" spans="2:3" x14ac:dyDescent="0.2">
      <c r="B40" t="s">
        <v>2828</v>
      </c>
      <c r="C40" s="21">
        <v>1</v>
      </c>
    </row>
    <row r="41" spans="2:3" x14ac:dyDescent="0.2">
      <c r="B41" t="s">
        <v>2842</v>
      </c>
      <c r="C41" s="21">
        <v>13</v>
      </c>
    </row>
    <row r="42" spans="2:3" x14ac:dyDescent="0.2">
      <c r="B42" t="s">
        <v>2836</v>
      </c>
      <c r="C42" s="21">
        <v>9</v>
      </c>
    </row>
    <row r="43" spans="2:3" x14ac:dyDescent="0.2">
      <c r="B43" t="s">
        <v>2838</v>
      </c>
      <c r="C43" s="21">
        <v>11</v>
      </c>
    </row>
    <row r="44" spans="2:3" x14ac:dyDescent="0.2">
      <c r="B44" t="s">
        <v>2830</v>
      </c>
      <c r="C44" s="21">
        <v>4</v>
      </c>
    </row>
    <row r="45" spans="2:3" x14ac:dyDescent="0.2">
      <c r="B45" t="s">
        <v>2833</v>
      </c>
      <c r="C45">
        <v>8</v>
      </c>
    </row>
    <row r="46" spans="2:3" x14ac:dyDescent="0.2">
      <c r="B46" t="s">
        <v>2839</v>
      </c>
      <c r="C46">
        <v>12</v>
      </c>
    </row>
    <row r="47" spans="2:3" x14ac:dyDescent="0.2">
      <c r="B47" t="s">
        <v>2831</v>
      </c>
      <c r="C47">
        <v>7</v>
      </c>
    </row>
    <row r="48" spans="2:3" x14ac:dyDescent="0.2">
      <c r="B48" t="s">
        <v>2841</v>
      </c>
      <c r="C48">
        <v>13</v>
      </c>
    </row>
    <row r="49" spans="2:3" x14ac:dyDescent="0.2">
      <c r="B49" t="s">
        <v>2843</v>
      </c>
      <c r="C49">
        <v>14</v>
      </c>
    </row>
    <row r="50" spans="2:3" x14ac:dyDescent="0.2">
      <c r="B50" t="s">
        <v>797</v>
      </c>
      <c r="C50">
        <v>15</v>
      </c>
    </row>
    <row r="51" spans="2:3" x14ac:dyDescent="0.2">
      <c r="B51" t="s">
        <v>789</v>
      </c>
      <c r="C51">
        <v>6</v>
      </c>
    </row>
    <row r="52" spans="2:3" x14ac:dyDescent="0.2">
      <c r="B52" t="s">
        <v>2829</v>
      </c>
      <c r="C52">
        <v>4</v>
      </c>
    </row>
    <row r="53" spans="2:3" x14ac:dyDescent="0.2">
      <c r="B53" t="s">
        <v>787</v>
      </c>
      <c r="C53">
        <v>3</v>
      </c>
    </row>
    <row r="54" spans="2:3" x14ac:dyDescent="0.2">
      <c r="B54" t="s">
        <v>803</v>
      </c>
      <c r="C54">
        <v>10</v>
      </c>
    </row>
    <row r="55" spans="2:3" x14ac:dyDescent="0.2">
      <c r="B55" t="s">
        <v>2837</v>
      </c>
      <c r="C55">
        <v>11</v>
      </c>
    </row>
    <row r="56" spans="2:3" x14ac:dyDescent="0.2">
      <c r="B56" t="s">
        <v>2827</v>
      </c>
      <c r="C56">
        <v>1</v>
      </c>
    </row>
    <row r="57" spans="2:3" x14ac:dyDescent="0.2">
      <c r="B57" t="s">
        <v>2123</v>
      </c>
      <c r="C57">
        <v>2</v>
      </c>
    </row>
    <row r="58" spans="2:3" x14ac:dyDescent="0.2">
      <c r="B58" t="s">
        <v>1696</v>
      </c>
      <c r="C58">
        <v>5</v>
      </c>
    </row>
    <row r="59" spans="2:3" x14ac:dyDescent="0.2">
      <c r="B59" t="s">
        <v>2835</v>
      </c>
      <c r="C59">
        <v>9</v>
      </c>
    </row>
    <row r="60" spans="2:3" x14ac:dyDescent="0.2">
      <c r="C60" s="21"/>
    </row>
    <row r="61" spans="2:3" x14ac:dyDescent="0.2">
      <c r="C61" s="21"/>
    </row>
    <row r="62" spans="2:3" x14ac:dyDescent="0.2">
      <c r="C62" s="21"/>
    </row>
    <row r="63" spans="2:3" x14ac:dyDescent="0.2">
      <c r="C63" s="21"/>
    </row>
    <row r="64" spans="2:3" x14ac:dyDescent="0.2">
      <c r="C64" s="21"/>
    </row>
    <row r="65" spans="3:3" x14ac:dyDescent="0.2">
      <c r="C65" s="21"/>
    </row>
  </sheetData>
  <autoFilter ref="B35:C65" xr:uid="{D9573C9F-E61B-2945-A5E9-27CE90D35E90}">
    <sortState xmlns:xlrd2="http://schemas.microsoft.com/office/spreadsheetml/2017/richdata2" ref="B36:C65">
      <sortCondition ref="B35:B6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Checklist</vt:lpstr>
      <vt:lpstr>100%</vt:lpstr>
      <vt:lpstr>Named Locations</vt:lpstr>
      <vt:lpstr>Wells</vt:lpstr>
      <vt:lpstr>Shops</vt:lpstr>
      <vt:lpstr>Temples</vt:lpstr>
      <vt:lpstr>Statues</vt:lpstr>
      <vt:lpstr>Forge Constructs</vt:lpstr>
      <vt:lpstr>Dragon Tears</vt:lpstr>
      <vt:lpstr>Ancient Tablets</vt:lpstr>
      <vt:lpstr>Great Fairies</vt:lpstr>
      <vt:lpstr>Cherry Trees</vt:lpstr>
      <vt:lpstr>Hudson Signs</vt:lpstr>
      <vt:lpstr>Old Maps</vt:lpstr>
      <vt:lpstr>Schematics</vt:lpstr>
      <vt:lpstr>Caves</vt:lpstr>
      <vt:lpstr>Chasms</vt:lpstr>
      <vt:lpstr>Dispensers</vt:lpstr>
      <vt:lpstr>Lightroots</vt:lpstr>
      <vt:lpstr>Shrines</vt:lpstr>
      <vt:lpstr>Stables</vt:lpstr>
      <vt:lpstr>Towers</vt:lpstr>
      <vt:lpstr>Villages</vt:lpstr>
      <vt:lpstr>TEMPLATE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2026-07-10T03:18:49Z</dcterms:modified>
</cp:coreProperties>
</file>