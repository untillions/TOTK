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6209BDBF-1B27-1B4F-AA28-32A6DA654F09}" xr6:coauthVersionLast="47" xr6:coauthVersionMax="47" xr10:uidLastSave="{00000000-0000-0000-0000-000000000000}"/>
  <bookViews>
    <workbookView xWindow="6540" yWindow="500" windowWidth="27620" windowHeight="19660" firstSheet="14" activeTab="15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Shrine Quests" sheetId="44" r:id="rId5"/>
    <sheet name="Side Adventures" sheetId="43" r:id="rId6"/>
    <sheet name="Mini-Bosses" sheetId="38" r:id="rId7"/>
    <sheet name="Cherry Trees" sheetId="26" r:id="rId8"/>
    <sheet name="Goddess Statues" sheetId="29" r:id="rId9"/>
    <sheet name="Hudson Signs" sheetId="7" r:id="rId10"/>
    <sheet name="Old Maps" sheetId="14" r:id="rId11"/>
    <sheet name="Sage's Wills" sheetId="31" r:id="rId12"/>
    <sheet name="Schematics" sheetId="9" r:id="rId13"/>
    <sheet name="Ancient Tablets" sheetId="19" r:id="rId14"/>
    <sheet name="Bargainer Statues" sheetId="22" r:id="rId15"/>
    <sheet name="Caves" sheetId="5" r:id="rId16"/>
    <sheet name="Chasms" sheetId="4" r:id="rId17"/>
    <sheet name="Dispensers" sheetId="6" r:id="rId18"/>
    <sheet name="Dragon Tears" sheetId="20" r:id="rId19"/>
    <sheet name="Forge Constructs" sheetId="21" r:id="rId20"/>
    <sheet name="Great Fairies" sheetId="18" r:id="rId21"/>
    <sheet name="Inns" sheetId="32" r:id="rId22"/>
    <sheet name="Koroks" sheetId="37" r:id="rId23"/>
    <sheet name="Lightroots" sheetId="10" r:id="rId24"/>
    <sheet name="Named Locations" sheetId="16" r:id="rId25"/>
    <sheet name="Shops" sheetId="23" r:id="rId26"/>
    <sheet name="Shrines" sheetId="1" r:id="rId27"/>
    <sheet name="Special" sheetId="34" r:id="rId28"/>
    <sheet name="Stables" sheetId="25" r:id="rId29"/>
    <sheet name="Temples" sheetId="28" r:id="rId30"/>
    <sheet name="Towers" sheetId="12" r:id="rId31"/>
    <sheet name="Unnamed" sheetId="35" r:id="rId32"/>
    <sheet name="Villages" sheetId="27" r:id="rId33"/>
    <sheet name="Wells" sheetId="24" r:id="rId34"/>
    <sheet name="Sheet1" sheetId="3" r:id="rId35"/>
    <sheet name="Sheet2" sheetId="2" r:id="rId36"/>
  </sheets>
  <definedNames>
    <definedName name="_xlnm._FilterDatabase" localSheetId="13" hidden="1">'Ancient Tablets'!$A$1:$I$2</definedName>
    <definedName name="_xlnm._FilterDatabase" localSheetId="14" hidden="1">'Bargainer Statues'!$A$1:$I$2</definedName>
    <definedName name="_xlnm._FilterDatabase" localSheetId="15" hidden="1">Caves!$A$1:$K$198</definedName>
    <definedName name="_xlnm._FilterDatabase" localSheetId="16" hidden="1">Chasms!$A$1:$K$37</definedName>
    <definedName name="_xlnm._FilterDatabase" localSheetId="7" hidden="1">'Cherry Trees'!$A$1:$J$1</definedName>
    <definedName name="_xlnm._FilterDatabase" localSheetId="17" hidden="1">Dispensers!$A$1:$I$30</definedName>
    <definedName name="_xlnm._FilterDatabase" localSheetId="18" hidden="1">'Dragon Tears'!$A$1:$I$2</definedName>
    <definedName name="_xlnm._FilterDatabase" localSheetId="19" hidden="1">'Forge Constructs'!$A$1:$I$12</definedName>
    <definedName name="_xlnm._FilterDatabase" localSheetId="8" hidden="1">'Goddess Statues'!$A$1:$J$1</definedName>
    <definedName name="_xlnm._FilterDatabase" localSheetId="20" hidden="1">'Great Fairies'!$A$1:$I$2</definedName>
    <definedName name="_xlnm._FilterDatabase" localSheetId="9" hidden="1">'Hudson Signs'!$A$1:$G$82</definedName>
    <definedName name="_xlnm._FilterDatabase" localSheetId="21" hidden="1">Inns!$A$1:$I$1</definedName>
    <definedName name="_xlnm._FilterDatabase" localSheetId="22" hidden="1">Koroks!$A$1:$J$901</definedName>
    <definedName name="_xlnm._FilterDatabase" localSheetId="23" hidden="1">Lightroots!$A$1:$H$121</definedName>
    <definedName name="_xlnm._FilterDatabase" localSheetId="2" hidden="1">'Main Quests'!$A$1:$J$23</definedName>
    <definedName name="_xlnm._FilterDatabase" localSheetId="6" hidden="1">'Mini-Bosses'!$A$1:$J$88</definedName>
    <definedName name="_xlnm._FilterDatabase" localSheetId="24" hidden="1">'Named Locations'!$A$1:$L$663</definedName>
    <definedName name="_xlnm._FilterDatabase" localSheetId="1" hidden="1">'New Checklist'!$A$1:$E$796</definedName>
    <definedName name="_xlnm._FilterDatabase" localSheetId="10" hidden="1">'Old Maps'!$A$1:$J$32</definedName>
    <definedName name="_xlnm._FilterDatabase" localSheetId="11" hidden="1">'Sage''s Wills'!$A$1:$J$2</definedName>
    <definedName name="_xlnm._FilterDatabase" localSheetId="12" hidden="1">Schematics!$A$1:$J$47</definedName>
    <definedName name="_xlnm._FilterDatabase" localSheetId="25" hidden="1">Shops!$A$1:$I$38</definedName>
    <definedName name="_xlnm._FilterDatabase" localSheetId="4" hidden="1">'Shrine Quests'!$A$1:$J$54</definedName>
    <definedName name="_xlnm._FilterDatabase" localSheetId="26" hidden="1">Shrines!$A$1:$J$154</definedName>
    <definedName name="_xlnm._FilterDatabase" localSheetId="5" hidden="1">'Side Adventures'!$A$1:$J$68</definedName>
    <definedName name="_xlnm._FilterDatabase" localSheetId="3" hidden="1">'Side Quests'!$A$1:$J$140</definedName>
    <definedName name="_xlnm._FilterDatabase" localSheetId="27" hidden="1">Special!$A$1:$I$1</definedName>
    <definedName name="_xlnm._FilterDatabase" localSheetId="28" hidden="1">Stables!$A$1:$I$1</definedName>
    <definedName name="_xlnm._FilterDatabase" localSheetId="29" hidden="1">Temples!$A$1:$I$2</definedName>
    <definedName name="_xlnm._FilterDatabase" localSheetId="30" hidden="1">Towers!$A$1:$G$153</definedName>
    <definedName name="_xlnm._FilterDatabase" localSheetId="31" hidden="1">Unnamed!$A$1:$I$6</definedName>
    <definedName name="_xlnm._FilterDatabase" localSheetId="32" hidden="1">Villages!$A$1:$K$1</definedName>
    <definedName name="_xlnm._FilterDatabase" localSheetId="33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" i="40" l="1"/>
  <c r="J63" i="40"/>
  <c r="J55" i="40"/>
  <c r="J56" i="40"/>
  <c r="J111" i="40"/>
  <c r="J70" i="40"/>
  <c r="J123" i="40"/>
  <c r="J5" i="40"/>
  <c r="J6" i="40"/>
  <c r="J7" i="40"/>
  <c r="J8" i="40"/>
  <c r="J9" i="40"/>
  <c r="J16" i="40"/>
  <c r="J17" i="40"/>
  <c r="J18" i="40"/>
  <c r="J21" i="40"/>
  <c r="J22" i="40"/>
  <c r="J23" i="40"/>
  <c r="J24" i="40"/>
  <c r="J25" i="40"/>
  <c r="J30" i="40"/>
  <c r="J31" i="40"/>
  <c r="J32" i="40"/>
  <c r="J33" i="40"/>
  <c r="J34" i="40"/>
  <c r="J38" i="40"/>
  <c r="J39" i="40"/>
  <c r="J40" i="40"/>
  <c r="J41" i="40"/>
  <c r="J42" i="40"/>
  <c r="J46" i="40"/>
  <c r="J47" i="40"/>
  <c r="J48" i="40"/>
  <c r="J49" i="40"/>
  <c r="J50" i="40"/>
  <c r="J53" i="40"/>
  <c r="J54" i="40"/>
  <c r="J57" i="40"/>
  <c r="J58" i="40"/>
  <c r="J59" i="40"/>
  <c r="J61" i="40"/>
  <c r="J66" i="40"/>
  <c r="J67" i="40"/>
  <c r="J68" i="40"/>
  <c r="J69" i="40"/>
  <c r="J71" i="40"/>
  <c r="J74" i="40"/>
  <c r="J76" i="40"/>
  <c r="J77" i="40"/>
  <c r="J78" i="40"/>
  <c r="J80" i="40"/>
  <c r="J82" i="40"/>
  <c r="J83" i="40"/>
  <c r="J84" i="40"/>
  <c r="J85" i="40"/>
  <c r="J86" i="40"/>
  <c r="J87" i="40"/>
  <c r="J90" i="40"/>
  <c r="J91" i="40"/>
  <c r="J92" i="40"/>
  <c r="J93" i="40"/>
  <c r="J94" i="40"/>
  <c r="J96" i="40"/>
  <c r="J99" i="40"/>
  <c r="J100" i="40"/>
  <c r="J101" i="40"/>
  <c r="J102" i="40"/>
  <c r="J103" i="40"/>
  <c r="J106" i="40"/>
  <c r="J108" i="40"/>
  <c r="J109" i="40"/>
  <c r="J110" i="40"/>
  <c r="J113" i="40"/>
  <c r="J115" i="40"/>
  <c r="J116" i="40"/>
  <c r="J117" i="40"/>
  <c r="J118" i="40"/>
  <c r="J119" i="40"/>
  <c r="J120" i="40"/>
  <c r="J121" i="40"/>
  <c r="J122" i="40"/>
  <c r="J124" i="40"/>
  <c r="J125" i="40"/>
  <c r="J126" i="40"/>
  <c r="J127" i="40"/>
  <c r="J128" i="40"/>
  <c r="J129" i="40"/>
  <c r="J130" i="40"/>
  <c r="J132" i="40"/>
  <c r="J133" i="40"/>
  <c r="J134" i="40"/>
  <c r="J135" i="40"/>
  <c r="J136" i="40"/>
  <c r="J137" i="40"/>
  <c r="J139" i="40"/>
  <c r="J140" i="40"/>
  <c r="J2" i="40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2" i="23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3" i="31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35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" i="14"/>
  <c r="J7" i="1"/>
  <c r="J8" i="1"/>
  <c r="J9" i="1"/>
  <c r="J10" i="1"/>
  <c r="J11" i="1"/>
  <c r="J12" i="1"/>
  <c r="J2" i="1"/>
  <c r="J13" i="1"/>
  <c r="J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4" i="1"/>
  <c r="J123" i="1"/>
  <c r="J124" i="1"/>
  <c r="J5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6" i="1"/>
  <c r="J2" i="44"/>
  <c r="J3" i="44"/>
  <c r="J4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5" i="44"/>
  <c r="J33" i="43"/>
  <c r="J34" i="43"/>
  <c r="J31" i="43"/>
  <c r="J32" i="43"/>
  <c r="J41" i="43"/>
  <c r="J44" i="43"/>
  <c r="J45" i="43"/>
  <c r="J46" i="43"/>
  <c r="J47" i="43"/>
  <c r="J48" i="43"/>
  <c r="J50" i="43"/>
  <c r="J54" i="43"/>
  <c r="J55" i="43"/>
  <c r="J56" i="43"/>
  <c r="J58" i="43"/>
  <c r="J59" i="43"/>
  <c r="J61" i="43"/>
  <c r="J29" i="43"/>
  <c r="J21" i="43"/>
  <c r="J23" i="43"/>
  <c r="J24" i="43"/>
  <c r="J26" i="43"/>
  <c r="J28" i="43"/>
  <c r="J9" i="43"/>
  <c r="J13" i="43"/>
  <c r="J14" i="43"/>
  <c r="J15" i="43"/>
  <c r="J16" i="43"/>
  <c r="J17" i="43"/>
  <c r="J18" i="43"/>
  <c r="J49" i="43"/>
  <c r="J2" i="43"/>
  <c r="J3" i="43"/>
  <c r="J4" i="43"/>
  <c r="J5" i="43"/>
  <c r="J6" i="43"/>
  <c r="J7" i="43"/>
  <c r="J8" i="43"/>
  <c r="J10" i="43"/>
  <c r="J11" i="43"/>
  <c r="J12" i="43"/>
  <c r="J19" i="43"/>
  <c r="J20" i="43"/>
  <c r="J22" i="43"/>
  <c r="J25" i="43"/>
  <c r="J27" i="43"/>
  <c r="J30" i="43"/>
  <c r="J35" i="43"/>
  <c r="J36" i="43"/>
  <c r="J37" i="43"/>
  <c r="J38" i="43"/>
  <c r="J39" i="43"/>
  <c r="J40" i="43"/>
  <c r="J42" i="43"/>
  <c r="J43" i="43"/>
  <c r="J51" i="43"/>
  <c r="J52" i="43"/>
  <c r="J53" i="43"/>
  <c r="J60" i="43"/>
  <c r="J57" i="43"/>
  <c r="L2" i="16"/>
  <c r="J3" i="9"/>
  <c r="J2" i="9"/>
  <c r="J2" i="31"/>
  <c r="J3" i="40"/>
  <c r="J4" i="40"/>
  <c r="J10" i="40"/>
  <c r="J11" i="40"/>
  <c r="J12" i="40"/>
  <c r="J13" i="40"/>
  <c r="J14" i="40"/>
  <c r="J15" i="40"/>
  <c r="J19" i="40"/>
  <c r="J20" i="40"/>
  <c r="J26" i="40"/>
  <c r="J27" i="40"/>
  <c r="J28" i="40"/>
  <c r="J29" i="40"/>
  <c r="J35" i="40"/>
  <c r="J36" i="40"/>
  <c r="J37" i="40"/>
  <c r="J43" i="40"/>
  <c r="J44" i="40"/>
  <c r="J45" i="40"/>
  <c r="J51" i="40"/>
  <c r="J52" i="40"/>
  <c r="J60" i="40"/>
  <c r="J64" i="40"/>
  <c r="J65" i="40"/>
  <c r="J72" i="40"/>
  <c r="J73" i="40"/>
  <c r="J75" i="40"/>
  <c r="J79" i="40"/>
  <c r="J81" i="40"/>
  <c r="J88" i="40"/>
  <c r="J89" i="40"/>
  <c r="J95" i="40"/>
  <c r="J97" i="40"/>
  <c r="J98" i="40"/>
  <c r="J104" i="40"/>
  <c r="J105" i="40"/>
  <c r="J107" i="40"/>
  <c r="J112" i="40"/>
  <c r="J114" i="40"/>
  <c r="J131" i="40"/>
  <c r="J138" i="40"/>
  <c r="J3" i="42"/>
  <c r="J4" i="42"/>
  <c r="J6" i="42"/>
  <c r="J7" i="42"/>
  <c r="J8" i="42"/>
  <c r="J12" i="42"/>
  <c r="J14" i="42"/>
  <c r="J9" i="42"/>
  <c r="J23" i="42"/>
  <c r="J16" i="42"/>
  <c r="J17" i="42"/>
  <c r="J18" i="42"/>
  <c r="J19" i="42"/>
  <c r="J20" i="42"/>
  <c r="J21" i="42"/>
  <c r="J13" i="42"/>
  <c r="J10" i="42"/>
  <c r="J22" i="42"/>
  <c r="J5" i="42"/>
  <c r="J24" i="42"/>
  <c r="J15" i="42"/>
  <c r="J11" i="42"/>
  <c r="J2" i="42"/>
  <c r="J254" i="38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J4" i="37" l="1"/>
  <c r="J5" i="37" l="1"/>
  <c r="J6" i="37" l="1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J617" i="37" l="1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sharedStrings.xml><?xml version="1.0" encoding="utf-8"?>
<sst xmlns="http://schemas.openxmlformats.org/spreadsheetml/2006/main" count="15553" uniqueCount="4677">
  <si>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</si>
  <si>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</si>
  <si>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</si>
  <si>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</si>
  <si>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</si>
  <si>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</si>
  <si>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</si>
  <si>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</si>
  <si>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</si>
  <si>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</si>
  <si>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</si>
  <si>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</si>
  <si>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</si>
  <si>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</si>
  <si>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</si>
  <si>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</si>
  <si>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</si>
  <si>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</si>
  <si>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</si>
  <si>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</si>
  <si>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</si>
  <si>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</si>
  <si>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</si>
  <si>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</si>
  <si>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</si>
  <si>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</si>
  <si>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</si>
  <si>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</si>
  <si>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</si>
  <si>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</si>
  <si>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</si>
  <si>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</si>
  <si>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</si>
  <si>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</si>
  <si>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</si>
  <si>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</si>
  <si>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</si>
  <si>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</si>
  <si>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</si>
  <si>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</si>
  <si>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</si>
  <si>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</si>
  <si>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</si>
  <si>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</si>
  <si>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</si>
  <si>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</si>
  <si>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</si>
  <si>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</si>
  <si>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</si>
  <si>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</si>
  <si>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</si>
  <si>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</si>
  <si>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</si>
  <si>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</si>
  <si>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</si>
  <si>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</si>
  <si>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</si>
  <si>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</si>
  <si>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</si>
  <si>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</si>
  <si>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</si>
  <si>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</si>
  <si>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</si>
  <si>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</si>
  <si>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</si>
  <si>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</si>
  <si>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</si>
  <si>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</si>
  <si>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</si>
  <si>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</si>
  <si>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</si>
  <si>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</si>
  <si>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</si>
  <si>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</si>
  <si>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</si>
  <si>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</si>
  <si>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</si>
  <si>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</si>
  <si>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</si>
  <si>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</si>
  <si>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</si>
  <si>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</si>
  <si>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</si>
  <si>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</si>
  <si>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</si>
  <si>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</si>
  <si>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</si>
  <si>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</si>
  <si>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</si>
  <si>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</si>
  <si>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</si>
  <si>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</si>
  <si>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</si>
  <si>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</si>
  <si>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</si>
  <si>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</si>
  <si>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</si>
  <si>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</si>
  <si>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</si>
  <si>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</si>
  <si>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</si>
  <si>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</si>
  <si>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</si>
  <si>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</si>
  <si>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</si>
  <si>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</si>
  <si>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</si>
  <si>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</si>
  <si>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</si>
  <si>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</si>
  <si>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</si>
  <si>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</si>
  <si>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</si>
  <si>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</si>
  <si>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</si>
  <si>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</si>
  <si>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</si>
  <si>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</si>
  <si>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</si>
  <si>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</si>
  <si>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</si>
  <si>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</si>
  <si>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</si>
  <si>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</si>
  <si>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</si>
  <si>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</si>
  <si>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</si>
  <si>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</si>
  <si>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</si>
  <si>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</si>
  <si>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</si>
  <si>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</si>
  <si>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</si>
  <si>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</si>
  <si>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</si>
  <si>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</si>
  <si>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</si>
  <si>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</si>
  <si>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</si>
  <si>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</si>
  <si>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</si>
  <si>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</si>
  <si>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</si>
  <si>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</si>
  <si>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</si>
  <si>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</si>
  <si>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</si>
  <si>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</si>
  <si>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</si>
  <si>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</si>
  <si>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</si>
  <si>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</si>
  <si>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</si>
  <si>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</si>
  <si>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</si>
  <si>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</si>
  <si>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</si>
  <si>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</si>
  <si>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</si>
  <si>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</si>
  <si>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</si>
  <si>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</si>
  <si>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</si>
  <si>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</si>
  <si>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</si>
  <si>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</si>
  <si>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</si>
  <si>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</si>
  <si>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</si>
  <si>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</si>
  <si>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</si>
  <si>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</si>
  <si>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</si>
  <si>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</si>
  <si>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</si>
  <si>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</si>
  <si>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</si>
  <si>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</si>
  <si>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</si>
  <si>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</si>
  <si>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</si>
  <si>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</si>
  <si>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</si>
  <si>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</si>
  <si>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</si>
  <si>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</si>
  <si>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</si>
  <si>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</si>
  <si>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</si>
  <si>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</si>
  <si>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</si>
  <si>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</si>
  <si>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</si>
  <si>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</si>
  <si>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</si>
  <si>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</si>
  <si>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</si>
  <si>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</si>
  <si>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</si>
  <si>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</si>
  <si>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</si>
  <si>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</si>
  <si>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</si>
  <si>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</si>
  <si>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</si>
  <si>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</si>
  <si>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</si>
  <si>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</si>
  <si>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</si>
  <si>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</si>
  <si>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</si>
  <si>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</si>
  <si>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</si>
  <si>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</si>
  <si>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</si>
  <si>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</si>
  <si>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</si>
  <si>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</si>
  <si>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</si>
  <si>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</si>
  <si>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</si>
  <si>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</si>
  <si>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</si>
  <si>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</si>
  <si>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</si>
  <si>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</si>
  <si>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</si>
  <si>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</si>
  <si>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</si>
  <si>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</si>
  <si>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</si>
  <si>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</si>
  <si>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</si>
  <si>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</si>
  <si>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</si>
  <si>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</si>
  <si>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</si>
  <si>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</si>
  <si>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</si>
  <si>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</si>
  <si>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</si>
  <si>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</si>
  <si>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</si>
  <si>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</si>
  <si>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</si>
  <si>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</si>
  <si>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</si>
  <si>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</si>
  <si>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</si>
  <si>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</si>
  <si>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</si>
  <si>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</si>
  <si>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</si>
  <si>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</si>
  <si>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</si>
  <si>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</si>
  <si>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</si>
  <si>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</si>
  <si>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</si>
  <si>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</si>
  <si>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</si>
  <si>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</si>
  <si>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</si>
  <si>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</si>
  <si>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</si>
  <si>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</si>
  <si>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</si>
  <si>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</si>
  <si>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</si>
  <si>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</si>
  <si>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</si>
  <si>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</si>
  <si>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</si>
  <si>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</si>
  <si>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</si>
  <si>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</si>
  <si>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</si>
  <si>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</si>
  <si>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</si>
  <si>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</si>
  <si>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</si>
  <si>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</si>
  <si>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</si>
  <si>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</si>
  <si>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</si>
  <si>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</si>
  <si>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</si>
  <si>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</si>
  <si>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</si>
  <si>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</si>
  <si>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</si>
  <si>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</si>
  <si>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</si>
  <si>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</si>
  <si>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</si>
  <si>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</si>
  <si>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</si>
  <si>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</si>
  <si>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</si>
  <si>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</si>
  <si>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</si>
  <si>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</si>
  <si>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</si>
  <si>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</si>
  <si>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</si>
  <si>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</si>
  <si>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</si>
  <si>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</si>
  <si>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</si>
  <si>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</si>
  <si>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</si>
  <si>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</si>
  <si>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</si>
  <si>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</si>
  <si>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</si>
  <si>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</si>
  <si>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</si>
  <si>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</si>
  <si>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</si>
  <si>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</si>
  <si>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</si>
  <si>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</si>
  <si>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</si>
  <si>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</si>
  <si>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</si>
  <si>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</si>
  <si>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</si>
  <si>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</si>
  <si>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</si>
  <si>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</si>
  <si>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</si>
  <si>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</si>
  <si>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</si>
  <si>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</si>
  <si>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</si>
  <si>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</si>
  <si>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</si>
  <si>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</si>
  <si>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</si>
  <si>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</si>
  <si>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</si>
  <si>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</si>
  <si>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</si>
  <si>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</si>
  <si>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</si>
  <si>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</si>
  <si>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</si>
  <si>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</si>
  <si>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</si>
  <si>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</si>
  <si>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</si>
  <si>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</si>
  <si>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</si>
  <si>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</si>
  <si>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</si>
  <si>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</si>
  <si>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</si>
  <si>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</si>
  <si>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</si>
  <si>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</si>
  <si>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</si>
  <si>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</si>
  <si>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</si>
  <si>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</si>
  <si>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</si>
  <si>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</si>
  <si>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</si>
  <si>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</si>
  <si>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</si>
  <si>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</si>
  <si>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</si>
  <si>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</si>
  <si>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</si>
  <si>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</si>
  <si>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</si>
  <si>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</si>
  <si>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</si>
  <si>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</si>
  <si>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</si>
  <si>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</si>
  <si>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</si>
  <si>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</si>
  <si>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</si>
  <si>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</si>
  <si>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</si>
  <si>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</si>
  <si>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</si>
  <si>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</si>
  <si>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</si>
  <si>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</si>
  <si>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</si>
  <si>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</si>
  <si>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</si>
  <si>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</si>
  <si>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</si>
  <si>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</si>
  <si>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</si>
  <si>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</si>
  <si>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</si>
  <si>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</si>
  <si>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</si>
  <si>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</si>
  <si>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</si>
  <si>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</si>
  <si>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</si>
  <si>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</si>
  <si>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</si>
  <si>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</si>
  <si>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</si>
  <si>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</si>
  <si>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</si>
  <si>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</si>
  <si>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</si>
  <si>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</si>
  <si>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</si>
  <si>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</si>
  <si>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</si>
  <si>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</si>
  <si>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</si>
  <si>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</si>
  <si>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</si>
  <si>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</si>
  <si>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</si>
  <si>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</si>
  <si>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</si>
  <si>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</si>
  <si>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</si>
  <si>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</si>
  <si>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</si>
  <si>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</si>
  <si>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</si>
  <si>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</si>
  <si>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</si>
  <si>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</si>
  <si>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</si>
  <si>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</si>
  <si>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</si>
  <si>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</si>
  <si>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</si>
  <si>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</si>
  <si>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</si>
  <si>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</si>
  <si>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</si>
  <si>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</si>
  <si>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</si>
  <si>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</si>
  <si>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</si>
  <si>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</si>
  <si>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</si>
  <si>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</si>
  <si>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</si>
  <si>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</si>
  <si>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</si>
  <si>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</si>
  <si>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</si>
  <si>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</si>
  <si>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</si>
  <si>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</si>
  <si>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</si>
  <si>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</si>
  <si>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</si>
  <si>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</si>
  <si>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</si>
  <si>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</si>
  <si>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</si>
  <si>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</si>
  <si>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</si>
  <si>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</si>
  <si>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</si>
  <si>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</si>
  <si>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</si>
  <si>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</si>
  <si>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</si>
  <si>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</si>
  <si>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</si>
  <si>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</si>
  <si>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</si>
  <si>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</si>
  <si>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</si>
  <si>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</si>
  <si>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</si>
  <si>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</si>
  <si>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</si>
  <si>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</si>
  <si>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</si>
  <si>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</si>
  <si>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</si>
  <si>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</si>
  <si>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</si>
  <si>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</si>
  <si>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</si>
  <si>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</si>
  <si>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</si>
  <si>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</si>
  <si>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</si>
  <si>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</si>
  <si>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</si>
  <si>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</si>
  <si>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</si>
  <si>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</si>
  <si>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</si>
  <si>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</si>
  <si>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</si>
  <si>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</si>
  <si>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</si>
  <si>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</si>
  <si>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</si>
  <si>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</si>
  <si>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</si>
  <si>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</si>
  <si>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</si>
  <si>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</si>
  <si>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</si>
  <si>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</si>
  <si>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</si>
  <si>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</si>
  <si>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</si>
  <si>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</si>
  <si>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</si>
  <si>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</si>
  <si>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</si>
  <si>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</si>
  <si>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</si>
  <si>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</si>
  <si>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</si>
  <si>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</si>
  <si>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</si>
  <si>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</si>
  <si>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</si>
  <si>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</si>
  <si>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</si>
  <si>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</si>
  <si>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</si>
  <si>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</si>
  <si>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</si>
  <si>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</si>
  <si>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</si>
  <si>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</si>
  <si>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</si>
  <si>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</si>
  <si>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</si>
  <si>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</si>
  <si>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</si>
  <si>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</si>
  <si>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</si>
  <si>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</si>
  <si>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</si>
  <si>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</si>
  <si>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</si>
  <si>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</si>
  <si>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</si>
  <si>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</si>
  <si>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</si>
  <si>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</si>
  <si>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</si>
  <si>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</si>
  <si>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</si>
  <si>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</si>
  <si>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</si>
  <si>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</si>
  <si>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</si>
  <si>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</si>
  <si>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</si>
  <si>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</si>
  <si>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</si>
  <si>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</si>
  <si>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</si>
  <si>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</si>
  <si>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</si>
  <si>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</si>
  <si>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</si>
  <si>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</si>
  <si>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</si>
  <si>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</si>
  <si>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</si>
  <si>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</si>
  <si>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</si>
  <si>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</si>
  <si>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</si>
  <si>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</si>
  <si>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</si>
  <si>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</si>
  <si>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</si>
  <si>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</si>
  <si>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</si>
  <si>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</si>
  <si>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</si>
  <si>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</si>
  <si>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</si>
  <si>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</si>
  <si>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</si>
  <si>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</si>
  <si>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</si>
  <si>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</si>
  <si>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</si>
  <si>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</si>
  <si>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</si>
  <si>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</si>
  <si>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</si>
  <si>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</si>
  <si>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</si>
  <si>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</si>
  <si>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</si>
  <si>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</si>
  <si>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</si>
  <si>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</si>
  <si>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</si>
  <si>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</si>
  <si>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</si>
  <si>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</si>
  <si>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</si>
  <si>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</si>
  <si>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</si>
  <si>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</si>
  <si>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</si>
  <si>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</si>
  <si>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</si>
  <si>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</si>
  <si>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</si>
  <si>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</si>
  <si>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</si>
  <si>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</si>
  <si>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</si>
  <si>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</si>
  <si>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</si>
  <si>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</si>
  <si>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</si>
  <si>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</si>
  <si>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</si>
  <si>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</si>
  <si>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</si>
  <si>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</si>
  <si>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</si>
  <si>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</si>
  <si>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</si>
  <si>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</si>
  <si>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</si>
  <si>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</si>
  <si>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</si>
  <si>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</si>
  <si>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</si>
  <si>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</si>
  <si>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</si>
  <si>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</si>
  <si>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</si>
  <si>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</si>
  <si>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</si>
  <si>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</si>
  <si>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</si>
  <si>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</si>
  <si>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</si>
  <si>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</si>
  <si>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</si>
  <si>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</si>
  <si>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</si>
  <si>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</si>
  <si>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</si>
  <si>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</si>
  <si>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</si>
  <si>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</si>
  <si>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</si>
  <si>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</si>
  <si>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</si>
  <si>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</si>
  <si>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</si>
  <si>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</si>
  <si>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</si>
  <si>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</si>
  <si>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</si>
  <si>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</si>
  <si>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</si>
  <si>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</si>
  <si>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</si>
  <si>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</si>
  <si>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</si>
  <si>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</si>
  <si>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</si>
  <si>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</si>
  <si>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</si>
  <si>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</si>
  <si>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</si>
  <si>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</si>
  <si>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</si>
  <si>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</si>
  <si>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</si>
  <si>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</si>
  <si>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</si>
  <si>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</si>
  <si>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</si>
  <si>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</si>
  <si>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</si>
  <si>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</si>
  <si>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</si>
  <si>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</si>
  <si>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</si>
  <si>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</si>
  <si>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</si>
  <si>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</si>
  <si>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</si>
  <si>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</si>
  <si>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</si>
  <si>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</si>
  <si>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</si>
  <si>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</si>
  <si>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</si>
  <si>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</si>
  <si>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</si>
  <si>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</si>
  <si>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</si>
  <si>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</si>
  <si>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</si>
  <si>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</si>
  <si>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</si>
  <si>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</si>
  <si>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</si>
  <si>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</si>
  <si>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</si>
  <si>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</si>
  <si>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</si>
  <si>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</si>
  <si>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</si>
  <si>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</si>
  <si>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</si>
  <si>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</si>
  <si>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</si>
  <si>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</si>
  <si>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</si>
  <si>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</si>
  <si>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</si>
  <si>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</si>
  <si>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</si>
  <si>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</si>
  <si>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</si>
  <si>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</si>
  <si>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</si>
  <si>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</si>
  <si>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</si>
  <si>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</si>
  <si>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</si>
  <si>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</si>
  <si>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</si>
  <si>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</si>
  <si>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</si>
  <si>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</si>
  <si>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</si>
  <si>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</si>
  <si>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</si>
  <si>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</si>
  <si>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</si>
  <si>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</si>
  <si>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</si>
  <si>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</si>
  <si>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</si>
  <si>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</si>
  <si>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</si>
  <si>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</si>
  <si>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</si>
  <si>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</si>
  <si>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</si>
  <si>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</si>
  <si>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</si>
  <si>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</si>
  <si>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</si>
  <si>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</si>
  <si>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</si>
  <si>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</si>
  <si>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</si>
  <si>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</si>
  <si>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</si>
  <si>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</si>
  <si>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</si>
  <si>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</si>
  <si>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</si>
  <si>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</si>
  <si>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</si>
  <si>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</si>
  <si>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</si>
  <si>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</si>
  <si>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</si>
  <si>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</si>
  <si>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</si>
  <si>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</si>
  <si>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</si>
  <si>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</si>
  <si>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</si>
  <si>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</si>
  <si>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</si>
  <si>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</si>
  <si>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</si>
  <si>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</si>
  <si>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</si>
  <si>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</si>
  <si>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</si>
  <si>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</si>
  <si>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</si>
  <si>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</si>
  <si>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</si>
  <si>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</si>
  <si>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</si>
  <si>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</si>
  <si>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</si>
  <si>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</si>
  <si>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</si>
  <si>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</si>
  <si>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</si>
  <si>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</si>
  <si>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</si>
  <si>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</si>
  <si>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</si>
  <si>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</si>
  <si>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</si>
  <si>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</si>
  <si>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</si>
  <si>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</si>
  <si>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</si>
  <si>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</si>
  <si>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</si>
  <si>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</si>
  <si>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</si>
  <si>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</si>
  <si>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</si>
  <si>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</si>
  <si>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</si>
  <si>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</si>
  <si>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</si>
  <si>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</si>
  <si>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</si>
  <si>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</si>
  <si>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</si>
  <si>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</si>
  <si>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</si>
  <si>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</si>
  <si>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</si>
  <si>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</si>
  <si>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</si>
  <si>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</si>
  <si>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</si>
  <si>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</si>
  <si>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</si>
  <si>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</si>
  <si>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</si>
  <si>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</si>
  <si>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</si>
  <si>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</si>
  <si>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</si>
  <si>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</si>
  <si>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</si>
  <si>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</si>
  <si>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</si>
  <si>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</si>
  <si>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</si>
  <si>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</si>
  <si>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</si>
  <si>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</si>
  <si>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</si>
  <si>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</si>
  <si>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</si>
  <si>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</si>
  <si>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</si>
  <si>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</si>
  <si>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</si>
  <si>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</si>
  <si>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</si>
  <si>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</si>
  <si>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</si>
  <si>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</si>
  <si>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</si>
  <si>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</si>
  <si>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</si>
  <si>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</si>
  <si>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</si>
  <si>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</si>
  <si>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</si>
  <si>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</si>
  <si>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</si>
  <si>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</si>
  <si>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</si>
  <si>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</si>
  <si>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</si>
  <si>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</si>
  <si>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</si>
  <si>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</si>
  <si>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</si>
  <si>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</si>
  <si>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</si>
  <si>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</si>
  <si>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</si>
  <si>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</si>
  <si>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</si>
  <si>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</si>
  <si>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</si>
  <si>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</si>
  <si>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</si>
  <si>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</si>
  <si>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</si>
  <si>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</si>
  <si>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</si>
  <si>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</si>
  <si>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</si>
  <si>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</si>
  <si>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</si>
  <si>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</si>
  <si>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</si>
  <si>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</si>
  <si>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</si>
  <si>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</si>
  <si>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</si>
  <si>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</si>
  <si>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</si>
  <si>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</si>
  <si>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</si>
  <si>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</si>
  <si>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</si>
  <si>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</si>
  <si>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</si>
  <si>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</si>
  <si>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</si>
  <si>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</si>
  <si>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</si>
  <si>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</si>
  <si>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</si>
  <si>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</si>
  <si>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</si>
  <si>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</si>
  <si>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</si>
  <si>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</si>
  <si>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</si>
  <si>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</si>
  <si>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</si>
  <si>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</si>
  <si>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</si>
  <si>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</si>
  <si>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</si>
  <si>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</si>
  <si>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</si>
  <si>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</si>
  <si>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</si>
  <si>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</si>
  <si>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</si>
  <si>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</si>
  <si>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</si>
  <si>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</si>
  <si>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</si>
  <si>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</si>
  <si>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</si>
  <si>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</si>
  <si>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</si>
  <si>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</si>
  <si>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</si>
  <si>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</si>
  <si>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</si>
  <si>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</si>
  <si>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</si>
  <si>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</si>
  <si>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</si>
  <si>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</si>
  <si>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</si>
  <si>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</si>
  <si>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</si>
  <si>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</si>
  <si>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</si>
  <si>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</si>
  <si>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</si>
  <si>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</si>
  <si>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</si>
  <si>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</si>
  <si>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</si>
  <si>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</si>
  <si>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</si>
  <si>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</si>
  <si>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</si>
  <si>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</si>
  <si>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</si>
  <si>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</si>
  <si>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</si>
  <si>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</si>
  <si>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</si>
  <si>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</si>
  <si>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</si>
  <si>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</si>
  <si>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</si>
  <si>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</si>
  <si>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</si>
  <si>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</si>
  <si>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</si>
  <si>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</si>
  <si>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</si>
  <si>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</si>
  <si>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</si>
  <si>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</si>
  <si>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</si>
  <si>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</si>
  <si>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</si>
  <si>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</si>
  <si>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</si>
  <si>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</si>
  <si>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</si>
  <si>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</si>
  <si>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</si>
  <si>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</si>
  <si>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</si>
  <si>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</si>
  <si>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</si>
  <si>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</si>
  <si>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</si>
  <si>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</si>
  <si>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</si>
  <si>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</si>
  <si>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</si>
  <si>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</si>
  <si>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</si>
  <si>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</si>
  <si>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</si>
  <si>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</si>
  <si>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</si>
  <si>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</si>
  <si>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</si>
  <si>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</si>
  <si>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</si>
  <si>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</si>
  <si>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</si>
  <si>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</si>
  <si>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</si>
  <si>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</si>
  <si>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</si>
  <si>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</si>
  <si>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</si>
  <si>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</si>
  <si>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</si>
  <si>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</si>
  <si>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</si>
  <si>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</si>
  <si>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</si>
  <si>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</si>
  <si>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</si>
  <si>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</si>
  <si>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</si>
  <si>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</si>
  <si>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</si>
  <si>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</si>
  <si>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</si>
  <si>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</si>
  <si>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</si>
  <si>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</si>
  <si>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</si>
  <si>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</si>
  <si>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</si>
  <si>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</si>
  <si>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</si>
  <si>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</si>
  <si>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</si>
  <si>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</si>
  <si>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</si>
  <si>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</si>
  <si>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</si>
  <si>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</si>
  <si>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</si>
  <si>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</si>
  <si>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</si>
  <si>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</si>
  <si>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</si>
  <si>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</si>
  <si>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</si>
  <si>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</si>
  <si>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</si>
  <si>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</si>
  <si>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</si>
  <si>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</si>
  <si>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</si>
  <si>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</si>
  <si>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</si>
  <si>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</si>
  <si>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</si>
  <si>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</si>
  <si>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</si>
  <si>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</si>
  <si>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</si>
  <si>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</si>
  <si>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</si>
  <si>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</si>
  <si>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</si>
  <si>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</si>
  <si>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</si>
  <si>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</si>
  <si>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</si>
  <si>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</si>
  <si>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</si>
  <si>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</si>
  <si>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</si>
  <si>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</si>
  <si>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</si>
  <si>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</si>
  <si>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</si>
  <si>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</si>
  <si>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</si>
  <si>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</si>
  <si>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</si>
  <si>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</si>
  <si>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</si>
  <si>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</si>
  <si>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</si>
  <si>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</si>
  <si>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</si>
  <si>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</si>
  <si>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</si>
  <si>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</si>
  <si>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</si>
  <si>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</si>
  <si>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</si>
  <si>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</si>
  <si>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</si>
  <si>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</si>
  <si>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</si>
  <si>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</si>
  <si>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</si>
  <si>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</si>
  <si>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</si>
  <si>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</si>
  <si>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</si>
  <si>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</si>
  <si>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</si>
  <si>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</si>
  <si>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</si>
  <si>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</si>
  <si>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</si>
  <si>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</si>
  <si>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</si>
  <si>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</si>
  <si>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</si>
  <si>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</si>
  <si>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</si>
  <si>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</si>
  <si>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</si>
  <si>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</si>
  <si>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</si>
  <si>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</si>
  <si>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</si>
  <si>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</si>
  <si>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</si>
  <si>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</si>
  <si>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</si>
  <si>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</si>
  <si>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</si>
  <si>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</si>
  <si>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</si>
  <si>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</si>
  <si>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</si>
  <si>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</si>
  <si>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</si>
  <si>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</si>
  <si>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</si>
  <si>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</si>
  <si>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</si>
  <si>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</si>
  <si>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</si>
  <si>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</si>
  <si>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</si>
  <si>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</si>
  <si>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</si>
  <si>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</si>
  <si>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</si>
  <si>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</si>
  <si>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</si>
  <si>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</si>
  <si>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</si>
  <si>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</si>
  <si>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</si>
  <si>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</si>
  <si>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</si>
  <si>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</si>
  <si>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</si>
  <si>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</si>
  <si>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</si>
  <si>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</si>
  <si>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</si>
  <si>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</si>
  <si>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</si>
  <si>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</si>
  <si>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</si>
  <si>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</si>
  <si>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</si>
  <si>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</si>
  <si>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</si>
  <si>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</si>
  <si>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</si>
  <si>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</si>
  <si>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</si>
  <si>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</si>
  <si>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</si>
  <si>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</si>
  <si>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</si>
  <si>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</si>
  <si>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</si>
  <si>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</si>
  <si>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</si>
  <si>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</si>
  <si>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</si>
  <si>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</si>
  <si>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</si>
  <si>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</si>
  <si>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</si>
  <si>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</si>
  <si>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</si>
  <si>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</si>
  <si>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</si>
  <si>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</si>
  <si>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</si>
  <si>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</si>
  <si>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</si>
  <si>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</si>
  <si>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</si>
  <si>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</si>
  <si>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</si>
  <si>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</si>
  <si>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</si>
  <si>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</si>
  <si>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</si>
  <si>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</si>
  <si>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</si>
  <si>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</si>
  <si>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</si>
  <si>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</si>
  <si>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</si>
  <si>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</si>
  <si>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</si>
  <si>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</si>
  <si>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</si>
  <si>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</si>
  <si>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</si>
  <si>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</si>
  <si>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</si>
  <si>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</si>
  <si>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</si>
  <si>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</si>
  <si>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</si>
  <si>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</si>
  <si>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</si>
  <si>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</si>
  <si>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</si>
  <si>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</si>
  <si>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</si>
  <si>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</si>
  <si>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</si>
  <si>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</si>
  <si>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</si>
  <si>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</si>
  <si>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</si>
  <si>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</si>
  <si>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</si>
  <si>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</si>
  <si>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</si>
  <si>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</si>
  <si>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</si>
  <si>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</si>
  <si>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</si>
  <si>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</si>
  <si>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</si>
  <si>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</si>
  <si>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</si>
  <si>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</si>
  <si>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</si>
  <si>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</si>
  <si>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</si>
  <si>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</si>
  <si>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</si>
  <si>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</si>
  <si>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</si>
  <si>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</si>
  <si>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</si>
  <si>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</si>
  <si>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</si>
  <si>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</si>
  <si>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</si>
  <si>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</si>
  <si>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</si>
  <si>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</si>
  <si>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</si>
  <si>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</si>
  <si>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</si>
  <si>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</si>
  <si>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</si>
  <si>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</si>
  <si>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</si>
  <si>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</si>
  <si>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</si>
  <si>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</si>
  <si>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</si>
  <si>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</si>
  <si>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</si>
  <si>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</si>
  <si>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</si>
  <si>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</si>
  <si>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</si>
  <si>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</si>
  <si>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</si>
  <si>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</si>
  <si>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</si>
  <si>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</si>
  <si>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</si>
  <si>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</si>
  <si>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</si>
  <si>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</si>
  <si>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</si>
  <si>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</si>
  <si>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</si>
  <si>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</si>
  <si>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</si>
  <si>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</si>
  <si>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</si>
  <si>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</si>
  <si>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</si>
  <si>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</si>
  <si>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</si>
  <si>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</si>
  <si>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</si>
  <si>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</si>
  <si>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</si>
  <si>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</si>
  <si>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</si>
  <si>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</si>
  <si>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</si>
  <si>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</si>
  <si>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</si>
  <si>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</si>
  <si>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</si>
  <si>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</si>
  <si>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</si>
  <si>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</si>
  <si>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</si>
  <si>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</si>
  <si>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</si>
  <si>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</si>
  <si>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</si>
  <si>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</si>
  <si>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</si>
  <si>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</si>
  <si>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</si>
  <si>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</si>
  <si>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</si>
  <si>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</si>
  <si>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</si>
  <si>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</si>
  <si>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</si>
  <si>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</si>
  <si>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</si>
  <si>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</si>
  <si>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</si>
  <si>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</si>
  <si>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</si>
  <si>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</si>
  <si>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</si>
  <si>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</si>
  <si>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</si>
  <si>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</si>
  <si>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</si>
  <si>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</si>
  <si>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</si>
  <si>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</si>
  <si>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</si>
  <si>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</si>
  <si>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</si>
  <si>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</si>
  <si>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</si>
  <si>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</si>
  <si>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</si>
  <si>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</si>
  <si>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</si>
  <si>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</si>
  <si>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</si>
  <si>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</si>
  <si>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</si>
  <si>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</si>
  <si>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</si>
  <si>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</si>
  <si>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</si>
  <si>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</si>
  <si>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</si>
  <si>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</si>
  <si>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</si>
  <si>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</si>
  <si>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</si>
  <si>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</si>
  <si>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</si>
  <si>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</si>
  <si>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</si>
  <si>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</si>
  <si>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</si>
  <si>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</si>
  <si>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</si>
  <si>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</si>
  <si>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</si>
  <si>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</si>
  <si>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</si>
  <si>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</si>
  <si>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</si>
  <si>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</si>
  <si>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</si>
  <si>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</si>
  <si>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</si>
  <si>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</si>
  <si>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</si>
  <si>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</si>
  <si>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</si>
  <si>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</si>
  <si>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</si>
  <si>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</si>
  <si>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</si>
  <si>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</si>
  <si>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</si>
  <si>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</si>
  <si>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</si>
  <si>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</si>
  <si>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</si>
  <si>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</si>
  <si>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</si>
  <si>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</si>
  <si>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</si>
  <si>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</si>
  <si>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</si>
  <si>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</si>
  <si>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</si>
  <si>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</si>
  <si>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</si>
  <si>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</si>
  <si>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</si>
  <si>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</si>
  <si>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</si>
  <si>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</si>
  <si>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</si>
  <si>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</si>
  <si>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</si>
  <si>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</si>
  <si>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</si>
  <si>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</si>
  <si>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</si>
  <si>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</si>
  <si>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</si>
  <si>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</si>
  <si>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</si>
  <si>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</si>
  <si>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</si>
  <si>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</si>
  <si>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</si>
  <si>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</si>
  <si>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</si>
  <si>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</si>
  <si>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</si>
  <si>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</si>
  <si>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</si>
  <si>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</si>
  <si>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</si>
  <si>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</si>
  <si>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</si>
  <si>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</si>
  <si>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</si>
  <si>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</si>
  <si>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</si>
  <si>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</si>
  <si>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</si>
  <si>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</si>
  <si>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</si>
  <si>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</si>
  <si>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</si>
  <si>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</si>
  <si>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</si>
  <si>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</si>
  <si>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</si>
  <si>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</si>
  <si>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</si>
  <si>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</si>
  <si>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</si>
  <si>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</si>
  <si>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</si>
  <si>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</si>
  <si>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</si>
  <si>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</si>
  <si>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</si>
  <si>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</si>
  <si>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</si>
  <si>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</si>
  <si>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</si>
  <si>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</si>
  <si>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</si>
  <si>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</si>
  <si>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</si>
  <si>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</si>
  <si>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</si>
  <si>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</si>
  <si>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</si>
  <si>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</si>
  <si>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</si>
  <si>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</si>
  <si>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</si>
  <si>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</si>
  <si>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</si>
  <si>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</si>
  <si>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</si>
  <si>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</si>
  <si>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</si>
  <si>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</si>
  <si>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</si>
  <si>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</si>
  <si>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</si>
  <si>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</si>
  <si>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</si>
  <si>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</si>
  <si>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</si>
  <si>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</si>
  <si>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</si>
  <si>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</si>
  <si>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</si>
  <si>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</si>
  <si>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</si>
  <si>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</si>
  <si>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</si>
  <si>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</si>
  <si>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</si>
  <si>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</si>
  <si>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</si>
  <si>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</si>
  <si>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</si>
  <si>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</si>
  <si>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</si>
  <si>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</si>
  <si>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</si>
  <si>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</si>
  <si>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</si>
  <si>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</si>
  <si>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</si>
  <si>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</si>
  <si>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</si>
  <si>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</si>
  <si>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</si>
  <si>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</si>
  <si>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</si>
  <si>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</si>
  <si>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</si>
  <si>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</si>
  <si>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</si>
  <si>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</si>
  <si>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</si>
  <si>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</si>
  <si>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</si>
  <si>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</si>
  <si>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</si>
  <si>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</si>
  <si>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</si>
  <si>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</si>
  <si>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</si>
  <si>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</si>
  <si>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</si>
  <si>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</si>
  <si>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</si>
  <si>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</si>
  <si>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</si>
  <si>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</si>
  <si>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</si>
  <si>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</si>
  <si>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</si>
  <si>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</si>
  <si>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</si>
  <si>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</si>
  <si>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</si>
  <si>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</si>
  <si>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</si>
  <si>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</si>
  <si>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</si>
  <si>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</si>
  <si>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</si>
  <si>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</si>
  <si>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</si>
  <si>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</si>
  <si>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</si>
  <si>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</si>
  <si>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</si>
  <si>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</si>
  <si>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</si>
  <si>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</si>
  <si>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</si>
  <si>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</si>
  <si>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</si>
  <si>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</si>
  <si>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</si>
  <si>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</si>
  <si>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</si>
  <si>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</si>
  <si>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</si>
  <si>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</si>
  <si>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</si>
  <si>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</si>
  <si>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</si>
  <si>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</si>
  <si>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</si>
  <si>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</si>
  <si>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</si>
  <si>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</si>
  <si>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</si>
  <si>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</si>
  <si>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</si>
  <si>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</si>
  <si>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</si>
  <si>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</si>
  <si>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</si>
  <si>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</si>
  <si>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</si>
  <si>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</si>
  <si>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</si>
  <si>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</si>
  <si>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</si>
  <si>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</si>
  <si>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</si>
  <si>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</si>
  <si>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</si>
  <si>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</si>
  <si>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</si>
  <si>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</si>
  <si>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</si>
  <si>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</si>
  <si>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</si>
  <si>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</si>
  <si>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</si>
  <si>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</si>
  <si>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</si>
  <si>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</si>
  <si>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</si>
  <si>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</si>
  <si>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</si>
  <si>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</si>
  <si>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</si>
  <si>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</si>
  <si>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</si>
  <si>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</si>
  <si>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</si>
  <si>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</si>
  <si>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</si>
  <si>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</si>
  <si>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</si>
  <si>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</si>
  <si>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</si>
  <si>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</si>
  <si>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</si>
  <si>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</si>
  <si>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</si>
  <si>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</si>
  <si>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</si>
  <si>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</si>
  <si>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</si>
  <si>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</si>
  <si>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</si>
  <si>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</si>
  <si>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</si>
  <si>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</si>
  <si>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</si>
  <si>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</si>
  <si>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</si>
  <si>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</si>
  <si>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</si>
  <si>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</si>
  <si>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</si>
  <si>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</si>
  <si>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</si>
  <si>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</si>
  <si>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</si>
  <si>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</si>
  <si>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</si>
  <si>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</si>
  <si>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</si>
  <si>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</si>
  <si>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</si>
  <si>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</si>
  <si>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</si>
  <si>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</si>
  <si>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</si>
  <si>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</si>
  <si>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</si>
  <si>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</si>
  <si>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</si>
  <si>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</si>
  <si>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</si>
  <si>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</si>
  <si>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</si>
  <si>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</si>
  <si>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</si>
  <si>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</si>
  <si>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</si>
  <si>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</si>
  <si>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</si>
  <si>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</si>
  <si>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</si>
  <si>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</si>
  <si>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</si>
  <si>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</si>
  <si>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</si>
  <si>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</si>
  <si>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</si>
  <si>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</si>
  <si>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</si>
  <si>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</si>
  <si>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</si>
  <si>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</si>
  <si>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</si>
  <si>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</si>
  <si>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</si>
  <si>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</si>
  <si>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</si>
  <si>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</si>
  <si>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</si>
  <si>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</si>
  <si>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</si>
  <si>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</si>
  <si>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</si>
  <si>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</si>
  <si>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</si>
  <si>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</si>
  <si>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</si>
  <si>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</si>
  <si>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</si>
  <si>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</si>
  <si>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</si>
  <si>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</si>
  <si>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</si>
  <si>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</si>
  <si>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</si>
  <si>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</si>
  <si>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</si>
  <si>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</si>
  <si>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</si>
  <si>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</si>
  <si>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</si>
  <si>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</si>
  <si>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</si>
  <si>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</si>
  <si>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</si>
  <si>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</si>
  <si>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</si>
  <si>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</si>
  <si>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</si>
  <si>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</si>
  <si>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</si>
  <si>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</si>
  <si>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</si>
  <si>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</si>
  <si>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</si>
  <si>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</si>
  <si>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</si>
  <si>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</si>
  <si>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</si>
  <si>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</si>
  <si>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</si>
  <si>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</si>
  <si>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</si>
  <si>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</si>
  <si>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</si>
  <si>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</si>
  <si>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</si>
  <si>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</si>
  <si>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</si>
  <si>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</si>
  <si>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</si>
  <si>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</si>
  <si>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</si>
  <si>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</si>
  <si>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</si>
  <si>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</si>
  <si>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</si>
  <si>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</si>
  <si>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</si>
  <si>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</si>
  <si>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</si>
  <si>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</si>
  <si>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</si>
  <si>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</si>
  <si>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</si>
  <si>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</si>
  <si>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</si>
  <si>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</si>
  <si>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</si>
  <si>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</si>
  <si>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</si>
  <si>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</si>
  <si>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</si>
  <si>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</si>
  <si>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</si>
  <si>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</si>
  <si>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</si>
  <si>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</si>
  <si>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</si>
  <si>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</si>
  <si>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</si>
  <si>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</si>
  <si>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</si>
  <si>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</si>
  <si>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</si>
  <si>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</si>
  <si>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</si>
  <si>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</si>
  <si>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</si>
  <si>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</si>
  <si>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</si>
  <si>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</si>
  <si>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</si>
  <si>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</si>
  <si>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</si>
  <si>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</si>
  <si>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</si>
  <si>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</si>
  <si>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</si>
  <si>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</si>
  <si>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</si>
  <si>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</si>
  <si>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</si>
  <si>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</si>
  <si>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</si>
  <si>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</si>
  <si>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</si>
  <si>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</si>
  <si>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</si>
  <si>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</si>
  <si>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</si>
  <si>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</si>
  <si>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</si>
  <si>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</si>
  <si>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</si>
  <si>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</si>
  <si>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</si>
  <si>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</si>
  <si>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</si>
  <si>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</si>
  <si>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</si>
  <si>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</si>
  <si>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</si>
  <si>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</si>
  <si>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</si>
  <si>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</si>
  <si>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</si>
  <si>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</si>
  <si>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</si>
  <si>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</si>
  <si>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</si>
  <si>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</si>
  <si>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</si>
  <si>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</si>
  <si>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</si>
  <si>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</si>
  <si>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</si>
  <si>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</si>
  <si>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</si>
  <si>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</si>
  <si>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</si>
  <si>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</si>
  <si>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</si>
  <si>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</si>
  <si>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</si>
  <si>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</si>
  <si>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</si>
  <si>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</si>
  <si>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</si>
  <si>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</si>
  <si>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</si>
  <si>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</si>
  <si>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</si>
  <si>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</si>
  <si>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</si>
  <si>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</si>
  <si>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</si>
  <si>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</si>
  <si>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</si>
  <si>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</si>
  <si>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</si>
  <si>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</si>
  <si>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</si>
  <si>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</si>
  <si>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</si>
  <si>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</si>
  <si>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</si>
  <si>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</si>
  <si>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</si>
  <si>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</si>
  <si>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</si>
  <si>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</si>
  <si>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</si>
  <si>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</si>
  <si>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</si>
  <si>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</si>
  <si>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</si>
  <si>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</si>
  <si>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</si>
  <si>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</si>
  <si>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</si>
  <si>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</si>
  <si>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</si>
  <si>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</si>
  <si>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</si>
  <si>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</si>
  <si>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</si>
  <si>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</si>
  <si>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</si>
  <si>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</si>
  <si>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</si>
  <si>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</si>
  <si>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</si>
  <si>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</si>
  <si>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</si>
  <si>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</si>
  <si>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</si>
  <si>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</si>
  <si>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</si>
  <si>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</si>
  <si>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</si>
  <si>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</si>
  <si>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</si>
  <si>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</si>
  <si>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</si>
  <si>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</si>
  <si>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</si>
  <si>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</si>
  <si>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</si>
  <si>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</si>
  <si>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</si>
  <si>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</si>
  <si>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</si>
  <si>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</si>
  <si>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</si>
  <si>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</si>
  <si>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</si>
  <si>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</si>
  <si>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</si>
  <si>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</si>
  <si>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</si>
  <si>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</si>
  <si>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</si>
  <si>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</si>
  <si>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</si>
  <si>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</si>
  <si>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</si>
  <si>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</si>
  <si>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</si>
  <si>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</si>
  <si>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</si>
  <si>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</si>
  <si>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</si>
  <si>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</si>
  <si>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</si>
  <si>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</si>
  <si>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</si>
  <si>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</si>
  <si>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</si>
  <si>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</si>
  <si>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</si>
  <si>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</si>
  <si>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</si>
  <si>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</si>
  <si>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</si>
  <si>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</si>
  <si>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</si>
  <si>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</si>
  <si>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</si>
  <si>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</si>
  <si>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</si>
  <si>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</si>
  <si>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</si>
  <si>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</si>
  <si>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</si>
  <si>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</si>
  <si>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</si>
  <si>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</si>
  <si>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</si>
  <si>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</si>
  <si>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</si>
  <si>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</si>
  <si>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</si>
  <si>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</si>
  <si>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</si>
  <si>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</si>
  <si>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</si>
  <si>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</si>
  <si>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</si>
  <si>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</si>
  <si>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</si>
  <si>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</si>
  <si>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</si>
  <si>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</si>
  <si>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</si>
  <si>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</si>
  <si>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</si>
  <si>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</si>
  <si>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</si>
  <si>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</si>
  <si>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</si>
  <si>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</si>
  <si>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</si>
  <si>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</si>
  <si>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</si>
  <si>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</si>
  <si>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</si>
  <si>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</si>
  <si>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</si>
  <si>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</si>
  <si>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</si>
  <si>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</si>
  <si>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</si>
  <si>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</si>
  <si>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</si>
  <si>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</si>
  <si>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</si>
  <si>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</si>
  <si>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</si>
  <si>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</si>
  <si>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</si>
  <si>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</si>
  <si>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</si>
  <si>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</si>
  <si>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</si>
  <si>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</si>
  <si>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</si>
  <si>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</si>
  <si>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</si>
  <si>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</si>
  <si>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</si>
  <si>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</si>
  <si>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</si>
  <si>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</si>
  <si>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</si>
  <si>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</si>
  <si>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</si>
  <si>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</si>
  <si>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</si>
  <si>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</si>
  <si>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</si>
  <si>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</si>
  <si>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</si>
  <si>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</si>
  <si>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</si>
  <si>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</si>
  <si>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</si>
  <si>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</si>
  <si>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</si>
  <si>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</si>
  <si>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</si>
  <si>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</si>
  <si>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</si>
  <si>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</si>
  <si>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</si>
  <si>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</si>
  <si>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</si>
  <si>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</si>
  <si>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</si>
  <si>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</si>
  <si>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</si>
  <si>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</si>
  <si>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</si>
  <si>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</si>
  <si>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</si>
  <si>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</si>
  <si>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</si>
  <si>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</si>
  <si>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</si>
  <si>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</si>
  <si>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</si>
  <si>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</si>
  <si>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</si>
  <si>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</si>
  <si>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</si>
  <si>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</si>
  <si>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</si>
  <si>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</si>
  <si>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</si>
  <si>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</si>
  <si>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</si>
  <si>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</si>
  <si>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</si>
  <si>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</si>
  <si>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</si>
  <si>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</si>
  <si>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</si>
  <si>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</si>
  <si>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</si>
  <si>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</si>
  <si>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</si>
  <si>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</si>
  <si>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</si>
  <si>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</si>
  <si>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</si>
  <si>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</si>
  <si>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</si>
  <si>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</si>
  <si>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</si>
  <si>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</si>
  <si>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</si>
  <si>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</si>
  <si>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</si>
  <si>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</si>
  <si>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</si>
  <si>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</si>
  <si>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</si>
  <si>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</si>
  <si>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</si>
  <si>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</si>
  <si>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</si>
  <si>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</si>
  <si>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</si>
  <si>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</si>
  <si>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</si>
  <si>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</si>
  <si>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</si>
  <si>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</si>
  <si>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</si>
  <si>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</si>
  <si>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</si>
  <si>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</si>
  <si>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</si>
  <si>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</si>
  <si>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</si>
  <si>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</si>
  <si>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</si>
  <si>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</si>
  <si>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</si>
  <si>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</si>
  <si>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</si>
  <si>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</si>
  <si>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</si>
  <si>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</si>
  <si>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</si>
  <si>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</si>
  <si>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</si>
  <si>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</si>
  <si>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</si>
  <si>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</si>
  <si>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</si>
  <si>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</si>
  <si>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</si>
  <si>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</si>
  <si>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</si>
  <si>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</si>
  <si>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</si>
  <si>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</si>
  <si>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</si>
  <si>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</si>
  <si>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</si>
  <si>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</si>
  <si>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</si>
  <si>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</si>
  <si>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</si>
  <si>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</si>
  <si>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</si>
  <si>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</si>
  <si>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</si>
  <si>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</si>
  <si>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</si>
  <si>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</si>
  <si>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</si>
  <si>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</si>
  <si>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</si>
  <si>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</si>
  <si>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</si>
  <si>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</si>
  <si>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</si>
  <si>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</si>
  <si>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</si>
  <si>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</si>
  <si>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</si>
  <si>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</si>
  <si>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</si>
  <si>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</si>
  <si>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</si>
  <si>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</si>
  <si>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</si>
  <si>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</si>
  <si>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</si>
  <si>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</si>
  <si>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</si>
  <si>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</si>
  <si>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</si>
  <si>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</si>
  <si>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</si>
  <si>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</si>
  <si>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</si>
  <si>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</si>
  <si>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</si>
  <si>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</si>
  <si>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</si>
  <si>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</si>
  <si>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</si>
  <si>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</si>
  <si>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</si>
  <si>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</si>
  <si>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</si>
  <si>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</si>
  <si>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</si>
  <si>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</si>
  <si>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</si>
  <si>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</si>
  <si>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</si>
  <si>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</si>
  <si>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</si>
  <si>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</si>
  <si>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</si>
  <si>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</si>
  <si>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</si>
  <si>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</si>
  <si>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</si>
  <si>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</si>
  <si>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</si>
  <si>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</si>
  <si>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</si>
  <si>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</si>
  <si>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</si>
  <si>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</si>
  <si>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</si>
  <si>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</si>
  <si>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</si>
  <si>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</si>
  <si>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</si>
  <si>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</si>
  <si>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</si>
  <si>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</si>
  <si>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</si>
  <si>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</si>
  <si>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</si>
  <si>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</si>
  <si>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</si>
  <si>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</si>
  <si>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</si>
  <si>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</si>
  <si>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</si>
  <si>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</si>
  <si>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</si>
  <si>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</si>
  <si>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</si>
  <si>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</si>
  <si>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</si>
  <si>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</si>
  <si>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</si>
  <si>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</si>
  <si>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</si>
  <si>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</si>
  <si>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</si>
  <si>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</si>
  <si>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</si>
  <si>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</si>
  <si>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</si>
  <si>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</si>
  <si>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</si>
  <si>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</si>
  <si>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</si>
  <si>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</si>
  <si>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</si>
  <si>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</si>
  <si>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</si>
  <si>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</si>
  <si>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</si>
  <si>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</si>
  <si>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</si>
  <si>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</si>
  <si>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</si>
  <si>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</si>
  <si>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</si>
  <si>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</si>
  <si>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</si>
  <si>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</si>
  <si>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</si>
  <si>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</si>
  <si>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</si>
  <si>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</si>
  <si>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</si>
  <si>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</si>
  <si>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</si>
  <si>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</si>
  <si>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</si>
  <si>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</si>
  <si>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</si>
  <si>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</si>
  <si>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</si>
  <si>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</si>
  <si>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</si>
  <si>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</si>
  <si>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</si>
  <si>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</si>
  <si>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</si>
  <si>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</si>
  <si>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</si>
  <si>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</si>
  <si>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</si>
  <si>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</si>
  <si>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</si>
  <si>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</si>
  <si>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</si>
  <si>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</si>
  <si>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</si>
  <si>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</si>
  <si>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</si>
  <si>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</si>
  <si>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</si>
  <si>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</si>
  <si>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</si>
  <si>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</si>
  <si>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</si>
  <si>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</si>
  <si>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</si>
  <si>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</si>
  <si>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</si>
  <si>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</si>
  <si>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</si>
  <si>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</si>
  <si>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</si>
  <si>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</si>
  <si>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</si>
  <si>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</si>
  <si>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</si>
  <si>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</si>
  <si>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</si>
  <si>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</si>
  <si>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</si>
  <si>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</si>
  <si>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</si>
  <si>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</si>
  <si>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</si>
  <si>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</si>
  <si>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</si>
  <si>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</si>
  <si>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</si>
  <si>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</si>
  <si>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</si>
  <si>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</si>
  <si>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</si>
  <si>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</si>
  <si>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</si>
  <si>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</si>
  <si>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</si>
  <si>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</si>
  <si>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</si>
  <si>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</si>
  <si>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</si>
  <si>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</si>
  <si>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</si>
  <si>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</si>
  <si>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</si>
  <si>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</si>
  <si>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</si>
  <si>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</si>
  <si>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</si>
  <si>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</si>
  <si>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</si>
  <si>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</si>
  <si>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</si>
  <si>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</si>
  <si>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</si>
  <si>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</si>
  <si>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</si>
  <si>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</si>
  <si>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</si>
  <si>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</si>
  <si>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</si>
  <si>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</si>
  <si>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</si>
  <si>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</si>
  <si>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</si>
  <si>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</si>
  <si>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</si>
  <si>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</si>
  <si>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</si>
  <si>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</si>
  <si>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</si>
  <si>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</si>
  <si>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</si>
  <si>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</si>
  <si>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</si>
  <si>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</si>
  <si>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</si>
  <si>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</si>
  <si>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</si>
  <si>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</si>
  <si>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</si>
  <si>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</si>
  <si>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</si>
  <si>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</si>
  <si>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</si>
  <si>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</si>
  <si>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</si>
  <si>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</si>
  <si>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</si>
  <si>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</si>
  <si>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</si>
  <si>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</si>
  <si>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</si>
  <si>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</si>
  <si>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</si>
  <si>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</si>
  <si>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</si>
  <si>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</si>
  <si>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</si>
  <si>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</si>
  <si>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</si>
  <si>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</si>
  <si>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</si>
  <si>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</si>
  <si>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</si>
  <si>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</si>
  <si>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</si>
  <si>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</si>
  <si>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</si>
  <si>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</si>
  <si>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</si>
  <si>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</si>
  <si>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</si>
  <si>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</si>
  <si>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</si>
  <si>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</si>
  <si>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</si>
  <si>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</si>
  <si>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</si>
  <si>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</si>
  <si>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</si>
  <si>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</si>
  <si>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</si>
  <si>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</si>
  <si>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</si>
  <si>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</si>
  <si>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</si>
  <si>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</si>
  <si>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</si>
  <si>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</si>
  <si>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</si>
  <si>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</si>
  <si>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</si>
  <si>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</si>
  <si>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</si>
  <si>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</si>
  <si>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</si>
  <si>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</si>
  <si>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</si>
  <si>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</si>
  <si>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</si>
  <si>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</si>
  <si>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</si>
  <si>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</si>
  <si>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</si>
  <si>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</si>
  <si>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</si>
  <si>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</si>
  <si>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</si>
  <si>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</si>
  <si>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</si>
  <si>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</si>
  <si>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</si>
  <si>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</si>
  <si>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</si>
  <si>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</si>
  <si>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</si>
  <si>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</si>
  <si>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</si>
  <si>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</si>
  <si>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</si>
  <si>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</si>
  <si>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</si>
  <si>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</si>
  <si>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</si>
  <si>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</si>
  <si>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</si>
  <si>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</si>
  <si>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</si>
  <si>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</si>
  <si>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</si>
  <si>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</si>
  <si>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</si>
  <si>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</si>
  <si>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</si>
  <si>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</si>
  <si>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</si>
  <si>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</si>
  <si>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</si>
  <si>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</si>
  <si>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</si>
  <si>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</si>
  <si>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</si>
  <si>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</si>
  <si>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</si>
  <si>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</si>
  <si>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</si>
  <si>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</si>
  <si>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</si>
  <si>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</si>
  <si>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</si>
  <si>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</si>
  <si>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</si>
  <si>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</si>
  <si>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</si>
  <si>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</si>
  <si>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</si>
  <si>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</si>
  <si>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</si>
  <si>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</si>
  <si>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</si>
  <si>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</si>
  <si>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</si>
  <si>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</si>
  <si>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</si>
  <si>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</si>
  <si>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</si>
  <si>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</si>
  <si>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</si>
  <si>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</si>
  <si>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</si>
  <si>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</si>
  <si>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</si>
  <si>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</si>
  <si>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</si>
  <si>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</si>
  <si>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</si>
  <si>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</si>
  <si>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</si>
  <si>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</si>
  <si>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</si>
  <si>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</si>
  <si>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</si>
  <si>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</si>
  <si>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</si>
  <si>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Ton Pu Inn</t>
  </si>
  <si>
    <t>Sage's Will</t>
  </si>
  <si>
    <t>S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</si>
  <si>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</si>
  <si>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</si>
  <si>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</si>
  <si>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</si>
  <si>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</si>
  <si>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</si>
  <si>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</si>
  <si>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</si>
  <si>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</si>
  <si>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</si>
  <si>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</si>
  <si>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</si>
  <si>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</si>
  <si>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</si>
  <si>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</si>
  <si>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</si>
  <si>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</si>
  <si>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</si>
  <si>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</si>
  <si>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</si>
  <si>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</si>
  <si>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</si>
  <si>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</si>
  <si>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</si>
  <si>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</si>
  <si>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</si>
  <si>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</si>
  <si>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</si>
  <si>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</si>
  <si>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</si>
  <si>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</si>
  <si>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</si>
  <si>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</si>
  <si>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</si>
  <si>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</si>
  <si>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</si>
  <si>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</si>
  <si>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</si>
  <si>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</si>
  <si>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</si>
  <si>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</si>
  <si>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</si>
  <si>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</si>
  <si>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</si>
  <si>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</si>
  <si>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</si>
  <si>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</si>
  <si>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</si>
  <si>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</si>
  <si>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</si>
  <si>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</si>
  <si>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</si>
  <si>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</si>
  <si>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</si>
  <si>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</si>
  <si>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</si>
  <si>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</si>
  <si>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</si>
  <si>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</si>
  <si>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</si>
  <si>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</si>
  <si>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</si>
  <si>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Water Temple B1</t>
  </si>
  <si>
    <t>Wind Temple 1F</t>
  </si>
  <si>
    <t>Wind Temple B1</t>
  </si>
  <si>
    <t>Wind Temple B2</t>
  </si>
  <si>
    <t>Fire Temple 1F</t>
  </si>
  <si>
    <t>Fire Temple 2F</t>
  </si>
  <si>
    <t>Fire Temple 3F</t>
  </si>
  <si>
    <t>Fire Temple 4F</t>
  </si>
  <si>
    <t>Fire Temple 5F</t>
  </si>
  <si>
    <t>Special</t>
  </si>
  <si>
    <t>Inns</t>
  </si>
  <si>
    <t>Unnamed Locations</t>
  </si>
  <si>
    <t>Gerudo Great Skeleton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</si>
  <si>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</si>
  <si>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</si>
  <si>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</si>
  <si>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</si>
  <si>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</si>
  <si>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</si>
  <si>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</si>
  <si>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</si>
  <si>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</si>
  <si>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</si>
  <si>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</si>
  <si>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</si>
  <si>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</si>
  <si>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</si>
  <si>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</si>
  <si>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</si>
  <si>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</si>
  <si>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</si>
  <si>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</si>
  <si>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</si>
  <si>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</si>
  <si>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</si>
  <si>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</si>
  <si>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</si>
  <si>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</si>
  <si>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</si>
  <si>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</si>
  <si>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</si>
  <si>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</si>
  <si>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</si>
  <si>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</si>
  <si>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</si>
  <si>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</si>
  <si>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</si>
  <si>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</si>
  <si>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</si>
  <si>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</si>
  <si>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</si>
  <si>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</si>
  <si>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</si>
  <si>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</si>
  <si>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</si>
  <si>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</si>
  <si>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</si>
  <si>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</si>
  <si>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</si>
  <si>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</si>
  <si>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</si>
  <si>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</si>
  <si>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</si>
  <si>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</si>
  <si>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</si>
  <si>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</si>
  <si>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</si>
  <si>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</si>
  <si>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</si>
  <si>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</si>
  <si>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</si>
  <si>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</si>
  <si>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</si>
  <si>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</si>
  <si>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</si>
  <si>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</si>
  <si>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</si>
  <si>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</si>
  <si>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</si>
  <si>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</si>
  <si>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</si>
  <si>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</si>
  <si>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</si>
  <si>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</si>
  <si>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</si>
  <si>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</si>
  <si>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</si>
  <si>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</si>
  <si>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</si>
  <si>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</si>
  <si>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</si>
  <si>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</si>
  <si>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</si>
  <si>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</si>
  <si>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</si>
  <si>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</si>
  <si>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</si>
  <si>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</si>
  <si>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</si>
  <si>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</si>
  <si>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</si>
  <si>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</si>
  <si>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</si>
  <si>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</si>
  <si>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</si>
  <si>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</si>
  <si>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</si>
  <si>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</si>
  <si>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</si>
  <si>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</si>
  <si>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</si>
  <si>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</si>
  <si>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</si>
  <si>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</si>
  <si>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</si>
  <si>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</si>
  <si>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</si>
  <si>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</si>
  <si>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</si>
  <si>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</si>
  <si>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</si>
  <si>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</si>
  <si>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</si>
  <si>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</si>
  <si>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</si>
  <si>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</si>
  <si>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</si>
  <si>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</si>
  <si>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</si>
  <si>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</si>
  <si>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</si>
  <si>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</si>
  <si>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</si>
  <si>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</si>
  <si>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</si>
  <si>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</si>
  <si>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</si>
  <si>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</si>
  <si>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</si>
  <si>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</si>
  <si>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</si>
  <si>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</si>
  <si>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</si>
  <si>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</si>
  <si>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</si>
  <si>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</si>
  <si>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</si>
  <si>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</si>
  <si>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</si>
  <si>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</si>
  <si>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</si>
  <si>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</si>
  <si>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</si>
  <si>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</si>
  <si>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</si>
  <si>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</si>
  <si>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</si>
  <si>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</si>
  <si>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</si>
  <si>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</si>
  <si>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</si>
  <si>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</si>
  <si>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</si>
  <si>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</si>
  <si>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</si>
  <si>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</si>
  <si>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</si>
  <si>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</si>
  <si>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</si>
  <si>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</si>
  <si>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</si>
  <si>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</si>
  <si>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</si>
  <si>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</si>
  <si>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</si>
  <si>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</si>
  <si>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</si>
  <si>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</si>
  <si>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</si>
  <si>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</si>
  <si>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</si>
  <si>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</si>
  <si>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</si>
  <si>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</si>
  <si>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</si>
  <si>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</si>
  <si>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</si>
  <si>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</si>
  <si>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</si>
  <si>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</si>
  <si>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</si>
  <si>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</si>
  <si>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</si>
  <si>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</si>
  <si>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</si>
  <si>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</si>
  <si>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</si>
  <si>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</si>
  <si>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</si>
  <si>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</si>
  <si>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</si>
  <si>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</si>
  <si>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</si>
  <si>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</si>
  <si>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</si>
  <si>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</si>
  <si>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</si>
  <si>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</si>
  <si>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</si>
  <si>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</si>
  <si>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</si>
  <si>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</si>
  <si>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</si>
  <si>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</si>
  <si>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</si>
  <si>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</si>
  <si>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</si>
  <si>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</si>
  <si>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</si>
  <si>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</si>
  <si>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</si>
  <si>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</si>
  <si>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</si>
  <si>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</si>
  <si>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</si>
  <si>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</si>
  <si>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</si>
  <si>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</si>
  <si>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</si>
  <si>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</si>
  <si>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</si>
  <si>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</si>
  <si>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</si>
  <si>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</si>
  <si>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</si>
  <si>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</si>
  <si>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</si>
  <si>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</si>
  <si>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</si>
  <si>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</si>
  <si>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</si>
  <si>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</si>
  <si>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</si>
  <si>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</si>
  <si>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</si>
  <si>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</si>
  <si>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</si>
  <si>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</si>
  <si>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</si>
  <si>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</si>
  <si>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</si>
  <si>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</si>
  <si>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</si>
  <si>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</si>
  <si>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</si>
  <si>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</si>
  <si>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</si>
  <si>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</si>
  <si>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</si>
  <si>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</si>
  <si>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</si>
  <si>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</si>
  <si>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</si>
  <si>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</si>
  <si>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</si>
  <si>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</si>
  <si>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</si>
  <si>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</si>
  <si>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</si>
  <si>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</si>
  <si>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</si>
  <si>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</si>
  <si>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</si>
  <si>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</si>
  <si>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</si>
  <si>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</si>
  <si>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</si>
  <si>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</si>
  <si>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</si>
  <si>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</si>
  <si>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</si>
  <si>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</si>
  <si>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</si>
  <si>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</si>
  <si>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</si>
  <si>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</si>
  <si>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</si>
  <si>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</si>
  <si>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</si>
  <si>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</si>
  <si>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</si>
  <si>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</si>
  <si>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</si>
  <si>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</si>
  <si>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</si>
  <si>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</si>
  <si>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</si>
  <si>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</si>
  <si>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</si>
  <si>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</si>
  <si>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</si>
  <si>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</si>
  <si>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</si>
  <si>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</si>
  <si>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</si>
  <si>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</si>
  <si>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</si>
  <si>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</si>
  <si>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</si>
  <si>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</si>
  <si>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</si>
  <si>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</si>
  <si>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</si>
  <si>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</si>
  <si>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</si>
  <si>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</si>
  <si>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</si>
  <si>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</si>
  <si>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</si>
  <si>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</si>
  <si>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</si>
  <si>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</si>
  <si>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</si>
  <si>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</si>
  <si>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</si>
  <si>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</si>
  <si>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</si>
  <si>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</si>
  <si>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</si>
  <si>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</si>
  <si>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</si>
  <si>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</si>
  <si>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</si>
  <si>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</si>
  <si>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</si>
  <si>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</si>
  <si>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</si>
  <si>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</si>
  <si>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</si>
  <si>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</si>
  <si>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</si>
  <si>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</si>
  <si>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</si>
  <si>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</si>
  <si>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</si>
  <si>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</si>
  <si>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</si>
  <si>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</si>
  <si>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</si>
  <si>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</si>
  <si>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</si>
  <si>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</si>
  <si>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</si>
  <si>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</si>
  <si>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</si>
  <si>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</si>
  <si>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</si>
  <si>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</si>
  <si>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</si>
  <si>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</si>
  <si>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</si>
  <si>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</si>
  <si>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</si>
  <si>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</si>
  <si>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</si>
  <si>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</si>
  <si>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</si>
  <si>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</si>
  <si>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</si>
  <si>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</si>
  <si>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</si>
  <si>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</si>
  <si>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</si>
  <si>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</si>
  <si>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</si>
  <si>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</si>
  <si>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</si>
  <si>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</si>
  <si>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</si>
  <si>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</si>
  <si>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</si>
  <si>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</si>
  <si>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</si>
  <si>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</si>
  <si>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</si>
  <si>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</si>
  <si>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</si>
  <si>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</si>
  <si>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</si>
  <si>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</si>
  <si>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</si>
  <si>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</si>
  <si>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</si>
  <si>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</si>
  <si>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</si>
  <si>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</si>
  <si>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</si>
  <si>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</si>
  <si>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</si>
  <si>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</si>
  <si>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</si>
  <si>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</si>
  <si>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</si>
  <si>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</si>
  <si>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</si>
  <si>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</si>
  <si>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</si>
  <si>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</si>
  <si>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</si>
  <si>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</si>
  <si>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</si>
  <si>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</si>
  <si>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</si>
  <si>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</si>
  <si>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</si>
  <si>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</si>
  <si>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</si>
  <si>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</si>
  <si>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</si>
  <si>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</si>
  <si>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</si>
  <si>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</si>
  <si>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</si>
  <si>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</si>
  <si>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</si>
  <si>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</si>
  <si>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</si>
  <si>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</si>
  <si>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</si>
  <si>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</si>
  <si>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</si>
  <si>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</si>
  <si>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</si>
  <si>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</si>
  <si>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</si>
  <si>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</si>
  <si>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</si>
  <si>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</si>
  <si>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</si>
  <si>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</si>
  <si>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</si>
  <si>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Cave Mushrooms That Glow</t>
  </si>
  <si>
    <t>Crossing the Cold Pool</t>
  </si>
  <si>
    <t>Fish for Fletching</t>
  </si>
  <si>
    <t>Genli's Home Cooking</t>
  </si>
  <si>
    <t>Horse-Drawn Dreams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</si>
  <si>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</si>
  <si>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</si>
  <si>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</si>
  <si>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</si>
  <si>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</si>
  <si>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</si>
  <si>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</si>
  <si>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</si>
  <si>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</si>
  <si>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</si>
  <si>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</si>
  <si>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</si>
  <si>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</si>
  <si>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</si>
  <si>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</si>
  <si>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</si>
  <si>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</si>
  <si>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</si>
  <si>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</si>
  <si>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</si>
  <si>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</si>
  <si>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</si>
  <si>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</si>
  <si>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Secrets Within</t>
  </si>
  <si>
    <t>Strongest in the World</t>
  </si>
  <si>
    <t>The Gathering Pirates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</si>
  <si>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</si>
  <si>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</si>
  <si>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</si>
  <si>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</si>
  <si>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</si>
  <si>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</si>
  <si>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</si>
  <si>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Misko's Cave of Chests</t>
  </si>
  <si>
    <t>Moon-Gazing Gorons</t>
  </si>
  <si>
    <t>Rock Roast or Dust</t>
  </si>
  <si>
    <t>Simmerstone Springs</t>
  </si>
  <si>
    <t>Soul of the Gorons</t>
  </si>
  <si>
    <t>The Abandoned Laborer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</si>
  <si>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</si>
  <si>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</si>
  <si>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</si>
  <si>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</si>
  <si>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</si>
  <si>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</si>
  <si>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</si>
  <si>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</si>
  <si>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The Blue Stone</t>
  </si>
  <si>
    <t>The Fort at Ja'Abu Ridge</t>
  </si>
  <si>
    <t>The Moonlit Princess</t>
  </si>
  <si>
    <t>The Never-Ending Lecture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</si>
  <si>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</si>
  <si>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</si>
  <si>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</si>
  <si>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</si>
  <si>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</si>
  <si>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</si>
  <si>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</si>
  <si>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</si>
  <si>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</si>
  <si>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</si>
  <si>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</si>
  <si>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</si>
  <si>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</si>
  <si>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</si>
  <si>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</si>
  <si>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</si>
  <si>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</si>
  <si>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</si>
  <si>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Uma's Garden</t>
  </si>
  <si>
    <t>A Picture for Highland Stable</t>
  </si>
  <si>
    <t>A Picture for Lakeside Stable</t>
  </si>
  <si>
    <t>Ancient Blades Below</t>
  </si>
  <si>
    <t>Goddess Statue of Courage</t>
  </si>
  <si>
    <t>Dalia's Game</t>
  </si>
  <si>
    <t>Decorate with Passion</t>
  </si>
  <si>
    <t>Disaster in Gerudo Canyon</t>
  </si>
  <si>
    <t>Gleeok Guts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</si>
  <si>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</si>
  <si>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</si>
  <si>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</si>
  <si>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</si>
  <si>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</si>
  <si>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</si>
  <si>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</si>
  <si>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</si>
  <si>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</si>
  <si>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Treasure of the Gerudo Desert</t>
  </si>
  <si>
    <t>Talk to Teli&lt;br&gt;&lt;strong&gt;Reward:&lt;/strong&gt; Silver Rupee</t>
  </si>
  <si>
    <t>Talk to Domidak&lt;br&gt;&lt;strong&gt;Reward:&lt;/strong&gt; Bomb Flowers</t>
  </si>
  <si>
    <t>Talk to Garini&lt;br&gt;&lt;strong&gt;Reward:&lt;/strong&gt; Mighty Salt-Grilled Crab</t>
  </si>
  <si>
    <t>Talk to Genli at the General Store&lt;br&gt;&lt;strong&gt;Reward:&lt;/strong&gt; Biting Simmered Fruit</t>
  </si>
  <si>
    <t>Talk to Huck&lt;br&gt;&lt;strong&gt;Reward:&lt;/strong&gt; Purple Rupee</t>
  </si>
  <si>
    <t>Activate the North Lomei Labyrinth Terminal&lt;br&gt;&lt;strong&gt;Reward:&lt;/strong&gt; Evil Spirit Greaves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</si>
  <si>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</si>
  <si>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</si>
  <si>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</si>
  <si>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</si>
  <si>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Speak with Rhondson in Tarrey Town&lt;br&gt;&lt;strong&gt;Reward:&lt;/strong&gt; Hudson Construction Fabric</t>
  </si>
  <si>
    <t>Talk to Chabi&lt;br&gt;&lt;strong&gt;Reward:&lt;/strong&gt; Rupees</t>
  </si>
  <si>
    <t>Activate the Lomei Labyrinth Island Terminal&lt;br&gt;&lt;strong&gt;Reward:&lt;/strong&gt; Evil Spirit Armor</t>
  </si>
  <si>
    <t>Talk to Gomo&lt;br&gt;&lt;strong&gt;Reward:&lt;/strong&gt; Rupees x1000</t>
  </si>
  <si>
    <t>Talk to Mezer&lt;br&gt;&lt;strong&gt;Reward:&lt;/strong&gt; Large Zonai Charge</t>
  </si>
  <si>
    <t>Talk to Cooke&lt;br&gt;&lt;strong&gt;Reward:&lt;/strong&gt; Seared Gourmet Steak</t>
  </si>
  <si>
    <t>Talk to Kima&lt;br&gt;&lt;strong&gt;Reward:&lt;/strong&gt; Silver Rupee</t>
  </si>
  <si>
    <t>Investigate the Bottled Letter&lt;br&gt;&lt;strong&gt;Reward:&lt;/strong&gt; 100 Rupees</t>
  </si>
  <si>
    <t>Examine Zelda's Diary&lt;br&gt;&lt;strong&gt;Reward:&lt;/strong&gt; Champion's Leathers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</si>
  <si>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</si>
  <si>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</si>
  <si>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</si>
  <si>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</si>
  <si>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</si>
  <si>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</si>
  <si>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</si>
  <si>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</si>
  <si>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</si>
  <si>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</si>
  <si>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</si>
  <si>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</si>
  <si>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Activate the South Lomei Labyrinth Terminal&lt;br&gt;&lt;strong&gt;Reward:&lt;/strong&gt; Evil Spirit Mask</t>
  </si>
  <si>
    <t>Talk to Lester&lt;br&gt;&lt;strong&gt;Reward:&lt;/strong&gt; Purple Rupee, Swift Carrot</t>
  </si>
  <si>
    <t>Talk to Jogo Through the Door of the Hut&lt;br&gt;&lt;strong&gt;Reward:&lt;/strong&gt; Spicy Elixir, Traveler's Shield</t>
  </si>
  <si>
    <t>Talk to Aya&lt;br&gt;&lt;strong&gt;Reward:&lt;/strong&gt; Pony Points, Endura Carrot</t>
  </si>
  <si>
    <t>Talk to Ramella&lt;br&gt;&lt;strong&gt;Reward:&lt;/strong&gt; Rupees x200, Selling Ores to Ramella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</si>
  <si>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</si>
  <si>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</si>
  <si>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Holds a &lt;img src="icons/chasm.png" style="height: 20px, width: 20px, vertical-align: middle, margin-right: 5px;"&gt;&lt;span style="color: #de878b, font-weight: bold;"&gt;CHASM&lt;/span&gt;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</si>
  <si>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</si>
  <si>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</si>
  <si>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</si>
  <si>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</si>
  <si>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</si>
  <si>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</si>
  <si>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</si>
  <si>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</si>
  <si>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</si>
  <si>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</si>
  <si>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</si>
  <si>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</si>
  <si>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</si>
  <si>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</si>
  <si>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</si>
  <si>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</si>
  <si>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</si>
  <si>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</si>
  <si>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</si>
  <si>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</si>
  <si>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</si>
  <si>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</si>
  <si>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</si>
  <si>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</si>
  <si>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</si>
  <si>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</si>
  <si>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</si>
  <si>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</si>
  <si>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</si>
  <si>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</si>
  <si>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</si>
  <si>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</si>
  <si>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</si>
  <si>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</si>
  <si>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</si>
  <si>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</si>
  <si>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</si>
  <si>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</si>
  <si>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</si>
  <si>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</si>
  <si>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</si>
  <si>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</si>
  <si>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</si>
  <si>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</si>
  <si>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</si>
  <si>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</si>
  <si>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</si>
  <si>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</si>
  <si>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</si>
  <si>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</si>
  <si>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</si>
  <si>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</si>
  <si>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</si>
  <si>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</si>
  <si>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</si>
  <si>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</si>
  <si>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</si>
  <si>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</si>
  <si>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</si>
  <si>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</si>
  <si>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</si>
  <si>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</si>
  <si>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</si>
  <si>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</si>
  <si>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</si>
  <si>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</si>
  <si>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</si>
  <si>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</si>
  <si>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</si>
  <si>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</si>
  <si>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</si>
  <si>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</si>
  <si>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</si>
  <si>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</si>
  <si>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</si>
  <si>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</si>
  <si>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</si>
  <si>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</si>
  <si>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</si>
  <si>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</si>
  <si>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</si>
  <si>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</si>
  <si>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</si>
  <si>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</si>
  <si>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</si>
  <si>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</si>
  <si>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</si>
  <si>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</si>
  <si>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</si>
  <si>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</si>
  <si>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</si>
  <si>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</si>
  <si>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</si>
  <si>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</si>
  <si>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</si>
  <si>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</si>
  <si>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</si>
  <si>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</si>
  <si>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</si>
  <si>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</si>
  <si>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</si>
  <si>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</si>
  <si>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</si>
  <si>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</si>
  <si>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</si>
  <si>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</si>
  <si>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</si>
  <si>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</si>
  <si>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</si>
  <si>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</si>
  <si>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</si>
  <si>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</si>
  <si>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</si>
  <si>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</si>
  <si>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</si>
  <si>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</si>
  <si>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</si>
  <si>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</si>
  <si>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</si>
  <si>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</si>
  <si>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</si>
  <si>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</si>
  <si>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</si>
  <si>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</si>
  <si>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</si>
  <si>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</si>
  <si>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</si>
  <si>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</si>
  <si>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</si>
  <si>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</si>
  <si>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</si>
  <si>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</si>
  <si>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</si>
  <si>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</si>
  <si>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</si>
  <si>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</si>
  <si>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</si>
  <si>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</si>
  <si>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</si>
  <si>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</si>
  <si>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</si>
  <si>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</si>
  <si>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</si>
  <si>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</si>
  <si>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</si>
  <si>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</si>
  <si>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</si>
  <si>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</si>
  <si>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</si>
  <si>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</si>
  <si>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</si>
  <si>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</si>
  <si>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</si>
  <si>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</si>
  <si>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</si>
  <si>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</si>
  <si>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</si>
  <si>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</si>
  <si>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</si>
  <si>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</si>
  <si>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</si>
  <si>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</si>
  <si>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</si>
  <si>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</si>
  <si>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</si>
  <si>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</si>
  <si>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</si>
  <si>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</si>
  <si>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</si>
  <si>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</si>
  <si>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</si>
  <si>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</si>
  <si>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</si>
  <si>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</si>
  <si>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</si>
  <si>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</si>
  <si>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</si>
  <si>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</si>
  <si>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</si>
  <si>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</si>
  <si>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</si>
  <si>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</si>
  <si>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</si>
  <si>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</si>
  <si>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</si>
  <si>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</si>
  <si>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</si>
  <si>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</si>
  <si>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</si>
  <si>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</si>
  <si>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</si>
  <si>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</si>
  <si>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</si>
  <si>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</si>
  <si>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</si>
  <si>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</si>
  <si>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</si>
  <si>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</si>
  <si>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</si>
  <si>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</si>
  <si>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</si>
  <si>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</si>
  <si>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</si>
  <si>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</si>
  <si>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</si>
  <si>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</si>
  <si>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</si>
  <si>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</si>
  <si>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</si>
  <si>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</si>
  <si>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</si>
  <si>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</si>
  <si>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</si>
  <si>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</si>
  <si>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</si>
  <si>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</si>
  <si>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</si>
  <si>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</si>
  <si>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</si>
  <si>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</si>
  <si>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</si>
  <si>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</si>
  <si>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</si>
  <si>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</si>
  <si>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</si>
  <si>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</si>
  <si>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</si>
  <si>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</si>
  <si>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</si>
  <si>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</si>
  <si>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</si>
  <si>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</si>
  <si>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</si>
  <si>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</si>
  <si>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</si>
  <si>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</si>
  <si>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</si>
  <si>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</si>
  <si>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</si>
  <si>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</si>
  <si>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</si>
  <si>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</si>
  <si>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</si>
  <si>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</si>
  <si>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</si>
  <si>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</si>
  <si>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</si>
  <si>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</si>
  <si>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</si>
  <si>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</si>
  <si>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</si>
  <si>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</si>
  <si>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</si>
  <si>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</si>
  <si>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</si>
  <si>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</si>
  <si>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</si>
  <si>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</si>
  <si>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</si>
  <si>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</si>
  <si>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</si>
  <si>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</si>
  <si>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</si>
  <si>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</si>
  <si>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</si>
  <si>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</si>
  <si>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</si>
  <si>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</si>
  <si>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</si>
  <si>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</si>
  <si>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</si>
  <si>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</si>
  <si>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</si>
  <si>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</si>
  <si>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</si>
  <si>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</si>
  <si>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</si>
  <si>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</si>
  <si>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</si>
  <si>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</si>
  <si>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</si>
  <si>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</si>
  <si>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</si>
  <si>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</si>
  <si>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</si>
  <si>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</si>
  <si>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</si>
  <si>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</si>
  <si>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</si>
  <si>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</si>
  <si>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</si>
  <si>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</si>
  <si>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</si>
  <si>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</si>
  <si>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</si>
  <si>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</si>
  <si>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</si>
  <si>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</si>
  <si>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</si>
  <si>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</si>
  <si>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</si>
  <si>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</si>
  <si>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</si>
  <si>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</si>
  <si>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</si>
  <si>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</si>
  <si>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</si>
  <si>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</si>
  <si>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</si>
  <si>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</si>
  <si>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</si>
  <si>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</si>
  <si>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</si>
  <si>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</si>
  <si>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</si>
  <si>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</si>
  <si>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</si>
  <si>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</si>
  <si>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</si>
  <si>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</si>
  <si>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</si>
  <si>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</si>
  <si>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</si>
  <si>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</si>
  <si>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</si>
  <si>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</si>
  <si>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</si>
  <si>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</si>
  <si>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</si>
  <si>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</si>
  <si>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</si>
  <si>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</si>
  <si>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</si>
  <si>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</si>
  <si>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</si>
  <si>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</si>
  <si>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</si>
  <si>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</si>
  <si>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</si>
  <si>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</si>
  <si>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</si>
  <si>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</si>
  <si>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</si>
  <si>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</si>
  <si>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</si>
  <si>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</si>
  <si>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</si>
  <si>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</si>
  <si>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</si>
  <si>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</si>
  <si>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</si>
  <si>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</si>
  <si>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</si>
  <si>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</si>
  <si>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</si>
  <si>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</si>
  <si>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</si>
  <si>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</si>
  <si>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</si>
  <si>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</si>
  <si>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</si>
  <si>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</si>
  <si>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</si>
  <si>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</si>
  <si>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</si>
  <si>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</si>
  <si>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</si>
  <si>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</si>
  <si>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</si>
  <si>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</si>
  <si>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</si>
  <si>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</si>
  <si>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</si>
  <si>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</si>
  <si>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</si>
  <si>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</si>
  <si>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</si>
  <si>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</si>
  <si>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</si>
  <si>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</si>
  <si>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</si>
  <si>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</si>
  <si>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</si>
  <si>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</si>
  <si>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</si>
  <si>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</si>
  <si>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</si>
  <si>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</si>
  <si>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</si>
  <si>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</si>
  <si>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</si>
  <si>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</si>
  <si>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</si>
  <si>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</si>
  <si>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</si>
  <si>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</si>
  <si>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</si>
  <si>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</si>
  <si>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</si>
  <si>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</si>
  <si>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</si>
  <si>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</si>
  <si>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</si>
  <si>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</si>
  <si>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</si>
  <si>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</si>
  <si>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</si>
  <si>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</si>
  <si>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</si>
  <si>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</si>
  <si>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</si>
  <si>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</si>
  <si>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</si>
  <si>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</si>
  <si>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</si>
  <si>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</si>
  <si>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</si>
  <si>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</si>
  <si>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</si>
  <si>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</si>
  <si>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</si>
  <si>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</si>
  <si>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</si>
  <si>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</si>
  <si>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</si>
  <si>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</si>
  <si>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</si>
  <si>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</si>
  <si>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</si>
  <si>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</si>
  <si>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</si>
  <si>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</si>
  <si>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</si>
  <si>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</si>
  <si>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</si>
  <si>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</si>
  <si>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</si>
  <si>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</si>
  <si>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</si>
  <si>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</si>
  <si>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</si>
  <si>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</si>
  <si>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</si>
  <si>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</si>
  <si>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</si>
  <si>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</si>
  <si>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</si>
  <si>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</si>
  <si>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</si>
  <si>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</si>
  <si>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</si>
  <si>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</si>
  <si>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</si>
  <si>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</si>
  <si>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</si>
  <si>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</si>
  <si>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</si>
  <si>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</si>
  <si>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</si>
  <si>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</si>
  <si>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</si>
  <si>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</si>
  <si>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</si>
  <si>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</si>
  <si>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</si>
  <si>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</si>
  <si>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</si>
  <si>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</si>
  <si>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</si>
  <si>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</si>
  <si>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</si>
  <si>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</si>
  <si>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</si>
  <si>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</si>
  <si>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</si>
  <si>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</si>
  <si>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</si>
  <si>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</si>
  <si>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</si>
  <si>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</si>
  <si>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</si>
  <si>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</si>
  <si>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</si>
  <si>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</si>
  <si>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</si>
  <si>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</si>
  <si>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</si>
  <si>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</si>
  <si>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</si>
  <si>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</si>
  <si>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</si>
  <si>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</si>
  <si>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</si>
  <si>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</si>
  <si>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</si>
  <si>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</si>
  <si>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</si>
  <si>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</si>
  <si>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</si>
  <si>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</si>
  <si>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</si>
  <si>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</si>
  <si>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</si>
  <si>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</si>
  <si>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</si>
  <si>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</si>
  <si>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</si>
  <si>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</si>
  <si>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</si>
  <si>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</si>
  <si>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</si>
  <si>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</si>
  <si>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</si>
  <si>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</si>
  <si>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</si>
  <si>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</si>
  <si>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</si>
  <si>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</si>
  <si>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</si>
  <si>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</si>
  <si>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</si>
  <si>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</si>
  <si>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</si>
  <si>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</si>
  <si>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</si>
  <si>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</si>
  <si>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</si>
  <si>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</si>
  <si>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</si>
  <si>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</si>
  <si>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</si>
  <si>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</si>
  <si>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</si>
  <si>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</si>
  <si>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</si>
  <si>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</si>
  <si>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</si>
  <si>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</si>
  <si>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</si>
  <si>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</si>
  <si>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</si>
  <si>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</si>
  <si>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</si>
  <si>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</si>
  <si>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</si>
  <si>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</si>
  <si>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</si>
  <si>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</si>
  <si>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</si>
  <si>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</si>
  <si>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</si>
  <si>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</si>
  <si>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</si>
  <si>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</si>
  <si>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</si>
  <si>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</si>
  <si>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</si>
  <si>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</si>
  <si>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</si>
  <si>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</si>
  <si>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</si>
  <si>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</si>
  <si>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</si>
  <si>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</si>
  <si>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</si>
  <si>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</si>
  <si>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</si>
  <si>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</si>
  <si>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</si>
  <si>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</si>
  <si>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</si>
  <si>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</si>
  <si>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</si>
  <si>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</si>
  <si>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</si>
  <si>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</si>
  <si>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</si>
  <si>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</si>
  <si>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</si>
  <si>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</si>
  <si>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</si>
  <si>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</si>
  <si>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</si>
  <si>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</si>
  <si>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</si>
  <si>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</si>
  <si>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</si>
  <si>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</si>
  <si>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</si>
  <si>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</si>
  <si>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</si>
  <si>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</si>
  <si>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</si>
  <si>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</si>
  <si>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</si>
  <si>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</si>
  <si>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</si>
  <si>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</si>
  <si>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</si>
  <si>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</si>
  <si>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</si>
  <si>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</si>
  <si>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</si>
  <si>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</si>
  <si>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</si>
  <si>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</si>
  <si>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</si>
  <si>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</si>
  <si>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</si>
  <si>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</si>
  <si>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</si>
  <si>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</si>
  <si>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</si>
  <si>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</si>
  <si>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</si>
  <si>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</si>
  <si>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</si>
  <si>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</si>
  <si>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</si>
  <si>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</si>
  <si>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</si>
  <si>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</si>
  <si>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</si>
  <si>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</si>
  <si>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</si>
  <si>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</si>
  <si>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</si>
  <si>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</si>
  <si>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</si>
  <si>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</si>
  <si>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</si>
  <si>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</si>
  <si>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</si>
  <si>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</si>
  <si>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</si>
  <si>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</si>
  <si>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</si>
  <si>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</si>
  <si>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</si>
  <si>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</si>
  <si>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</si>
  <si>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</si>
  <si>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</si>
  <si>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</si>
  <si>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</si>
  <si>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</si>
  <si>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</si>
  <si>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</si>
  <si>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</si>
  <si>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</si>
  <si>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</si>
  <si>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</si>
  <si>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</si>
  <si>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</si>
  <si>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</si>
  <si>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</si>
  <si>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</si>
  <si>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</si>
  <si>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</si>
  <si>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</si>
  <si>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</si>
  <si>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</si>
  <si>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</si>
  <si>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</si>
  <si>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</si>
  <si>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</si>
  <si>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</si>
  <si>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</si>
  <si>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</si>
  <si>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</si>
  <si>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</si>
  <si>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</si>
  <si>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</si>
  <si>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</si>
  <si>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</si>
  <si>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</si>
  <si>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</si>
  <si>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</si>
  <si>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</si>
  <si>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</si>
  <si>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</si>
  <si>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</si>
  <si>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</si>
  <si>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</si>
  <si>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</si>
  <si>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</si>
  <si>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</si>
  <si>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</si>
  <si>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</si>
  <si>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</si>
  <si>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</si>
  <si>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</si>
  <si>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</si>
  <si>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</si>
  <si>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</si>
  <si>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</si>
  <si>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</si>
  <si>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</si>
  <si>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</si>
  <si>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</si>
  <si>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</si>
  <si>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</si>
  <si>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</si>
  <si>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</si>
  <si>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</si>
  <si>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</si>
  <si>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</si>
  <si>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</si>
  <si>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</si>
  <si>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</si>
  <si>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</si>
  <si>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</si>
  <si>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</si>
  <si>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</si>
  <si>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</si>
  <si>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</si>
  <si>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</si>
  <si>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</si>
  <si>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</si>
  <si>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</si>
  <si>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</si>
  <si>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</si>
  <si>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</si>
  <si>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</si>
  <si>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</si>
  <si>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</si>
  <si>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</si>
  <si>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</si>
  <si>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</si>
  <si>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</si>
  <si>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</si>
  <si>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</si>
  <si>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</si>
  <si>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</si>
  <si>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</si>
  <si>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</si>
  <si>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</si>
  <si>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</si>
  <si>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</si>
  <si>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</si>
  <si>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</si>
  <si>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</si>
  <si>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</si>
  <si>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</si>
  <si>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</si>
  <si>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</si>
  <si>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</si>
  <si>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</si>
  <si>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</si>
  <si>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</si>
  <si>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</si>
  <si>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</si>
  <si>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</si>
  <si>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</si>
  <si>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</si>
  <si>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</si>
  <si>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</si>
  <si>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</si>
  <si>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</si>
  <si>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</si>
  <si>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</si>
  <si>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</si>
  <si>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</si>
  <si>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</si>
  <si>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</si>
  <si>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</si>
  <si>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</si>
  <si>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</si>
  <si>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</si>
  <si>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</si>
  <si>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</si>
  <si>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</si>
  <si>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</si>
  <si>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</si>
  <si>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</si>
  <si>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</si>
  <si>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</si>
  <si>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</si>
  <si>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</si>
  <si>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</si>
  <si>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</si>
  <si>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</si>
  <si>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</si>
  <si>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</si>
  <si>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</si>
  <si>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</si>
  <si>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</si>
  <si>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</si>
  <si>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</si>
  <si>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</si>
  <si>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</si>
  <si>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</si>
  <si>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</si>
  <si>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</si>
  <si>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</si>
  <si>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</si>
  <si>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</si>
  <si>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</si>
  <si>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</si>
  <si>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</si>
  <si>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</si>
  <si>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</si>
  <si>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</si>
  <si>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</si>
  <si>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</si>
  <si>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</si>
  <si>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</si>
  <si>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</si>
  <si>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</si>
  <si>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</si>
  <si>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</si>
  <si>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</si>
  <si>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</si>
  <si>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</si>
  <si>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</si>
  <si>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</si>
  <si>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</si>
  <si>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</si>
  <si>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</si>
  <si>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</si>
  <si>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</si>
  <si>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</si>
  <si>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</si>
  <si>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</si>
  <si>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</si>
  <si>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</si>
  <si>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</si>
  <si>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</si>
  <si>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</si>
  <si>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</si>
  <si>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</si>
  <si>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</si>
  <si>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</si>
  <si>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</si>
  <si>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</si>
  <si>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</si>
  <si>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</si>
  <si>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</si>
  <si>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</si>
  <si>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</si>
  <si>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</si>
  <si>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</si>
  <si>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</si>
  <si>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</si>
  <si>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</si>
  <si>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</si>
  <si>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</si>
  <si>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</si>
  <si>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</si>
  <si>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</si>
  <si>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</si>
  <si>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</si>
  <si>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</si>
  <si>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</si>
  <si>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</si>
  <si>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</si>
  <si>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</si>
  <si>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</si>
  <si>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</si>
  <si>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</si>
  <si>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</si>
  <si>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</si>
  <si>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</si>
  <si>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</si>
  <si>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</si>
  <si>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</si>
  <si>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</si>
  <si>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</si>
  <si>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</si>
  <si>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</si>
  <si>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</si>
  <si>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</si>
  <si>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</si>
  <si>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</si>
  <si>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</si>
  <si>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</si>
  <si>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</si>
  <si>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</si>
  <si>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</si>
  <si>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</si>
  <si>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</si>
  <si>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</si>
  <si>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</si>
  <si>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</si>
  <si>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</si>
  <si>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</si>
  <si>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</si>
  <si>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</si>
  <si>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</si>
  <si>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</si>
  <si>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</si>
  <si>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</si>
  <si>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</si>
  <si>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</si>
  <si>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</si>
  <si>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</si>
  <si>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</si>
  <si>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</si>
  <si>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</si>
  <si>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</si>
  <si>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</si>
  <si>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</si>
  <si>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</si>
  <si>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</si>
  <si>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</si>
  <si>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</si>
  <si>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</si>
  <si>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</si>
  <si>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</si>
  <si>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</si>
  <si>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</si>
  <si>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</si>
  <si>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</si>
  <si>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</si>
  <si>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</si>
  <si>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</si>
  <si>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</si>
  <si>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</si>
  <si>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</si>
  <si>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</si>
  <si>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</si>
  <si>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</si>
  <si>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</si>
  <si>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</si>
  <si>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</si>
  <si>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</si>
  <si>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</si>
  <si>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</si>
  <si>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</si>
  <si>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</si>
  <si>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</si>
  <si>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</si>
  <si>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</si>
  <si>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</si>
  <si>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</si>
  <si>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</si>
  <si>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</si>
  <si>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</si>
  <si>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</si>
  <si>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</si>
  <si>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</si>
  <si>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</si>
  <si>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</si>
  <si>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</si>
  <si>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</si>
  <si>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</si>
  <si>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</si>
  <si>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</si>
  <si>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</si>
  <si>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</si>
  <si>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</si>
  <si>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</si>
  <si>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</si>
  <si>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</si>
  <si>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</si>
  <si>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</si>
  <si>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</si>
  <si>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</si>
  <si>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</si>
  <si>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</si>
  <si>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</si>
  <si>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</si>
  <si>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</si>
  <si>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</si>
  <si>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</si>
  <si>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</si>
  <si>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</si>
  <si>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</si>
  <si>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</si>
  <si>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</si>
  <si>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</si>
  <si>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</si>
  <si>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</si>
  <si>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</si>
  <si>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</si>
  <si>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</si>
  <si>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</si>
  <si>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</si>
  <si>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</si>
  <si>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</si>
  <si>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</si>
  <si>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</si>
  <si>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</si>
  <si>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</si>
  <si>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</si>
  <si>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</si>
  <si>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</si>
  <si>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</si>
  <si>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</si>
  <si>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</si>
  <si>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</si>
  <si>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</si>
  <si>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</si>
  <si>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</si>
  <si>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</si>
  <si>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</si>
  <si>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</si>
  <si>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</si>
  <si>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</si>
  <si>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</si>
  <si>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</si>
  <si>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</si>
  <si>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</si>
  <si>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</si>
  <si>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</si>
  <si>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</si>
  <si>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</si>
  <si>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</si>
  <si>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</si>
  <si>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</si>
  <si>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</si>
  <si>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</si>
  <si>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</si>
  <si>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</si>
  <si>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</si>
  <si>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</si>
  <si>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</si>
  <si>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</si>
  <si>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</si>
  <si>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</si>
  <si>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</si>
  <si>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</si>
  <si>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</si>
  <si>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</si>
  <si>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</si>
  <si>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</si>
  <si>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</si>
  <si>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</si>
  <si>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</si>
  <si>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</si>
  <si>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</si>
  <si>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</si>
  <si>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</si>
  <si>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</si>
  <si>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</si>
  <si>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</si>
  <si>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</si>
  <si>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</si>
  <si>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</si>
  <si>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</si>
  <si>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</si>
  <si>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</si>
  <si>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</si>
  <si>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</si>
  <si>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</si>
  <si>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</si>
  <si>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</si>
  <si>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</si>
  <si>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</si>
  <si>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</si>
  <si>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</si>
  <si>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</si>
  <si>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</si>
  <si>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</si>
  <si>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</si>
  <si>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</si>
  <si>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</si>
  <si>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</si>
  <si>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</si>
  <si>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</si>
  <si>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</si>
  <si>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</si>
  <si>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</si>
  <si>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</si>
  <si>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</si>
  <si>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</si>
  <si>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</si>
  <si>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</si>
  <si>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</si>
  <si>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</si>
  <si>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</si>
  <si>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</si>
  <si>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</si>
  <si>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</si>
  <si>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</si>
  <si>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</si>
  <si>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</si>
  <si>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</si>
  <si>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</si>
  <si>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</si>
  <si>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</si>
  <si>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</si>
  <si>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</si>
  <si>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</si>
  <si>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</si>
  <si>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</si>
  <si>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</si>
  <si>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</si>
  <si>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</si>
  <si>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</si>
  <si>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</si>
  <si>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</si>
  <si>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</si>
  <si>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</si>
  <si>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</si>
  <si>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</si>
  <si>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</si>
  <si>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</si>
  <si>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</si>
  <si>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</si>
  <si>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</si>
  <si>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</si>
  <si>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</si>
  <si>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</si>
  <si>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</si>
  <si>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</si>
  <si>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</si>
  <si>
    <t>Mine-Cart Land: Open For Business!</t>
  </si>
  <si>
    <t>Talk to Bludo&lt;br&gt;&lt;strong&gt;Reward:&lt;/strong&gt; Vah Rudania Divine Helm</t>
  </si>
  <si>
    <t>Talk to Pulcho&lt;br&gt;&lt;strong&gt;Reward:&lt;/strong&gt; Sundelion</t>
  </si>
  <si>
    <t>Talk to Ralera&lt;br&gt;&lt;strong&gt;Reward:&lt;/strong&gt; Lurelin Village Fabric</t>
  </si>
  <si>
    <t>Talk to Bayge&lt;br&gt;&lt;strong&gt;Reward:&lt;/strong&gt; Red Rupee</t>
  </si>
  <si>
    <t>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</t>
  </si>
  <si>
    <t>Talk to Karson&lt;br&gt;&lt;strong&gt;Reward:&lt;/strong&gt; Unlocked Stable</t>
  </si>
  <si>
    <t>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</t>
  </si>
  <si>
    <t>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</t>
  </si>
  <si>
    <t>Speak With Zumi&lt;br&gt;&lt;strong&gt;Reward:&lt;/strong&gt; 100 Rupees</t>
  </si>
  <si>
    <t>Speak with Toffa&lt;br&gt;&lt;strong&gt;Reward:&lt;/strong&gt; Purple Rupee, Silver Rupee, 2 Pony Points</t>
  </si>
  <si>
    <t>Talk to Parcy&lt;br&gt;&lt;strong&gt;Reward:&lt;/strong&gt; Random gems</t>
  </si>
  <si>
    <t>Speak with Ami&lt;br&gt;&lt;strong&gt;Reward:&lt;/strong&gt; Two Pony Points</t>
  </si>
  <si>
    <t>Talk to Kampo&lt;br&gt;&lt;strong&gt;Reward:&lt;/strong&gt; Mighty Fried Bananas</t>
  </si>
  <si>
    <t>Speak to Piaffe&lt;br&gt;&lt;strong&gt;Reward:&lt;/strong&gt; 1 Pony Point</t>
  </si>
  <si>
    <t>Talk to Nat&lt;br&gt;&lt;strong&gt;Reward:&lt;/strong&gt; Spicy Tomato Mushroom Stew</t>
  </si>
  <si>
    <t>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</t>
  </si>
  <si>
    <t>Talk to Fera&lt;br&gt;&lt;strong&gt;Reward:&lt;/strong&gt; All's Well</t>
  </si>
  <si>
    <t>Speak With Verla&lt;br&gt;&lt;strong&gt;Reward:&lt;/strong&gt; 50 Rupees</t>
  </si>
  <si>
    <t>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</t>
  </si>
  <si>
    <t>Finish &lt;img src="icons/side-quest.png" style="height: 20px; width: 20px; vertical-align: middle; margin-right: 5px;"&gt;&lt;span style="color: #c6a96a; font-weight: bold;"&gt;Hebra's Colossal Fossil&lt;/span&gt;&lt;br&gt;&lt;strong&gt;Reward:&lt;/strong&gt; Purple Rupee</t>
  </si>
  <si>
    <t>Talk to Kaneli&lt;br&gt;&lt;strong&gt;Reward:&lt;/strong&gt; Purple Rupee</t>
  </si>
  <si>
    <t>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</t>
  </si>
  <si>
    <t>Speak With Molli in Her Home&lt;br&gt;&lt;strong&gt;Reward:&lt;/strong&gt; Arrow x10</t>
  </si>
  <si>
    <t>Find and Talk to Mazli&lt;br&gt;&lt;strong&gt;Reward:&lt;/strong&gt; Red Rupee</t>
  </si>
  <si>
    <t>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</t>
  </si>
  <si>
    <t>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</t>
  </si>
  <si>
    <t>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</t>
  </si>
  <si>
    <t>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</t>
  </si>
  <si>
    <t>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</t>
  </si>
  <si>
    <t>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</t>
  </si>
  <si>
    <t>Finish &lt;img src="icons/side-quest.png" style="height: 20px; width: 20px; vertical-align: middle; margin-right: 5px;"&gt;&lt;span style="color: #c6a96a; font-weight: bold;"&gt;Eldin's Colossal Fossil&lt;/span&gt;&lt;br&gt;&lt;strong&gt;Reward:&lt;/strong&gt; Purple Rupee</t>
  </si>
  <si>
    <t>Mine-Cart Land: Quickshot Course</t>
  </si>
  <si>
    <t>Misko's Treasure: The Fierce Deity</t>
  </si>
  <si>
    <t>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</t>
  </si>
  <si>
    <t>Talk to Domidak and Prissen&lt;br&gt;&lt;strong&gt;Reward:&lt;/strong&gt; Ember Trousers</t>
  </si>
  <si>
    <t>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</t>
  </si>
  <si>
    <t>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</t>
  </si>
  <si>
    <t>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</t>
  </si>
  <si>
    <t>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</t>
  </si>
  <si>
    <t>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</t>
  </si>
  <si>
    <t>Talk to the &lt;img src="icons/goddess-statue.png" style="height: 20px; width: 20px; vertical-align: middle; margin-right: 5px;"&gt;&lt;span style="color: #7cc9c2; font-weight: bold;"&gt;Goddess Statue of Power&lt;/span&gt;&lt;br&gt;&lt;strong&gt;Reward:&lt;/strong&gt; Ruby</t>
  </si>
  <si>
    <t>Talk to Fernison&lt;br&gt;&lt;strong&gt;Reward:&lt;/strong&gt; 100 Rupees, Sleepover Ticket</t>
  </si>
  <si>
    <t>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</t>
  </si>
  <si>
    <t>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</t>
  </si>
  <si>
    <t>Talk to Yona&lt;br&gt;&lt;strong&gt;Reward:&lt;/strong&gt; Zora Greaves</t>
  </si>
  <si>
    <t>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</t>
  </si>
  <si>
    <t>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</t>
  </si>
  <si>
    <t>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</t>
  </si>
  <si>
    <t>Talk to Bazz&lt;br&gt;&lt;strong&gt;Reward:&lt;/strong&gt; Zora Spear</t>
  </si>
  <si>
    <t>Talk to Ledo&lt;br&gt;&lt;strong&gt;Reward:&lt;/strong&gt; Zora Fabric</t>
  </si>
  <si>
    <t>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</t>
  </si>
  <si>
    <t>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</t>
  </si>
  <si>
    <t>Talk to Chroma&lt;br&gt;&lt;strong&gt;Reward:&lt;/strong&gt; Zora Helm</t>
  </si>
  <si>
    <t>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</t>
  </si>
  <si>
    <t>Talk to Bugut&lt;br&gt;&lt;strong&gt;Reward:&lt;/strong&gt; Thunderwing Butterfly x3</t>
  </si>
  <si>
    <t>Speak with Lasli&lt;br&gt;&lt;strong&gt;Reward:&lt;/strong&gt; Energizing Veggie Porridge</t>
  </si>
  <si>
    <t>Talk to Dai&lt;br&gt;&lt;strong&gt;Reward:&lt;/strong&gt; Sticky Elixir</t>
  </si>
  <si>
    <t>Talk to Moza&lt;br&gt;&lt;strong&gt;Reward:&lt;/strong&gt; Monster Stew</t>
  </si>
  <si>
    <t>Talk to the &lt;img src="icons/goddess-statue.png" style="height: 20px; width: 20px; vertical-align: middle; margin-right: 5px;"&gt;&lt;span style="color: #7cc9c2; font-weight: bold;"&gt;Goddess Statue of Wisdom&lt;/span&gt;&lt;br&gt;&lt;strong&gt;Reward:&lt;/strong&gt; Sapphire</t>
  </si>
  <si>
    <t>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</t>
  </si>
  <si>
    <t>Talk to Manny&lt;br&gt;&lt;strong&gt;Reward:&lt;/strong&gt; Rushroom</t>
  </si>
  <si>
    <t>Talk to Sayge&lt;br&gt;&lt;strong&gt;Reward:&lt;/strong&gt; Chuchu Fabric</t>
  </si>
  <si>
    <t>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</t>
  </si>
  <si>
    <t>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</t>
  </si>
  <si>
    <t>Talk to Sesami&lt;br&gt;&lt;strong&gt;Reward:&lt;/strong&gt; Blue-Maned Lynel Saber Horn</t>
  </si>
  <si>
    <t>Talk to the &lt;img src="icons/goddess-statue.png" style="height: 20px; width: 20px; vertical-align: middle; margin-right: 5px;"&gt;&lt;span style="color: #7cc9c2; font-weight: bold;"&gt;Goddess Statue of Courage&lt;/span&gt;&lt;br&gt;&lt;strong&gt;Reward:&lt;/strong&gt; Topaz</t>
  </si>
  <si>
    <t>Talk to Rahdo&lt;br&gt;&lt;strong&gt;Reward:&lt;/strong&gt; Silver Rupee</t>
  </si>
  <si>
    <t>Speak with Dalia&lt;br&gt;&lt;strong&gt;Reward:&lt;/strong&gt; An Orb related to The Mysterious Eighth side quest</t>
  </si>
  <si>
    <t>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</t>
  </si>
  <si>
    <t>Speak with Banja&lt;br&gt;&lt;strong&gt;Reward:&lt;/strong&gt; An Orb related to The Mysterious Eighth side quest</t>
  </si>
  <si>
    <t>Talk to Isha&lt;br&gt;&lt;strong&gt;Reward:&lt;/strong&gt; Scimitar of the Seven, Daybreaker</t>
  </si>
  <si>
    <t>Speak With Cara&lt;br&gt;&lt;strong&gt;Reward:&lt;/strong&gt; Diamond</t>
  </si>
  <si>
    <t>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</t>
  </si>
  <si>
    <t>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</t>
  </si>
  <si>
    <t>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</t>
  </si>
  <si>
    <t>Complete &lt;img src="icons/main-quest.png" style="height: 20px; width: 20px; vertical-align: middle; margin-right: 5px;"&gt;&lt;span style="color: #fec043; font-weight: bold;"&gt;Mystery in the Depths&lt;/span&gt;</t>
  </si>
  <si>
    <t>Found in the &lt;img src="icons/location.png" style="height: 20px; width: 20px; vertical-align: middle; margin-right: 5px;"&gt;&lt;span style="color: #c6a96a; font-weight: bold;"&gt;Cave of Resurrection&lt;/span&gt;</t>
  </si>
  <si>
    <t>Complete &lt;img src="icons/side-quest.png" style="height: 20px; width: 20px; vertical-align: middle; margin-right: 5px;"&gt;&lt;span style="color: #c6a96a; font-weight: bold;"&gt;A Call from the Depths&lt;/span&gt;</t>
  </si>
  <si>
    <t>{ name: "Great Central Mine", landmark: "Statue", type: "Bargainer Statue", region: 2, level: "Depths", x: -778, y: -1901, z: -565, details: `Complete &lt;img src="icons/side-quest.png" style="height: 20px; width: 20px; vertical-align: middle; margin-right: 5px;"&gt;&lt;span style="color: #c6a96a; font-weight: bold;"&gt;A Call from the Depths&lt;/span&gt;` },</t>
  </si>
  <si>
    <t>Hateno Village Research Lab</t>
  </si>
  <si>
    <t>Filling Out The Compendium</t>
  </si>
  <si>
    <t>Presenting: The Travel Medallion!</t>
  </si>
  <si>
    <t>Presenting: Hero's Path Mode!</t>
  </si>
  <si>
    <t>Presenting: Sensor +!</t>
  </si>
  <si>
    <t>A Letter To Koyin</t>
  </si>
  <si>
    <t>A New Signature Food</t>
  </si>
  <si>
    <t>Team Cece Or Team Reede?</t>
  </si>
  <si>
    <t>The Mayoral Election</t>
  </si>
  <si>
    <t>Ruffian-Infested Village</t>
  </si>
  <si>
    <t>Lurelin Village Restoration Project</t>
  </si>
  <si>
    <t>Potential Princess Sightings!</t>
  </si>
  <si>
    <t>Gourmets Gone Missing</t>
  </si>
  <si>
    <t>The Beast And The Princess</t>
  </si>
  <si>
    <t>White Goats Gone Missing</t>
  </si>
  <si>
    <t>For Our Princess!</t>
  </si>
  <si>
    <t>The All-Clucking Cucco</t>
  </si>
  <si>
    <t>The Missing Farm Tools</t>
  </si>
  <si>
    <t>Princess Zelda Kidnapped?!</t>
  </si>
  <si>
    <t>An Eerie Voice</t>
  </si>
  <si>
    <t>The Blocked Well</t>
  </si>
  <si>
    <t>Honey, Bee Mine</t>
  </si>
  <si>
    <t>The Hornist's Dramatic Escape</t>
  </si>
  <si>
    <t>Serenade To A Great Fairy</t>
  </si>
  <si>
    <t>Serenade to Kaysa</t>
  </si>
  <si>
    <t>Serenade To Cotera</t>
  </si>
  <si>
    <t>Serenade To Mija</t>
  </si>
  <si>
    <t>Bring Peace To Hyrule Field!</t>
  </si>
  <si>
    <t>Bring Peace To Necluda!</t>
  </si>
  <si>
    <t>Bring Peace To Eldin!</t>
  </si>
  <si>
    <t>Bring Peace To Akkala!</t>
  </si>
  <si>
    <t>Bring Peace To Faron!</t>
  </si>
  <si>
    <t>Bring Peace To Hebra!</t>
  </si>
  <si>
    <t>The Hunt For Bubbul Gems!</t>
  </si>
  <si>
    <t>The Search For Koltin</t>
  </si>
  <si>
    <t>A Monstrous Collection I</t>
  </si>
  <si>
    <t>A Monstrous Collection II</t>
  </si>
  <si>
    <t>A Monstrous Collection III</t>
  </si>
  <si>
    <t>A Monstrous Collection IV</t>
  </si>
  <si>
    <t>A Monstrous Collection V</t>
  </si>
  <si>
    <t>Investigate The Thyphlo Ruins</t>
  </si>
  <si>
    <t>The Owl Protected By Dragons</t>
  </si>
  <si>
    <t>The Corridor Between Two Dragons</t>
  </si>
  <si>
    <t>The Six Dragons</t>
  </si>
  <si>
    <t>The Long Dragon</t>
  </si>
  <si>
    <t>Legend of the Great Sky Island</t>
  </si>
  <si>
    <t>Messages From An Ancient Era</t>
  </si>
  <si>
    <t>A Deal With The Statue</t>
  </si>
  <si>
    <t>Who Goes There?</t>
  </si>
  <si>
    <t>A Call From The Depths</t>
  </si>
  <si>
    <t>Temple Of Time Ruins</t>
  </si>
  <si>
    <t>Infiltrating The Yiga Clan</t>
  </si>
  <si>
    <t>The Yiga Clan Exam</t>
  </si>
  <si>
    <t>Master Kohga Of The Yiga Clan</t>
  </si>
  <si>
    <t>Mattison's Independence</t>
  </si>
  <si>
    <t>Reede's Secret</t>
  </si>
  <si>
    <t>Cece's Secret</t>
  </si>
  <si>
    <t>Zelda's Golden Horse</t>
  </si>
  <si>
    <t>The Flute Player's Plan</t>
  </si>
  <si>
    <t>Hestu's Concerns</t>
  </si>
  <si>
    <t>The Beckoning Woman</t>
  </si>
  <si>
    <t>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</si>
  <si>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</si>
  <si>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</si>
  <si>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</si>
  <si>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</t>
  </si>
  <si>
    <t>&lt;strong&gt;Start:&lt;/strong&gt; Talk to Hudson&lt;br&gt;&lt;strong&gt;Reward:&lt;/strong&gt; 200 Rupees</t>
  </si>
  <si>
    <t>&lt;strong&gt;Start:&lt;/strong&gt; Talk to Koyin&lt;br&gt;&lt;strong&gt;Reward:&lt;/strong&gt; Hateno Cheese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</si>
  <si>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</t>
  </si>
  <si>
    <t>&lt;strong&gt;Start:&lt;/strong&gt; Talk to Cece&lt;br&gt;&lt;strong&gt;Reward:&lt;/strong&gt; Use of Clothing Shop</t>
  </si>
  <si>
    <t>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</t>
  </si>
  <si>
    <t>&lt;strong&gt;Start:&lt;/strong&gt; Talk to Rozel&lt;br&gt;&lt;strong&gt;Reward:&lt;/strong&gt; Lurelin Village Restored</t>
  </si>
  <si>
    <t>&lt;strong&gt;Start:&lt;/strong&gt; Talk to Bolson&lt;br&gt;&lt;strong&gt;Reward:&lt;/strong&gt; Free Village Services</t>
  </si>
  <si>
    <t>&lt;strong&gt;Start:&lt;/strong&gt; Talk to Penn&lt;br&gt;&lt;strong&gt;Reward:&lt;/strong&gt; Rupees</t>
  </si>
  <si>
    <t>&lt;strong&gt;Start:&lt;/strong&gt; Talk to Penn&lt;br&gt;&lt;strong&gt;Reward:&lt;/strong&gt; Zelda's Golden Horse, Royal Bridle, Royal Saddle</t>
  </si>
  <si>
    <t>&lt;strong&gt;Start:&lt;/strong&gt; Talk to Pyper&lt;br&gt;&lt;strong&gt;Reward:&lt;/strong&gt; Big Hearty Truffle</t>
  </si>
  <si>
    <t>&lt;strong&gt;Start:&lt;/strong&gt; Talk to Beetz&lt;br&gt;&lt;strong&gt;Reward:&lt;/strong&gt; 100 Rupees</t>
  </si>
  <si>
    <t>&lt;strong&gt;Start:&lt;/strong&gt; Talk to Penn&lt;br&gt;&lt;strong&gt;Reward:&lt;/strong&gt;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</si>
  <si>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</si>
  <si>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</si>
  <si>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</t>
  </si>
  <si>
    <t>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</t>
  </si>
  <si>
    <t>&lt;strong&gt;Start:&lt;/strong&gt; Talk to Kilton&lt;br&gt;&lt;strong&gt;Reward:&lt;/strong&gt; Monster Extract</t>
  </si>
  <si>
    <t>&lt;strong&gt;Start:&lt;/strong&gt; Talk to Kilton&lt;br&gt;&lt;strong&gt;Reward:&lt;/strong&gt; Sneaky Monster Soup, Monster Extract</t>
  </si>
  <si>
    <t>&lt;strong&gt;Start:&lt;/strong&gt; Talk to Kilton&lt;br&gt;&lt;strong&gt;Reward:&lt;/strong&gt; Monster Bridle, Monster Extract</t>
  </si>
  <si>
    <t>&lt;strong&gt;Start:&lt;/strong&gt; Talk to Kilton&lt;br&gt;&lt;strong&gt;Reward:&lt;/strong&gt; Monster Saddle, Monster Extract</t>
  </si>
  <si>
    <t>&lt;strong&gt;Start:&lt;/strong&gt; Talk to Kilton&lt;br&gt;&lt;strong&gt;Reward:&lt;/strong&gt; Diamond, Monster Extract</t>
  </si>
  <si>
    <t>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</t>
  </si>
  <si>
    <t>&lt;strong&gt;Start:&lt;/strong&gt; Talk to Steward Construct&lt;br&gt;&lt;strong&gt;Reward:&lt;/strong&gt; Zonai Fabric</t>
  </si>
  <si>
    <t>&lt;strong&gt;Start:&lt;/strong&gt; Talk to Wortsworth&lt;br&gt;&lt;strong&gt;Reward:&lt;/strong&gt; Rupees, Zonai Survey Team Paraglider Fabric</t>
  </si>
  <si>
    <t>&lt;strong&gt;Start:&lt;/strong&gt; Talk to Horned Statue&lt;br&gt;&lt;strong&gt;Reward:&lt;/strong&gt; Ability to swap Stamina and Heart containers</t>
  </si>
  <si>
    <t>&lt;strong&gt;Start:&lt;/strong&gt; Talk to Statue&lt;br&gt;&lt;strong&gt;Reward:&lt;/strong&gt; 1 Heart Container or Stamina Essence</t>
  </si>
  <si>
    <t>&lt;strong&gt;Start:&lt;/strong&gt; Talk to Mimos&lt;br&gt;&lt;strong&gt;Reward:&lt;/strong&gt; Access to the Yiga Clan Hideout, Earthwake Technique, Thunder Helm</t>
  </si>
  <si>
    <t>&lt;strong&gt;Start:&lt;/strong&gt; Talk to Yiga Blademaster&lt;br&gt;&lt;strong&gt;Reward:&lt;/strong&gt; Ruby, Eightfold Longblade (Untarnished)</t>
  </si>
  <si>
    <t>&lt;strong&gt;Start:&lt;/strong&gt; Talk to Kohga&lt;br&gt;&lt;strong&gt;Reward:&lt;/strong&gt; Schema Stones</t>
  </si>
  <si>
    <t>&lt;strong&gt;Start:&lt;/strong&gt; Talk to Jerrin&lt;br&gt;&lt;strong&gt;Reward:&lt;/strong&gt; Red Rupee</t>
  </si>
  <si>
    <t>&lt;strong&gt;Start:&lt;/strong&gt; Talk to Clavia&lt;br&gt;&lt;strong&gt;Reward:&lt;/strong&gt; 10x Hylian Tomatoes</t>
  </si>
  <si>
    <t>&lt;strong&gt;Start:&lt;/strong&gt; Talk to Sophie&lt;br&gt;&lt;strong&gt;Reward:&lt;/strong&gt; 10x Ironshrooms</t>
  </si>
  <si>
    <t>&lt;strong&gt;Start:&lt;/strong&gt; Talk to Traysi&lt;br&gt;&lt;strong&gt;Reward:&lt;/strong&gt; Froggy Armor, Lucky Clover Gazette Fabric</t>
  </si>
  <si>
    <t>&lt;strong&gt;Start:&lt;/strong&gt; Talk to Eustus&lt;br&gt;&lt;strong&gt;Reward:&lt;/strong&gt; 3x Courser Bee Honey</t>
  </si>
  <si>
    <t>{ name: "Typhlo Ruins", landmark: "Tower", type: "Skyview Tower", region: 6, level: "Surface", x: 345, y: 3142, z: 180, details: "" },</t>
  </si>
  <si>
    <t>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</t>
  </si>
  <si>
    <t>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</t>
  </si>
  <si>
    <t>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</t>
  </si>
  <si>
    <t>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</t>
  </si>
  <si>
    <t>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</t>
  </si>
  <si>
    <t>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</t>
  </si>
  <si>
    <t>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</t>
  </si>
  <si>
    <t>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</t>
  </si>
  <si>
    <t>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</t>
  </si>
  <si>
    <t>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</t>
  </si>
  <si>
    <t>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</t>
  </si>
  <si>
    <t>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</t>
  </si>
  <si>
    <t>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</t>
  </si>
  <si>
    <t>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</t>
  </si>
  <si>
    <t>&lt;strong&gt;Start:&lt;/strong&gt; Talk to Hoz&lt;br&gt;&lt;strong&gt;Reward:&lt;/strong&gt; 100 Rupees</t>
  </si>
  <si>
    <t>&lt;strong&gt;Start:&lt;/strong&gt; Talk to Toren&lt;br&gt;&lt;strong&gt;Reward:&lt;/strong&gt; 100 Rupees</t>
  </si>
  <si>
    <t>&lt;strong&gt;Start:&lt;/strong&gt; Talk to Flaxel&lt;br&gt;&lt;strong&gt;Reward:&lt;/strong&gt; 100 Rupees</t>
  </si>
  <si>
    <t>&lt;strong&gt;Start:&lt;/strong&gt; Talk to Hyrule Ridge&lt;br&gt;&lt;strong&gt;Reward:&lt;/strong&gt; Inventory Expansion</t>
  </si>
  <si>
    <t>&lt;strong&gt;Start:&lt;/strong&gt; Talk to Koltin&lt;br&gt;&lt;strong&gt;Reward:&lt;/strong&gt; Bokoblin Mask</t>
  </si>
  <si>
    <t>&lt;strong&gt;Start:&lt;/strong&gt; Talk to Kazul&lt;br&gt;&lt;strong&gt;Reward:&lt;/strong&gt; Sapphire x3</t>
  </si>
  <si>
    <t>&lt;strong&gt;Start:&lt;/strong&gt; Talk to Kazul&lt;br&gt;&lt;strong&gt;Reward:&lt;/strong&gt; Ruby x3</t>
  </si>
  <si>
    <t>&lt;strong&gt;Start:&lt;/strong&gt; Talk to Kazul&lt;br&gt;&lt;strong&gt;Reward:&lt;/strong&gt; Opal x5</t>
  </si>
  <si>
    <t>&lt;strong&gt;Start:&lt;/strong&gt; Talk to Kazul&lt;br&gt;&lt;strong&gt;Reward:&lt;/strong&gt; Topaz x3</t>
  </si>
  <si>
    <t>The Satori Mountain Crystal</t>
  </si>
  <si>
    <t>The White Bird's Guidance</t>
  </si>
  <si>
    <t>The Gisa Crater Crystal</t>
  </si>
  <si>
    <t>The North Hebra Mountains Crystal</t>
  </si>
  <si>
    <t>The Northwest Hebra Cave Crystal</t>
  </si>
  <si>
    <t>A Pretty Stone and Five Golden Apples</t>
  </si>
  <si>
    <t>None Shall Pass</t>
  </si>
  <si>
    <t>Maca's Special Place</t>
  </si>
  <si>
    <t>The Death Caldera Crystal</t>
  </si>
  <si>
    <t>The Lake Intenoch Cave Crystal</t>
  </si>
  <si>
    <t>Rock for Sale</t>
  </si>
  <si>
    <t>Dyeing to Find It</t>
  </si>
  <si>
    <t>The High Spring and the Light Rings</t>
  </si>
  <si>
    <t>The Lanayru Road Crystal</t>
  </si>
  <si>
    <t>The Ralis Channel Crystal</t>
  </si>
  <si>
    <t>Keys Born of Water</t>
  </si>
  <si>
    <t>The Oakle's Navel Cave Crystal</t>
  </si>
  <si>
    <t>Ride the Giant Horse</t>
  </si>
  <si>
    <t>The Lake Hylia Crystal</t>
  </si>
  <si>
    <t>Legend of the Soaring Spear</t>
  </si>
  <si>
    <t>The Gerudo Canyon Crystal</t>
  </si>
  <si>
    <t>The North Hyrule Sky Crystal</t>
  </si>
  <si>
    <t>The South Hyrule Sky Crystal</t>
  </si>
  <si>
    <t>The Tabantha Sky Crystal</t>
  </si>
  <si>
    <t>The East Hebra Sky Crystal</t>
  </si>
  <si>
    <t>Tauninoud Shrine</t>
  </si>
  <si>
    <t>The Sky Mine Crystal</t>
  </si>
  <si>
    <t>The Sokkala Sky Crystal</t>
  </si>
  <si>
    <t>The South Lanayru Sky Crystal</t>
  </si>
  <si>
    <t>The North Necluda Sky Crystal</t>
  </si>
  <si>
    <t>The West Necluda Sky Crystal</t>
  </si>
  <si>
    <t>The Necluda Sky Crystal</t>
  </si>
  <si>
    <t>Guardian of the Tabantha Sky Archipelago</t>
  </si>
  <si>
    <t>Guardian of the West Hebra Sky Archipelago</t>
  </si>
  <si>
    <t>Guardian of the Wellspring Island</t>
  </si>
  <si>
    <t>Guardian of the Lanayru Sky Archipelago</t>
  </si>
  <si>
    <t>Guardian of the Necluda Sky Archipelago</t>
  </si>
  <si>
    <t>Guardian of the South Necluda Sky Archipelago</t>
  </si>
  <si>
    <t>Guardian of the Faron Sky Archipelago</t>
  </si>
  <si>
    <t>Guardian of the Thunderhead Isles</t>
  </si>
  <si>
    <t>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</t>
  </si>
  <si>
    <t>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</si>
  <si>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</t>
  </si>
  <si>
    <t>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</si>
  <si>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</t>
  </si>
  <si>
    <t>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</t>
  </si>
  <si>
    <t>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</t>
  </si>
  <si>
    <t>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</t>
  </si>
  <si>
    <t>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</si>
  <si>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</t>
  </si>
  <si>
    <t>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</t>
  </si>
  <si>
    <t>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</t>
  </si>
  <si>
    <t>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</si>
  <si>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</si>
  <si>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</t>
  </si>
  <si>
    <t>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</si>
  <si>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</t>
  </si>
  <si>
    <t>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</t>
  </si>
  <si>
    <t>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</t>
  </si>
  <si>
    <t>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</t>
  </si>
  <si>
    <t>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</t>
  </si>
  <si>
    <t>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</si>
  <si>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</t>
  </si>
  <si>
    <t>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</t>
  </si>
  <si>
    <t>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</t>
  </si>
  <si>
    <t>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</si>
  <si>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</t>
  </si>
  <si>
    <t>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</t>
  </si>
  <si>
    <t>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</t>
  </si>
  <si>
    <t>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</t>
  </si>
  <si>
    <t>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</t>
  </si>
  <si>
    <t>&lt;strong&gt;First:&lt;/strong&gt; Complete &lt;img src="icons/shrine-quest.png" style="height: 20px; width: 20px; vertical-align: middle; margin-right: 5px;"&gt;&lt;span style="color: #7cc9c2; font-weight: bold;"&gt;The South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</si>
  <si>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Satori Mountain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</si>
  <si>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Tabantha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</si>
  <si>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Gisa Crater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</si>
  <si>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Northwest Hebra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</si>
  <si>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Hebra Mountains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</si>
  <si>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White Bird's Guidance&lt;/span&gt;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</si>
  <si>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</si>
  <si>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bold;"&gt;Maca's Special Place&lt;/span&gt; shrine quest</t>
  </si>
  <si>
    <t>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</t>
  </si>
  <si>
    <t>&lt;strong&gt;First:&lt;/strong&gt; Complete &lt;img src="icons/shrine-quest.png" style="height: 20px; width: 20px; vertical-align: middle; margin-right: 5px;"&gt;&lt;span style="color: #7cc9c2; font-weight: bold;"&gt;None Shall Pass&lt;/span&gt; shrine quest</t>
  </si>
  <si>
    <t>&lt;strong&gt;First:&lt;/strong&gt; Complete &lt;img src="icons/shrine-quest.png" style="height: 20px; width: 20px; vertical-align: middle; margin-right: 5px;"&gt;&lt;span style="color: #7cc9c2; font-weight: bold;"&gt;The Death Caldera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</si>
  <si>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Intenoch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</si>
  <si>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Sky Mine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</si>
  <si>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Sokkala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</si>
  <si>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bold;"&gt;Rock for Sale&lt;/span&gt; shrine quest</t>
  </si>
  <si>
    <t>&lt;strong&gt;First:&lt;/strong&gt; Complete &lt;img src="icons/shrine-quest.png" style="height: 20px; width: 20px; vertical-align: middle; margin-right: 5px;"&gt;&lt;span style="color: #7cc9c2; font-weight: bold;"&gt;The Ralis Channel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</si>
  <si>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</si>
  <si>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West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</si>
  <si>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bold;"&gt;Dyeing to Find It&lt;/span&gt; shrine quest</t>
  </si>
  <si>
    <t>&lt;strong&gt;First:&lt;/strong&gt; Complete &lt;img src="icons/shrine-quest.png" style="height: 20px; width: 20px; vertical-align: middle; margin-right: 5px;"&gt;&lt;span style="color: #7cc9c2; font-weight: bold;"&gt;The Lanayru Road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</si>
  <si>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South Lanayru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</si>
  <si>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High Spring and the Light Rings&lt;/span&gt; shrine quest</t>
  </si>
  <si>
    <t>&lt;strong&gt;First:&lt;/strong&gt; Complete &lt;img src="icons/shrine-quest.png" style="height: 20px; width: 20px; vertical-align: middle; margin-right: 5px;"&gt;&lt;span style="color: #7cc9c2; font-weight: bold;"&gt;The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</si>
  <si>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Oakle's Navel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</si>
  <si>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Hylia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</si>
  <si>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bold;"&gt;Ride the Giant Horse&lt;/span&gt; shrine quest</t>
  </si>
  <si>
    <t>&lt;strong&gt;First:&lt;/strong&gt; Complete &lt;img src="icons/shrine-quest.png" style="height: 20px; width: 20px; vertical-align: middle; margin-right: 5px;"&gt;&lt;span style="color: #7cc9c2; font-weight: bold;"&gt;Keys Born of Water&lt;/span&gt; shrine quest</t>
  </si>
  <si>
    <t>&lt;strong&gt;First:&lt;/strong&gt; Complete &lt;img src="icons/shrine-quest.png" style="height: 20px; width: 20px; vertical-align: middle; margin-right: 5px;"&gt;&lt;span style="color: #7cc9c2; font-weight: bold;"&gt;Legend of the Soaring Spear&lt;/span&gt; shrine quest</t>
  </si>
  <si>
    <t>&lt;strong&gt;First:&lt;/strong&gt; Complete &lt;img src="icons/shrine-quest.png" style="height: 20px; width: 20px; vertical-align: middle; margin-right: 5px;"&gt;&lt;span style="color: #7cc9c2; font-weight: bold;"&gt;The Gerudo Canyon Crystal&lt;/span&gt; shrine quest</t>
  </si>
  <si>
    <t>&lt;strong&gt;Leads to:&lt;/strong&gt; &lt;img src="icons/treasure.png" style="height: 20px; width: 20px; vertical-align: middle; margin-right: 5px;"&gt;&lt;span style="color: #c6a96a; font-weight: bold;"&gt;Trousers of the Hero&lt;/span&gt;</t>
  </si>
  <si>
    <t>&lt;strong&gt;Leads to:&lt;/strong&gt; &lt;img src="icons/treasure.png" style="height: 20px; width: 20px; vertical-align: middle; margin-right: 5px;"&gt;&lt;span style="color: #c6a96a; font-weight: bold;"&gt;Tunic of the Hero&lt;/span&gt;</t>
  </si>
  <si>
    <t>&lt;strong&gt;Leads to:&lt;/strong&gt; &lt;img src="icons/treasure.png" style="height: 20px; width: 20px; vertical-align: middle; margin-right: 5px;"&gt;&lt;span style="color: #c6a96a; font-weight: bold;"&gt;Cap of the Hero&lt;/span&gt;</t>
  </si>
  <si>
    <t>&lt;strong&gt;Leads to:&lt;/strong&gt; &lt;img src="icons/treasure.png" style="height: 20px; width: 20px; vertical-align: middle; margin-right: 5px;"&gt;&lt;span style="color: #c6a96a; font-weight: bold;"&gt;Sheik's Mask&lt;/span&gt;</t>
  </si>
  <si>
    <t>&lt;strong&gt;Leads to:&lt;/strong&gt; &lt;img src="icons/treasure.png" style="height: 20px; width: 20px; vertical-align: middle; margin-right: 5px;"&gt;&lt;span style="color: #c6a96a; font-weight: bold;"&gt;Tunic of the Wild&lt;/span&gt;</t>
  </si>
  <si>
    <t>&lt;strong&gt;Leads to:&lt;/strong&gt; &lt;img src="icons/treasure.png" style="height: 20px; width: 20px; vertical-align: middle; margin-right: 5px;"&gt;&lt;span style="color: #c6a96a; font-weight: bold;"&gt;Trousers of the Wild&lt;/span&gt;</t>
  </si>
  <si>
    <t>&lt;strong&gt;Leads to:&lt;/strong&gt; &lt;img src="icons/treasure.png" style="height: 20px; width: 20px; vertical-align: middle; margin-right: 5px;"&gt;&lt;span style="color: #c6a96a; font-weight: bold;"&gt;Cap of the Wild&lt;/span&gt;</t>
  </si>
  <si>
    <t>&lt;strong&gt;Leads to:&lt;/strong&gt; &lt;img src="icons/treasure.png" style="height: 20px; width: 20px; vertical-align: middle; margin-right: 5px;"&gt;&lt;span style="color: #c6a96a; font-weight: bold;"&gt;Miner's Mask&lt;/span&gt;</t>
  </si>
  <si>
    <t>&lt;strong&gt;Leads to:&lt;/strong&gt; &lt;img src="icons/treasure.png" style="height: 20px; width: 20px; vertical-align: middle; margin-right: 5px;"&gt;&lt;span style="color: #c6a96a; font-weight: bold;"&gt;Miner's Top&lt;/span&gt;</t>
  </si>
  <si>
    <t>&lt;strong&gt;Leads to:&lt;/strong&gt; &lt;img src="icons/treasure.png" style="height: 20px; width: 20px; vertical-align: middle; margin-right: 5px;"&gt;&lt;span style="color: #c6a96a; font-weight: bold;"&gt;Miner's Trousers&lt;/span&gt;</t>
  </si>
  <si>
    <t>&lt;strong&gt;Leads to:&lt;/strong&gt; &lt;img src="icons/treasure.png" style="height: 20px; width: 20px; vertical-align: middle; margin-right: 5px;"&gt;&lt;span style="color: #c6a96a; font-weight: bold;"&gt;Ravio's Hood&lt;/span&gt;</t>
  </si>
  <si>
    <t>&lt;strong&gt;Leads to:&lt;/strong&gt; &lt;img src="icons/treasure.png" style="height: 20px; width: 20px; vertical-align: middle; margin-right: 5px;"&gt;&lt;span style="color: #c6a96a; font-weight: bold;"&gt;Korok Mask&lt;/span&gt;</t>
  </si>
  <si>
    <t>&lt;strong&gt;Leads to:&lt;/strong&gt; &lt;img src="icons/treasure.png" style="height: 20px; width: 20px; vertical-align: middle; margin-right: 5px;"&gt;&lt;span style="color: #c6a96a; font-weight: bold;"&gt;Biggoron's Sword&lt;/span&gt;</t>
  </si>
  <si>
    <t>&lt;strong&gt;Leads to:&lt;/strong&gt; &lt;img src="icons/treasure.png" style="height: 20px; width: 20px; vertical-align: middle; margin-right: 5px;"&gt;&lt;span style="color: #c6a96a; font-weight: bold;"&gt;Trousers of Twilight&lt;/span&gt;</t>
  </si>
  <si>
    <t>&lt;strong&gt;Leads to:&lt;/strong&gt; &lt;img src="icons/treasure.png" style="height: 20px; width: 20px; vertical-align: middle; margin-right: 5px;"&gt;&lt;span style="color: #c6a96a; font-weight: bold;"&gt;Cap of Twilight&lt;/span&gt;</t>
  </si>
  <si>
    <t>&lt;strong&gt;Leads to:&lt;/strong&gt; &lt;img src="icons/treasure.png" style="height: 20px; width: 20px; vertical-align: middle; margin-right: 5px;"&gt;&lt;span style="color: #c6a96a; font-weight: bold;"&gt;Tunic of Twilight&lt;/span&gt;</t>
  </si>
  <si>
    <t>&lt;strong&gt;Leads to:&lt;/strong&gt; &lt;img src="icons/treasure.png" style="height: 20px; width: 20px; vertical-align: middle; margin-right: 5px;"&gt;&lt;span style="color: #c6a96a; font-weight: bold;"&gt;Trousers of the Wind&lt;/span&gt;</t>
  </si>
  <si>
    <t>&lt;strong&gt;Leads to:&lt;/strong&gt; &lt;img src="icons/treasure.png" style="height: 20px; width: 20px; vertical-align: middle; margin-right: 5px;"&gt;&lt;span style="color: #c6a96a; font-weight: bold;"&gt;Cap of the Wind&lt;/span&gt;</t>
  </si>
  <si>
    <t>&lt;strong&gt;Leads to:&lt;/strong&gt; &lt;img src="icons/treasure.png" style="height: 20px; width: 20px; vertical-align: middle; margin-right: 5px;"&gt;&lt;span style="color: #c6a96a; font-weight: bold;"&gt;Tunic of the Wind&lt;/span&gt;</t>
  </si>
  <si>
    <t>&lt;strong&gt;Leads to:&lt;/strong&gt; &lt;img src="icons/treasure.png" style="height: 20px; width: 20px; vertical-align: middle; margin-right: 5px;"&gt;&lt;span style="color: #c6a96a; font-weight: bold;"&gt;Cap of Time&lt;/span&gt;</t>
  </si>
  <si>
    <t>&lt;strong&gt;Leads to:&lt;/strong&gt; &lt;img src="icons/treasure.png" style="height: 20px; width: 20px; vertical-align: middle; margin-right: 5px;"&gt;&lt;span style="color: #c6a96a; font-weight: bold;"&gt;Tunic of Time&lt;/span&gt;</t>
  </si>
  <si>
    <t>&lt;strong&gt;Leads to:&lt;/strong&gt; &lt;img src="icons/treasure.png" style="height: 20px; width: 20px; vertical-align: middle; margin-right: 5px;"&gt;&lt;span style="color: #c6a96a; font-weight: bold;"&gt;Trousers of Time&lt;/span&gt;</t>
  </si>
  <si>
    <t>&lt;strong&gt;Leads to:&lt;/strong&gt; &lt;img src="icons/treasure.png" style="height: 20px; width: 20px; vertical-align: middle; margin-right: 5px;"&gt;&lt;span style="color: #c6a96a; font-weight: bold;"&gt;Sea-Breeze Shield&lt;/span&gt;</t>
  </si>
  <si>
    <t>&lt;strong&gt;Leads to:&lt;/strong&gt; &lt;img src="icons/treasure.png" style="height: 20px; width: 20px; vertical-align: middle; margin-right: 5px;"&gt;&lt;span style="color: #c6a96a; font-weight: bold;"&gt;Tunic of the Sky&lt;/span&gt;</t>
  </si>
  <si>
    <t>&lt;strong&gt;Leads to:&lt;/strong&gt; &lt;img src="icons/treasure.png" style="height: 20px; width: 20px; vertical-align: middle; margin-right: 5px;"&gt;&lt;span style="color: #c6a96a; font-weight: bold;"&gt;Midna's Helmet&lt;/span&gt;</t>
  </si>
  <si>
    <t>&lt;strong&gt;Leads to:&lt;/strong&gt; &lt;img src="icons/treasure.png" style="height: 20px; width: 20px; vertical-align: middle; margin-right: 5px;"&gt;&lt;span style="color: #c6a96a; font-weight: bold;"&gt;Zant's Helmet&lt;/span&gt;</t>
  </si>
  <si>
    <t>&lt;strong&gt;Leads to:&lt;/strong&gt; &lt;img src="icons/treasure.png" style="height: 20px; width: 20px; vertical-align: middle; margin-right: 5px;"&gt;&lt;span style="color: #c6a96a; font-weight: bold;"&gt;Sea-Breeze Boomerang&lt;/span&gt;</t>
  </si>
  <si>
    <t>&lt;strong&gt;Leads to:&lt;/strong&gt; &lt;img src="icons/treasure.png" style="height: 20px; width: 20px; vertical-align: middle; margin-right: 5px;"&gt;&lt;span style="color: #c6a96a; font-weight: bold;"&gt;Trousers of the Sky&lt;/span&gt;</t>
  </si>
  <si>
    <t>&lt;strong&gt;Leads to:&lt;/strong&gt; &lt;img src="icons/treasure.png" style="height: 20px; width: 20px; vertical-align: middle; margin-right: 5px;"&gt;&lt;span style="color: #c6a96a; font-weight: bold;"&gt;Cap of the Sky&lt;/span&gt;</t>
  </si>
  <si>
    <t>&lt;strong&gt;Leads to:&lt;/strong&gt; &lt;img src="icons/treasure.png" style="height: 20px; width: 20px; vertical-align: middle; margin-right: 5px;"&gt;&lt;span style="color: #c6a96a; font-weight: bold;"&gt;Sword of the Hero&lt;/span&gt;</t>
  </si>
  <si>
    <t>&lt;strong&gt;Leads to:&lt;/strong&gt; &lt;img src="icons/treasure.png" style="height: 20px; width: 20px; vertical-align: middle; margin-right: 5px;"&gt;&lt;span style="color: #c6a96a; font-weight: bold;"&gt;Majora's Mask&lt;/span&gt;</t>
  </si>
  <si>
    <t>&lt;strong&gt;Shown on:&lt;/strong&gt; &lt;img src="icons/old-map.png" style="height: 20px; width: 20px; vertical-align: middle; margin-right: 5px;"&gt;&lt;span style="color: #dd88d3; font-weight: bold;"&gt;West Hebra Sky Map #1&lt;/span&gt;</t>
  </si>
  <si>
    <t>&lt;strong&gt;Shown on:&lt;/strong&gt; &lt;img src="icons/old-map.png" style="height: 20px; width: 20px; vertical-align: middle; margin-right: 5px;"&gt;&lt;span style="color: #dd88d3; font-weight: bold;"&gt;North Gerudo Sky&lt;/span&gt;</t>
  </si>
  <si>
    <t>&lt;strong&gt;Shown on:&lt;/strong&gt; &lt;img src="icons/old-map.png" style="height: 20px; width: 20px; vertical-align: middle; margin-right: 5px;"&gt;&lt;span style="color: #dd88d3; font-weight: bold;"&gt;West Hebra Sky Map #2&lt;/span&gt;</t>
  </si>
  <si>
    <t>&lt;strong&gt;Shown on:&lt;/strong&gt; &lt;img src="icons/old-map.png" style="height: 20px; width: 20px; vertical-align: middle; margin-right: 5px;"&gt;&lt;span style="color: #dd88d3; font-weight: bold;"&gt;East Gerudo Sky&lt;/span&gt;</t>
  </si>
  <si>
    <t>&lt;strong&gt;Shown on:&lt;/strong&gt; &lt;img src="icons/old-map.png" style="height: 20px; width: 20px; vertical-align: middle; margin-right: 5px;"&gt;&lt;span style="color: #dd88d3; font-weight: bold;"&gt;Lanayru Sky&lt;/span&gt;</t>
  </si>
  <si>
    <t>&lt;strong&gt;Shown on:&lt;/strong&gt; &lt;img src="icons/old-map.png" style="height: 20px; width: 20px; vertical-align: middle; margin-right: 5px;"&gt;&lt;span style="color: #dd88d3; font-weight: bold;"&gt;North Necluda Sky Map #1&lt;/span&gt;</t>
  </si>
  <si>
    <t>&lt;strong&gt;Shown on:&lt;/strong&gt; &lt;img src="icons/old-map.png" style="height: 20px; width: 20px; vertical-align: middle; margin-right: 5px;"&gt;&lt;span style="color: #dd88d3; font-weight: bold;"&gt;Tabantha Sky Map #2&lt;/span&gt;</t>
  </si>
  <si>
    <t>&lt;strong&gt;Shown on:&lt;/strong&gt; &lt;img src="icons/old-map.png" style="height: 20px; width: 20px; vertical-align: middle; margin-right: 5px;"&gt;&lt;span style="color: #dd88d3; font-weight: bold;"&gt;Central Hyrule Sky&lt;/span&gt;</t>
  </si>
  <si>
    <t>&lt;strong&gt;Shown on:&lt;/strong&gt; &lt;img src="icons/old-map.png" style="height: 20px; width: 20px; vertical-align: middle; margin-right: 5px;"&gt;&lt;span style="color: #dd88d3; font-weight: bold;"&gt;Necluda Sky&lt;/span&gt;</t>
  </si>
  <si>
    <t>&lt;strong&gt;Shown on:&lt;/strong&gt; &lt;img src="icons/old-map.png" style="height: 20px; width: 20px; vertical-align: middle; margin-right: 5px;"&gt;&lt;span style="color: #dd88d3; font-weight: bold;"&gt;South Hyrule Sky Map #1&lt;/span&gt;</t>
  </si>
  <si>
    <t>&lt;strong&gt;Shown on:&lt;/strong&gt; &lt;img src="icons/old-map.png" style="height: 20px; width: 20px; vertical-align: middle; margin-right: 5px;"&gt;&lt;span style="color: #dd88d3; font-weight: bold;"&gt;North Akkala Sky Map #2&lt;/span&gt;</t>
  </si>
  <si>
    <t>&lt;strong&gt;Shown on:&lt;/strong&gt; &lt;img src="icons/old-map.png" style="height: 20px; width: 20px; vertical-align: middle; margin-right: 5px;"&gt;&lt;span style="color: #dd88d3; font-weight: bold;"&gt;North Hyrule Sky&lt;/span&gt;</t>
  </si>
  <si>
    <t>&lt;strong&gt;Shown on:&lt;/strong&gt; &lt;img src="icons/old-map.png" style="height: 20px; width: 20px; vertical-align: middle; margin-right: 5px;"&gt;&lt;span style="color: #dd88d3; font-weight: bold;"&gt;Tabantha Sky Map #1&lt;/span&gt;</t>
  </si>
  <si>
    <t>&lt;strong&gt;Shown on:&lt;/strong&gt; &lt;img src="icons/old-map.png" style="height: 20px; width: 20px; vertical-align: middle; margin-right: 5px;"&gt;&lt;span style="color: #dd88d3; font-weight: bold;"&gt;West Necluda Sky&lt;/span&gt;</t>
  </si>
  <si>
    <t>&lt;strong&gt;Shown on:&lt;/strong&gt; &lt;img src="icons/old-map.png" style="height: 20px; width: 20px; vertical-align: middle; margin-right: 5px;"&gt;&lt;span style="color: #dd88d3; font-weight: bold;"&gt;South Lanayru Sky Map #2&lt;/span&gt;</t>
  </si>
  <si>
    <t>&lt;strong&gt;Shown on:&lt;/strong&gt; &lt;img src="icons/old-map.png" style="height: 20px; width: 20px; vertical-align: middle; margin-right: 5px;"&gt;&lt;span style="color: #dd88d3; font-weight: bold;"&gt;South Eldin Sky&lt;/span&gt;</t>
  </si>
  <si>
    <t>&lt;strong&gt;Shown on:&lt;/strong&gt; &lt;img src="icons/old-map.png" style="height: 20px; width: 20px; vertical-align: middle; margin-right: 5px;"&gt;&lt;span style="color: #dd88d3; font-weight: bold;"&gt;North Akkala Sky Map #1&lt;/span&gt;</t>
  </si>
  <si>
    <t>&lt;strong&gt;Shown on:&lt;/strong&gt; &lt;img src="icons/old-map.png" style="height: 20px; width: 20px; vertical-align: middle; margin-right: 5px;"&gt;&lt;span style="color: #dd88d3; font-weight: bold;"&gt;Sokkala Sky&lt;/span&gt;</t>
  </si>
  <si>
    <t>&lt;strong&gt;Shown on:&lt;/strong&gt; &lt;img src="icons/old-map.png" style="height: 20px; width: 20px; vertical-align: middle; margin-right: 5px;"&gt;&lt;span style="color: #dd88d3; font-weight: bold;"&gt;Wellspring Island Map #2&lt;/span&gt;</t>
  </si>
  <si>
    <t>&lt;strong&gt;Shown on:&lt;/strong&gt; &lt;img src="icons/old-map.png" style="height: 20px; width: 20px; vertical-align: middle; margin-right: 5px;"&gt;&lt;span style="color: #dd88d3; font-weight: bold;"&gt;East Necluda Sky&lt;/span&gt;</t>
  </si>
  <si>
    <t>&lt;strong&gt;Shown on:&lt;/strong&gt; &lt;img src="icons/old-map.png" style="height: 20px; width: 20px; vertical-align: middle; margin-right: 5px;"&gt;&lt;span style="color: #dd88d3; font-weight: bold;"&gt;Thunderhead Isles Map #1&lt;/span&gt;</t>
  </si>
  <si>
    <t>&lt;strong&gt;Shown on:&lt;/strong&gt; &lt;img src="icons/old-map.png" style="height: 20px; width: 20px; vertical-align: middle; margin-right: 5px;"&gt;&lt;span style="color: #dd88d3; font-weight: bold;"&gt;South Hyrule Sky Map #2&lt;/span&gt;</t>
  </si>
  <si>
    <t>&lt;strong&gt;Shown on:&lt;/strong&gt; &lt;img src="icons/old-map.png" style="height: 20px; width: 20px; vertical-align: middle; margin-right: 5px;"&gt;&lt;span style="color: #dd88d3; font-weight: bold;"&gt;Thunderhead Isles Map #2&lt;/span&gt;</t>
  </si>
  <si>
    <t>&lt;strong&gt;Shown on:&lt;/strong&gt; &lt;img src="icons/old-map.png" style="height: 20px; width: 20px; vertical-align: middle; margin-right: 5px;"&gt;&lt;span style="color: #dd88d3; font-weight: bold;"&gt;South Hyrule Sky Map #3&lt;/span&gt;</t>
  </si>
  <si>
    <t>&lt;strong&gt;Shown on:&lt;/strong&gt; &lt;img src="icons/old-map.png" style="height: 20px; width: 20px; vertical-align: middle; margin-right: 5px;"&gt;&lt;span style="color: #dd88d3; font-weight: bold;"&gt;South Lanayru Sky Map #1&lt;/span&gt;</t>
  </si>
  <si>
    <t>&lt;strong&gt;Shown on:&lt;/strong&gt; &lt;img src="icons/old-map.png" style="height: 20px; width: 20px; vertical-align: middle; margin-right: 5px;"&gt;&lt;span style="color: #dd88d3; font-weight: bold;"&gt;East Hebra Sky&lt;/span&gt;</t>
  </si>
  <si>
    <t>&lt;strong&gt;Shown on:&lt;/strong&gt; &lt;img src="icons/old-map.png" style="height: 20px; width: 20px; vertical-align: middle; margin-right: 5px;"&gt;&lt;span style="color: #dd88d3; font-weight: bold;"&gt;Wellspring Island Map #1&lt;/span&gt;</t>
  </si>
  <si>
    <t>&lt;strong&gt;Shown on:&lt;/strong&gt; &lt;img src="icons/old-map.png" style="height: 20px; width: 20px; vertical-align: middle; margin-right: 5px;"&gt;&lt;span style="color: #dd88d3; font-weight: bold;"&gt;Rising Island Chain&lt;/span&gt;</t>
  </si>
  <si>
    <t>&lt;strong&gt;Shown on:&lt;/strong&gt; &lt;img src="icons/old-map.png" style="height: 20px; width: 20px; vertical-align: middle; margin-right: 5px;"&gt;&lt;span style="color: #dd88d3; font-weight: bold;"&gt;South Hyrule Sky Map #4&lt;/span&gt;</t>
  </si>
  <si>
    <t>&lt;strong&gt;Shown on:&lt;/strong&gt; &lt;img src="icons/old-map.png" style="height: 20px; width: 20px; vertical-align: middle; margin-right: 5px;"&gt;&lt;span style="color: #dd88d3; font-weight: bold;"&gt;North Tabantha Sky&lt;/span&gt;</t>
  </si>
  <si>
    <t>&lt;strong&gt;Shown on:&lt;/strong&gt; &lt;img src="icons/old-map.png" style="height: 20px; width: 20px; vertical-align: middle; margin-right: 5px;"&gt;&lt;span style="color: #dd88d3; font-weight: bold;"&gt;North Necluda Sky Map #2&lt;/span&gt;</t>
  </si>
  <si>
    <t>Defeat &lt;img src="icons/gleeok.png" style="height: 20px; width: 20px; vertical-align: middle; margin-right: 5px;"&gt;&lt;span style="color: #de878b; font-weight: bold;"&gt;King Gleeok&lt;/span&gt;</t>
  </si>
  <si>
    <t>Defeat &lt;img src="icons/flux-construct.png" style="height: 20px; width: 20px; vertical-align: middle; margin-right: 5px;"&gt;&lt;span style="color: #7cc9c2; font-weight: bold;"&gt;Flux Construct II&lt;/span&gt;</t>
  </si>
  <si>
    <t>Defeat &lt;img src="icons/flux-construct.png" style="height: 20px; width: 20px; vertical-align: middle; margin-right: 5px;"&gt;&lt;span style="color: #7cc9c2; font-weight: bold;"&gt;Flux Construct III&lt;/span&gt;</t>
  </si>
  <si>
    <t>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</t>
  </si>
  <si>
    <t>hylian1, hylian2, hylian3, royalguard1, royalguard2, royalguard3, cecehat</t>
  </si>
  <si>
    <t>Afromsia Coast Korok #01</t>
  </si>
  <si>
    <t>boots1, boots2, desertvoe2, desertvoe3</t>
  </si>
  <si>
    <t>Kaneli’s Flight Training</t>
  </si>
  <si>
    <t>The Ancient City Gorondia!</t>
  </si>
  <si>
    <t>North of Goron City</t>
  </si>
  <si>
    <t>The Ancient City Gorondia?</t>
  </si>
  <si>
    <t>The Hidden Treasure at Lizard Lakes</t>
  </si>
  <si>
    <t>Misko's Treasure: Twins Manuscript</t>
  </si>
  <si>
    <t>Misko's Treasure: Pirate Manuscript</t>
  </si>
  <si>
    <t>Misko's Treasure: Heroines Manuscript</t>
  </si>
  <si>
    <t>Misko's Treasure of Awakening I</t>
  </si>
  <si>
    <t>Misko's Treasure of Awakening II</t>
  </si>
  <si>
    <t>Misko's Treasure of Awakening III</t>
  </si>
  <si>
    <t>One-Hit Wonder!</t>
  </si>
  <si>
    <t>Secret Treasure Under the Great Fish</t>
  </si>
  <si>
    <t>The Ultimate Dish?</t>
  </si>
  <si>
    <t>Teach Me a Lesson I</t>
  </si>
  <si>
    <t>Teach Me a Lesson II</t>
  </si>
  <si>
    <t>To the Ruins!</t>
  </si>
  <si>
    <t>A Picture for Closed Stable I</t>
  </si>
  <si>
    <t>A Picture for Closed Stable II</t>
  </si>
  <si>
    <t>Heat-Endurance Contest!</t>
  </si>
  <si>
    <t>Cold-Endurance Contest!</t>
  </si>
  <si>
    <t>Where Are the Wells?</t>
  </si>
  <si>
    <t>The Lomei Labyrinth Island Prophecy</t>
  </si>
  <si>
    <t>Shrine of Light</t>
  </si>
  <si>
    <t>East Resevoir Lake</t>
  </si>
  <si>
    <t>Hateno Village's Lake Sumac</t>
  </si>
  <si>
    <t>Fell Into a Well!</t>
  </si>
  <si>
    <t>Wanted: Hinox</t>
  </si>
  <si>
    <t>Wanted: Molduga</t>
  </si>
  <si>
    <t>Wanted: Stone Talus</t>
  </si>
  <si>
    <t>Talk to Dugby&lt;br&gt;&lt;strong&gt;Reward:&lt;/strong&gt; Zonai Charge</t>
  </si>
  <si>
    <t>Talk to Dugby&lt;br&gt;&lt;strong&gt;Reward:&lt;/strong&gt; Large Zonai Charge</t>
  </si>
  <si>
    <t>The Tarrey Town Race is On!</t>
  </si>
  <si>
    <t>Talk to Symin During Class&lt;br&gt;&lt;strong&gt;Reward:&lt;/strong&gt; Access to the school's field for planting</t>
  </si>
  <si>
    <t>Speak with Domidak and Prissen&lt;br&gt;&lt;strong&gt;Reward:&lt;/strong&gt; Tingle's Shirt</t>
  </si>
  <si>
    <t>Speak with Domidak and Prissen&lt;br&gt;&lt;strong&gt;Reward:&lt;/strong&gt; Tingle's Tights</t>
  </si>
  <si>
    <t>Speak with Domidak and Prissen&lt;br&gt;&lt;strong&gt;Reward:&lt;/strong&gt; Tingle's Hood</t>
  </si>
  <si>
    <t>Find Misko's Letter&lt;br&gt;&lt;strong&gt;Reward:&lt;/strong&gt; Tunic of Awakening</t>
  </si>
  <si>
    <t>Read the sign next to where you found the Tunic of Awakening&lt;br&gt;&lt;strong&gt;Reward:&lt;/strong&gt; Trousers of Awakening</t>
  </si>
  <si>
    <t>Read the sign next to where you found the Trousers of Awakening&lt;br&gt;&lt;strong&gt;Reward:&lt;/strong&gt; Mask of Awakening</t>
  </si>
  <si>
    <t>[0,2]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</si>
</sst>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4" fillId="0" borderId="0" xfId="0" applyFont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2408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2409</v>
      </c>
    </row>
    <row r="4" spans="1:7" x14ac:dyDescent="0.2">
      <c r="A4" s="32" t="s">
        <v>2831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2593</v>
      </c>
      <c r="B5" s="2">
        <v>6</v>
      </c>
      <c r="C5" s="14">
        <f t="shared" si="0"/>
        <v>2.4000000000000002E-3</v>
      </c>
    </row>
    <row r="6" spans="1:7" x14ac:dyDescent="0.2">
      <c r="A6" s="32" t="s">
        <v>2411</v>
      </c>
      <c r="B6" s="15">
        <v>34</v>
      </c>
      <c r="C6" s="14">
        <f>B6*0.0004</f>
        <v>1.3600000000000001E-2</v>
      </c>
    </row>
    <row r="7" spans="1:7" x14ac:dyDescent="0.2">
      <c r="A7" s="32" t="s">
        <v>2592</v>
      </c>
      <c r="B7" s="15">
        <v>10</v>
      </c>
      <c r="C7" s="14">
        <f>B7*0.0004</f>
        <v>4.0000000000000001E-3</v>
      </c>
    </row>
    <row r="8" spans="1:7" x14ac:dyDescent="0.2">
      <c r="A8" s="32" t="s">
        <v>2591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2558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2410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2829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dimension ref="A2:D796"/>
  <sheetViews>
    <sheetView topLeftCell="A79" workbookViewId="0">
      <selection activeCell="A79" sqref="A1:A104857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2" spans="1:4" x14ac:dyDescent="0.2">
      <c r="A2" s="23"/>
      <c r="D2" s="2"/>
    </row>
    <row r="3" spans="1:4" x14ac:dyDescent="0.2">
      <c r="A3" s="23"/>
      <c r="D3" s="2"/>
    </row>
    <row r="4" spans="1:4" x14ac:dyDescent="0.2">
      <c r="A4" s="23"/>
      <c r="D4" s="2"/>
    </row>
    <row r="5" spans="1:4" x14ac:dyDescent="0.2">
      <c r="A5" s="23"/>
      <c r="D5" s="2"/>
    </row>
    <row r="6" spans="1:4" x14ac:dyDescent="0.2">
      <c r="A6" s="23"/>
      <c r="D6" s="2"/>
    </row>
    <row r="7" spans="1:4" x14ac:dyDescent="0.2">
      <c r="A7" s="23"/>
      <c r="D7" s="2"/>
    </row>
    <row r="8" spans="1:4" x14ac:dyDescent="0.2">
      <c r="A8" s="23"/>
      <c r="D8" s="2"/>
    </row>
    <row r="9" spans="1:4" x14ac:dyDescent="0.2">
      <c r="A9" s="23"/>
      <c r="D9" s="2"/>
    </row>
    <row r="10" spans="1:4" x14ac:dyDescent="0.2">
      <c r="A10" s="23"/>
      <c r="D10" s="2"/>
    </row>
    <row r="11" spans="1:4" x14ac:dyDescent="0.2">
      <c r="A11" s="23"/>
      <c r="D11" s="2"/>
    </row>
    <row r="12" spans="1:4" x14ac:dyDescent="0.2">
      <c r="A12" s="23"/>
      <c r="D12" s="2"/>
    </row>
    <row r="13" spans="1:4" x14ac:dyDescent="0.2">
      <c r="A13" s="23"/>
      <c r="D13" s="2"/>
    </row>
    <row r="14" spans="1:4" x14ac:dyDescent="0.2">
      <c r="A14" s="23"/>
      <c r="D14" s="2"/>
    </row>
    <row r="15" spans="1:4" x14ac:dyDescent="0.2">
      <c r="A15" s="23"/>
      <c r="D15" s="2"/>
    </row>
    <row r="16" spans="1:4" x14ac:dyDescent="0.2">
      <c r="A16" s="23"/>
      <c r="D16" s="2"/>
    </row>
    <row r="17" spans="1:4" x14ac:dyDescent="0.2">
      <c r="A17" s="23"/>
      <c r="D17" s="2"/>
    </row>
    <row r="18" spans="1:4" x14ac:dyDescent="0.2">
      <c r="A18" s="23"/>
      <c r="D18" s="2"/>
    </row>
    <row r="19" spans="1:4" x14ac:dyDescent="0.2">
      <c r="A19" s="23"/>
      <c r="D19" s="2"/>
    </row>
    <row r="20" spans="1:4" x14ac:dyDescent="0.2">
      <c r="A20" s="23"/>
      <c r="D20" s="2"/>
    </row>
    <row r="21" spans="1:4" x14ac:dyDescent="0.2">
      <c r="A21" s="23"/>
      <c r="D21" s="2"/>
    </row>
    <row r="22" spans="1:4" x14ac:dyDescent="0.2">
      <c r="A22" s="23"/>
      <c r="D22" s="2"/>
    </row>
    <row r="23" spans="1:4" x14ac:dyDescent="0.2">
      <c r="A23" s="23"/>
      <c r="D23" s="2"/>
    </row>
    <row r="24" spans="1:4" x14ac:dyDescent="0.2">
      <c r="A24" s="23"/>
      <c r="D24" s="2"/>
    </row>
    <row r="25" spans="1:4" x14ac:dyDescent="0.2">
      <c r="A25" s="23"/>
      <c r="D25" s="2"/>
    </row>
    <row r="26" spans="1:4" x14ac:dyDescent="0.2">
      <c r="A26" s="23"/>
      <c r="D26" s="2"/>
    </row>
    <row r="27" spans="1:4" x14ac:dyDescent="0.2">
      <c r="A27" s="23"/>
      <c r="D27" s="2"/>
    </row>
    <row r="28" spans="1:4" x14ac:dyDescent="0.2">
      <c r="A28" s="23"/>
      <c r="D28" s="2"/>
    </row>
    <row r="29" spans="1:4" x14ac:dyDescent="0.2">
      <c r="A29" s="23"/>
      <c r="D29" s="2"/>
    </row>
    <row r="30" spans="1:4" x14ac:dyDescent="0.2">
      <c r="A30" s="23"/>
      <c r="D30" s="2"/>
    </row>
    <row r="31" spans="1:4" x14ac:dyDescent="0.2">
      <c r="A31" s="23"/>
      <c r="D31" s="2"/>
    </row>
    <row r="32" spans="1:4" x14ac:dyDescent="0.2">
      <c r="A32" s="23"/>
      <c r="D32" s="2"/>
    </row>
    <row r="33" spans="1:4" x14ac:dyDescent="0.2">
      <c r="A33" s="23"/>
      <c r="D33" s="2"/>
    </row>
    <row r="34" spans="1:4" x14ac:dyDescent="0.2">
      <c r="A34" s="23"/>
      <c r="D34" s="2"/>
    </row>
    <row r="35" spans="1:4" x14ac:dyDescent="0.2">
      <c r="A35" s="23"/>
      <c r="D35" s="2"/>
    </row>
    <row r="36" spans="1:4" x14ac:dyDescent="0.2">
      <c r="A36" s="23"/>
      <c r="D36" s="2"/>
    </row>
    <row r="37" spans="1:4" x14ac:dyDescent="0.2">
      <c r="A37" s="23"/>
      <c r="D37" s="2"/>
    </row>
    <row r="38" spans="1:4" x14ac:dyDescent="0.2">
      <c r="A38" s="23"/>
      <c r="D38" s="2"/>
    </row>
    <row r="39" spans="1:4" x14ac:dyDescent="0.2">
      <c r="A39" s="23"/>
      <c r="D39" s="2"/>
    </row>
    <row r="40" spans="1:4" x14ac:dyDescent="0.2">
      <c r="A40" s="23"/>
      <c r="D40" s="2"/>
    </row>
    <row r="41" spans="1:4" x14ac:dyDescent="0.2">
      <c r="A41" s="23"/>
      <c r="D41" s="2"/>
    </row>
    <row r="42" spans="1:4" x14ac:dyDescent="0.2">
      <c r="A42" s="23"/>
      <c r="D42" s="2"/>
    </row>
    <row r="43" spans="1:4" x14ac:dyDescent="0.2">
      <c r="A43" s="23"/>
      <c r="D43" s="2"/>
    </row>
    <row r="44" spans="1:4" x14ac:dyDescent="0.2">
      <c r="A44" s="23"/>
      <c r="D44" s="2"/>
    </row>
    <row r="45" spans="1:4" x14ac:dyDescent="0.2">
      <c r="A45" s="23"/>
      <c r="D45" s="2"/>
    </row>
    <row r="46" spans="1:4" x14ac:dyDescent="0.2">
      <c r="A46" s="23"/>
      <c r="D46" s="2"/>
    </row>
    <row r="47" spans="1:4" x14ac:dyDescent="0.2">
      <c r="A47" s="23"/>
      <c r="D47" s="2"/>
    </row>
    <row r="48" spans="1:4" x14ac:dyDescent="0.2">
      <c r="A48" s="23"/>
      <c r="D48" s="2"/>
    </row>
    <row r="49" spans="1:4" x14ac:dyDescent="0.2">
      <c r="A49" s="23"/>
      <c r="D49" s="2"/>
    </row>
    <row r="50" spans="1:4" x14ac:dyDescent="0.2">
      <c r="A50" s="23"/>
      <c r="D50" s="2"/>
    </row>
    <row r="51" spans="1:4" x14ac:dyDescent="0.2">
      <c r="A51" s="23"/>
      <c r="D51" s="2"/>
    </row>
    <row r="52" spans="1:4" x14ac:dyDescent="0.2">
      <c r="A52" s="23"/>
      <c r="D52" s="2"/>
    </row>
    <row r="53" spans="1:4" x14ac:dyDescent="0.2">
      <c r="A53" s="23"/>
      <c r="D53" s="2"/>
    </row>
    <row r="54" spans="1:4" x14ac:dyDescent="0.2">
      <c r="A54" s="23"/>
      <c r="D54" s="2"/>
    </row>
    <row r="55" spans="1:4" x14ac:dyDescent="0.2">
      <c r="A55" s="23"/>
      <c r="D55" s="2"/>
    </row>
    <row r="56" spans="1:4" x14ac:dyDescent="0.2">
      <c r="A56" s="23"/>
      <c r="D56" s="2"/>
    </row>
    <row r="57" spans="1:4" x14ac:dyDescent="0.2">
      <c r="A57" s="23"/>
      <c r="D57" s="2"/>
    </row>
    <row r="58" spans="1:4" x14ac:dyDescent="0.2">
      <c r="A58" s="23"/>
      <c r="D58" s="2"/>
    </row>
    <row r="59" spans="1:4" x14ac:dyDescent="0.2">
      <c r="A59" s="23"/>
      <c r="D59" s="2"/>
    </row>
    <row r="60" spans="1:4" x14ac:dyDescent="0.2">
      <c r="A60" s="23"/>
      <c r="D60" s="2"/>
    </row>
    <row r="61" spans="1:4" x14ac:dyDescent="0.2">
      <c r="A61" s="23"/>
      <c r="D61" s="2"/>
    </row>
    <row r="62" spans="1:4" x14ac:dyDescent="0.2">
      <c r="A62" s="23"/>
      <c r="D62" s="2"/>
    </row>
    <row r="63" spans="1:4" x14ac:dyDescent="0.2">
      <c r="A63" s="23"/>
      <c r="D63" s="2"/>
    </row>
    <row r="64" spans="1:4" x14ac:dyDescent="0.2">
      <c r="A64" s="23"/>
      <c r="D64" s="2"/>
    </row>
    <row r="65" spans="1:4" x14ac:dyDescent="0.2">
      <c r="A65" s="23"/>
      <c r="D65" s="2"/>
    </row>
    <row r="66" spans="1:4" x14ac:dyDescent="0.2">
      <c r="A66" s="23"/>
      <c r="D66" s="2"/>
    </row>
    <row r="67" spans="1:4" x14ac:dyDescent="0.2">
      <c r="A67" s="23"/>
      <c r="D67" s="2"/>
    </row>
    <row r="68" spans="1:4" x14ac:dyDescent="0.2">
      <c r="A68" s="23"/>
      <c r="D68" s="2"/>
    </row>
    <row r="69" spans="1:4" x14ac:dyDescent="0.2">
      <c r="A69" s="23"/>
      <c r="D69" s="2"/>
    </row>
    <row r="70" spans="1:4" x14ac:dyDescent="0.2">
      <c r="A70" s="23"/>
      <c r="D70" s="2"/>
    </row>
    <row r="71" spans="1:4" x14ac:dyDescent="0.2">
      <c r="A71" s="23"/>
      <c r="D71" s="2"/>
    </row>
    <row r="72" spans="1:4" x14ac:dyDescent="0.2">
      <c r="A72" s="23"/>
      <c r="D72" s="2"/>
    </row>
    <row r="73" spans="1:4" x14ac:dyDescent="0.2">
      <c r="A73" s="23"/>
      <c r="D73" s="2"/>
    </row>
    <row r="74" spans="1:4" x14ac:dyDescent="0.2">
      <c r="A74" s="23"/>
      <c r="D74" s="2"/>
    </row>
    <row r="75" spans="1:4" x14ac:dyDescent="0.2">
      <c r="A75" s="23"/>
      <c r="D75" s="2"/>
    </row>
    <row r="76" spans="1:4" x14ac:dyDescent="0.2">
      <c r="A76" s="23"/>
      <c r="D76" s="2"/>
    </row>
    <row r="77" spans="1:4" x14ac:dyDescent="0.2">
      <c r="A77" s="23"/>
      <c r="D77" s="2"/>
    </row>
    <row r="78" spans="1:4" x14ac:dyDescent="0.2">
      <c r="A78" s="23"/>
      <c r="D78" s="2"/>
    </row>
    <row r="79" spans="1:4" x14ac:dyDescent="0.2">
      <c r="A79" s="23"/>
      <c r="D79" s="2"/>
    </row>
    <row r="80" spans="1:4" x14ac:dyDescent="0.2">
      <c r="A80" s="23"/>
      <c r="D80" s="2"/>
    </row>
    <row r="81" spans="1:4" x14ac:dyDescent="0.2">
      <c r="A81" s="23"/>
      <c r="D81" s="2"/>
    </row>
    <row r="82" spans="1:4" x14ac:dyDescent="0.2">
      <c r="A82" s="23"/>
      <c r="D82" s="2"/>
    </row>
    <row r="83" spans="1:4" x14ac:dyDescent="0.2">
      <c r="A83" s="23"/>
      <c r="D83" s="2"/>
    </row>
    <row r="84" spans="1:4" x14ac:dyDescent="0.2">
      <c r="A84" s="23"/>
      <c r="D84" s="2"/>
    </row>
    <row r="85" spans="1:4" x14ac:dyDescent="0.2">
      <c r="A85" s="23"/>
      <c r="D85" s="2"/>
    </row>
    <row r="86" spans="1:4" x14ac:dyDescent="0.2">
      <c r="A86" s="23"/>
      <c r="D86" s="2"/>
    </row>
    <row r="87" spans="1:4" x14ac:dyDescent="0.2">
      <c r="A87" s="23"/>
      <c r="D87" s="2"/>
    </row>
    <row r="88" spans="1:4" x14ac:dyDescent="0.2">
      <c r="A88" s="23"/>
      <c r="D88" s="2"/>
    </row>
    <row r="89" spans="1:4" x14ac:dyDescent="0.2">
      <c r="A89" s="23"/>
      <c r="D89" s="2"/>
    </row>
    <row r="90" spans="1:4" x14ac:dyDescent="0.2">
      <c r="A90" s="30"/>
      <c r="D90" s="2"/>
    </row>
    <row r="91" spans="1:4" x14ac:dyDescent="0.2">
      <c r="A91" s="29"/>
      <c r="D91" s="2"/>
    </row>
    <row r="92" spans="1:4" x14ac:dyDescent="0.2">
      <c r="A92" s="29"/>
      <c r="D92" s="2"/>
    </row>
    <row r="93" spans="1:4" x14ac:dyDescent="0.2">
      <c r="A93" s="29"/>
      <c r="D93" s="2"/>
    </row>
    <row r="94" spans="1:4" x14ac:dyDescent="0.2">
      <c r="A94" s="29"/>
      <c r="D94" s="2"/>
    </row>
    <row r="95" spans="1:4" x14ac:dyDescent="0.2">
      <c r="A95" s="29"/>
      <c r="D95" s="2"/>
    </row>
    <row r="96" spans="1:4" x14ac:dyDescent="0.2">
      <c r="A96" s="23"/>
      <c r="D96" s="2"/>
    </row>
    <row r="97" spans="1:4" x14ac:dyDescent="0.2">
      <c r="A97" s="23"/>
      <c r="D97" s="2"/>
    </row>
    <row r="98" spans="1:4" x14ac:dyDescent="0.2">
      <c r="A98" s="23"/>
      <c r="D98" s="2"/>
    </row>
    <row r="99" spans="1:4" x14ac:dyDescent="0.2">
      <c r="A99" s="23"/>
      <c r="D99" s="2"/>
    </row>
    <row r="100" spans="1:4" x14ac:dyDescent="0.2">
      <c r="A100" s="23"/>
      <c r="D100" s="2"/>
    </row>
    <row r="101" spans="1:4" x14ac:dyDescent="0.2">
      <c r="A101" s="23"/>
      <c r="D101" s="2"/>
    </row>
    <row r="102" spans="1:4" x14ac:dyDescent="0.2">
      <c r="A102" s="23"/>
      <c r="D102" s="2"/>
    </row>
    <row r="103" spans="1:4" x14ac:dyDescent="0.2">
      <c r="A103" s="23"/>
      <c r="D103" s="2"/>
    </row>
    <row r="104" spans="1:4" x14ac:dyDescent="0.2">
      <c r="A104" s="23"/>
      <c r="D104" s="2"/>
    </row>
    <row r="105" spans="1:4" x14ac:dyDescent="0.2">
      <c r="A105" s="23"/>
      <c r="D105" s="2"/>
    </row>
    <row r="106" spans="1:4" x14ac:dyDescent="0.2">
      <c r="A106" s="23"/>
      <c r="D106" s="2"/>
    </row>
    <row r="107" spans="1:4" x14ac:dyDescent="0.2">
      <c r="A107" s="23"/>
      <c r="D107" s="2"/>
    </row>
    <row r="108" spans="1:4" x14ac:dyDescent="0.2">
      <c r="A108" s="23"/>
      <c r="D108" s="2"/>
    </row>
    <row r="109" spans="1:4" x14ac:dyDescent="0.2">
      <c r="A109" s="23"/>
      <c r="D109" s="2"/>
    </row>
    <row r="110" spans="1:4" x14ac:dyDescent="0.2">
      <c r="A110" s="23"/>
      <c r="D110" s="2"/>
    </row>
    <row r="111" spans="1:4" x14ac:dyDescent="0.2">
      <c r="A111" s="23"/>
      <c r="D111" s="2"/>
    </row>
    <row r="112" spans="1:4" x14ac:dyDescent="0.2">
      <c r="A112" s="23"/>
      <c r="D112" s="2"/>
    </row>
    <row r="113" spans="1:4" x14ac:dyDescent="0.2">
      <c r="A113" s="23"/>
      <c r="D113" s="2"/>
    </row>
    <row r="114" spans="1:4" x14ac:dyDescent="0.2">
      <c r="A114" s="23"/>
      <c r="D114" s="2"/>
    </row>
    <row r="115" spans="1:4" x14ac:dyDescent="0.2">
      <c r="A115" s="23"/>
      <c r="D115" s="2"/>
    </row>
    <row r="116" spans="1:4" x14ac:dyDescent="0.2">
      <c r="A116" s="23"/>
      <c r="D116" s="2"/>
    </row>
    <row r="117" spans="1:4" x14ac:dyDescent="0.2">
      <c r="A117" s="23"/>
      <c r="D117" s="2"/>
    </row>
    <row r="118" spans="1:4" x14ac:dyDescent="0.2">
      <c r="A118" s="23"/>
      <c r="D118" s="2"/>
    </row>
    <row r="119" spans="1:4" x14ac:dyDescent="0.2">
      <c r="A119" s="23"/>
      <c r="D119" s="2"/>
    </row>
    <row r="120" spans="1:4" x14ac:dyDescent="0.2">
      <c r="A120" s="23"/>
      <c r="D120" s="2"/>
    </row>
    <row r="121" spans="1:4" x14ac:dyDescent="0.2">
      <c r="A121" s="23"/>
      <c r="D121" s="2"/>
    </row>
    <row r="122" spans="1:4" x14ac:dyDescent="0.2">
      <c r="A122" s="23"/>
      <c r="D122" s="2"/>
    </row>
    <row r="123" spans="1:4" x14ac:dyDescent="0.2">
      <c r="A123" s="23"/>
      <c r="D123" s="2"/>
    </row>
    <row r="124" spans="1:4" x14ac:dyDescent="0.2">
      <c r="A124" s="23"/>
      <c r="D124" s="2"/>
    </row>
    <row r="125" spans="1:4" x14ac:dyDescent="0.2">
      <c r="A125" s="23"/>
      <c r="D125" s="2"/>
    </row>
    <row r="126" spans="1:4" x14ac:dyDescent="0.2">
      <c r="A126" s="23"/>
      <c r="D126" s="2"/>
    </row>
    <row r="127" spans="1:4" x14ac:dyDescent="0.2">
      <c r="A127" s="23"/>
      <c r="D127" s="2"/>
    </row>
    <row r="128" spans="1:4" x14ac:dyDescent="0.2">
      <c r="A128" s="23"/>
      <c r="D128" s="2"/>
    </row>
    <row r="129" spans="1:4" x14ac:dyDescent="0.2">
      <c r="A129" s="23"/>
      <c r="D129" s="2"/>
    </row>
    <row r="130" spans="1:4" x14ac:dyDescent="0.2">
      <c r="A130" s="23"/>
      <c r="D130" s="2"/>
    </row>
    <row r="131" spans="1:4" x14ac:dyDescent="0.2">
      <c r="A131" s="23"/>
      <c r="D131" s="2"/>
    </row>
    <row r="132" spans="1:4" x14ac:dyDescent="0.2">
      <c r="A132" s="23"/>
      <c r="D132" s="2"/>
    </row>
    <row r="133" spans="1:4" x14ac:dyDescent="0.2">
      <c r="A133" s="23"/>
      <c r="D133" s="2"/>
    </row>
    <row r="134" spans="1:4" x14ac:dyDescent="0.2">
      <c r="A134" s="23"/>
      <c r="D134" s="2"/>
    </row>
    <row r="135" spans="1:4" x14ac:dyDescent="0.2">
      <c r="A135" s="23"/>
      <c r="D135" s="2"/>
    </row>
    <row r="136" spans="1:4" x14ac:dyDescent="0.2">
      <c r="A136" s="23"/>
      <c r="D136" s="2"/>
    </row>
    <row r="137" spans="1:4" x14ac:dyDescent="0.2">
      <c r="A137" s="23"/>
      <c r="D137" s="2"/>
    </row>
    <row r="138" spans="1:4" x14ac:dyDescent="0.2">
      <c r="A138" s="23"/>
      <c r="D138" s="2"/>
    </row>
    <row r="139" spans="1:4" x14ac:dyDescent="0.2">
      <c r="A139" s="23"/>
      <c r="D139" s="2"/>
    </row>
    <row r="140" spans="1:4" x14ac:dyDescent="0.2">
      <c r="A140" s="23"/>
      <c r="D140" s="2"/>
    </row>
    <row r="141" spans="1:4" x14ac:dyDescent="0.2">
      <c r="A141" s="23"/>
      <c r="D141" s="2"/>
    </row>
    <row r="142" spans="1:4" x14ac:dyDescent="0.2">
      <c r="A142" s="23"/>
      <c r="D142" s="2"/>
    </row>
    <row r="143" spans="1:4" x14ac:dyDescent="0.2">
      <c r="A143" s="23"/>
      <c r="D143" s="2"/>
    </row>
    <row r="144" spans="1:4" x14ac:dyDescent="0.2">
      <c r="A144" s="23"/>
      <c r="D144" s="2"/>
    </row>
    <row r="145" spans="1:4" x14ac:dyDescent="0.2">
      <c r="A145" s="23"/>
      <c r="D145" s="2"/>
    </row>
    <row r="146" spans="1:4" x14ac:dyDescent="0.2">
      <c r="A146" s="23"/>
      <c r="D146" s="2"/>
    </row>
    <row r="147" spans="1:4" x14ac:dyDescent="0.2">
      <c r="A147" s="23"/>
      <c r="D147" s="2"/>
    </row>
    <row r="148" spans="1:4" x14ac:dyDescent="0.2">
      <c r="A148" s="23"/>
      <c r="D148" s="2"/>
    </row>
    <row r="149" spans="1:4" x14ac:dyDescent="0.2">
      <c r="A149" s="23"/>
      <c r="D149" s="2"/>
    </row>
    <row r="150" spans="1:4" x14ac:dyDescent="0.2">
      <c r="A150" s="23"/>
      <c r="D150" s="2"/>
    </row>
    <row r="151" spans="1:4" x14ac:dyDescent="0.2">
      <c r="A151" s="23"/>
      <c r="D151" s="2"/>
    </row>
    <row r="152" spans="1:4" x14ac:dyDescent="0.2">
      <c r="A152" s="23"/>
      <c r="D152" s="2"/>
    </row>
    <row r="153" spans="1:4" x14ac:dyDescent="0.2">
      <c r="A153" s="23"/>
      <c r="D153" s="2"/>
    </row>
    <row r="154" spans="1:4" x14ac:dyDescent="0.2">
      <c r="A154" s="23"/>
      <c r="D154" s="2"/>
    </row>
    <row r="155" spans="1:4" x14ac:dyDescent="0.2">
      <c r="A155" s="23"/>
      <c r="D155" s="2"/>
    </row>
    <row r="156" spans="1:4" x14ac:dyDescent="0.2">
      <c r="A156" s="23"/>
      <c r="D156" s="2"/>
    </row>
    <row r="157" spans="1:4" x14ac:dyDescent="0.2">
      <c r="A157" s="23"/>
      <c r="D157" s="2"/>
    </row>
    <row r="158" spans="1:4" x14ac:dyDescent="0.2">
      <c r="A158" s="23"/>
      <c r="D158" s="2"/>
    </row>
    <row r="159" spans="1:4" x14ac:dyDescent="0.2">
      <c r="A159" s="23"/>
      <c r="D159" s="2"/>
    </row>
    <row r="160" spans="1:4" x14ac:dyDescent="0.2">
      <c r="A160" s="23"/>
      <c r="D160" s="2"/>
    </row>
    <row r="161" spans="1:4" x14ac:dyDescent="0.2">
      <c r="A161" s="23"/>
      <c r="D161" s="2"/>
    </row>
    <row r="162" spans="1:4" x14ac:dyDescent="0.2">
      <c r="A162" s="23"/>
      <c r="D162" s="2"/>
    </row>
    <row r="163" spans="1:4" x14ac:dyDescent="0.2">
      <c r="A163" s="23"/>
      <c r="D163" s="2"/>
    </row>
    <row r="164" spans="1:4" x14ac:dyDescent="0.2">
      <c r="A164" s="23"/>
      <c r="D164" s="2"/>
    </row>
    <row r="165" spans="1:4" x14ac:dyDescent="0.2">
      <c r="A165" s="23"/>
      <c r="D165" s="2"/>
    </row>
    <row r="166" spans="1:4" x14ac:dyDescent="0.2">
      <c r="A166" s="23"/>
      <c r="D166" s="2"/>
    </row>
    <row r="167" spans="1:4" x14ac:dyDescent="0.2">
      <c r="A167" s="23"/>
      <c r="D167" s="2"/>
    </row>
    <row r="168" spans="1:4" x14ac:dyDescent="0.2">
      <c r="A168" s="23"/>
      <c r="D168" s="2"/>
    </row>
    <row r="169" spans="1:4" x14ac:dyDescent="0.2">
      <c r="A169" s="23"/>
      <c r="D169" s="2"/>
    </row>
    <row r="170" spans="1:4" x14ac:dyDescent="0.2">
      <c r="A170" s="23"/>
      <c r="D170" s="2"/>
    </row>
    <row r="171" spans="1:4" x14ac:dyDescent="0.2">
      <c r="A171" s="23"/>
      <c r="D171" s="2"/>
    </row>
    <row r="172" spans="1:4" x14ac:dyDescent="0.2">
      <c r="A172" s="23"/>
      <c r="D172" s="2"/>
    </row>
    <row r="173" spans="1:4" x14ac:dyDescent="0.2">
      <c r="A173" s="23"/>
      <c r="D173" s="2"/>
    </row>
    <row r="174" spans="1:4" x14ac:dyDescent="0.2">
      <c r="A174" s="23"/>
      <c r="D174" s="2"/>
    </row>
    <row r="175" spans="1:4" x14ac:dyDescent="0.2">
      <c r="A175" s="23"/>
      <c r="D175" s="2"/>
    </row>
    <row r="176" spans="1:4" x14ac:dyDescent="0.2">
      <c r="A176" s="23"/>
      <c r="D176" s="2"/>
    </row>
    <row r="177" spans="1:4" x14ac:dyDescent="0.2">
      <c r="A177" s="23"/>
      <c r="D177" s="2"/>
    </row>
    <row r="178" spans="1:4" x14ac:dyDescent="0.2">
      <c r="A178" s="23"/>
      <c r="D178" s="2"/>
    </row>
    <row r="179" spans="1:4" x14ac:dyDescent="0.2">
      <c r="A179" s="23"/>
      <c r="D179" s="2"/>
    </row>
    <row r="180" spans="1:4" x14ac:dyDescent="0.2">
      <c r="A180" s="23"/>
      <c r="D180" s="2"/>
    </row>
    <row r="181" spans="1:4" x14ac:dyDescent="0.2">
      <c r="A181" s="23"/>
      <c r="D181" s="2"/>
    </row>
    <row r="182" spans="1:4" x14ac:dyDescent="0.2">
      <c r="A182" s="23"/>
      <c r="D182" s="2"/>
    </row>
    <row r="183" spans="1:4" x14ac:dyDescent="0.2">
      <c r="A183" s="23"/>
      <c r="D183" s="2"/>
    </row>
    <row r="184" spans="1:4" x14ac:dyDescent="0.2">
      <c r="A184" s="23"/>
      <c r="D184" s="2"/>
    </row>
    <row r="185" spans="1:4" x14ac:dyDescent="0.2">
      <c r="A185" s="23"/>
      <c r="D185" s="2"/>
    </row>
    <row r="186" spans="1:4" x14ac:dyDescent="0.2">
      <c r="A186" s="23"/>
      <c r="D186" s="2"/>
    </row>
    <row r="187" spans="1:4" x14ac:dyDescent="0.2">
      <c r="A187" s="23"/>
      <c r="D187" s="2"/>
    </row>
    <row r="188" spans="1:4" x14ac:dyDescent="0.2">
      <c r="A188" s="23"/>
      <c r="D188" s="2"/>
    </row>
    <row r="189" spans="1:4" x14ac:dyDescent="0.2">
      <c r="A189" s="23"/>
      <c r="D189" s="2"/>
    </row>
    <row r="190" spans="1:4" x14ac:dyDescent="0.2">
      <c r="A190" s="23"/>
      <c r="D190" s="2"/>
    </row>
    <row r="191" spans="1:4" x14ac:dyDescent="0.2">
      <c r="A191" s="23"/>
      <c r="D191" s="2"/>
    </row>
    <row r="192" spans="1:4" x14ac:dyDescent="0.2">
      <c r="A192" s="23"/>
      <c r="D192" s="2"/>
    </row>
    <row r="193" spans="1:4" x14ac:dyDescent="0.2">
      <c r="A193" s="23"/>
      <c r="D193" s="2"/>
    </row>
    <row r="194" spans="1:4" x14ac:dyDescent="0.2">
      <c r="A194" s="23"/>
      <c r="D194" s="2"/>
    </row>
    <row r="195" spans="1:4" x14ac:dyDescent="0.2">
      <c r="A195" s="23"/>
      <c r="D195" s="2"/>
    </row>
    <row r="196" spans="1:4" x14ac:dyDescent="0.2">
      <c r="A196" s="23"/>
      <c r="D196" s="2"/>
    </row>
    <row r="197" spans="1:4" x14ac:dyDescent="0.2">
      <c r="A197" s="23"/>
      <c r="D197" s="2"/>
    </row>
    <row r="198" spans="1:4" x14ac:dyDescent="0.2">
      <c r="A198" s="23"/>
      <c r="D198" s="2"/>
    </row>
    <row r="199" spans="1:4" x14ac:dyDescent="0.2">
      <c r="A199" s="23"/>
      <c r="D199" s="2"/>
    </row>
    <row r="200" spans="1:4" x14ac:dyDescent="0.2">
      <c r="A200" s="23"/>
      <c r="D200" s="2"/>
    </row>
    <row r="201" spans="1:4" x14ac:dyDescent="0.2">
      <c r="A201" s="23"/>
      <c r="D201" s="2"/>
    </row>
    <row r="202" spans="1:4" x14ac:dyDescent="0.2">
      <c r="A202" s="23"/>
      <c r="D202" s="2"/>
    </row>
    <row r="203" spans="1:4" x14ac:dyDescent="0.2">
      <c r="A203" s="23"/>
      <c r="D203" s="2"/>
    </row>
    <row r="204" spans="1:4" x14ac:dyDescent="0.2">
      <c r="A204" s="23"/>
      <c r="D204" s="2"/>
    </row>
    <row r="205" spans="1:4" x14ac:dyDescent="0.2">
      <c r="A205" s="23"/>
      <c r="D205" s="2"/>
    </row>
    <row r="206" spans="1:4" x14ac:dyDescent="0.2">
      <c r="A206" s="23"/>
      <c r="D206" s="2"/>
    </row>
    <row r="207" spans="1:4" x14ac:dyDescent="0.2">
      <c r="A207" s="23"/>
      <c r="D207" s="2"/>
    </row>
    <row r="208" spans="1:4" x14ac:dyDescent="0.2">
      <c r="A208" s="23"/>
      <c r="D208" s="2"/>
    </row>
    <row r="209" spans="1:4" x14ac:dyDescent="0.2">
      <c r="A209" s="23"/>
      <c r="D209" s="2"/>
    </row>
    <row r="210" spans="1:4" x14ac:dyDescent="0.2">
      <c r="A210" s="23"/>
      <c r="D210" s="2"/>
    </row>
    <row r="211" spans="1:4" x14ac:dyDescent="0.2">
      <c r="A211" s="23"/>
      <c r="D211" s="2"/>
    </row>
    <row r="212" spans="1:4" x14ac:dyDescent="0.2">
      <c r="A212" s="23"/>
      <c r="D212" s="2"/>
    </row>
    <row r="213" spans="1:4" x14ac:dyDescent="0.2">
      <c r="A213" s="23"/>
      <c r="D213" s="2"/>
    </row>
    <row r="214" spans="1:4" x14ac:dyDescent="0.2">
      <c r="A214" s="23"/>
      <c r="D214" s="2"/>
    </row>
    <row r="215" spans="1:4" x14ac:dyDescent="0.2">
      <c r="A215" s="23"/>
      <c r="D215" s="2"/>
    </row>
    <row r="216" spans="1:4" x14ac:dyDescent="0.2">
      <c r="A216" s="23"/>
      <c r="D216" s="2"/>
    </row>
    <row r="217" spans="1:4" x14ac:dyDescent="0.2">
      <c r="A217" s="23"/>
      <c r="D217" s="2"/>
    </row>
    <row r="218" spans="1:4" x14ac:dyDescent="0.2">
      <c r="A218" s="23"/>
      <c r="D218" s="2"/>
    </row>
    <row r="219" spans="1:4" x14ac:dyDescent="0.2">
      <c r="A219" s="23"/>
      <c r="D219" s="2"/>
    </row>
    <row r="220" spans="1:4" x14ac:dyDescent="0.2">
      <c r="A220" s="23"/>
      <c r="D220" s="2"/>
    </row>
    <row r="221" spans="1:4" x14ac:dyDescent="0.2">
      <c r="A221" s="23"/>
      <c r="D221" s="2"/>
    </row>
    <row r="222" spans="1:4" x14ac:dyDescent="0.2">
      <c r="A222" s="23"/>
      <c r="D222" s="2"/>
    </row>
    <row r="223" spans="1:4" x14ac:dyDescent="0.2">
      <c r="A223" s="23"/>
      <c r="D223" s="2"/>
    </row>
    <row r="224" spans="1:4" x14ac:dyDescent="0.2">
      <c r="A224" s="23"/>
      <c r="D224" s="2"/>
    </row>
    <row r="225" spans="1:4" x14ac:dyDescent="0.2">
      <c r="A225" s="23"/>
      <c r="D225" s="2"/>
    </row>
    <row r="226" spans="1:4" x14ac:dyDescent="0.2">
      <c r="A226" s="23"/>
      <c r="D226" s="2"/>
    </row>
    <row r="227" spans="1:4" x14ac:dyDescent="0.2">
      <c r="A227" s="23"/>
      <c r="D227" s="2"/>
    </row>
    <row r="228" spans="1:4" x14ac:dyDescent="0.2">
      <c r="A228" s="23"/>
      <c r="D228" s="2"/>
    </row>
    <row r="229" spans="1:4" x14ac:dyDescent="0.2">
      <c r="A229" s="23"/>
      <c r="D229" s="2"/>
    </row>
    <row r="230" spans="1:4" x14ac:dyDescent="0.2">
      <c r="A230" s="23"/>
      <c r="D230" s="2"/>
    </row>
    <row r="231" spans="1:4" x14ac:dyDescent="0.2">
      <c r="A231" s="23"/>
      <c r="D231" s="2"/>
    </row>
    <row r="232" spans="1:4" x14ac:dyDescent="0.2">
      <c r="A232" s="23"/>
      <c r="D232" s="2"/>
    </row>
    <row r="233" spans="1:4" x14ac:dyDescent="0.2">
      <c r="A233" s="23"/>
      <c r="D233" s="2"/>
    </row>
    <row r="234" spans="1:4" x14ac:dyDescent="0.2">
      <c r="A234" s="23"/>
      <c r="D234" s="2"/>
    </row>
    <row r="235" spans="1:4" x14ac:dyDescent="0.2">
      <c r="A235" s="23"/>
      <c r="D235" s="2"/>
    </row>
    <row r="236" spans="1:4" x14ac:dyDescent="0.2">
      <c r="A236" s="23"/>
      <c r="D236" s="2"/>
    </row>
    <row r="237" spans="1:4" x14ac:dyDescent="0.2">
      <c r="A237" s="30"/>
      <c r="D237" s="2"/>
    </row>
    <row r="238" spans="1:4" x14ac:dyDescent="0.2">
      <c r="A238" s="29"/>
      <c r="D238" s="2"/>
    </row>
    <row r="239" spans="1:4" x14ac:dyDescent="0.2">
      <c r="A239" s="29"/>
      <c r="D239" s="2"/>
    </row>
    <row r="240" spans="1:4" x14ac:dyDescent="0.2">
      <c r="A240" s="29"/>
      <c r="D240" s="2"/>
    </row>
    <row r="241" spans="1:4" x14ac:dyDescent="0.2">
      <c r="A241" s="29"/>
      <c r="D241" s="2"/>
    </row>
    <row r="242" spans="1:4" x14ac:dyDescent="0.2">
      <c r="A242" s="29"/>
      <c r="D242" s="2"/>
    </row>
    <row r="243" spans="1:4" x14ac:dyDescent="0.2">
      <c r="A243" s="29"/>
      <c r="D243" s="2"/>
    </row>
    <row r="244" spans="1:4" x14ac:dyDescent="0.2">
      <c r="A244" s="29"/>
      <c r="D244" s="2"/>
    </row>
    <row r="245" spans="1:4" x14ac:dyDescent="0.2">
      <c r="A245" s="29"/>
      <c r="D245" s="2"/>
    </row>
    <row r="246" spans="1:4" x14ac:dyDescent="0.2">
      <c r="A246" s="23"/>
      <c r="D246" s="2"/>
    </row>
    <row r="247" spans="1:4" x14ac:dyDescent="0.2">
      <c r="A247" s="23"/>
      <c r="D247" s="2"/>
    </row>
    <row r="248" spans="1:4" x14ac:dyDescent="0.2">
      <c r="A248" s="23"/>
      <c r="D248" s="2"/>
    </row>
    <row r="249" spans="1:4" x14ac:dyDescent="0.2">
      <c r="A249" s="29"/>
      <c r="D249" s="2"/>
    </row>
    <row r="250" spans="1:4" x14ac:dyDescent="0.2">
      <c r="A250" s="29"/>
      <c r="D250" s="2"/>
    </row>
    <row r="251" spans="1:4" x14ac:dyDescent="0.2">
      <c r="A251" s="29"/>
      <c r="D251" s="2"/>
    </row>
    <row r="252" spans="1:4" x14ac:dyDescent="0.2">
      <c r="A252" s="29"/>
      <c r="D252" s="2"/>
    </row>
    <row r="253" spans="1:4" x14ac:dyDescent="0.2">
      <c r="A253" s="29"/>
      <c r="D253" s="2"/>
    </row>
    <row r="254" spans="1:4" x14ac:dyDescent="0.2">
      <c r="A254" s="29"/>
      <c r="D254" s="2"/>
    </row>
    <row r="255" spans="1:4" x14ac:dyDescent="0.2">
      <c r="A255" s="29"/>
      <c r="D255" s="2"/>
    </row>
    <row r="256" spans="1:4" x14ac:dyDescent="0.2">
      <c r="A256" s="23"/>
      <c r="D256" s="2"/>
    </row>
    <row r="257" spans="1:4" x14ac:dyDescent="0.2">
      <c r="A257" s="23"/>
      <c r="D257" s="2"/>
    </row>
    <row r="258" spans="1:4" x14ac:dyDescent="0.2">
      <c r="A258" s="23"/>
      <c r="D258" s="2"/>
    </row>
    <row r="259" spans="1:4" x14ac:dyDescent="0.2">
      <c r="A259" s="23"/>
      <c r="D259" s="2"/>
    </row>
    <row r="260" spans="1:4" x14ac:dyDescent="0.2">
      <c r="A260" s="23"/>
      <c r="D260" s="2"/>
    </row>
    <row r="261" spans="1:4" x14ac:dyDescent="0.2">
      <c r="A261" s="23"/>
      <c r="D261" s="2"/>
    </row>
    <row r="262" spans="1:4" x14ac:dyDescent="0.2">
      <c r="A262" s="23"/>
      <c r="D262" s="2"/>
    </row>
    <row r="263" spans="1:4" x14ac:dyDescent="0.2">
      <c r="A263" s="23"/>
      <c r="D263" s="2"/>
    </row>
    <row r="264" spans="1:4" x14ac:dyDescent="0.2">
      <c r="A264" s="23"/>
      <c r="D264" s="2"/>
    </row>
    <row r="265" spans="1:4" x14ac:dyDescent="0.2">
      <c r="A265" s="23"/>
      <c r="D265" s="2"/>
    </row>
    <row r="266" spans="1:4" x14ac:dyDescent="0.2">
      <c r="A266" s="23"/>
      <c r="D266" s="2"/>
    </row>
    <row r="267" spans="1:4" x14ac:dyDescent="0.2">
      <c r="A267" s="23"/>
      <c r="D267" s="2"/>
    </row>
    <row r="268" spans="1:4" x14ac:dyDescent="0.2">
      <c r="A268" s="23"/>
      <c r="D268" s="2"/>
    </row>
    <row r="269" spans="1:4" x14ac:dyDescent="0.2">
      <c r="A269" s="23"/>
      <c r="D269" s="2"/>
    </row>
    <row r="270" spans="1:4" x14ac:dyDescent="0.2">
      <c r="A270" s="23"/>
      <c r="D270" s="2"/>
    </row>
    <row r="271" spans="1:4" x14ac:dyDescent="0.2">
      <c r="A271" s="23"/>
      <c r="D271" s="2"/>
    </row>
    <row r="272" spans="1:4" x14ac:dyDescent="0.2">
      <c r="A272" s="23"/>
      <c r="D272" s="2"/>
    </row>
    <row r="273" spans="1:4" x14ac:dyDescent="0.2">
      <c r="A273" s="23"/>
      <c r="D273" s="2"/>
    </row>
    <row r="274" spans="1:4" x14ac:dyDescent="0.2">
      <c r="A274" s="23"/>
      <c r="D274" s="2"/>
    </row>
    <row r="275" spans="1:4" x14ac:dyDescent="0.2">
      <c r="A275" s="23"/>
      <c r="D275" s="2"/>
    </row>
    <row r="276" spans="1:4" x14ac:dyDescent="0.2">
      <c r="A276" s="23"/>
      <c r="D276" s="2"/>
    </row>
    <row r="277" spans="1:4" x14ac:dyDescent="0.2">
      <c r="A277" s="23"/>
      <c r="D277" s="2"/>
    </row>
    <row r="278" spans="1:4" x14ac:dyDescent="0.2">
      <c r="A278" s="23"/>
      <c r="D278" s="2"/>
    </row>
    <row r="279" spans="1:4" x14ac:dyDescent="0.2">
      <c r="A279" s="23"/>
      <c r="D279" s="2"/>
    </row>
    <row r="280" spans="1:4" x14ac:dyDescent="0.2">
      <c r="A280" s="23"/>
      <c r="D280" s="2"/>
    </row>
    <row r="281" spans="1:4" x14ac:dyDescent="0.2">
      <c r="A281" s="23"/>
      <c r="D281" s="2"/>
    </row>
    <row r="282" spans="1:4" x14ac:dyDescent="0.2">
      <c r="A282" s="23"/>
      <c r="D282" s="2"/>
    </row>
    <row r="283" spans="1:4" x14ac:dyDescent="0.2">
      <c r="A283" s="23"/>
      <c r="D283" s="2"/>
    </row>
    <row r="284" spans="1:4" x14ac:dyDescent="0.2">
      <c r="A284" s="23"/>
      <c r="D284" s="2"/>
    </row>
    <row r="285" spans="1:4" x14ac:dyDescent="0.2">
      <c r="A285" s="23"/>
      <c r="D285" s="2"/>
    </row>
    <row r="286" spans="1:4" x14ac:dyDescent="0.2">
      <c r="A286" s="23"/>
      <c r="D286" s="2"/>
    </row>
    <row r="287" spans="1:4" x14ac:dyDescent="0.2">
      <c r="A287" s="23"/>
      <c r="D287" s="2"/>
    </row>
    <row r="288" spans="1:4" x14ac:dyDescent="0.2">
      <c r="A288" s="23"/>
      <c r="D288" s="2"/>
    </row>
    <row r="289" spans="1:4" x14ac:dyDescent="0.2">
      <c r="A289" s="23"/>
      <c r="D289" s="2"/>
    </row>
    <row r="290" spans="1:4" x14ac:dyDescent="0.2">
      <c r="A290" s="23"/>
      <c r="D290" s="2"/>
    </row>
    <row r="291" spans="1:4" x14ac:dyDescent="0.2">
      <c r="A291" s="23"/>
      <c r="D291" s="2"/>
    </row>
    <row r="292" spans="1:4" x14ac:dyDescent="0.2">
      <c r="A292" s="23"/>
      <c r="D292" s="2"/>
    </row>
    <row r="293" spans="1:4" x14ac:dyDescent="0.2">
      <c r="A293" s="23"/>
      <c r="D293" s="2"/>
    </row>
    <row r="294" spans="1:4" x14ac:dyDescent="0.2">
      <c r="A294" s="23"/>
      <c r="D294" s="2"/>
    </row>
    <row r="295" spans="1:4" x14ac:dyDescent="0.2">
      <c r="A295" s="23"/>
      <c r="D295" s="2"/>
    </row>
    <row r="296" spans="1:4" x14ac:dyDescent="0.2">
      <c r="A296" s="23"/>
      <c r="D296" s="2"/>
    </row>
    <row r="297" spans="1:4" x14ac:dyDescent="0.2">
      <c r="A297" s="23"/>
      <c r="D297" s="2"/>
    </row>
    <row r="298" spans="1:4" x14ac:dyDescent="0.2">
      <c r="A298" s="23"/>
      <c r="D298" s="2"/>
    </row>
    <row r="299" spans="1:4" x14ac:dyDescent="0.2">
      <c r="A299" s="23"/>
      <c r="D299" s="2"/>
    </row>
    <row r="300" spans="1:4" x14ac:dyDescent="0.2">
      <c r="A300" s="23"/>
      <c r="D300" s="2"/>
    </row>
    <row r="301" spans="1:4" x14ac:dyDescent="0.2">
      <c r="A301" s="23"/>
      <c r="D301" s="2"/>
    </row>
    <row r="302" spans="1:4" x14ac:dyDescent="0.2">
      <c r="A302" s="23"/>
      <c r="D302" s="2"/>
    </row>
    <row r="303" spans="1:4" x14ac:dyDescent="0.2">
      <c r="A303" s="23"/>
      <c r="D303" s="2"/>
    </row>
    <row r="304" spans="1:4" x14ac:dyDescent="0.2">
      <c r="A304" s="23"/>
      <c r="D304" s="2"/>
    </row>
    <row r="305" spans="1:4" x14ac:dyDescent="0.2">
      <c r="A305" s="23"/>
      <c r="D305" s="2"/>
    </row>
    <row r="306" spans="1:4" x14ac:dyDescent="0.2">
      <c r="A306" s="23"/>
      <c r="D306" s="2"/>
    </row>
    <row r="307" spans="1:4" x14ac:dyDescent="0.2">
      <c r="A307" s="23"/>
      <c r="D307" s="2"/>
    </row>
    <row r="308" spans="1:4" x14ac:dyDescent="0.2">
      <c r="A308" s="23"/>
      <c r="D308" s="2"/>
    </row>
    <row r="309" spans="1:4" x14ac:dyDescent="0.2">
      <c r="A309" s="23"/>
      <c r="D309" s="2"/>
    </row>
    <row r="310" spans="1:4" x14ac:dyDescent="0.2">
      <c r="A310" s="23"/>
      <c r="D310" s="2"/>
    </row>
    <row r="311" spans="1:4" x14ac:dyDescent="0.2">
      <c r="A311" s="23"/>
      <c r="D311" s="2"/>
    </row>
    <row r="312" spans="1:4" x14ac:dyDescent="0.2">
      <c r="A312" s="23"/>
      <c r="D312" s="2"/>
    </row>
    <row r="313" spans="1:4" x14ac:dyDescent="0.2">
      <c r="A313" s="23"/>
      <c r="D313" s="2"/>
    </row>
    <row r="314" spans="1:4" x14ac:dyDescent="0.2">
      <c r="A314" s="23"/>
      <c r="D314" s="2"/>
    </row>
    <row r="315" spans="1:4" x14ac:dyDescent="0.2">
      <c r="A315" s="23"/>
      <c r="D315" s="2"/>
    </row>
    <row r="316" spans="1:4" x14ac:dyDescent="0.2">
      <c r="A316" s="23"/>
      <c r="D316" s="2"/>
    </row>
    <row r="317" spans="1:4" x14ac:dyDescent="0.2">
      <c r="A317" s="23"/>
      <c r="D317" s="2"/>
    </row>
    <row r="318" spans="1:4" x14ac:dyDescent="0.2">
      <c r="A318" s="23"/>
      <c r="D318" s="2"/>
    </row>
    <row r="319" spans="1:4" x14ac:dyDescent="0.2">
      <c r="A319" s="23"/>
      <c r="D319" s="2"/>
    </row>
    <row r="320" spans="1:4" x14ac:dyDescent="0.2">
      <c r="A320" s="23"/>
      <c r="D320" s="2"/>
    </row>
    <row r="321" spans="1:4" x14ac:dyDescent="0.2">
      <c r="A321" s="23"/>
      <c r="D321" s="2"/>
    </row>
    <row r="322" spans="1:4" x14ac:dyDescent="0.2">
      <c r="A322" s="23"/>
      <c r="D322" s="2"/>
    </row>
    <row r="323" spans="1:4" x14ac:dyDescent="0.2">
      <c r="A323" s="23"/>
      <c r="D323" s="2"/>
    </row>
    <row r="324" spans="1:4" x14ac:dyDescent="0.2">
      <c r="A324" s="23"/>
      <c r="D324" s="2"/>
    </row>
    <row r="325" spans="1:4" x14ac:dyDescent="0.2">
      <c r="A325" s="23"/>
      <c r="D325" s="2"/>
    </row>
    <row r="326" spans="1:4" x14ac:dyDescent="0.2">
      <c r="A326" s="23"/>
      <c r="D326" s="2"/>
    </row>
    <row r="327" spans="1:4" x14ac:dyDescent="0.2">
      <c r="A327" s="23"/>
      <c r="D327" s="2"/>
    </row>
    <row r="328" spans="1:4" x14ac:dyDescent="0.2">
      <c r="A328" s="23"/>
      <c r="D328" s="2"/>
    </row>
    <row r="329" spans="1:4" x14ac:dyDescent="0.2">
      <c r="A329" s="23"/>
      <c r="D329" s="2"/>
    </row>
    <row r="330" spans="1:4" x14ac:dyDescent="0.2">
      <c r="A330" s="23"/>
      <c r="D330" s="2"/>
    </row>
    <row r="331" spans="1:4" x14ac:dyDescent="0.2">
      <c r="A331" s="23"/>
      <c r="D331" s="2"/>
    </row>
    <row r="332" spans="1:4" x14ac:dyDescent="0.2">
      <c r="A332" s="23"/>
      <c r="D332" s="2"/>
    </row>
    <row r="333" spans="1:4" x14ac:dyDescent="0.2">
      <c r="A333" s="23"/>
      <c r="D333" s="2"/>
    </row>
    <row r="334" spans="1:4" x14ac:dyDescent="0.2">
      <c r="A334" s="23"/>
      <c r="D334" s="2"/>
    </row>
    <row r="335" spans="1:4" x14ac:dyDescent="0.2">
      <c r="A335" s="23"/>
      <c r="D335" s="2"/>
    </row>
    <row r="336" spans="1:4" x14ac:dyDescent="0.2">
      <c r="A336" s="23"/>
      <c r="D336" s="2"/>
    </row>
    <row r="337" spans="1:4" x14ac:dyDescent="0.2">
      <c r="A337" s="23"/>
      <c r="D337" s="2"/>
    </row>
    <row r="338" spans="1:4" x14ac:dyDescent="0.2">
      <c r="A338" s="23"/>
      <c r="D338" s="2"/>
    </row>
    <row r="339" spans="1:4" x14ac:dyDescent="0.2">
      <c r="A339" s="23"/>
      <c r="D339" s="2"/>
    </row>
    <row r="340" spans="1:4" x14ac:dyDescent="0.2">
      <c r="A340" s="23"/>
      <c r="D340" s="2"/>
    </row>
    <row r="341" spans="1:4" x14ac:dyDescent="0.2">
      <c r="A341" s="23"/>
      <c r="D341" s="2"/>
    </row>
    <row r="342" spans="1:4" x14ac:dyDescent="0.2">
      <c r="A342" s="23"/>
      <c r="D342" s="2"/>
    </row>
    <row r="343" spans="1:4" x14ac:dyDescent="0.2">
      <c r="A343" s="23"/>
      <c r="D343" s="2"/>
    </row>
    <row r="344" spans="1:4" x14ac:dyDescent="0.2">
      <c r="A344" s="23"/>
      <c r="D344" s="2"/>
    </row>
    <row r="345" spans="1:4" x14ac:dyDescent="0.2">
      <c r="A345" s="23"/>
      <c r="D345" s="2"/>
    </row>
    <row r="346" spans="1:4" x14ac:dyDescent="0.2">
      <c r="A346" s="23"/>
      <c r="D346" s="2"/>
    </row>
    <row r="347" spans="1:4" x14ac:dyDescent="0.2">
      <c r="A347" s="23"/>
      <c r="D347" s="2"/>
    </row>
    <row r="348" spans="1:4" x14ac:dyDescent="0.2">
      <c r="A348" s="23"/>
      <c r="D348" s="2"/>
    </row>
    <row r="349" spans="1:4" x14ac:dyDescent="0.2">
      <c r="A349" s="23"/>
      <c r="D349" s="2"/>
    </row>
    <row r="350" spans="1:4" x14ac:dyDescent="0.2">
      <c r="A350" s="23"/>
      <c r="D350" s="2"/>
    </row>
    <row r="351" spans="1:4" x14ac:dyDescent="0.2">
      <c r="A351" s="23"/>
      <c r="D351" s="2"/>
    </row>
    <row r="352" spans="1:4" x14ac:dyDescent="0.2">
      <c r="A352" s="23"/>
      <c r="D352" s="2"/>
    </row>
    <row r="353" spans="1:4" x14ac:dyDescent="0.2">
      <c r="A353" s="23"/>
      <c r="D353" s="2"/>
    </row>
    <row r="354" spans="1:4" x14ac:dyDescent="0.2">
      <c r="A354" s="23"/>
      <c r="D354" s="2"/>
    </row>
    <row r="355" spans="1:4" x14ac:dyDescent="0.2">
      <c r="A355" s="23"/>
      <c r="D355" s="2"/>
    </row>
    <row r="356" spans="1:4" x14ac:dyDescent="0.2">
      <c r="A356" s="23"/>
      <c r="D356" s="2"/>
    </row>
    <row r="357" spans="1:4" x14ac:dyDescent="0.2">
      <c r="A357" s="23"/>
      <c r="D357" s="2"/>
    </row>
    <row r="358" spans="1:4" x14ac:dyDescent="0.2">
      <c r="A358" s="23"/>
      <c r="D358" s="2"/>
    </row>
    <row r="359" spans="1:4" x14ac:dyDescent="0.2">
      <c r="A359" s="23"/>
      <c r="D359" s="2"/>
    </row>
    <row r="360" spans="1:4" x14ac:dyDescent="0.2">
      <c r="A360" s="23"/>
      <c r="D360" s="2"/>
    </row>
    <row r="361" spans="1:4" x14ac:dyDescent="0.2">
      <c r="A361" s="23"/>
      <c r="D361" s="2"/>
    </row>
    <row r="362" spans="1:4" x14ac:dyDescent="0.2">
      <c r="A362" s="23"/>
      <c r="D362" s="2"/>
    </row>
    <row r="363" spans="1:4" x14ac:dyDescent="0.2">
      <c r="A363" s="23"/>
      <c r="D363" s="2"/>
    </row>
    <row r="364" spans="1:4" x14ac:dyDescent="0.2">
      <c r="A364" s="23"/>
      <c r="D364" s="2"/>
    </row>
    <row r="365" spans="1:4" x14ac:dyDescent="0.2">
      <c r="A365" s="23"/>
      <c r="D365" s="2"/>
    </row>
    <row r="366" spans="1:4" x14ac:dyDescent="0.2">
      <c r="A366" s="23"/>
      <c r="D366" s="2"/>
    </row>
    <row r="367" spans="1:4" x14ac:dyDescent="0.2">
      <c r="A367" s="23"/>
      <c r="D367" s="2"/>
    </row>
    <row r="368" spans="1:4" x14ac:dyDescent="0.2">
      <c r="A368" s="23"/>
      <c r="D368" s="2"/>
    </row>
    <row r="369" spans="1:4" x14ac:dyDescent="0.2">
      <c r="A369" s="23"/>
      <c r="D369" s="2"/>
    </row>
    <row r="370" spans="1:4" x14ac:dyDescent="0.2">
      <c r="A370" s="23"/>
      <c r="D370" s="2"/>
    </row>
    <row r="371" spans="1:4" x14ac:dyDescent="0.2">
      <c r="A371" s="23"/>
      <c r="D371" s="2"/>
    </row>
    <row r="372" spans="1:4" x14ac:dyDescent="0.2">
      <c r="A372" s="23"/>
      <c r="D372" s="2"/>
    </row>
    <row r="373" spans="1:4" x14ac:dyDescent="0.2">
      <c r="A373" s="23"/>
      <c r="D373" s="2"/>
    </row>
    <row r="374" spans="1:4" x14ac:dyDescent="0.2">
      <c r="A374" s="23"/>
      <c r="D374" s="2"/>
    </row>
    <row r="375" spans="1:4" x14ac:dyDescent="0.2">
      <c r="A375" s="23"/>
      <c r="D375" s="2"/>
    </row>
    <row r="376" spans="1:4" x14ac:dyDescent="0.2">
      <c r="A376" s="23"/>
      <c r="D376" s="2"/>
    </row>
    <row r="377" spans="1:4" x14ac:dyDescent="0.2">
      <c r="A377" s="23"/>
      <c r="D377" s="2"/>
    </row>
    <row r="378" spans="1:4" x14ac:dyDescent="0.2">
      <c r="A378" s="23"/>
      <c r="D378" s="2"/>
    </row>
    <row r="379" spans="1:4" x14ac:dyDescent="0.2">
      <c r="A379" s="23"/>
      <c r="D379" s="2"/>
    </row>
    <row r="380" spans="1:4" x14ac:dyDescent="0.2">
      <c r="A380" s="23"/>
      <c r="D380" s="2"/>
    </row>
    <row r="381" spans="1:4" x14ac:dyDescent="0.2">
      <c r="A381" s="23"/>
      <c r="D381" s="2"/>
    </row>
    <row r="382" spans="1:4" x14ac:dyDescent="0.2">
      <c r="A382" s="23"/>
      <c r="D382" s="2"/>
    </row>
    <row r="383" spans="1:4" x14ac:dyDescent="0.2">
      <c r="A383" s="23"/>
      <c r="D383" s="2"/>
    </row>
    <row r="384" spans="1:4" x14ac:dyDescent="0.2">
      <c r="A384" s="23"/>
      <c r="D384" s="2"/>
    </row>
    <row r="385" spans="1:4" x14ac:dyDescent="0.2">
      <c r="A385" s="23"/>
      <c r="D385" s="2"/>
    </row>
    <row r="386" spans="1:4" x14ac:dyDescent="0.2">
      <c r="A386" s="23"/>
      <c r="D386" s="2"/>
    </row>
    <row r="387" spans="1:4" x14ac:dyDescent="0.2">
      <c r="A387" s="23"/>
      <c r="D387" s="2"/>
    </row>
    <row r="388" spans="1:4" x14ac:dyDescent="0.2">
      <c r="A388" s="23"/>
      <c r="D388" s="2"/>
    </row>
    <row r="389" spans="1:4" x14ac:dyDescent="0.2">
      <c r="A389" s="23"/>
      <c r="D389" s="2"/>
    </row>
    <row r="390" spans="1:4" x14ac:dyDescent="0.2">
      <c r="A390" s="23"/>
      <c r="D390" s="2"/>
    </row>
    <row r="391" spans="1:4" x14ac:dyDescent="0.2">
      <c r="A391" s="23"/>
      <c r="D391" s="2"/>
    </row>
    <row r="392" spans="1:4" x14ac:dyDescent="0.2">
      <c r="A392" s="23"/>
      <c r="D392" s="2"/>
    </row>
    <row r="393" spans="1:4" x14ac:dyDescent="0.2">
      <c r="A393" s="23"/>
      <c r="D393" s="2"/>
    </row>
    <row r="394" spans="1:4" x14ac:dyDescent="0.2">
      <c r="A394" s="23"/>
      <c r="D394" s="2"/>
    </row>
    <row r="395" spans="1:4" x14ac:dyDescent="0.2">
      <c r="A395" s="23"/>
      <c r="D395" s="2"/>
    </row>
    <row r="396" spans="1:4" x14ac:dyDescent="0.2">
      <c r="A396" s="23"/>
      <c r="D396" s="2"/>
    </row>
    <row r="397" spans="1:4" x14ac:dyDescent="0.2">
      <c r="A397" s="23"/>
      <c r="D397" s="2"/>
    </row>
    <row r="398" spans="1:4" x14ac:dyDescent="0.2">
      <c r="A398" s="23"/>
      <c r="D398" s="2"/>
    </row>
    <row r="399" spans="1:4" x14ac:dyDescent="0.2">
      <c r="A399" s="23"/>
      <c r="D399" s="2"/>
    </row>
    <row r="400" spans="1:4" x14ac:dyDescent="0.2">
      <c r="A400" s="23"/>
      <c r="D400" s="2"/>
    </row>
    <row r="401" spans="1:4" x14ac:dyDescent="0.2">
      <c r="A401" s="23"/>
      <c r="D401" s="2"/>
    </row>
    <row r="402" spans="1:4" x14ac:dyDescent="0.2">
      <c r="A402" s="23"/>
      <c r="D402" s="2"/>
    </row>
    <row r="403" spans="1:4" x14ac:dyDescent="0.2">
      <c r="A403" s="23"/>
      <c r="D403" s="2"/>
    </row>
    <row r="404" spans="1:4" x14ac:dyDescent="0.2">
      <c r="A404" s="23"/>
      <c r="D404" s="2"/>
    </row>
    <row r="405" spans="1:4" x14ac:dyDescent="0.2">
      <c r="A405" s="23"/>
      <c r="D405" s="2"/>
    </row>
    <row r="406" spans="1:4" x14ac:dyDescent="0.2">
      <c r="A406" s="23"/>
      <c r="D406" s="2"/>
    </row>
    <row r="407" spans="1:4" x14ac:dyDescent="0.2">
      <c r="A407" s="23"/>
      <c r="D407" s="2"/>
    </row>
    <row r="408" spans="1:4" x14ac:dyDescent="0.2">
      <c r="A408" s="23"/>
      <c r="D408" s="2"/>
    </row>
    <row r="409" spans="1:4" x14ac:dyDescent="0.2">
      <c r="A409" s="23"/>
      <c r="D409" s="2"/>
    </row>
    <row r="410" spans="1:4" x14ac:dyDescent="0.2">
      <c r="A410" s="23"/>
      <c r="D410" s="2"/>
    </row>
    <row r="411" spans="1:4" x14ac:dyDescent="0.2">
      <c r="A411" s="23"/>
      <c r="D411" s="2"/>
    </row>
    <row r="412" spans="1:4" x14ac:dyDescent="0.2">
      <c r="A412" s="23"/>
      <c r="D412" s="2"/>
    </row>
    <row r="413" spans="1:4" x14ac:dyDescent="0.2">
      <c r="A413" s="23"/>
      <c r="D413" s="2"/>
    </row>
    <row r="414" spans="1:4" x14ac:dyDescent="0.2">
      <c r="A414" s="23"/>
      <c r="D414" s="2"/>
    </row>
    <row r="415" spans="1:4" x14ac:dyDescent="0.2">
      <c r="A415" s="23"/>
      <c r="D415" s="2"/>
    </row>
    <row r="416" spans="1:4" x14ac:dyDescent="0.2">
      <c r="A416" s="23"/>
      <c r="D416" s="2"/>
    </row>
    <row r="417" spans="1:4" x14ac:dyDescent="0.2">
      <c r="A417" s="23"/>
      <c r="D417" s="2"/>
    </row>
    <row r="418" spans="1:4" x14ac:dyDescent="0.2">
      <c r="A418" s="23"/>
      <c r="D418" s="2"/>
    </row>
    <row r="419" spans="1:4" x14ac:dyDescent="0.2">
      <c r="A419" s="23"/>
      <c r="D419" s="2"/>
    </row>
    <row r="420" spans="1:4" x14ac:dyDescent="0.2">
      <c r="A420" s="23"/>
      <c r="D420" s="2"/>
    </row>
    <row r="421" spans="1:4" x14ac:dyDescent="0.2">
      <c r="A421" s="23"/>
      <c r="D421" s="2"/>
    </row>
    <row r="422" spans="1:4" x14ac:dyDescent="0.2">
      <c r="A422" s="23"/>
      <c r="D422" s="2"/>
    </row>
    <row r="423" spans="1:4" x14ac:dyDescent="0.2">
      <c r="A423" s="23"/>
      <c r="D423" s="2"/>
    </row>
    <row r="424" spans="1:4" x14ac:dyDescent="0.2">
      <c r="A424" s="23"/>
      <c r="D424" s="2"/>
    </row>
    <row r="425" spans="1:4" x14ac:dyDescent="0.2">
      <c r="A425" s="23"/>
      <c r="D425" s="2"/>
    </row>
    <row r="426" spans="1:4" x14ac:dyDescent="0.2">
      <c r="A426" s="23"/>
      <c r="D426" s="2"/>
    </row>
    <row r="427" spans="1:4" x14ac:dyDescent="0.2">
      <c r="A427" s="23"/>
      <c r="D427" s="2"/>
    </row>
    <row r="428" spans="1:4" x14ac:dyDescent="0.2">
      <c r="A428" s="23"/>
      <c r="D428" s="2"/>
    </row>
    <row r="429" spans="1:4" x14ac:dyDescent="0.2">
      <c r="A429" s="23"/>
      <c r="D429" s="2"/>
    </row>
    <row r="430" spans="1:4" x14ac:dyDescent="0.2">
      <c r="A430" s="23"/>
      <c r="D430" s="2"/>
    </row>
    <row r="431" spans="1:4" x14ac:dyDescent="0.2">
      <c r="A431" s="23"/>
      <c r="D431" s="2"/>
    </row>
    <row r="432" spans="1:4" x14ac:dyDescent="0.2">
      <c r="A432" s="23"/>
      <c r="D432" s="2"/>
    </row>
    <row r="433" spans="1:4" x14ac:dyDescent="0.2">
      <c r="A433" s="23"/>
      <c r="D433" s="2"/>
    </row>
    <row r="434" spans="1:4" x14ac:dyDescent="0.2">
      <c r="A434" s="23"/>
      <c r="D434" s="2"/>
    </row>
    <row r="435" spans="1:4" x14ac:dyDescent="0.2">
      <c r="A435" s="23"/>
      <c r="D435" s="2"/>
    </row>
    <row r="436" spans="1:4" x14ac:dyDescent="0.2">
      <c r="A436" s="23"/>
      <c r="D436" s="2"/>
    </row>
    <row r="437" spans="1:4" x14ac:dyDescent="0.2">
      <c r="A437" s="23"/>
      <c r="D437" s="2"/>
    </row>
    <row r="438" spans="1:4" x14ac:dyDescent="0.2">
      <c r="A438" s="23"/>
      <c r="D438" s="2"/>
    </row>
    <row r="439" spans="1:4" x14ac:dyDescent="0.2">
      <c r="A439" s="23"/>
      <c r="D439" s="2"/>
    </row>
    <row r="440" spans="1:4" x14ac:dyDescent="0.2">
      <c r="A440" s="23"/>
      <c r="D440" s="2"/>
    </row>
    <row r="441" spans="1:4" x14ac:dyDescent="0.2">
      <c r="A441" s="23"/>
      <c r="D441" s="2"/>
    </row>
    <row r="442" spans="1:4" x14ac:dyDescent="0.2">
      <c r="A442" s="23"/>
      <c r="D442" s="2"/>
    </row>
    <row r="443" spans="1:4" x14ac:dyDescent="0.2">
      <c r="A443" s="23"/>
      <c r="D443" s="2"/>
    </row>
    <row r="444" spans="1:4" x14ac:dyDescent="0.2">
      <c r="A444" s="23"/>
      <c r="D444" s="2"/>
    </row>
    <row r="445" spans="1:4" x14ac:dyDescent="0.2">
      <c r="A445" s="23"/>
      <c r="D445" s="2"/>
    </row>
    <row r="446" spans="1:4" x14ac:dyDescent="0.2">
      <c r="A446" s="23"/>
      <c r="D446" s="2"/>
    </row>
    <row r="447" spans="1:4" x14ac:dyDescent="0.2">
      <c r="A447" s="23"/>
      <c r="D447" s="2"/>
    </row>
    <row r="448" spans="1:4" x14ac:dyDescent="0.2">
      <c r="A448" s="23"/>
      <c r="D448" s="2"/>
    </row>
    <row r="449" spans="1:4" x14ac:dyDescent="0.2">
      <c r="A449" s="23"/>
      <c r="D449" s="2"/>
    </row>
    <row r="450" spans="1:4" x14ac:dyDescent="0.2">
      <c r="A450" s="23"/>
      <c r="D450" s="2"/>
    </row>
    <row r="451" spans="1:4" x14ac:dyDescent="0.2">
      <c r="A451" s="23"/>
      <c r="D451" s="2"/>
    </row>
    <row r="452" spans="1:4" x14ac:dyDescent="0.2">
      <c r="A452" s="23"/>
      <c r="D452" s="2"/>
    </row>
    <row r="453" spans="1:4" x14ac:dyDescent="0.2">
      <c r="A453" s="23"/>
      <c r="D453" s="2"/>
    </row>
    <row r="454" spans="1:4" x14ac:dyDescent="0.2">
      <c r="A454" s="23"/>
      <c r="D454" s="2"/>
    </row>
    <row r="455" spans="1:4" x14ac:dyDescent="0.2">
      <c r="A455" s="23"/>
      <c r="D455" s="2"/>
    </row>
    <row r="456" spans="1:4" x14ac:dyDescent="0.2">
      <c r="A456" s="23"/>
      <c r="D456" s="2"/>
    </row>
    <row r="457" spans="1:4" x14ac:dyDescent="0.2">
      <c r="A457" s="23"/>
      <c r="D457" s="2"/>
    </row>
    <row r="458" spans="1:4" x14ac:dyDescent="0.2">
      <c r="A458" s="23"/>
      <c r="D458" s="2"/>
    </row>
    <row r="459" spans="1:4" x14ac:dyDescent="0.2">
      <c r="A459" s="23"/>
      <c r="D459" s="2"/>
    </row>
    <row r="460" spans="1:4" x14ac:dyDescent="0.2">
      <c r="A460" s="23"/>
      <c r="D460" s="2"/>
    </row>
    <row r="461" spans="1:4" x14ac:dyDescent="0.2">
      <c r="A461" s="23"/>
      <c r="D461" s="2"/>
    </row>
    <row r="462" spans="1:4" x14ac:dyDescent="0.2">
      <c r="A462" s="23"/>
      <c r="D462" s="2"/>
    </row>
    <row r="463" spans="1:4" x14ac:dyDescent="0.2">
      <c r="A463" s="23"/>
      <c r="D463" s="2"/>
    </row>
    <row r="464" spans="1:4" x14ac:dyDescent="0.2">
      <c r="A464" s="23"/>
      <c r="D464" s="2"/>
    </row>
    <row r="465" spans="1:4" x14ac:dyDescent="0.2">
      <c r="A465" s="23"/>
      <c r="D465" s="2"/>
    </row>
    <row r="466" spans="1:4" x14ac:dyDescent="0.2">
      <c r="A466" s="23"/>
      <c r="D466" s="2"/>
    </row>
    <row r="467" spans="1:4" x14ac:dyDescent="0.2">
      <c r="A467" s="23"/>
      <c r="D467" s="2"/>
    </row>
    <row r="468" spans="1:4" x14ac:dyDescent="0.2">
      <c r="A468" s="23"/>
      <c r="D468" s="2"/>
    </row>
    <row r="469" spans="1:4" x14ac:dyDescent="0.2">
      <c r="A469" s="23"/>
      <c r="D469" s="2"/>
    </row>
    <row r="470" spans="1:4" x14ac:dyDescent="0.2">
      <c r="A470" s="23"/>
      <c r="D470" s="2"/>
    </row>
    <row r="471" spans="1:4" x14ac:dyDescent="0.2">
      <c r="A471" s="23"/>
      <c r="D471" s="2"/>
    </row>
    <row r="472" spans="1:4" x14ac:dyDescent="0.2">
      <c r="A472" s="23"/>
      <c r="D472" s="2"/>
    </row>
    <row r="473" spans="1:4" x14ac:dyDescent="0.2">
      <c r="A473" s="23"/>
      <c r="D473" s="2"/>
    </row>
    <row r="474" spans="1:4" x14ac:dyDescent="0.2">
      <c r="A474" s="23"/>
      <c r="D474" s="2"/>
    </row>
    <row r="475" spans="1:4" x14ac:dyDescent="0.2">
      <c r="A475" s="23"/>
      <c r="D475" s="2"/>
    </row>
    <row r="476" spans="1:4" x14ac:dyDescent="0.2">
      <c r="A476" s="23"/>
      <c r="D476" s="2"/>
    </row>
    <row r="477" spans="1:4" x14ac:dyDescent="0.2">
      <c r="A477" s="23"/>
      <c r="D477" s="2"/>
    </row>
    <row r="478" spans="1:4" x14ac:dyDescent="0.2">
      <c r="A478" s="23"/>
      <c r="D478" s="2"/>
    </row>
    <row r="479" spans="1:4" x14ac:dyDescent="0.2">
      <c r="A479" s="23"/>
      <c r="D479" s="2"/>
    </row>
    <row r="480" spans="1:4" x14ac:dyDescent="0.2">
      <c r="A480" s="23"/>
      <c r="D480" s="2"/>
    </row>
    <row r="481" spans="1:4" x14ac:dyDescent="0.2">
      <c r="A481" s="23"/>
      <c r="D481" s="2"/>
    </row>
    <row r="482" spans="1:4" x14ac:dyDescent="0.2">
      <c r="A482" s="23"/>
      <c r="D482" s="2"/>
    </row>
    <row r="483" spans="1:4" x14ac:dyDescent="0.2">
      <c r="A483" s="23"/>
      <c r="D483" s="2"/>
    </row>
    <row r="484" spans="1:4" x14ac:dyDescent="0.2">
      <c r="A484" s="23"/>
      <c r="D484" s="2"/>
    </row>
    <row r="485" spans="1:4" x14ac:dyDescent="0.2">
      <c r="A485" s="23"/>
      <c r="D485" s="2"/>
    </row>
    <row r="486" spans="1:4" x14ac:dyDescent="0.2">
      <c r="A486" s="23"/>
      <c r="D486" s="2"/>
    </row>
    <row r="487" spans="1:4" x14ac:dyDescent="0.2">
      <c r="A487" s="23"/>
      <c r="D487" s="2"/>
    </row>
    <row r="488" spans="1:4" x14ac:dyDescent="0.2">
      <c r="A488" s="23"/>
      <c r="D488" s="2"/>
    </row>
    <row r="489" spans="1:4" x14ac:dyDescent="0.2">
      <c r="A489" s="23"/>
      <c r="D489" s="2"/>
    </row>
    <row r="490" spans="1:4" x14ac:dyDescent="0.2">
      <c r="A490" s="23"/>
      <c r="D490" s="2"/>
    </row>
    <row r="491" spans="1:4" x14ac:dyDescent="0.2">
      <c r="A491" s="23"/>
      <c r="D491" s="2"/>
    </row>
    <row r="492" spans="1:4" x14ac:dyDescent="0.2">
      <c r="A492" s="23"/>
      <c r="D492" s="2"/>
    </row>
    <row r="493" spans="1:4" x14ac:dyDescent="0.2">
      <c r="A493" s="23"/>
      <c r="D493" s="2"/>
    </row>
    <row r="494" spans="1:4" x14ac:dyDescent="0.2">
      <c r="A494" s="23"/>
      <c r="D494" s="2"/>
    </row>
    <row r="495" spans="1:4" x14ac:dyDescent="0.2">
      <c r="A495" s="23"/>
      <c r="D495" s="2"/>
    </row>
    <row r="496" spans="1:4" x14ac:dyDescent="0.2">
      <c r="A496" s="23"/>
      <c r="D496" s="2"/>
    </row>
    <row r="497" spans="1:4" x14ac:dyDescent="0.2">
      <c r="A497" s="23"/>
      <c r="D497" s="2"/>
    </row>
    <row r="498" spans="1:4" x14ac:dyDescent="0.2">
      <c r="A498" s="23"/>
      <c r="D498" s="2"/>
    </row>
    <row r="499" spans="1:4" x14ac:dyDescent="0.2">
      <c r="A499" s="23"/>
      <c r="D499" s="2"/>
    </row>
    <row r="500" spans="1:4" x14ac:dyDescent="0.2">
      <c r="A500" s="23"/>
      <c r="D500" s="2"/>
    </row>
    <row r="501" spans="1:4" x14ac:dyDescent="0.2">
      <c r="A501" s="23"/>
      <c r="D501" s="2"/>
    </row>
    <row r="502" spans="1:4" x14ac:dyDescent="0.2">
      <c r="A502" s="23"/>
      <c r="D502" s="2"/>
    </row>
    <row r="503" spans="1:4" x14ac:dyDescent="0.2">
      <c r="A503" s="23"/>
      <c r="D503" s="2"/>
    </row>
    <row r="504" spans="1:4" x14ac:dyDescent="0.2">
      <c r="A504" s="23"/>
      <c r="D504" s="2"/>
    </row>
    <row r="505" spans="1:4" x14ac:dyDescent="0.2">
      <c r="A505" s="23"/>
      <c r="D505" s="2"/>
    </row>
    <row r="506" spans="1:4" x14ac:dyDescent="0.2">
      <c r="A506" s="23"/>
      <c r="D506" s="2"/>
    </row>
    <row r="507" spans="1:4" x14ac:dyDescent="0.2">
      <c r="A507" s="23"/>
      <c r="D507" s="2"/>
    </row>
    <row r="508" spans="1:4" x14ac:dyDescent="0.2">
      <c r="A508" s="23"/>
      <c r="D508" s="2"/>
    </row>
    <row r="509" spans="1:4" x14ac:dyDescent="0.2">
      <c r="A509" s="23"/>
      <c r="D509" s="2"/>
    </row>
    <row r="510" spans="1:4" x14ac:dyDescent="0.2">
      <c r="A510" s="23"/>
      <c r="D510" s="2"/>
    </row>
    <row r="511" spans="1:4" x14ac:dyDescent="0.2">
      <c r="A511" s="23"/>
      <c r="D511" s="2"/>
    </row>
    <row r="512" spans="1:4" x14ac:dyDescent="0.2">
      <c r="A512" s="23"/>
      <c r="D512" s="2"/>
    </row>
    <row r="513" spans="1:4" x14ac:dyDescent="0.2">
      <c r="A513" s="23"/>
      <c r="D513" s="2"/>
    </row>
    <row r="514" spans="1:4" x14ac:dyDescent="0.2">
      <c r="A514" s="23"/>
      <c r="D514" s="2"/>
    </row>
    <row r="515" spans="1:4" x14ac:dyDescent="0.2">
      <c r="A515" s="23"/>
      <c r="D515" s="2"/>
    </row>
    <row r="516" spans="1:4" x14ac:dyDescent="0.2">
      <c r="A516" s="23"/>
      <c r="D516" s="2"/>
    </row>
    <row r="517" spans="1:4" x14ac:dyDescent="0.2">
      <c r="A517" s="23"/>
      <c r="D517" s="2"/>
    </row>
    <row r="518" spans="1:4" x14ac:dyDescent="0.2">
      <c r="A518" s="23"/>
      <c r="D518" s="2"/>
    </row>
    <row r="519" spans="1:4" x14ac:dyDescent="0.2">
      <c r="A519" s="23"/>
      <c r="D519" s="2"/>
    </row>
    <row r="520" spans="1:4" x14ac:dyDescent="0.2">
      <c r="A520" s="23"/>
      <c r="D520" s="2"/>
    </row>
    <row r="521" spans="1:4" x14ac:dyDescent="0.2">
      <c r="A521" s="23"/>
      <c r="D521" s="2"/>
    </row>
    <row r="522" spans="1:4" x14ac:dyDescent="0.2">
      <c r="A522" s="23"/>
      <c r="D522" s="2"/>
    </row>
    <row r="523" spans="1:4" x14ac:dyDescent="0.2">
      <c r="A523" s="23"/>
      <c r="D523" s="2"/>
    </row>
    <row r="524" spans="1:4" x14ac:dyDescent="0.2">
      <c r="A524" s="30"/>
      <c r="D524" s="2"/>
    </row>
    <row r="525" spans="1:4" x14ac:dyDescent="0.2">
      <c r="A525" s="23"/>
      <c r="D525" s="2"/>
    </row>
    <row r="526" spans="1:4" x14ac:dyDescent="0.2">
      <c r="A526" s="23"/>
      <c r="D526" s="2"/>
    </row>
    <row r="527" spans="1:4" x14ac:dyDescent="0.2">
      <c r="A527" s="23"/>
      <c r="D527" s="2"/>
    </row>
    <row r="528" spans="1:4" x14ac:dyDescent="0.2">
      <c r="A528" s="23"/>
      <c r="D528" s="2"/>
    </row>
    <row r="529" spans="1:4" x14ac:dyDescent="0.2">
      <c r="A529" s="23"/>
      <c r="D529" s="2"/>
    </row>
    <row r="530" spans="1:4" x14ac:dyDescent="0.2">
      <c r="A530" s="23"/>
      <c r="D530" s="2"/>
    </row>
    <row r="531" spans="1:4" x14ac:dyDescent="0.2">
      <c r="A531" s="23"/>
      <c r="D531" s="2"/>
    </row>
    <row r="532" spans="1:4" x14ac:dyDescent="0.2">
      <c r="A532" s="23"/>
      <c r="D532" s="2"/>
    </row>
    <row r="533" spans="1:4" x14ac:dyDescent="0.2">
      <c r="A533" s="23"/>
      <c r="D533" s="2"/>
    </row>
    <row r="534" spans="1:4" x14ac:dyDescent="0.2">
      <c r="A534" s="23"/>
      <c r="D534" s="2"/>
    </row>
    <row r="535" spans="1:4" x14ac:dyDescent="0.2">
      <c r="A535" s="23"/>
      <c r="D535" s="2"/>
    </row>
    <row r="536" spans="1:4" x14ac:dyDescent="0.2">
      <c r="A536" s="23"/>
      <c r="D536" s="2"/>
    </row>
    <row r="537" spans="1:4" x14ac:dyDescent="0.2">
      <c r="A537" s="23"/>
      <c r="D537" s="2"/>
    </row>
    <row r="538" spans="1:4" x14ac:dyDescent="0.2">
      <c r="A538" s="23"/>
      <c r="D538" s="2"/>
    </row>
    <row r="539" spans="1:4" x14ac:dyDescent="0.2">
      <c r="A539" s="23"/>
      <c r="D539" s="2"/>
    </row>
    <row r="540" spans="1:4" x14ac:dyDescent="0.2">
      <c r="A540" s="23"/>
      <c r="D540" s="2"/>
    </row>
    <row r="541" spans="1:4" x14ac:dyDescent="0.2">
      <c r="A541" s="23"/>
      <c r="D541" s="2"/>
    </row>
    <row r="542" spans="1:4" x14ac:dyDescent="0.2">
      <c r="A542" s="23"/>
      <c r="D542" s="2"/>
    </row>
    <row r="543" spans="1:4" x14ac:dyDescent="0.2">
      <c r="A543" s="23"/>
      <c r="D543" s="2"/>
    </row>
    <row r="544" spans="1:4" x14ac:dyDescent="0.2">
      <c r="A544" s="23"/>
      <c r="D544" s="2"/>
    </row>
    <row r="545" spans="1:4" x14ac:dyDescent="0.2">
      <c r="A545" s="23"/>
      <c r="D545" s="2"/>
    </row>
    <row r="546" spans="1:4" x14ac:dyDescent="0.2">
      <c r="A546" s="23"/>
      <c r="D546" s="2"/>
    </row>
    <row r="547" spans="1:4" x14ac:dyDescent="0.2">
      <c r="A547" s="23"/>
      <c r="D547" s="2"/>
    </row>
    <row r="548" spans="1:4" x14ac:dyDescent="0.2">
      <c r="A548" s="23"/>
      <c r="D548" s="2"/>
    </row>
    <row r="549" spans="1:4" x14ac:dyDescent="0.2">
      <c r="A549" s="23"/>
      <c r="D549" s="2"/>
    </row>
    <row r="550" spans="1:4" x14ac:dyDescent="0.2">
      <c r="A550" s="23"/>
      <c r="D550" s="2"/>
    </row>
    <row r="551" spans="1:4" x14ac:dyDescent="0.2">
      <c r="A551" s="23"/>
      <c r="D551" s="2"/>
    </row>
    <row r="552" spans="1:4" x14ac:dyDescent="0.2">
      <c r="A552" s="23"/>
      <c r="D552" s="2"/>
    </row>
    <row r="553" spans="1:4" x14ac:dyDescent="0.2">
      <c r="A553" s="23"/>
      <c r="D553" s="2"/>
    </row>
    <row r="554" spans="1:4" x14ac:dyDescent="0.2">
      <c r="A554" s="23"/>
      <c r="D554" s="2"/>
    </row>
    <row r="555" spans="1:4" x14ac:dyDescent="0.2">
      <c r="A555" s="23"/>
      <c r="D555" s="2"/>
    </row>
    <row r="556" spans="1:4" x14ac:dyDescent="0.2">
      <c r="A556" s="23"/>
      <c r="D556" s="2"/>
    </row>
    <row r="557" spans="1:4" x14ac:dyDescent="0.2">
      <c r="A557" s="23"/>
      <c r="D557" s="2"/>
    </row>
    <row r="558" spans="1:4" x14ac:dyDescent="0.2">
      <c r="A558" s="30"/>
      <c r="D558" s="2"/>
    </row>
    <row r="559" spans="1:4" x14ac:dyDescent="0.2">
      <c r="A559" s="29"/>
      <c r="D559" s="2"/>
    </row>
    <row r="560" spans="1:4" x14ac:dyDescent="0.2">
      <c r="A560" s="30"/>
      <c r="D560" s="2"/>
    </row>
    <row r="561" spans="1:4" x14ac:dyDescent="0.2">
      <c r="A561" s="29"/>
      <c r="D561" s="2"/>
    </row>
    <row r="562" spans="1:4" x14ac:dyDescent="0.2">
      <c r="A562" s="29"/>
      <c r="D562" s="2"/>
    </row>
    <row r="563" spans="1:4" x14ac:dyDescent="0.2">
      <c r="A563" s="29"/>
      <c r="D563" s="2"/>
    </row>
    <row r="564" spans="1:4" x14ac:dyDescent="0.2">
      <c r="A564" s="23"/>
      <c r="D564" s="2"/>
    </row>
    <row r="565" spans="1:4" x14ac:dyDescent="0.2">
      <c r="A565" s="23"/>
      <c r="D565" s="2"/>
    </row>
    <row r="566" spans="1:4" x14ac:dyDescent="0.2">
      <c r="A566" s="23"/>
      <c r="D566" s="2"/>
    </row>
    <row r="567" spans="1:4" x14ac:dyDescent="0.2">
      <c r="A567" s="23"/>
      <c r="D567" s="2"/>
    </row>
    <row r="568" spans="1:4" x14ac:dyDescent="0.2">
      <c r="A568" s="23"/>
      <c r="D568" s="2"/>
    </row>
    <row r="569" spans="1:4" x14ac:dyDescent="0.2">
      <c r="A569" s="23"/>
      <c r="D569" s="2"/>
    </row>
    <row r="570" spans="1:4" x14ac:dyDescent="0.2">
      <c r="A570" s="23"/>
      <c r="D570" s="2"/>
    </row>
    <row r="571" spans="1:4" x14ac:dyDescent="0.2">
      <c r="A571" s="30"/>
      <c r="D571" s="2"/>
    </row>
    <row r="572" spans="1:4" x14ac:dyDescent="0.2">
      <c r="A572" s="23"/>
      <c r="D572" s="2"/>
    </row>
    <row r="573" spans="1:4" x14ac:dyDescent="0.2">
      <c r="A573" s="23"/>
      <c r="D573" s="2"/>
    </row>
    <row r="574" spans="1:4" x14ac:dyDescent="0.2">
      <c r="A574" s="23"/>
      <c r="D574" s="2"/>
    </row>
    <row r="575" spans="1:4" x14ac:dyDescent="0.2">
      <c r="A575" s="23"/>
      <c r="D575" s="2"/>
    </row>
    <row r="576" spans="1:4" x14ac:dyDescent="0.2">
      <c r="A576" s="23"/>
      <c r="D576" s="2"/>
    </row>
    <row r="577" spans="1:4" x14ac:dyDescent="0.2">
      <c r="A577" s="23"/>
      <c r="D577" s="2"/>
    </row>
    <row r="578" spans="1:4" x14ac:dyDescent="0.2">
      <c r="A578" s="23"/>
      <c r="D578" s="2"/>
    </row>
    <row r="579" spans="1:4" x14ac:dyDescent="0.2">
      <c r="A579" s="23"/>
      <c r="D579" s="2"/>
    </row>
    <row r="580" spans="1:4" x14ac:dyDescent="0.2">
      <c r="A580" s="23"/>
      <c r="D580" s="2"/>
    </row>
    <row r="581" spans="1:4" x14ac:dyDescent="0.2">
      <c r="A581" s="23"/>
      <c r="D581" s="2"/>
    </row>
    <row r="582" spans="1:4" x14ac:dyDescent="0.2">
      <c r="A582" s="23"/>
      <c r="D582" s="2"/>
    </row>
    <row r="583" spans="1:4" x14ac:dyDescent="0.2">
      <c r="A583" s="23"/>
      <c r="D583" s="2"/>
    </row>
    <row r="584" spans="1:4" x14ac:dyDescent="0.2">
      <c r="A584" s="23"/>
      <c r="D584" s="2"/>
    </row>
    <row r="585" spans="1:4" x14ac:dyDescent="0.2">
      <c r="A585" s="23"/>
      <c r="D585" s="2"/>
    </row>
    <row r="586" spans="1:4" x14ac:dyDescent="0.2">
      <c r="A586" s="23"/>
      <c r="D586" s="2"/>
    </row>
    <row r="587" spans="1:4" x14ac:dyDescent="0.2">
      <c r="A587" s="23"/>
      <c r="D587" s="2"/>
    </row>
    <row r="588" spans="1:4" x14ac:dyDescent="0.2">
      <c r="A588" s="23"/>
      <c r="D588" s="2"/>
    </row>
    <row r="589" spans="1:4" x14ac:dyDescent="0.2">
      <c r="A589" s="23"/>
      <c r="D589" s="2"/>
    </row>
    <row r="590" spans="1:4" x14ac:dyDescent="0.2">
      <c r="A590" s="23"/>
      <c r="D590" s="2"/>
    </row>
    <row r="591" spans="1:4" x14ac:dyDescent="0.2">
      <c r="A591" s="23"/>
      <c r="D591" s="2"/>
    </row>
    <row r="592" spans="1:4" x14ac:dyDescent="0.2">
      <c r="A592" s="23"/>
      <c r="D592" s="2"/>
    </row>
    <row r="593" spans="1:4" x14ac:dyDescent="0.2">
      <c r="A593" s="23"/>
      <c r="D593" s="2"/>
    </row>
    <row r="594" spans="1:4" x14ac:dyDescent="0.2">
      <c r="A594" s="23"/>
      <c r="D594" s="2"/>
    </row>
    <row r="595" spans="1:4" x14ac:dyDescent="0.2">
      <c r="A595" s="23"/>
      <c r="D595" s="2"/>
    </row>
    <row r="596" spans="1:4" x14ac:dyDescent="0.2">
      <c r="A596" s="23"/>
      <c r="D596" s="2"/>
    </row>
    <row r="597" spans="1:4" x14ac:dyDescent="0.2">
      <c r="A597" s="23"/>
      <c r="D597" s="2"/>
    </row>
    <row r="598" spans="1:4" x14ac:dyDescent="0.2">
      <c r="A598" s="23"/>
      <c r="D598" s="2"/>
    </row>
    <row r="599" spans="1:4" x14ac:dyDescent="0.2">
      <c r="A599" s="23"/>
      <c r="D599" s="2"/>
    </row>
    <row r="600" spans="1:4" x14ac:dyDescent="0.2">
      <c r="A600" s="23"/>
      <c r="D600" s="2"/>
    </row>
    <row r="601" spans="1:4" x14ac:dyDescent="0.2">
      <c r="A601" s="23"/>
      <c r="D601" s="2"/>
    </row>
    <row r="602" spans="1:4" x14ac:dyDescent="0.2">
      <c r="A602" s="23"/>
      <c r="D602" s="2"/>
    </row>
    <row r="603" spans="1:4" x14ac:dyDescent="0.2">
      <c r="A603" s="23"/>
      <c r="D603" s="2"/>
    </row>
    <row r="604" spans="1:4" x14ac:dyDescent="0.2">
      <c r="A604" s="23"/>
      <c r="D604" s="2"/>
    </row>
    <row r="605" spans="1:4" x14ac:dyDescent="0.2">
      <c r="A605" s="23"/>
      <c r="D605" s="2"/>
    </row>
    <row r="606" spans="1:4" x14ac:dyDescent="0.2">
      <c r="A606" s="23"/>
      <c r="D606" s="2"/>
    </row>
    <row r="607" spans="1:4" x14ac:dyDescent="0.2">
      <c r="A607" s="23"/>
      <c r="D607" s="2"/>
    </row>
    <row r="608" spans="1:4" x14ac:dyDescent="0.2">
      <c r="A608" s="23"/>
      <c r="D608" s="2"/>
    </row>
    <row r="609" spans="1:4" x14ac:dyDescent="0.2">
      <c r="A609" s="23"/>
      <c r="D609" s="2"/>
    </row>
    <row r="610" spans="1:4" x14ac:dyDescent="0.2">
      <c r="A610" s="23"/>
      <c r="D610" s="2"/>
    </row>
    <row r="611" spans="1:4" x14ac:dyDescent="0.2">
      <c r="A611" s="23"/>
      <c r="D611" s="2"/>
    </row>
    <row r="612" spans="1:4" x14ac:dyDescent="0.2">
      <c r="A612" s="23"/>
      <c r="D612" s="2"/>
    </row>
    <row r="613" spans="1:4" x14ac:dyDescent="0.2">
      <c r="A613" s="23"/>
      <c r="D613" s="2"/>
    </row>
    <row r="614" spans="1:4" x14ac:dyDescent="0.2">
      <c r="A614" s="23"/>
      <c r="D614" s="2"/>
    </row>
    <row r="615" spans="1:4" x14ac:dyDescent="0.2">
      <c r="A615" s="23"/>
      <c r="D615" s="2"/>
    </row>
    <row r="616" spans="1:4" x14ac:dyDescent="0.2">
      <c r="A616" s="23"/>
      <c r="D616" s="2"/>
    </row>
    <row r="617" spans="1:4" x14ac:dyDescent="0.2">
      <c r="A617" s="23"/>
      <c r="D617" s="2"/>
    </row>
    <row r="618" spans="1:4" x14ac:dyDescent="0.2">
      <c r="A618" s="23"/>
      <c r="D618" s="2"/>
    </row>
    <row r="619" spans="1:4" x14ac:dyDescent="0.2">
      <c r="A619" s="23"/>
      <c r="D619" s="2"/>
    </row>
    <row r="620" spans="1:4" x14ac:dyDescent="0.2">
      <c r="A620" s="23"/>
      <c r="D620" s="2"/>
    </row>
    <row r="621" spans="1:4" x14ac:dyDescent="0.2">
      <c r="A621" s="23"/>
      <c r="D621" s="2"/>
    </row>
    <row r="622" spans="1:4" x14ac:dyDescent="0.2">
      <c r="A622" s="23"/>
      <c r="D622" s="2"/>
    </row>
    <row r="623" spans="1:4" x14ac:dyDescent="0.2">
      <c r="A623" s="23"/>
      <c r="D623" s="2"/>
    </row>
    <row r="624" spans="1:4" x14ac:dyDescent="0.2">
      <c r="A624" s="23"/>
      <c r="D624" s="2"/>
    </row>
    <row r="625" spans="1:4" x14ac:dyDescent="0.2">
      <c r="A625" s="23"/>
      <c r="D625" s="2"/>
    </row>
    <row r="626" spans="1:4" x14ac:dyDescent="0.2">
      <c r="A626" s="23"/>
      <c r="D626" s="2"/>
    </row>
    <row r="627" spans="1:4" x14ac:dyDescent="0.2">
      <c r="A627" s="23"/>
      <c r="D627" s="2"/>
    </row>
    <row r="628" spans="1:4" x14ac:dyDescent="0.2">
      <c r="A628" s="23"/>
      <c r="D628" s="2"/>
    </row>
    <row r="629" spans="1:4" x14ac:dyDescent="0.2">
      <c r="A629" s="23"/>
      <c r="D629" s="2"/>
    </row>
    <row r="630" spans="1:4" x14ac:dyDescent="0.2">
      <c r="A630" s="23"/>
      <c r="D630" s="2"/>
    </row>
    <row r="631" spans="1:4" x14ac:dyDescent="0.2">
      <c r="A631" s="23"/>
      <c r="D631" s="2"/>
    </row>
    <row r="632" spans="1:4" x14ac:dyDescent="0.2">
      <c r="A632" s="23"/>
      <c r="D632" s="2"/>
    </row>
    <row r="633" spans="1:4" x14ac:dyDescent="0.2">
      <c r="A633" s="23"/>
      <c r="D633" s="2"/>
    </row>
    <row r="634" spans="1:4" x14ac:dyDescent="0.2">
      <c r="A634" s="23"/>
      <c r="D634" s="2"/>
    </row>
    <row r="635" spans="1:4" x14ac:dyDescent="0.2">
      <c r="A635" s="23"/>
      <c r="D635" s="2"/>
    </row>
    <row r="636" spans="1:4" x14ac:dyDescent="0.2">
      <c r="A636" s="23"/>
      <c r="D636" s="2"/>
    </row>
    <row r="637" spans="1:4" x14ac:dyDescent="0.2">
      <c r="A637" s="23"/>
      <c r="D637" s="2"/>
    </row>
    <row r="638" spans="1:4" x14ac:dyDescent="0.2">
      <c r="A638" s="23"/>
      <c r="D638" s="2"/>
    </row>
    <row r="639" spans="1:4" x14ac:dyDescent="0.2">
      <c r="A639" s="23"/>
      <c r="D639" s="2"/>
    </row>
    <row r="640" spans="1:4" x14ac:dyDescent="0.2">
      <c r="A640" s="23"/>
      <c r="D640" s="2"/>
    </row>
    <row r="641" spans="1:4" x14ac:dyDescent="0.2">
      <c r="A641" s="23"/>
      <c r="D641" s="2"/>
    </row>
    <row r="642" spans="1:4" x14ac:dyDescent="0.2">
      <c r="A642" s="23"/>
      <c r="D642" s="2"/>
    </row>
    <row r="643" spans="1:4" x14ac:dyDescent="0.2">
      <c r="A643" s="23"/>
      <c r="D643" s="2"/>
    </row>
    <row r="644" spans="1:4" x14ac:dyDescent="0.2">
      <c r="A644" s="23"/>
      <c r="D644" s="2"/>
    </row>
    <row r="645" spans="1:4" x14ac:dyDescent="0.2">
      <c r="A645" s="23"/>
      <c r="D645" s="2"/>
    </row>
    <row r="646" spans="1:4" x14ac:dyDescent="0.2">
      <c r="A646" s="23"/>
      <c r="D646" s="2"/>
    </row>
    <row r="647" spans="1:4" x14ac:dyDescent="0.2">
      <c r="A647" s="30"/>
      <c r="D647" s="2"/>
    </row>
    <row r="648" spans="1:4" x14ac:dyDescent="0.2">
      <c r="A648" s="23"/>
      <c r="D648" s="2"/>
    </row>
    <row r="649" spans="1:4" x14ac:dyDescent="0.2">
      <c r="A649" s="23"/>
      <c r="D649" s="2"/>
    </row>
    <row r="650" spans="1:4" x14ac:dyDescent="0.2">
      <c r="A650" s="23"/>
      <c r="D650" s="2"/>
    </row>
    <row r="651" spans="1:4" x14ac:dyDescent="0.2">
      <c r="A651" s="23"/>
      <c r="D651" s="2"/>
    </row>
    <row r="652" spans="1:4" x14ac:dyDescent="0.2">
      <c r="A652" s="23"/>
      <c r="D652" s="2"/>
    </row>
    <row r="653" spans="1:4" x14ac:dyDescent="0.2">
      <c r="A653" s="23"/>
      <c r="D653" s="2"/>
    </row>
    <row r="654" spans="1:4" x14ac:dyDescent="0.2">
      <c r="A654" s="23"/>
      <c r="D654" s="2"/>
    </row>
    <row r="655" spans="1:4" x14ac:dyDescent="0.2">
      <c r="A655" s="23"/>
      <c r="D655" s="2"/>
    </row>
    <row r="656" spans="1:4" x14ac:dyDescent="0.2">
      <c r="A656" s="30"/>
      <c r="D656" s="2"/>
    </row>
    <row r="657" spans="1:4" x14ac:dyDescent="0.2">
      <c r="A657" s="29"/>
      <c r="D657" s="2"/>
    </row>
    <row r="658" spans="1:4" x14ac:dyDescent="0.2">
      <c r="A658" s="29"/>
      <c r="D658" s="2"/>
    </row>
    <row r="659" spans="1:4" x14ac:dyDescent="0.2">
      <c r="A659" s="29"/>
      <c r="D659" s="2"/>
    </row>
    <row r="660" spans="1:4" x14ac:dyDescent="0.2">
      <c r="A660" s="29"/>
      <c r="D660" s="2"/>
    </row>
    <row r="661" spans="1:4" x14ac:dyDescent="0.2">
      <c r="A661" s="29"/>
      <c r="D661" s="2"/>
    </row>
    <row r="662" spans="1:4" x14ac:dyDescent="0.2">
      <c r="D662" s="2"/>
    </row>
    <row r="663" spans="1:4" x14ac:dyDescent="0.2">
      <c r="D663" s="2"/>
    </row>
    <row r="664" spans="1:4" x14ac:dyDescent="0.2">
      <c r="D664" s="2"/>
    </row>
    <row r="665" spans="1:4" x14ac:dyDescent="0.2">
      <c r="D665" s="2"/>
    </row>
    <row r="666" spans="1:4" x14ac:dyDescent="0.2">
      <c r="D666" s="2"/>
    </row>
    <row r="667" spans="1:4" x14ac:dyDescent="0.2">
      <c r="A667" s="31"/>
      <c r="D667" s="2"/>
    </row>
    <row r="668" spans="1:4" x14ac:dyDescent="0.2">
      <c r="A668" s="31"/>
      <c r="D668" s="2"/>
    </row>
    <row r="669" spans="1:4" x14ac:dyDescent="0.2">
      <c r="A669" s="31"/>
      <c r="D669" s="2"/>
    </row>
    <row r="670" spans="1:4" x14ac:dyDescent="0.2">
      <c r="A670" s="31"/>
      <c r="D670" s="2"/>
    </row>
    <row r="671" spans="1:4" x14ac:dyDescent="0.2">
      <c r="A671" s="31"/>
      <c r="D671" s="2"/>
    </row>
    <row r="672" spans="1:4" x14ac:dyDescent="0.2">
      <c r="A672" s="31"/>
      <c r="D672" s="2"/>
    </row>
    <row r="673" spans="1:4" x14ac:dyDescent="0.2">
      <c r="A673" s="31"/>
      <c r="D673" s="2"/>
    </row>
    <row r="674" spans="1:4" x14ac:dyDescent="0.2">
      <c r="A674" s="31"/>
      <c r="D674" s="2"/>
    </row>
    <row r="675" spans="1:4" x14ac:dyDescent="0.2">
      <c r="A675" s="31"/>
      <c r="D675" s="2"/>
    </row>
    <row r="676" spans="1:4" x14ac:dyDescent="0.2">
      <c r="A676" s="31"/>
      <c r="D676" s="2"/>
    </row>
    <row r="677" spans="1:4" x14ac:dyDescent="0.2">
      <c r="A677" s="31"/>
      <c r="D677" s="2"/>
    </row>
    <row r="678" spans="1:4" x14ac:dyDescent="0.2">
      <c r="A678" s="31"/>
      <c r="D678" s="2"/>
    </row>
    <row r="679" spans="1:4" x14ac:dyDescent="0.2">
      <c r="A679" s="31"/>
      <c r="D679" s="2"/>
    </row>
    <row r="680" spans="1:4" x14ac:dyDescent="0.2">
      <c r="A680" s="31"/>
      <c r="D680" s="2"/>
    </row>
    <row r="681" spans="1:4" x14ac:dyDescent="0.2">
      <c r="A681" s="31"/>
      <c r="D681" s="2"/>
    </row>
    <row r="682" spans="1:4" x14ac:dyDescent="0.2">
      <c r="A682" s="31"/>
      <c r="D682" s="2"/>
    </row>
    <row r="683" spans="1:4" x14ac:dyDescent="0.2">
      <c r="A683" s="31"/>
      <c r="D683" s="2"/>
    </row>
    <row r="684" spans="1:4" x14ac:dyDescent="0.2">
      <c r="A684" s="31"/>
      <c r="D684" s="2"/>
    </row>
    <row r="685" spans="1:4" x14ac:dyDescent="0.2">
      <c r="A685" s="31"/>
      <c r="D685" s="2"/>
    </row>
    <row r="686" spans="1:4" x14ac:dyDescent="0.2">
      <c r="A686" s="31"/>
      <c r="D686" s="2"/>
    </row>
    <row r="687" spans="1:4" x14ac:dyDescent="0.2">
      <c r="A687" s="31"/>
      <c r="D687" s="2"/>
    </row>
    <row r="688" spans="1:4" x14ac:dyDescent="0.2">
      <c r="A688" s="31"/>
      <c r="D688" s="2"/>
    </row>
    <row r="689" spans="1:4" x14ac:dyDescent="0.2">
      <c r="A689" s="31"/>
      <c r="D689" s="2"/>
    </row>
    <row r="690" spans="1:4" x14ac:dyDescent="0.2">
      <c r="A690" s="31"/>
      <c r="D690" s="2"/>
    </row>
    <row r="691" spans="1:4" x14ac:dyDescent="0.2">
      <c r="A691" s="31"/>
      <c r="D691" s="2"/>
    </row>
    <row r="692" spans="1:4" x14ac:dyDescent="0.2">
      <c r="A692" s="31"/>
      <c r="D692" s="2"/>
    </row>
    <row r="693" spans="1:4" x14ac:dyDescent="0.2">
      <c r="A693" s="31"/>
      <c r="D693" s="2"/>
    </row>
    <row r="694" spans="1:4" x14ac:dyDescent="0.2">
      <c r="A694" s="31"/>
      <c r="D694" s="2"/>
    </row>
    <row r="695" spans="1:4" x14ac:dyDescent="0.2">
      <c r="A695" s="31"/>
      <c r="D695" s="2"/>
    </row>
    <row r="696" spans="1:4" x14ac:dyDescent="0.2">
      <c r="A696" s="31"/>
      <c r="D696" s="2"/>
    </row>
    <row r="697" spans="1:4" x14ac:dyDescent="0.2">
      <c r="A697" s="31"/>
      <c r="D697" s="2"/>
    </row>
    <row r="698" spans="1:4" x14ac:dyDescent="0.2">
      <c r="A698" s="31"/>
      <c r="D698" s="2"/>
    </row>
    <row r="699" spans="1:4" x14ac:dyDescent="0.2">
      <c r="A699" s="31"/>
      <c r="D699" s="2"/>
    </row>
    <row r="700" spans="1:4" x14ac:dyDescent="0.2">
      <c r="A700" s="31"/>
      <c r="D700" s="2"/>
    </row>
    <row r="701" spans="1:4" x14ac:dyDescent="0.2">
      <c r="A701" s="31"/>
      <c r="D701" s="2"/>
    </row>
    <row r="702" spans="1:4" x14ac:dyDescent="0.2">
      <c r="A702" s="31"/>
      <c r="D702" s="2"/>
    </row>
    <row r="703" spans="1:4" x14ac:dyDescent="0.2">
      <c r="A703" s="31"/>
      <c r="D703" s="2"/>
    </row>
    <row r="704" spans="1:4" x14ac:dyDescent="0.2">
      <c r="A704" s="31"/>
      <c r="D704" s="2"/>
    </row>
    <row r="705" spans="1:4" x14ac:dyDescent="0.2">
      <c r="A705" s="31"/>
      <c r="D705" s="2"/>
    </row>
    <row r="706" spans="1:4" x14ac:dyDescent="0.2">
      <c r="A706" s="31"/>
      <c r="D706" s="2"/>
    </row>
    <row r="707" spans="1:4" x14ac:dyDescent="0.2">
      <c r="A707" s="31"/>
      <c r="D707" s="2"/>
    </row>
    <row r="708" spans="1:4" x14ac:dyDescent="0.2">
      <c r="A708" s="31"/>
      <c r="D708" s="2"/>
    </row>
    <row r="709" spans="1:4" x14ac:dyDescent="0.2">
      <c r="A709" s="31"/>
      <c r="D709" s="2"/>
    </row>
    <row r="710" spans="1:4" x14ac:dyDescent="0.2">
      <c r="A710" s="31"/>
      <c r="D710" s="2"/>
    </row>
    <row r="711" spans="1:4" x14ac:dyDescent="0.2">
      <c r="A711" s="31"/>
      <c r="D711" s="2"/>
    </row>
    <row r="712" spans="1:4" x14ac:dyDescent="0.2">
      <c r="A712" s="31"/>
      <c r="D712" s="2"/>
    </row>
    <row r="713" spans="1:4" x14ac:dyDescent="0.2">
      <c r="A713" s="31"/>
      <c r="D713" s="2"/>
    </row>
    <row r="714" spans="1:4" x14ac:dyDescent="0.2">
      <c r="A714" s="31"/>
      <c r="D714" s="2"/>
    </row>
    <row r="715" spans="1:4" x14ac:dyDescent="0.2">
      <c r="A715" s="31"/>
      <c r="D715" s="2"/>
    </row>
    <row r="716" spans="1:4" x14ac:dyDescent="0.2">
      <c r="A716" s="31"/>
      <c r="D716" s="2"/>
    </row>
    <row r="717" spans="1:4" x14ac:dyDescent="0.2">
      <c r="A717" s="31"/>
      <c r="D717" s="2"/>
    </row>
    <row r="718" spans="1:4" x14ac:dyDescent="0.2">
      <c r="A718" s="31"/>
      <c r="D718" s="2"/>
    </row>
    <row r="719" spans="1:4" x14ac:dyDescent="0.2">
      <c r="A719" s="31"/>
      <c r="D719" s="2"/>
    </row>
    <row r="720" spans="1:4" x14ac:dyDescent="0.2">
      <c r="A720" s="31"/>
      <c r="D720" s="2"/>
    </row>
    <row r="721" spans="1:4" x14ac:dyDescent="0.2">
      <c r="A721" s="31"/>
      <c r="D721" s="2"/>
    </row>
    <row r="722" spans="1:4" x14ac:dyDescent="0.2">
      <c r="A722" s="31"/>
      <c r="D722" s="2"/>
    </row>
    <row r="723" spans="1:4" x14ac:dyDescent="0.2">
      <c r="A723" s="31"/>
      <c r="D723" s="2"/>
    </row>
    <row r="724" spans="1:4" x14ac:dyDescent="0.2">
      <c r="A724" s="31"/>
      <c r="D724" s="2"/>
    </row>
    <row r="725" spans="1:4" x14ac:dyDescent="0.2">
      <c r="A725" s="31"/>
      <c r="D725" s="2"/>
    </row>
    <row r="726" spans="1:4" x14ac:dyDescent="0.2">
      <c r="A726" s="31"/>
      <c r="D726" s="2"/>
    </row>
    <row r="727" spans="1:4" x14ac:dyDescent="0.2">
      <c r="A727" s="31"/>
      <c r="D727" s="2"/>
    </row>
    <row r="728" spans="1:4" x14ac:dyDescent="0.2">
      <c r="A728" s="31"/>
      <c r="D728" s="2"/>
    </row>
    <row r="729" spans="1:4" x14ac:dyDescent="0.2">
      <c r="A729" s="31"/>
      <c r="D729" s="2"/>
    </row>
    <row r="730" spans="1:4" x14ac:dyDescent="0.2">
      <c r="A730" s="31"/>
      <c r="D730" s="2"/>
    </row>
    <row r="731" spans="1:4" x14ac:dyDescent="0.2">
      <c r="A731" s="31"/>
      <c r="D731" s="2"/>
    </row>
    <row r="732" spans="1:4" x14ac:dyDescent="0.2">
      <c r="A732" s="31"/>
      <c r="D732" s="2"/>
    </row>
    <row r="733" spans="1:4" x14ac:dyDescent="0.2">
      <c r="A733" s="31"/>
      <c r="D733" s="2"/>
    </row>
    <row r="734" spans="1:4" x14ac:dyDescent="0.2">
      <c r="A734" s="31"/>
      <c r="D734" s="2"/>
    </row>
    <row r="735" spans="1:4" x14ac:dyDescent="0.2">
      <c r="A735" s="31"/>
      <c r="D735" s="2"/>
    </row>
    <row r="736" spans="1:4" x14ac:dyDescent="0.2">
      <c r="A736" s="31"/>
      <c r="D736" s="2"/>
    </row>
    <row r="737" spans="1:4" x14ac:dyDescent="0.2">
      <c r="A737" s="31"/>
      <c r="D737" s="2"/>
    </row>
    <row r="738" spans="1:4" x14ac:dyDescent="0.2">
      <c r="A738" s="31"/>
      <c r="D738" s="2"/>
    </row>
    <row r="739" spans="1:4" x14ac:dyDescent="0.2">
      <c r="A739" s="31"/>
      <c r="D739" s="2"/>
    </row>
    <row r="740" spans="1:4" x14ac:dyDescent="0.2">
      <c r="D740" s="2"/>
    </row>
    <row r="741" spans="1:4" x14ac:dyDescent="0.2">
      <c r="A741" s="31"/>
      <c r="D741" s="2"/>
    </row>
    <row r="742" spans="1:4" x14ac:dyDescent="0.2">
      <c r="D742" s="2"/>
    </row>
    <row r="743" spans="1:4" x14ac:dyDescent="0.2">
      <c r="D743" s="2"/>
    </row>
    <row r="744" spans="1:4" x14ac:dyDescent="0.2">
      <c r="A744" s="31"/>
      <c r="D744" s="2"/>
    </row>
    <row r="745" spans="1:4" x14ac:dyDescent="0.2">
      <c r="A745" s="31"/>
      <c r="D745" s="2"/>
    </row>
    <row r="746" spans="1:4" x14ac:dyDescent="0.2">
      <c r="A746" s="31"/>
      <c r="D746" s="2"/>
    </row>
    <row r="747" spans="1:4" x14ac:dyDescent="0.2">
      <c r="A747" s="31"/>
      <c r="D747" s="2"/>
    </row>
    <row r="748" spans="1:4" x14ac:dyDescent="0.2">
      <c r="A748" s="31"/>
      <c r="D748" s="2"/>
    </row>
    <row r="749" spans="1:4" x14ac:dyDescent="0.2">
      <c r="A749" s="31"/>
      <c r="D749" s="2"/>
    </row>
    <row r="750" spans="1:4" x14ac:dyDescent="0.2">
      <c r="A750" s="31"/>
      <c r="D750" s="2"/>
    </row>
    <row r="751" spans="1:4" x14ac:dyDescent="0.2">
      <c r="A751" s="31"/>
      <c r="D751" s="2"/>
    </row>
    <row r="752" spans="1:4" x14ac:dyDescent="0.2">
      <c r="A752" s="31"/>
      <c r="D752" s="2"/>
    </row>
    <row r="753" spans="1:4" x14ac:dyDescent="0.2">
      <c r="A753" s="31"/>
      <c r="D753" s="2"/>
    </row>
    <row r="754" spans="1:4" x14ac:dyDescent="0.2">
      <c r="D754" s="2"/>
    </row>
    <row r="755" spans="1:4" x14ac:dyDescent="0.2">
      <c r="D755" s="2"/>
    </row>
    <row r="756" spans="1:4" x14ac:dyDescent="0.2">
      <c r="A756" s="31"/>
      <c r="D756" s="2"/>
    </row>
    <row r="757" spans="1:4" x14ac:dyDescent="0.2">
      <c r="A757" s="31"/>
      <c r="D757" s="2"/>
    </row>
    <row r="758" spans="1:4" x14ac:dyDescent="0.2">
      <c r="A758" s="31"/>
      <c r="D758" s="2"/>
    </row>
    <row r="759" spans="1:4" x14ac:dyDescent="0.2">
      <c r="A759" s="31"/>
      <c r="D759" s="2"/>
    </row>
    <row r="760" spans="1:4" x14ac:dyDescent="0.2">
      <c r="A760" s="31"/>
      <c r="D760" s="2"/>
    </row>
    <row r="761" spans="1:4" x14ac:dyDescent="0.2">
      <c r="A761" s="31"/>
      <c r="D761" s="2"/>
    </row>
    <row r="762" spans="1:4" x14ac:dyDescent="0.2">
      <c r="A762" s="31"/>
      <c r="D762" s="2"/>
    </row>
    <row r="763" spans="1:4" x14ac:dyDescent="0.2">
      <c r="A763" s="31"/>
      <c r="D763" s="2"/>
    </row>
    <row r="764" spans="1:4" x14ac:dyDescent="0.2">
      <c r="A764" s="31"/>
      <c r="D764" s="2"/>
    </row>
    <row r="765" spans="1:4" x14ac:dyDescent="0.2">
      <c r="A765" s="31"/>
      <c r="D765" s="2"/>
    </row>
    <row r="766" spans="1:4" x14ac:dyDescent="0.2">
      <c r="A766" s="31"/>
      <c r="D766" s="2"/>
    </row>
    <row r="767" spans="1:4" x14ac:dyDescent="0.2">
      <c r="D767" s="2"/>
    </row>
    <row r="768" spans="1:4" x14ac:dyDescent="0.2">
      <c r="A768" s="31"/>
      <c r="D768" s="2"/>
    </row>
    <row r="769" spans="1:4" x14ac:dyDescent="0.2">
      <c r="A769" s="31"/>
      <c r="D769" s="2"/>
    </row>
    <row r="770" spans="1:4" x14ac:dyDescent="0.2">
      <c r="A770" s="31"/>
      <c r="D770" s="2"/>
    </row>
    <row r="771" spans="1:4" x14ac:dyDescent="0.2">
      <c r="A771" s="31"/>
      <c r="D771" s="2"/>
    </row>
    <row r="772" spans="1:4" x14ac:dyDescent="0.2">
      <c r="D772" s="2"/>
    </row>
    <row r="773" spans="1:4" x14ac:dyDescent="0.2">
      <c r="D773" s="2"/>
    </row>
    <row r="774" spans="1:4" x14ac:dyDescent="0.2">
      <c r="D774" s="2"/>
    </row>
    <row r="775" spans="1:4" x14ac:dyDescent="0.2">
      <c r="A775" s="31"/>
      <c r="D775" s="2"/>
    </row>
    <row r="776" spans="1:4" x14ac:dyDescent="0.2">
      <c r="A776" s="31"/>
      <c r="D776" s="2"/>
    </row>
    <row r="777" spans="1:4" x14ac:dyDescent="0.2">
      <c r="A777" s="31"/>
      <c r="D777" s="2"/>
    </row>
    <row r="778" spans="1:4" x14ac:dyDescent="0.2">
      <c r="A778" s="31"/>
      <c r="D778" s="2"/>
    </row>
    <row r="779" spans="1:4" x14ac:dyDescent="0.2">
      <c r="A779" s="31"/>
      <c r="D779" s="2"/>
    </row>
    <row r="780" spans="1:4" x14ac:dyDescent="0.2">
      <c r="A780" s="31"/>
      <c r="D780" s="2"/>
    </row>
    <row r="781" spans="1:4" x14ac:dyDescent="0.2">
      <c r="A781" s="31"/>
      <c r="D781" s="2"/>
    </row>
    <row r="782" spans="1:4" x14ac:dyDescent="0.2">
      <c r="D782" s="2"/>
    </row>
    <row r="783" spans="1:4" x14ac:dyDescent="0.2">
      <c r="A783" s="31"/>
      <c r="D783" s="2"/>
    </row>
    <row r="784" spans="1:4" x14ac:dyDescent="0.2">
      <c r="D784" s="2"/>
    </row>
    <row r="785" spans="1:4" x14ac:dyDescent="0.2">
      <c r="A785" s="31"/>
      <c r="D785" s="2"/>
    </row>
    <row r="786" spans="1:4" x14ac:dyDescent="0.2">
      <c r="A786" s="31"/>
      <c r="D786" s="2"/>
    </row>
    <row r="787" spans="1:4" x14ac:dyDescent="0.2">
      <c r="A787" s="31"/>
      <c r="D787" s="2"/>
    </row>
    <row r="788" spans="1:4" x14ac:dyDescent="0.2">
      <c r="A788" s="31"/>
      <c r="D788" s="2"/>
    </row>
    <row r="789" spans="1:4" x14ac:dyDescent="0.2">
      <c r="A789" s="31"/>
      <c r="D789" s="2"/>
    </row>
    <row r="790" spans="1:4" x14ac:dyDescent="0.2">
      <c r="A790" s="31"/>
      <c r="D790" s="2"/>
    </row>
    <row r="791" spans="1:4" x14ac:dyDescent="0.2">
      <c r="A791" s="31"/>
      <c r="D791" s="2"/>
    </row>
    <row r="792" spans="1:4" x14ac:dyDescent="0.2">
      <c r="A792" s="31"/>
      <c r="D792" s="2"/>
    </row>
    <row r="793" spans="1:4" x14ac:dyDescent="0.2">
      <c r="A793" s="31"/>
      <c r="D793" s="2"/>
    </row>
    <row r="794" spans="1:4" x14ac:dyDescent="0.2">
      <c r="A794" s="31"/>
      <c r="D794" s="2"/>
    </row>
    <row r="795" spans="1:4" x14ac:dyDescent="0.2">
      <c r="A795" s="31"/>
      <c r="D795" s="2"/>
    </row>
    <row r="796" spans="1:4" x14ac:dyDescent="0.2">
      <c r="D79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workbookViewId="0">
      <selection activeCell="F24" sqref="F24"/>
    </sheetView>
  </sheetViews>
  <sheetFormatPr baseColWidth="10" defaultRowHeight="16" x14ac:dyDescent="0.2"/>
  <cols>
    <col min="1" max="1" width="30.1640625" bestFit="1" customWidth="1"/>
    <col min="2" max="2" width="17.5" bestFit="1" customWidth="1"/>
    <col min="3" max="8" width="10.83203125" style="2"/>
    <col min="9" max="9" width="28.832031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s="7" t="s">
        <v>4222</v>
      </c>
      <c r="B2" t="s">
        <v>1668</v>
      </c>
      <c r="C2" s="2">
        <v>0</v>
      </c>
      <c r="D2" s="2" t="s">
        <v>783</v>
      </c>
      <c r="E2" s="2">
        <v>453</v>
      </c>
      <c r="F2" s="2">
        <v>-1313</v>
      </c>
      <c r="G2" s="2">
        <v>1535</v>
      </c>
      <c r="H2" s="2">
        <v>0</v>
      </c>
      <c r="I2" t="s">
        <v>4245</v>
      </c>
      <c r="J2" t="str">
        <f t="shared" ref="J2:J24" si="0">"{ name: "&amp;CHAR(34)&amp;A2&amp;CHAR(34)&amp;", landmark: "&amp;CHAR(34)&amp;"Main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"Find Princess Zelda", landmark: "Main Quest", type: "Temple of Time", region: 0, level: "Sky", x: 453, y: -1313, z: 1535, weight: 0, details: "Talk to Steward Construct" },</v>
      </c>
    </row>
    <row r="3" spans="1:10" x14ac:dyDescent="0.2">
      <c r="A3" s="7" t="s">
        <v>4223</v>
      </c>
      <c r="B3" t="s">
        <v>1668</v>
      </c>
      <c r="C3" s="2">
        <v>0</v>
      </c>
      <c r="D3" s="2" t="s">
        <v>783</v>
      </c>
      <c r="E3" s="2">
        <v>453</v>
      </c>
      <c r="F3" s="2">
        <v>-859</v>
      </c>
      <c r="G3" s="2">
        <v>1450</v>
      </c>
      <c r="H3" s="2">
        <v>0</v>
      </c>
      <c r="I3" t="s">
        <v>4246</v>
      </c>
      <c r="J3" t="str">
        <f t="shared" si="0"/>
        <v>{ name: "The Closed Door", landmark: "Main Quest", type: "Temple of Time", region: 0, level: "Sky", x: 453, y: -859, z: 1450, weight: 0, details: "Talk to Rauru" },</v>
      </c>
    </row>
    <row r="4" spans="1:10" x14ac:dyDescent="0.2">
      <c r="A4" s="7" t="s">
        <v>4224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H4" s="2">
        <v>0</v>
      </c>
      <c r="I4" t="s">
        <v>4247</v>
      </c>
      <c r="J4" t="str">
        <f t="shared" si="0"/>
        <v>{ name: "To the Kingdom of Hyrule", landmark: "Main Quest", type: "Temple of Time", region: 0, level: "Sky", x: 444, y: -631, z: 1472, weight: 0, details: "Talk to Zelda's Voice" },</v>
      </c>
    </row>
    <row r="5" spans="1:10" x14ac:dyDescent="0.2">
      <c r="A5" s="7" t="s">
        <v>4241</v>
      </c>
      <c r="B5" t="s">
        <v>795</v>
      </c>
      <c r="C5" s="2">
        <v>13</v>
      </c>
      <c r="D5" s="2" t="s">
        <v>783</v>
      </c>
      <c r="E5" s="2">
        <v>1363</v>
      </c>
      <c r="F5" s="2">
        <v>-3263</v>
      </c>
      <c r="G5" s="2">
        <v>431</v>
      </c>
      <c r="H5" s="2">
        <v>0</v>
      </c>
      <c r="I5" t="s">
        <v>4258</v>
      </c>
      <c r="J5" t="str">
        <f t="shared" si="0"/>
        <v>{ name: "Guidance from Ages Past", landmark: "Main Quest", type: "Dragonhead Island", region: 13, level: "Sky", x: 1363, y: -3263, z: 431, weight: 0, details: "Talk to Zonai Relic" },</v>
      </c>
    </row>
    <row r="6" spans="1:10" x14ac:dyDescent="0.2">
      <c r="A6" s="7" t="s">
        <v>4225</v>
      </c>
      <c r="B6" t="s">
        <v>1441</v>
      </c>
      <c r="C6" s="2">
        <v>1</v>
      </c>
      <c r="D6" s="2" t="s">
        <v>785</v>
      </c>
      <c r="E6" s="2">
        <v>-271</v>
      </c>
      <c r="F6" s="2">
        <v>153</v>
      </c>
      <c r="G6" s="2">
        <v>26</v>
      </c>
      <c r="H6" s="2">
        <v>0</v>
      </c>
      <c r="I6" t="s">
        <v>4248</v>
      </c>
      <c r="J6" t="str">
        <f t="shared" si="0"/>
        <v>{ name: "Crisis at Hyrule Castle", landmark: "Main Quest", type: "Lookout Landing", region: 1, level: "Surface", x: -271, y: 153, z: 26, weight: 0, details: "Talk to Purah" },</v>
      </c>
    </row>
    <row r="7" spans="1:10" x14ac:dyDescent="0.2">
      <c r="A7" s="7" t="s">
        <v>4226</v>
      </c>
      <c r="B7" t="s">
        <v>1441</v>
      </c>
      <c r="C7" s="2">
        <v>1</v>
      </c>
      <c r="D7" s="2" t="s">
        <v>785</v>
      </c>
      <c r="E7" s="2">
        <v>-259</v>
      </c>
      <c r="F7" s="2">
        <v>153</v>
      </c>
      <c r="G7" s="2">
        <v>26</v>
      </c>
      <c r="H7" s="2">
        <v>0</v>
      </c>
      <c r="I7" t="s">
        <v>4248</v>
      </c>
      <c r="J7" t="str">
        <f t="shared" si="0"/>
        <v>{ name: "Regional Phenomena", landmark: "Main Quest", type: "Lookout Landing", region: 1, level: "Surface", x: -259, y: 153, z: 26, weight: 0, details: "Talk to Purah" },</v>
      </c>
    </row>
    <row r="8" spans="1:10" x14ac:dyDescent="0.2">
      <c r="A8" s="7" t="s">
        <v>4227</v>
      </c>
      <c r="B8" t="s">
        <v>1441</v>
      </c>
      <c r="C8" s="2">
        <v>1</v>
      </c>
      <c r="D8" s="2" t="s">
        <v>785</v>
      </c>
      <c r="E8" s="2">
        <v>-252</v>
      </c>
      <c r="F8" s="2">
        <v>146</v>
      </c>
      <c r="G8" s="2">
        <v>20</v>
      </c>
      <c r="H8" s="2">
        <v>0</v>
      </c>
      <c r="I8" t="s">
        <v>4249</v>
      </c>
      <c r="J8" t="str">
        <f t="shared" si="0"/>
        <v>{ name: "Camera Work in the Depths", landmark: "Main Quest", type: "Lookout Landing", region: 1, level: "Surface", x: -252, y: 146, z: 20, weight: 0, details: "Talk to Josha" },</v>
      </c>
    </row>
    <row r="9" spans="1:10" x14ac:dyDescent="0.2">
      <c r="A9" s="7" t="s">
        <v>4230</v>
      </c>
      <c r="B9" t="s">
        <v>1441</v>
      </c>
      <c r="C9" s="2">
        <v>1</v>
      </c>
      <c r="D9" s="2" t="s">
        <v>785</v>
      </c>
      <c r="E9" s="2">
        <v>-255</v>
      </c>
      <c r="F9" s="2">
        <v>138</v>
      </c>
      <c r="G9" s="2">
        <v>19</v>
      </c>
      <c r="H9" s="2">
        <v>0</v>
      </c>
      <c r="I9" t="s">
        <v>4249</v>
      </c>
      <c r="J9" t="str">
        <f t="shared" si="0"/>
        <v>{ name: "A Mystery in the Depths", landmark: "Main Quest", type: "Lookout Landing", region: 1, level: "Surface", x: -255, y: 138, z: 19, weight: 0, details: "Talk to Josha" },</v>
      </c>
    </row>
    <row r="10" spans="1:10" x14ac:dyDescent="0.2">
      <c r="A10" s="7" t="s">
        <v>4239</v>
      </c>
      <c r="B10" t="s">
        <v>1441</v>
      </c>
      <c r="C10" s="2">
        <v>1</v>
      </c>
      <c r="D10" s="2" t="s">
        <v>785</v>
      </c>
      <c r="E10" s="2">
        <v>-247</v>
      </c>
      <c r="F10" s="2">
        <v>153</v>
      </c>
      <c r="G10" s="2">
        <v>26</v>
      </c>
      <c r="H10" s="2">
        <v>0</v>
      </c>
      <c r="I10" t="s">
        <v>4248</v>
      </c>
      <c r="J10" t="str">
        <f t="shared" si="0"/>
        <v>{ name: "Find the Fifth Sage", landmark: "Main Quest", type: "Lookout Landing", region: 1, level: "Surface", x: -247, y: 153, z: 26, weight: 0, details: "Talk to Purah" },</v>
      </c>
    </row>
    <row r="11" spans="1:10" x14ac:dyDescent="0.2">
      <c r="A11" s="7" t="s">
        <v>4244</v>
      </c>
      <c r="B11" t="s">
        <v>1441</v>
      </c>
      <c r="C11" s="2">
        <v>1</v>
      </c>
      <c r="D11" s="2" t="s">
        <v>785</v>
      </c>
      <c r="E11" s="2">
        <v>-235</v>
      </c>
      <c r="F11" s="2">
        <v>153</v>
      </c>
      <c r="G11" s="2">
        <v>26</v>
      </c>
      <c r="H11" s="2">
        <v>0</v>
      </c>
      <c r="I11" t="s">
        <v>4248</v>
      </c>
      <c r="J11" t="str">
        <f t="shared" si="0"/>
        <v>{ name: "Destroy Ganondorf", landmark: "Main Quest", type: "Lookout Landing", region: 1, level: "Surface", x: -235, y: 153, z: 26, weight: 0, details: "Talk to Purah" },</v>
      </c>
    </row>
    <row r="12" spans="1:10" x14ac:dyDescent="0.2">
      <c r="A12" s="7" t="s">
        <v>4228</v>
      </c>
      <c r="B12" t="s">
        <v>1506</v>
      </c>
      <c r="C12" s="2">
        <v>3</v>
      </c>
      <c r="D12" s="2" t="s">
        <v>785</v>
      </c>
      <c r="E12" s="2">
        <v>-1621</v>
      </c>
      <c r="F12" s="2">
        <v>558</v>
      </c>
      <c r="G12" s="2">
        <v>32</v>
      </c>
      <c r="H12" s="2">
        <v>0</v>
      </c>
      <c r="I12" t="s">
        <v>4250</v>
      </c>
      <c r="J12" t="str">
        <f t="shared" si="0"/>
        <v>{ name: "Impa and the Geoglyphs", landmark: "Main Quest", type: "New Serenne Stable", region: 3, level: "Surface", x: -1621, y: 558, z: 32, weight: 0, details: "Talk to Cado" },</v>
      </c>
    </row>
    <row r="13" spans="1:10" x14ac:dyDescent="0.2">
      <c r="A13" s="7" t="s">
        <v>4238</v>
      </c>
      <c r="B13" t="s">
        <v>1506</v>
      </c>
      <c r="C13" s="2">
        <v>3</v>
      </c>
      <c r="D13" s="2" t="s">
        <v>785</v>
      </c>
      <c r="E13" s="2">
        <v>-1609</v>
      </c>
      <c r="F13" s="2">
        <v>558</v>
      </c>
      <c r="G13" s="2">
        <v>32</v>
      </c>
      <c r="H13" s="2">
        <v>0</v>
      </c>
      <c r="I13" t="s">
        <v>4256</v>
      </c>
      <c r="J13" t="str">
        <f t="shared" si="0"/>
        <v>{ name: "The Dragon's Tears", landmark: "Main Quest", type: "New Serenne Stable", region: 3, level: "Surface", x: -1609, y: 558, z: 32, weight: 0, details: "Talk to Impa" },</v>
      </c>
    </row>
    <row r="14" spans="1:10" x14ac:dyDescent="0.2">
      <c r="A14" s="7" t="s">
        <v>4229</v>
      </c>
      <c r="B14" t="s">
        <v>847</v>
      </c>
      <c r="C14" s="2">
        <v>4</v>
      </c>
      <c r="D14" s="2" t="s">
        <v>785</v>
      </c>
      <c r="E14" s="2">
        <v>-3596</v>
      </c>
      <c r="F14" s="2">
        <v>1802</v>
      </c>
      <c r="G14" s="2">
        <v>212</v>
      </c>
      <c r="H14" s="2">
        <v>0</v>
      </c>
      <c r="I14" t="s">
        <v>4251</v>
      </c>
      <c r="J14" t="str">
        <f t="shared" si="0"/>
        <v>{ name: "Tulin of Rito Village", landmark: "Main Quest", type: "Rito Village", region: 4, level: "Surface", x: -3596, y: 1802, z: 212, weight: 0, details: "Talk to Teba" },</v>
      </c>
    </row>
    <row r="15" spans="1:10" x14ac:dyDescent="0.2">
      <c r="A15" s="7" t="s">
        <v>4243</v>
      </c>
      <c r="B15" t="s">
        <v>1399</v>
      </c>
      <c r="C15" s="2">
        <v>6</v>
      </c>
      <c r="D15" s="2" t="s">
        <v>785</v>
      </c>
      <c r="E15" s="2">
        <v>429</v>
      </c>
      <c r="F15" s="2">
        <v>2146</v>
      </c>
      <c r="G15" s="2">
        <v>162</v>
      </c>
      <c r="H15" s="2">
        <v>0</v>
      </c>
      <c r="I15" t="s">
        <v>4260</v>
      </c>
      <c r="J15" t="str">
        <f t="shared" si="0"/>
        <v>{ name: "Recovering the Hero's Sword", landmark: "Main Quest", type: "Korok Forest", region: 6, level: "Surface", x: 429, y: 2146, z: 162, weight: 0, details: "Talk to Great Deku Tree" },</v>
      </c>
    </row>
    <row r="16" spans="1:10" x14ac:dyDescent="0.2">
      <c r="A16" s="7" t="s">
        <v>4232</v>
      </c>
      <c r="B16" t="s">
        <v>1302</v>
      </c>
      <c r="C16" s="2">
        <v>7</v>
      </c>
      <c r="D16" s="2" t="s">
        <v>785</v>
      </c>
      <c r="E16" s="2">
        <v>1649</v>
      </c>
      <c r="F16" s="2">
        <v>2447</v>
      </c>
      <c r="G16" s="2">
        <v>381</v>
      </c>
      <c r="H16" s="2">
        <v>0</v>
      </c>
      <c r="I16" t="s">
        <v>4253</v>
      </c>
      <c r="J16" t="str">
        <f t="shared" si="0"/>
        <v>{ name: "Yunobo of Goron City", landmark: "Main Quest", type: "Goron City", region: 7, level: "Surface", x: 1649, y: 2447, z: 381, weight: 0, details: "Talk to Yunobo" },</v>
      </c>
    </row>
    <row r="17" spans="1:10" x14ac:dyDescent="0.2">
      <c r="A17" s="7" t="s">
        <v>4233</v>
      </c>
      <c r="B17" t="s">
        <v>1730</v>
      </c>
      <c r="C17" s="2">
        <v>9</v>
      </c>
      <c r="D17" s="2" t="s">
        <v>785</v>
      </c>
      <c r="E17" s="2">
        <v>3298</v>
      </c>
      <c r="F17" s="2">
        <v>463</v>
      </c>
      <c r="G17" s="2">
        <v>139</v>
      </c>
      <c r="H17" s="2">
        <v>0</v>
      </c>
      <c r="I17" t="s">
        <v>4261</v>
      </c>
      <c r="J17" t="str">
        <f t="shared" si="0"/>
        <v>{ name: "The Sludge-Covered Statue", landmark: "Main Quest", type: "Zora's Domain", region: 9, level: "Surface", x: 3298, y: 463, z: 139, weight: 0, details: "Approach the Zora near the statue" },</v>
      </c>
    </row>
    <row r="18" spans="1:10" x14ac:dyDescent="0.2">
      <c r="A18" s="7" t="s">
        <v>4234</v>
      </c>
      <c r="B18" t="s">
        <v>1730</v>
      </c>
      <c r="C18" s="2">
        <v>9</v>
      </c>
      <c r="D18" s="2" t="s">
        <v>785</v>
      </c>
      <c r="E18" s="2">
        <v>3310</v>
      </c>
      <c r="F18" s="2">
        <v>464</v>
      </c>
      <c r="G18" s="2">
        <v>139</v>
      </c>
      <c r="H18" s="2">
        <v>0</v>
      </c>
      <c r="I18" t="s">
        <v>4254</v>
      </c>
      <c r="J18" t="str">
        <f t="shared" si="0"/>
        <v>{ name: "Sidon of the Zora", landmark: "Main Quest", type: "Zora's Domain", region: 9, level: "Surface", x: 3310, y: 464, z: 139, weight: 0, details: "Talk to Yona" },</v>
      </c>
    </row>
    <row r="19" spans="1:10" x14ac:dyDescent="0.2">
      <c r="A19" s="7" t="s">
        <v>4235</v>
      </c>
      <c r="B19" t="s">
        <v>1678</v>
      </c>
      <c r="C19" s="2">
        <v>9</v>
      </c>
      <c r="D19" s="2" t="s">
        <v>785</v>
      </c>
      <c r="E19" s="2">
        <v>3405</v>
      </c>
      <c r="F19" s="2">
        <v>886</v>
      </c>
      <c r="G19" s="2">
        <v>400</v>
      </c>
      <c r="H19" s="2">
        <v>0</v>
      </c>
      <c r="I19" t="s">
        <v>4255</v>
      </c>
      <c r="J19" t="str">
        <f t="shared" si="0"/>
        <v>{ name: "The Broken Slate", landmark: "Main Quest", type: "Toto Lake", region: 9, level: "Surface", x: 3405, y: 886, z: 400, weight: 0, details: "Talk to Jiahto" },</v>
      </c>
    </row>
    <row r="20" spans="1:10" x14ac:dyDescent="0.2">
      <c r="A20" s="7" t="s">
        <v>4236</v>
      </c>
      <c r="B20" t="s">
        <v>1678</v>
      </c>
      <c r="C20" s="2">
        <v>9</v>
      </c>
      <c r="D20" s="2" t="s">
        <v>785</v>
      </c>
      <c r="E20" s="2">
        <v>3404</v>
      </c>
      <c r="F20" s="2">
        <v>874</v>
      </c>
      <c r="G20" s="2">
        <v>399</v>
      </c>
      <c r="H20" s="2">
        <v>0</v>
      </c>
      <c r="I20" t="s">
        <v>4255</v>
      </c>
      <c r="J20" t="str">
        <f t="shared" si="0"/>
        <v>{ name: "Clues to the Sky", landmark: "Main Quest", type: "Toto Lake", region: 9, level: "Surface", x: 3404, y: 874, z: 399, weight: 0, details: "Talk to Jiahto" },</v>
      </c>
    </row>
    <row r="21" spans="1:10" x14ac:dyDescent="0.2">
      <c r="A21" s="7" t="s">
        <v>4237</v>
      </c>
      <c r="B21" t="s">
        <v>1730</v>
      </c>
      <c r="C21" s="2">
        <v>9</v>
      </c>
      <c r="D21" s="2" t="s">
        <v>785</v>
      </c>
      <c r="E21" s="2">
        <v>3845</v>
      </c>
      <c r="F21" s="2">
        <v>576</v>
      </c>
      <c r="G21" s="2">
        <v>485</v>
      </c>
      <c r="H21" s="2">
        <v>0</v>
      </c>
      <c r="I21" t="s">
        <v>4254</v>
      </c>
      <c r="J21" t="str">
        <f t="shared" si="0"/>
        <v>{ name: "Restoring the Zora Armor", landmark: "Main Quest", type: "Zora's Domain", region: 9, level: "Surface", x: 3845, y: 576, z: 485, weight: 0, details: "Talk to Yona" },</v>
      </c>
    </row>
    <row r="22" spans="1:10" x14ac:dyDescent="0.2">
      <c r="A22" s="7" t="s">
        <v>4240</v>
      </c>
      <c r="B22" t="s">
        <v>999</v>
      </c>
      <c r="C22" s="2">
        <v>10</v>
      </c>
      <c r="D22" s="2" t="s">
        <v>785</v>
      </c>
      <c r="E22" s="2">
        <v>1814</v>
      </c>
      <c r="F22" s="2">
        <v>-951</v>
      </c>
      <c r="G22" s="2">
        <v>113</v>
      </c>
      <c r="H22" s="2">
        <v>0</v>
      </c>
      <c r="I22" t="s">
        <v>4257</v>
      </c>
      <c r="J22" t="str">
        <f t="shared" si="0"/>
        <v>{ name: "Secret of the Ring Ruins", landmark: "Main Quest", type: "Kakariko Village", region: 10, level: "Surface", x: 1814, y: -951, z: 113, weight: 0, details: "Talk to Tauro" },</v>
      </c>
    </row>
    <row r="23" spans="1:10" x14ac:dyDescent="0.2">
      <c r="A23" s="7" t="s">
        <v>4231</v>
      </c>
      <c r="B23" t="s">
        <v>1284</v>
      </c>
      <c r="C23" s="2">
        <v>14</v>
      </c>
      <c r="D23" s="2" t="s">
        <v>785</v>
      </c>
      <c r="E23" s="2">
        <v>-3897</v>
      </c>
      <c r="F23" s="2">
        <v>-2978</v>
      </c>
      <c r="G23" s="2">
        <v>43</v>
      </c>
      <c r="H23" s="2">
        <v>0</v>
      </c>
      <c r="I23" t="s">
        <v>4252</v>
      </c>
      <c r="J23" t="str">
        <f t="shared" si="0"/>
        <v>{ name: "Riju of Gerudo Town", landmark: "Main Quest", type: "Gerudo Town", region: 14, level: "Surface", x: -3897, y: -2978, z: 43, weight: 0, details: "Talk to Riju" },</v>
      </c>
    </row>
    <row r="24" spans="1:10" x14ac:dyDescent="0.2">
      <c r="A24" s="7" t="s">
        <v>4242</v>
      </c>
      <c r="B24" t="s">
        <v>2402</v>
      </c>
      <c r="C24" s="2">
        <v>13</v>
      </c>
      <c r="D24" s="2" t="s">
        <v>994</v>
      </c>
      <c r="E24" s="2">
        <v>1367</v>
      </c>
      <c r="F24" s="2">
        <v>-3309</v>
      </c>
      <c r="G24" s="2">
        <v>-737</v>
      </c>
      <c r="H24" s="2">
        <v>0</v>
      </c>
      <c r="I24" t="s">
        <v>4259</v>
      </c>
      <c r="J24" t="str">
        <f t="shared" si="0"/>
        <v>{ name: "Trail of the Master Sword", landmark: "Main Quest", type: "Spirit Temple", region: 13, level: "Depths", x: 1367, y: -3309, z: -737, weight: 0, details: "Talk to Mineru" },</v>
      </c>
    </row>
  </sheetData>
  <autoFilter ref="A1:J23" xr:uid="{9B66D1FE-B66F-F348-9F83-5F8C8FFF29B7}">
    <sortState xmlns:xlrd2="http://schemas.microsoft.com/office/spreadsheetml/2017/richdata2" ref="A2:J23">
      <sortCondition ref="C1:C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40"/>
  <sheetViews>
    <sheetView topLeftCell="A93" workbookViewId="0">
      <selection activeCell="A123" sqref="A123"/>
    </sheetView>
  </sheetViews>
  <sheetFormatPr baseColWidth="10" defaultRowHeight="16" x14ac:dyDescent="0.2"/>
  <cols>
    <col min="1" max="1" width="32.6640625" bestFit="1" customWidth="1"/>
    <col min="2" max="2" width="36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3100</v>
      </c>
      <c r="B2" t="s">
        <v>2402</v>
      </c>
      <c r="C2" s="2">
        <v>13</v>
      </c>
      <c r="D2" s="2" t="s">
        <v>994</v>
      </c>
      <c r="E2" s="2">
        <v>1337</v>
      </c>
      <c r="F2" s="2">
        <v>-3356</v>
      </c>
      <c r="G2" s="2">
        <v>-737</v>
      </c>
      <c r="H2" s="2">
        <v>0</v>
      </c>
      <c r="I2" t="s">
        <v>3140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"Ancient Blades Below", landmark: "Side Quest", type: "Spirit Temple", region: 13, level: "Depths", x: 1337, y: -3356, z: -737, weight: 0, details: `&lt;strong&gt;Start:&lt;/strong&gt; Talk to the Mining Construct after Finishing the Spirit Temple&lt;br&gt;&lt;strong&gt;Reward:&lt;/strong&gt; Ancient Blade` },</v>
      </c>
    </row>
    <row r="3" spans="1:10" x14ac:dyDescent="0.2">
      <c r="A3" t="s">
        <v>4662</v>
      </c>
      <c r="B3" t="s">
        <v>788</v>
      </c>
      <c r="C3" s="2">
        <v>1</v>
      </c>
      <c r="D3" s="2" t="s">
        <v>785</v>
      </c>
      <c r="E3" s="2">
        <v>780</v>
      </c>
      <c r="F3" s="2">
        <v>7</v>
      </c>
      <c r="G3" s="2">
        <v>16</v>
      </c>
      <c r="H3" s="2">
        <v>0</v>
      </c>
      <c r="I3" t="s">
        <v>4267</v>
      </c>
      <c r="J3" t="str">
        <f t="shared" ref="J3:J71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"Fell Into a Well!", landmark: "Side Quest", type: "Central Hyrule", region: 1, level: "Surface", x: 780, y: 7, z: 16, weight: 0, details: `&lt;strong&gt;Start:&lt;/strong&gt; 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Rupee` },</v>
      </c>
    </row>
    <row r="4" spans="1:10" x14ac:dyDescent="0.2">
      <c r="A4" t="s">
        <v>3014</v>
      </c>
      <c r="B4" t="s">
        <v>1441</v>
      </c>
      <c r="C4" s="2">
        <v>1</v>
      </c>
      <c r="D4" s="2" t="s">
        <v>785</v>
      </c>
      <c r="E4" s="2">
        <v>-250</v>
      </c>
      <c r="F4" s="2">
        <v>52</v>
      </c>
      <c r="G4" s="2">
        <v>19</v>
      </c>
      <c r="H4" s="2">
        <v>0</v>
      </c>
      <c r="I4" t="s">
        <v>3148</v>
      </c>
      <c r="J4" t="str">
        <f t="shared" si="0"/>
        <v>{ name: "Spotting Spot", landmark: "Side Quest", type: "Lookout Landing", region: 1, level: "Surface", x: -250, y: 52, z: 19, weight: 0, details: `&lt;strong&gt;Start:&lt;/strong&gt; Talk to Lester&lt;br&gt;&lt;strong&gt;Reward:&lt;/strong&gt; Purple Rupee, Swift Carrot` },</v>
      </c>
    </row>
    <row r="5" spans="1:10" x14ac:dyDescent="0.2">
      <c r="A5" t="s">
        <v>3015</v>
      </c>
      <c r="B5" t="s">
        <v>1441</v>
      </c>
      <c r="C5" s="2">
        <v>1</v>
      </c>
      <c r="D5" s="2" t="s">
        <v>785</v>
      </c>
      <c r="E5" s="2">
        <v>-245</v>
      </c>
      <c r="F5" s="2">
        <v>60</v>
      </c>
      <c r="G5" s="2">
        <v>19</v>
      </c>
      <c r="H5" s="2">
        <v>0</v>
      </c>
      <c r="I5" t="s">
        <v>4268</v>
      </c>
      <c r="J5" t="str">
        <f t="shared" si="0"/>
        <v>{ name: "The Incomplete Stable", landmark: "Side Quest", type: "Lookout Landing", region: 1, level: "Surface", x: -245, y: 60, z: 19, weight: 0, details: `&lt;strong&gt;Start:&lt;/strong&gt; Talk to Karson&lt;br&gt;&lt;strong&gt;Reward:&lt;/strong&gt; Unlocked Stable` },</v>
      </c>
    </row>
    <row r="6" spans="1:10" x14ac:dyDescent="0.2">
      <c r="A6" t="s">
        <v>3018</v>
      </c>
      <c r="B6" t="s">
        <v>1441</v>
      </c>
      <c r="C6" s="2">
        <v>1</v>
      </c>
      <c r="D6" s="2" t="s">
        <v>785</v>
      </c>
      <c r="E6" s="2">
        <v>-266</v>
      </c>
      <c r="F6" s="2">
        <v>98</v>
      </c>
      <c r="G6" s="2">
        <v>8</v>
      </c>
      <c r="H6" s="2">
        <v>0</v>
      </c>
      <c r="I6" t="s">
        <v>4270</v>
      </c>
      <c r="J6" t="str">
        <f t="shared" si="0"/>
        <v>{ name: "Today's Menu", landmark: "Side Quest", type: "Lookout Landing", region: 1, level: "Surface", x: -266, y: 98, z: 8, weight: 0, details: `&lt;strong&gt;Start:&lt;/strong&gt; 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Mix` },</v>
      </c>
    </row>
    <row r="7" spans="1:10" x14ac:dyDescent="0.2">
      <c r="A7" t="s">
        <v>3019</v>
      </c>
      <c r="B7" t="s">
        <v>1441</v>
      </c>
      <c r="C7" s="2">
        <v>1</v>
      </c>
      <c r="D7" s="2" t="s">
        <v>785</v>
      </c>
      <c r="E7" s="2">
        <v>-254</v>
      </c>
      <c r="F7" s="2">
        <v>88</v>
      </c>
      <c r="G7" s="2">
        <v>8</v>
      </c>
      <c r="H7" s="2">
        <v>0</v>
      </c>
      <c r="I7" t="s">
        <v>4269</v>
      </c>
      <c r="J7" t="str">
        <f t="shared" si="0"/>
        <v>{ name: "Unknown Huge Silhouette", landmark: "Side Quest", type: "Lookout Landing", region: 1, level: "Surface", x: -254, y: 88,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8" spans="1:10" x14ac:dyDescent="0.2">
      <c r="A8" t="s">
        <v>3020</v>
      </c>
      <c r="B8" t="s">
        <v>1441</v>
      </c>
      <c r="C8" s="2">
        <v>1</v>
      </c>
      <c r="D8" s="2" t="s">
        <v>785</v>
      </c>
      <c r="E8" s="2">
        <v>-264</v>
      </c>
      <c r="F8" s="2">
        <v>80</v>
      </c>
      <c r="G8" s="2">
        <v>8</v>
      </c>
      <c r="H8" s="2">
        <v>0</v>
      </c>
      <c r="I8" t="s">
        <v>4269</v>
      </c>
      <c r="J8" t="str">
        <f t="shared" si="0"/>
        <v>{ name: "Unknown Sky Giant", landmark: "Side Quest", type: "Lookout Landing", region: 1, level: "Surface", x: -264,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9" spans="1:10" x14ac:dyDescent="0.2">
      <c r="A9" t="s">
        <v>3021</v>
      </c>
      <c r="B9" t="s">
        <v>1441</v>
      </c>
      <c r="C9" s="2">
        <v>1</v>
      </c>
      <c r="D9" s="2" t="s">
        <v>785</v>
      </c>
      <c r="E9" s="2">
        <v>-244</v>
      </c>
      <c r="F9" s="2">
        <v>80</v>
      </c>
      <c r="G9" s="2">
        <v>8</v>
      </c>
      <c r="H9" s="2">
        <v>0</v>
      </c>
      <c r="I9" t="s">
        <v>4269</v>
      </c>
      <c r="J9" t="str">
        <f t="shared" si="0"/>
        <v>{ name: "Unknown Three-Headed Monster", landmark: "Side Quest", type: "Lookout Landing", region: 1, level: "Surface", x: -244,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0" spans="1:10" x14ac:dyDescent="0.2">
      <c r="A10" t="s">
        <v>3022</v>
      </c>
      <c r="B10" t="s">
        <v>1441</v>
      </c>
      <c r="C10" s="2">
        <v>1</v>
      </c>
      <c r="D10" s="2" t="s">
        <v>785</v>
      </c>
      <c r="E10" s="2">
        <v>-209</v>
      </c>
      <c r="F10" s="2">
        <v>81</v>
      </c>
      <c r="G10" s="2">
        <v>19</v>
      </c>
      <c r="H10" s="2">
        <v>0</v>
      </c>
      <c r="I10" t="s">
        <v>3118</v>
      </c>
      <c r="J10" t="str">
        <f t="shared" si="0"/>
        <v>{ name: "Village Attacked by Pirates", landmark: "Side Quest", type: "Lookout Landing", region: 1, level: "Surface", x: -209, y: 81, z: 19, weight: 0, details: `&lt;strong&gt;Start:&lt;/strong&gt; Talk to Garini&lt;br&gt;&lt;strong&gt;Reward:&lt;/strong&gt; Mighty Salt-Grilled Crab` },</v>
      </c>
    </row>
    <row r="11" spans="1:10" x14ac:dyDescent="0.2">
      <c r="A11" t="s">
        <v>4663</v>
      </c>
      <c r="B11" t="s">
        <v>1441</v>
      </c>
      <c r="C11" s="2">
        <v>1</v>
      </c>
      <c r="D11" s="2" t="s">
        <v>785</v>
      </c>
      <c r="E11" s="2">
        <v>-244</v>
      </c>
      <c r="F11" s="2">
        <v>96</v>
      </c>
      <c r="G11" s="2">
        <v>8</v>
      </c>
      <c r="H11" s="2">
        <v>0</v>
      </c>
      <c r="I11" t="s">
        <v>4269</v>
      </c>
      <c r="J11" t="str">
        <f t="shared" si="0"/>
        <v>{ name: "Wanted: Hinox", landmark: "Side Quest", type: "Lookout Landing", region: 1, level: "Surface", x: -244, y: 96,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2" spans="1:10" x14ac:dyDescent="0.2">
      <c r="A12" t="s">
        <v>4664</v>
      </c>
      <c r="B12" t="s">
        <v>1441</v>
      </c>
      <c r="C12" s="2">
        <v>1</v>
      </c>
      <c r="D12" s="2" t="s">
        <v>785</v>
      </c>
      <c r="E12" s="2">
        <v>-254</v>
      </c>
      <c r="F12" s="2">
        <v>104</v>
      </c>
      <c r="G12" s="2">
        <v>8</v>
      </c>
      <c r="H12" s="2">
        <v>0</v>
      </c>
      <c r="I12" t="s">
        <v>4269</v>
      </c>
      <c r="J12" t="str">
        <f t="shared" si="0"/>
        <v>{ name: "Wanted: Molduga", landmark: "Side Quest", type: "Lookout Landing", region: 1, level: "Surface", x: -254, y: 104,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3" spans="1:10" x14ac:dyDescent="0.2">
      <c r="A13" t="s">
        <v>4665</v>
      </c>
      <c r="B13" t="s">
        <v>1441</v>
      </c>
      <c r="C13" s="2">
        <v>1</v>
      </c>
      <c r="D13" s="2" t="s">
        <v>785</v>
      </c>
      <c r="E13" s="2">
        <v>-244</v>
      </c>
      <c r="F13" s="2">
        <v>112</v>
      </c>
      <c r="G13" s="2">
        <v>8</v>
      </c>
      <c r="H13" s="2">
        <v>0</v>
      </c>
      <c r="I13" t="s">
        <v>4269</v>
      </c>
      <c r="J13" t="str">
        <f t="shared" si="0"/>
        <v>{ name: "Wanted: Stone Talus", landmark: "Side Quest", type: "Lookout Landing", region: 1, level: "Surface", x: -244, y: 112,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4" spans="1:10" x14ac:dyDescent="0.2">
      <c r="A14" t="s">
        <v>3011</v>
      </c>
      <c r="B14" t="s">
        <v>1529</v>
      </c>
      <c r="C14" s="2">
        <v>2</v>
      </c>
      <c r="D14" s="2" t="s">
        <v>785</v>
      </c>
      <c r="E14" s="2">
        <v>-1452</v>
      </c>
      <c r="F14" s="2">
        <v>-1259</v>
      </c>
      <c r="G14" s="2">
        <v>32</v>
      </c>
      <c r="H14" s="2">
        <v>0</v>
      </c>
      <c r="I14" t="s">
        <v>4443</v>
      </c>
      <c r="J14" t="str">
        <f t="shared" si="0"/>
        <v>{ name: "A Picture for Outskirt Stable", landmark: "Side Quest", type: "Outskirt Stable", region: 2, level: "Surface", x: -1452, y: -1259, z: 32, weight: 0, details: `&lt;strong&gt;Start:&lt;/strong&gt; 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Tart` },</v>
      </c>
    </row>
    <row r="15" spans="1:10" x14ac:dyDescent="0.2">
      <c r="A15" t="s">
        <v>3012</v>
      </c>
      <c r="B15" t="s">
        <v>1578</v>
      </c>
      <c r="C15" s="2">
        <v>2</v>
      </c>
      <c r="D15" s="2" t="s">
        <v>785</v>
      </c>
      <c r="E15" s="2">
        <v>329</v>
      </c>
      <c r="F15" s="2">
        <v>-1085</v>
      </c>
      <c r="G15" s="2">
        <v>10</v>
      </c>
      <c r="H15" s="2">
        <v>0</v>
      </c>
      <c r="I15" t="s">
        <v>4444</v>
      </c>
      <c r="J15" t="str">
        <f t="shared" si="0"/>
        <v>{ name: "A Picture for Riverside Stable", landmark: "Side Quest", type: "Riverside Stable", region: 2, level: "Surface", x: 329, y: -1085, z: 10, weight: 0, details: `&lt;strong&gt;Start:&lt;/strong&gt; 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Stir-Fry` },</v>
      </c>
    </row>
    <row r="16" spans="1:10" x14ac:dyDescent="0.2">
      <c r="A16" t="s">
        <v>3013</v>
      </c>
      <c r="B16" t="s">
        <v>1578</v>
      </c>
      <c r="C16" s="2">
        <v>2</v>
      </c>
      <c r="D16" s="2" t="s">
        <v>785</v>
      </c>
      <c r="E16" s="2">
        <v>367</v>
      </c>
      <c r="F16" s="2">
        <v>-1103</v>
      </c>
      <c r="G16" s="2">
        <v>9</v>
      </c>
      <c r="H16" s="2">
        <v>0</v>
      </c>
      <c r="I16" t="s">
        <v>3116</v>
      </c>
      <c r="J16" t="str">
        <f t="shared" si="0"/>
        <v>{ name: "Feathered Fugitives", landmark: "Side Quest", type: "Riverside Stable", region: 2, level: "Surface", x: 367, y: -1103, z: 9, weight: 0, details: `&lt;strong&gt;Start:&lt;/strong&gt; Talk to Teli&lt;br&gt;&lt;strong&gt;Reward:&lt;/strong&gt; Silver Rupee` },</v>
      </c>
    </row>
    <row r="17" spans="1:10" x14ac:dyDescent="0.2">
      <c r="A17" t="s">
        <v>3033</v>
      </c>
      <c r="B17" t="s">
        <v>1529</v>
      </c>
      <c r="C17" s="2">
        <v>2</v>
      </c>
      <c r="D17" s="2" t="s">
        <v>785</v>
      </c>
      <c r="E17" s="2">
        <v>-1449</v>
      </c>
      <c r="F17" s="2">
        <v>-1251</v>
      </c>
      <c r="G17" s="2">
        <v>32</v>
      </c>
      <c r="H17" s="2">
        <v>0</v>
      </c>
      <c r="I17" t="s">
        <v>4272</v>
      </c>
      <c r="J17" t="str">
        <f t="shared" si="0"/>
        <v>{ name: "The Horse Guard's Request", landmark: "Side Quest", type: "Outskirt Stable", region: 2, level: "Surface", x: -1449, y: -1251, z: 32, weight: 0, details: `&lt;strong&gt;Start:&lt;/strong&gt; Speak with Toffa&lt;br&gt;&lt;strong&gt;Reward:&lt;/strong&gt; Purple Rupee, Silver Rupee, 2 Pony Points` },</v>
      </c>
    </row>
    <row r="18" spans="1:10" x14ac:dyDescent="0.2">
      <c r="A18" t="s">
        <v>3010</v>
      </c>
      <c r="B18" t="s">
        <v>1506</v>
      </c>
      <c r="C18" s="2">
        <v>3</v>
      </c>
      <c r="D18" s="2" t="s">
        <v>785</v>
      </c>
      <c r="E18" s="2">
        <v>-1360</v>
      </c>
      <c r="F18" s="2">
        <v>727</v>
      </c>
      <c r="G18" s="2">
        <v>86</v>
      </c>
      <c r="H18" s="2">
        <v>0</v>
      </c>
      <c r="I18" t="s">
        <v>4445</v>
      </c>
      <c r="J18" t="str">
        <f t="shared" si="0"/>
        <v>{ name: "A Picture for New Serenne Stable", landmark: "Side Quest", type: "New Serenne Stable", region: 3, level: "Surface", x: -1360, y: 727, z: 86, weight: 0, details: `&lt;strong&gt;Start:&lt;/strong&gt; 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Point` },</v>
      </c>
    </row>
    <row r="19" spans="1:10" x14ac:dyDescent="0.2">
      <c r="A19" t="s">
        <v>4219</v>
      </c>
      <c r="B19" t="s">
        <v>1650</v>
      </c>
      <c r="C19" s="2">
        <v>3</v>
      </c>
      <c r="D19" s="2" t="s">
        <v>785</v>
      </c>
      <c r="E19" s="2">
        <v>-2933</v>
      </c>
      <c r="F19" s="2">
        <v>540</v>
      </c>
      <c r="G19" s="2">
        <v>169</v>
      </c>
      <c r="H19" s="2">
        <v>0</v>
      </c>
      <c r="I19" t="s">
        <v>4446</v>
      </c>
      <c r="J19" t="str">
        <f t="shared" si="0"/>
        <v>{ name: "A Picture for Tabantha Bridge Stable", landmark: "Side Quest", type: "Tabantha Bridge Stable", region: 3, level: "Surface", x: -2933, y: 540, z: 169, weight: 0, details: `&lt;strong&gt;Start:&lt;/strong&gt; 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Elixir` },</v>
      </c>
    </row>
    <row r="20" spans="1:10" x14ac:dyDescent="0.2">
      <c r="A20" t="s">
        <v>3023</v>
      </c>
      <c r="B20" t="s">
        <v>799</v>
      </c>
      <c r="C20" s="2">
        <v>3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4277</v>
      </c>
      <c r="J20" t="str">
        <f t="shared" si="0"/>
        <v>{ name: "Cave Mushrooms That Glow", landmark: "Side Quest", type: "Tabantha Frontier", region: 3, level: "Surface", x: -2987, y: 1655, z: 199, weight: 0, details: `&lt;strong&gt;Start:&lt;/strong&gt; Talk to Nat&lt;br&gt;&lt;strong&gt;Reward:&lt;/strong&gt; Spicy Tomato Mushroom Stew` },</v>
      </c>
    </row>
    <row r="21" spans="1:10" x14ac:dyDescent="0.2">
      <c r="A21" t="s">
        <v>3027</v>
      </c>
      <c r="B21" t="s">
        <v>1506</v>
      </c>
      <c r="C21" s="2">
        <v>3</v>
      </c>
      <c r="D21" s="2" t="s">
        <v>785</v>
      </c>
      <c r="E21" s="2">
        <v>-1333</v>
      </c>
      <c r="F21" s="2">
        <v>723</v>
      </c>
      <c r="G21" s="2">
        <v>85</v>
      </c>
      <c r="H21" s="2">
        <v>0</v>
      </c>
      <c r="I21" t="s">
        <v>4271</v>
      </c>
      <c r="J21" t="str">
        <f t="shared" si="0"/>
        <v>{ name: "Horse-Drawn Dreams", landmark: "Side Quest", type: "New Serenne Stable", region: 3, level: "Surface", x: -1333, y: 723, z: 85, weight: 0, details: `&lt;strong&gt;Start:&lt;/strong&gt; Speak With Zumi&lt;br&gt;&lt;strong&gt;Reward:&lt;/strong&gt; 100 Rupees` },</v>
      </c>
    </row>
    <row r="22" spans="1:10" x14ac:dyDescent="0.2">
      <c r="A22" t="s">
        <v>3030</v>
      </c>
      <c r="B22" t="s">
        <v>1652</v>
      </c>
      <c r="C22" s="2">
        <v>3</v>
      </c>
      <c r="D22" s="2" t="s">
        <v>785</v>
      </c>
      <c r="E22" s="2">
        <v>-2682</v>
      </c>
      <c r="F22" s="2">
        <v>1673</v>
      </c>
      <c r="G22" s="2">
        <v>258</v>
      </c>
      <c r="H22" s="2">
        <v>0</v>
      </c>
      <c r="I22" t="s">
        <v>3149</v>
      </c>
      <c r="J22" t="str">
        <f t="shared" si="0"/>
        <v>{ name: "Open the Door", landmark: "Side Quest", type: "Tabantha Hills", region: 3, level: "Surface", x: -2682, y: 1673, z: 258, weight: 0, details: `&lt;strong&gt;Start:&lt;/strong&gt; Talk to Jogo Through the Door of the Hut&lt;br&gt;&lt;strong&gt;Reward:&lt;/strong&gt; Spicy Elixir, Traveler's Shield` },</v>
      </c>
    </row>
    <row r="23" spans="1:10" x14ac:dyDescent="0.2">
      <c r="A23" t="s">
        <v>3035</v>
      </c>
      <c r="B23" t="s">
        <v>1444</v>
      </c>
      <c r="C23" s="2">
        <v>3</v>
      </c>
      <c r="D23" s="2" t="s">
        <v>785</v>
      </c>
      <c r="E23" s="2">
        <v>-3296</v>
      </c>
      <c r="F23" s="2">
        <v>1802</v>
      </c>
      <c r="G23" s="2">
        <v>121</v>
      </c>
      <c r="H23" s="2">
        <v>0</v>
      </c>
      <c r="I23" t="s">
        <v>4278</v>
      </c>
      <c r="J23" t="str">
        <f t="shared" si="0"/>
        <v>{ name: "The Rito Rope Bridge", landmark: "Side Quest", type: "Lucky Clover Gazette", region: 3, level: "Surface", x: -3296, y: 1802, z: 121, weight: 0, details: `&lt;strong&gt;Start:&lt;/strong&gt; 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Rupee` },</v>
      </c>
    </row>
    <row r="24" spans="1:10" x14ac:dyDescent="0.2">
      <c r="A24" t="s">
        <v>4657</v>
      </c>
      <c r="B24" t="s">
        <v>1624</v>
      </c>
      <c r="C24" s="2">
        <v>3</v>
      </c>
      <c r="D24" s="2" t="s">
        <v>785</v>
      </c>
      <c r="E24" s="2">
        <v>-2947</v>
      </c>
      <c r="F24" s="2">
        <v>513</v>
      </c>
      <c r="G24" s="2">
        <v>144</v>
      </c>
      <c r="H24" s="2">
        <v>0</v>
      </c>
      <c r="I24" t="s">
        <v>4279</v>
      </c>
      <c r="J24" t="str">
        <f t="shared" si="0"/>
        <v>{ name: "Where Are the Wells?", landmark: "Side Quest", type: "South Akkala Stable Well", region: 3, level: "Surface", x: -2947, y: 513, z: 144, weight: 0, details: `&lt;strong&gt;Start:&lt;/strong&gt; Talk to Fera&lt;br&gt;&lt;strong&gt;Reward:&lt;/strong&gt; All's Well` },</v>
      </c>
    </row>
    <row r="25" spans="1:10" x14ac:dyDescent="0.2">
      <c r="A25" t="s">
        <v>3024</v>
      </c>
      <c r="B25" t="s">
        <v>1176</v>
      </c>
      <c r="C25" s="2">
        <v>4</v>
      </c>
      <c r="D25" s="2" t="s">
        <v>785</v>
      </c>
      <c r="E25" s="2">
        <v>-3217</v>
      </c>
      <c r="F25" s="2">
        <v>2456</v>
      </c>
      <c r="G25" s="2">
        <v>347</v>
      </c>
      <c r="H25" s="2">
        <v>0</v>
      </c>
      <c r="I25" t="s">
        <v>4280</v>
      </c>
      <c r="J25" t="str">
        <f t="shared" si="0"/>
        <v>{ name: "Crossing the Cold Pool", landmark: "Side Quest", type: "Corvash Peak", region: 4, level: "Surface", x: -3217, y: 2456, z: 347, weight: 0, details: `&lt;strong&gt;Start:&lt;/strong&gt; Speak With Verla&lt;br&gt;&lt;strong&gt;Reward:&lt;/strong&gt; 50 Rupees` },</v>
      </c>
    </row>
    <row r="26" spans="1:10" x14ac:dyDescent="0.2">
      <c r="A26" t="s">
        <v>3025</v>
      </c>
      <c r="B26" t="s">
        <v>847</v>
      </c>
      <c r="C26" s="2">
        <v>4</v>
      </c>
      <c r="D26" s="2" t="s">
        <v>785</v>
      </c>
      <c r="E26" s="2">
        <v>-3654</v>
      </c>
      <c r="F26" s="2">
        <v>1763</v>
      </c>
      <c r="G26" s="2">
        <v>214</v>
      </c>
      <c r="H26" s="2">
        <v>0</v>
      </c>
      <c r="I26" t="s">
        <v>4281</v>
      </c>
      <c r="J26" t="str">
        <f t="shared" si="0"/>
        <v>{ name: "Fish for Fletching", landmark: "Side Quest", type: "Rito Village", region: 4, level: "Surface", x: -3654, y: 1763, z: 214, weight: 0, details: `&lt;strong&gt;Start:&lt;/strong&gt; 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x10` },</v>
      </c>
    </row>
    <row r="27" spans="1:10" x14ac:dyDescent="0.2">
      <c r="A27" t="s">
        <v>3026</v>
      </c>
      <c r="B27" t="s">
        <v>847</v>
      </c>
      <c r="C27" s="2">
        <v>4</v>
      </c>
      <c r="D27" s="2" t="s">
        <v>785</v>
      </c>
      <c r="E27" s="2">
        <v>-3641</v>
      </c>
      <c r="F27" s="2">
        <v>1820</v>
      </c>
      <c r="G27" s="2">
        <v>184</v>
      </c>
      <c r="H27" s="2">
        <v>0</v>
      </c>
      <c r="I27" t="s">
        <v>3119</v>
      </c>
      <c r="J27" t="str">
        <f t="shared" si="0"/>
        <v>{ name: "Genli's Home Cooking", landmark: "Side Quest", type: "Rito Village", region: 4, level: "Surface", x: -3641, y: 1820, z: 184, weight: 0, details: `&lt;strong&gt;Start:&lt;/strong&gt; Talk to Genli at the General Store&lt;br&gt;&lt;strong&gt;Reward:&lt;/strong&gt; Biting Simmered Fruit` },</v>
      </c>
    </row>
    <row r="28" spans="1:10" x14ac:dyDescent="0.2">
      <c r="A28" t="s">
        <v>3038</v>
      </c>
      <c r="B28" t="s">
        <v>2594</v>
      </c>
      <c r="C28" s="2">
        <v>4</v>
      </c>
      <c r="D28" s="2" t="s">
        <v>785</v>
      </c>
      <c r="E28" s="2">
        <v>-3883</v>
      </c>
      <c r="F28" s="2">
        <v>3691</v>
      </c>
      <c r="G28" s="2">
        <v>223</v>
      </c>
      <c r="H28" s="2">
        <v>0</v>
      </c>
      <c r="I28" t="s">
        <v>4282</v>
      </c>
      <c r="J28" t="str">
        <f t="shared" si="0"/>
        <v>{ name: "Gerudo's Colossal Fossil", landmark: "Side Quest", type: "Gerudo Great Skeleton", region: 4, level: "Surface", x: -3883, y: 3691, z: 223, weight: 0, details: `&lt;strong&gt;Start:&lt;/strong&gt; Finish &lt;img src="icons/side-quest.png" style="height: 20px; width: 20px; vertical-align: middle; margin-right: 5px;"&gt;&lt;span style="color: #c6a96a; font-weight: bold;"&gt;Hebra's Colossal Fossil&lt;/span&gt;&lt;br&gt;&lt;strong&gt;Reward:&lt;/strong&gt; Purple Rupee` },</v>
      </c>
    </row>
    <row r="29" spans="1:10" x14ac:dyDescent="0.2">
      <c r="A29" t="s">
        <v>4636</v>
      </c>
      <c r="B29" t="s">
        <v>1217</v>
      </c>
      <c r="C29" s="2">
        <v>4</v>
      </c>
      <c r="D29" s="2" t="s">
        <v>785</v>
      </c>
      <c r="E29" s="2">
        <v>-3794</v>
      </c>
      <c r="F29" s="2">
        <v>2319</v>
      </c>
      <c r="G29" s="2">
        <v>161</v>
      </c>
      <c r="H29" s="2">
        <v>0</v>
      </c>
      <c r="I29" t="s">
        <v>4283</v>
      </c>
      <c r="J29" t="str">
        <f t="shared" si="0"/>
        <v>{ name: "Kaneli’s Flight Training", landmark: "Side Quest", type: "Dronoc's Pass", region: 4, level: "Surface", x: -3794, y: 2319, z: 161, weight: 0, details: `&lt;strong&gt;Start:&lt;/strong&gt; Talk to Kaneli&lt;br&gt;&lt;strong&gt;Reward:&lt;/strong&gt; Purple Rupee` },</v>
      </c>
    </row>
    <row r="30" spans="1:10" x14ac:dyDescent="0.2">
      <c r="A30" t="s">
        <v>3028</v>
      </c>
      <c r="B30" t="s">
        <v>847</v>
      </c>
      <c r="C30" s="2">
        <v>4</v>
      </c>
      <c r="D30" s="2" t="s">
        <v>785</v>
      </c>
      <c r="E30" s="2">
        <v>-3609</v>
      </c>
      <c r="F30" s="2">
        <v>1824</v>
      </c>
      <c r="G30" s="2">
        <v>218</v>
      </c>
      <c r="H30" s="2">
        <v>0</v>
      </c>
      <c r="I30" t="s">
        <v>4284</v>
      </c>
      <c r="J30" t="str">
        <f t="shared" si="0"/>
        <v>{ name: "Legacy of the Rito", landmark: "Side Quest", type: "Rito Village", region: 4, level: "Surface", x: -3609, y: 1824, z: 218, weight: 0, details: `&lt;strong&gt;Start:&lt;/strong&gt; 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Bow` },</v>
      </c>
    </row>
    <row r="31" spans="1:10" x14ac:dyDescent="0.2">
      <c r="A31" t="s">
        <v>3029</v>
      </c>
      <c r="B31" t="s">
        <v>847</v>
      </c>
      <c r="C31" s="2">
        <v>4</v>
      </c>
      <c r="D31" s="2" t="s">
        <v>785</v>
      </c>
      <c r="E31" s="2">
        <v>-3616</v>
      </c>
      <c r="F31" s="2">
        <v>1793</v>
      </c>
      <c r="G31" s="2">
        <v>214</v>
      </c>
      <c r="H31" s="2">
        <v>0</v>
      </c>
      <c r="I31" t="s">
        <v>4285</v>
      </c>
      <c r="J31" t="str">
        <f t="shared" si="0"/>
        <v>{ name: "Molli the Fletcher's Quest", landmark: "Side Quest", type: "Rito Village", region: 4, level: "Surface", x: -3616, y: 1793, z: 214, weight: 0, details: `&lt;strong&gt;Start:&lt;/strong&gt; Speak With Molli in Her Home&lt;br&gt;&lt;strong&gt;Reward:&lt;/strong&gt; Arrow x10` },</v>
      </c>
    </row>
    <row r="32" spans="1:10" x14ac:dyDescent="0.2">
      <c r="A32" t="s">
        <v>3032</v>
      </c>
      <c r="B32" t="s">
        <v>1585</v>
      </c>
      <c r="C32" s="2">
        <v>4</v>
      </c>
      <c r="D32" s="2" t="s">
        <v>785</v>
      </c>
      <c r="E32" s="2">
        <v>-3581</v>
      </c>
      <c r="F32" s="2">
        <v>2474</v>
      </c>
      <c r="G32" s="2">
        <v>228</v>
      </c>
      <c r="H32" s="2">
        <v>0</v>
      </c>
      <c r="I32" t="s">
        <v>4286</v>
      </c>
      <c r="J32" t="str">
        <f t="shared" si="0"/>
        <v>{ name: "The Blocked Cave", landmark: "Side Quest", type: "Rospro Pass", region: 4, level: "Surface", x: -3581, y: 2474, z: 228, weight: 0, details: `&lt;strong&gt;Start:&lt;/strong&gt; Find and Talk to Mazli&lt;br&gt;&lt;strong&gt;Reward:&lt;/strong&gt; Red Rupee` },</v>
      </c>
    </row>
    <row r="33" spans="1:10" x14ac:dyDescent="0.2">
      <c r="A33" t="s">
        <v>3040</v>
      </c>
      <c r="B33" t="s">
        <v>1135</v>
      </c>
      <c r="C33" s="2">
        <v>4</v>
      </c>
      <c r="D33" s="2" t="s">
        <v>785</v>
      </c>
      <c r="E33" s="2">
        <v>-2954</v>
      </c>
      <c r="F33" s="2">
        <v>3140</v>
      </c>
      <c r="G33" s="2">
        <v>572</v>
      </c>
      <c r="H33" s="2">
        <v>0</v>
      </c>
      <c r="I33" t="s">
        <v>4288</v>
      </c>
      <c r="J33" t="str">
        <f t="shared" si="0"/>
        <v>{ name: "The Duchess Who Disappeared", landmark: "Side Quest", type: "Biron Snowshelf", region: 4, level: "Surface", x: -2954, y: 3140, z: 572, weight: 0, details: `&lt;strong&gt;Start:&lt;/strong&gt; 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Shield` },</v>
      </c>
    </row>
    <row r="34" spans="1:10" x14ac:dyDescent="0.2">
      <c r="A34" t="s">
        <v>3036</v>
      </c>
      <c r="B34" t="s">
        <v>847</v>
      </c>
      <c r="C34" s="2">
        <v>4</v>
      </c>
      <c r="D34" s="2" t="s">
        <v>785</v>
      </c>
      <c r="E34" s="2">
        <v>-3610</v>
      </c>
      <c r="F34" s="2">
        <v>1812</v>
      </c>
      <c r="G34" s="2">
        <v>218</v>
      </c>
      <c r="H34" s="2">
        <v>0</v>
      </c>
      <c r="I34" t="s">
        <v>4287</v>
      </c>
      <c r="J34" t="str">
        <f t="shared" si="0"/>
        <v>{ name: "Treasure of the Secret Springs", landmark: "Side Quest", type: "Rito Village", region: 4, level: "Surface", x: -3610, y: 1812, z: 218, weight: 0, details: `&lt;strong&gt;Start:&lt;/strong&gt; 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Helm` },</v>
      </c>
    </row>
    <row r="35" spans="1:10" x14ac:dyDescent="0.2">
      <c r="A35" t="s">
        <v>3037</v>
      </c>
      <c r="B35" t="s">
        <v>1619</v>
      </c>
      <c r="C35" s="2">
        <v>5</v>
      </c>
      <c r="D35" s="2" t="s">
        <v>785</v>
      </c>
      <c r="E35" s="2">
        <v>-1644</v>
      </c>
      <c r="F35" s="2">
        <v>2572</v>
      </c>
      <c r="G35" s="2">
        <v>234</v>
      </c>
      <c r="H35" s="2">
        <v>0</v>
      </c>
      <c r="I35" t="s">
        <v>4447</v>
      </c>
      <c r="J35" t="str">
        <f t="shared" si="0"/>
        <v>{ name: "A Picture for Snowfield Stable", landmark: "Side Quest", type: "Snowfield Stable", region: 5, level: "Surface", x: -1644, y: 2572, z: 234, weight: 0, details: `&lt;strong&gt;Start:&lt;/strong&gt; 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Stew` },</v>
      </c>
    </row>
    <row r="36" spans="1:10" x14ac:dyDescent="0.2">
      <c r="A36" t="s">
        <v>3031</v>
      </c>
      <c r="B36" t="s">
        <v>1652</v>
      </c>
      <c r="C36" s="2">
        <v>5</v>
      </c>
      <c r="D36" s="2" t="s">
        <v>785</v>
      </c>
      <c r="E36" s="2">
        <v>-2175</v>
      </c>
      <c r="F36" s="2">
        <v>2028</v>
      </c>
      <c r="G36" s="2">
        <v>363</v>
      </c>
      <c r="H36" s="2">
        <v>0</v>
      </c>
      <c r="I36" t="s">
        <v>3120</v>
      </c>
      <c r="J36" t="str">
        <f t="shared" si="0"/>
        <v>{ name: "Supply-Eyeing Fliers", landmark: "Side Quest", type: "Tabantha Hills", region: 5, level: "Surface", x: -2175, y: 2028, z: 363, weight: 0, details: `&lt;strong&gt;Start:&lt;/strong&gt; Talk to Huck&lt;br&gt;&lt;strong&gt;Reward:&lt;/strong&gt; Purple Rupee` },</v>
      </c>
    </row>
    <row r="37" spans="1:10" x14ac:dyDescent="0.2">
      <c r="A37" t="s">
        <v>3039</v>
      </c>
      <c r="B37" t="s">
        <v>1619</v>
      </c>
      <c r="C37" s="2">
        <v>5</v>
      </c>
      <c r="D37" s="2" t="s">
        <v>785</v>
      </c>
      <c r="E37" s="2">
        <v>-1661</v>
      </c>
      <c r="F37" s="2">
        <v>2542</v>
      </c>
      <c r="G37" s="2">
        <v>233</v>
      </c>
      <c r="H37" s="2">
        <v>0</v>
      </c>
      <c r="I37" t="s">
        <v>4291</v>
      </c>
      <c r="J37" t="str">
        <f t="shared" si="0"/>
        <v>{ name: "The Captured Tent", landmark: "Side Quest", type: "Snowfield Stable", region: 5, level: "Surface", x: -1661, y: 2542, z: 233, weight: 0, details: `&lt;strong&gt;Start:&lt;/strong&gt; 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Mushrooms` },</v>
      </c>
    </row>
    <row r="38" spans="1:10" x14ac:dyDescent="0.2">
      <c r="A38" t="s">
        <v>3034</v>
      </c>
      <c r="B38" t="s">
        <v>1273</v>
      </c>
      <c r="C38" s="2">
        <v>5</v>
      </c>
      <c r="D38" s="2" t="s">
        <v>785</v>
      </c>
      <c r="E38" s="2">
        <v>-1068</v>
      </c>
      <c r="F38" s="2">
        <v>2684</v>
      </c>
      <c r="G38" s="2">
        <v>-81</v>
      </c>
      <c r="H38" s="2">
        <v>0</v>
      </c>
      <c r="I38" t="s">
        <v>4289</v>
      </c>
      <c r="J38" t="str">
        <f t="shared" si="0"/>
        <v>{ name: "The Mother Goddess Statue", landmark: "Side Quest", type: "Forgotten Temple", region: 5, level: "Surface", x: -1068, y: 2684, z: -81, weight: 0, details: `&lt;strong&gt;Start:&lt;/strong&gt; 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Sky` },</v>
      </c>
    </row>
    <row r="39" spans="1:10" x14ac:dyDescent="0.2">
      <c r="A39" t="s">
        <v>3041</v>
      </c>
      <c r="B39" t="s">
        <v>1518</v>
      </c>
      <c r="C39" s="2">
        <v>5</v>
      </c>
      <c r="D39" s="2" t="s">
        <v>785</v>
      </c>
      <c r="E39" s="2">
        <v>-799</v>
      </c>
      <c r="F39" s="2">
        <v>3535</v>
      </c>
      <c r="G39" s="2">
        <v>235</v>
      </c>
      <c r="H39" s="2">
        <v>0</v>
      </c>
      <c r="I39" t="s">
        <v>3121</v>
      </c>
      <c r="J39" t="str">
        <f t="shared" si="0"/>
        <v>{ name: "The North Lomei Prophecy", landmark: "Side Quest", type: "North Lomei Labyrinth", region: 5, level: "Surface", x: -799, y: 3535, z: 235, weight: 0, details: `&lt;strong&gt;Start:&lt;/strong&gt; Activate the North Lomei Labyrinth Terminal&lt;br&gt;&lt;strong&gt;Reward:&lt;/strong&gt; Evil Spirit Greaves` },</v>
      </c>
    </row>
    <row r="40" spans="1:10" x14ac:dyDescent="0.2">
      <c r="A40" t="s">
        <v>3016</v>
      </c>
      <c r="B40" t="s">
        <v>4659</v>
      </c>
      <c r="C40" s="2">
        <v>5</v>
      </c>
      <c r="D40" s="2" t="s">
        <v>785</v>
      </c>
      <c r="E40" s="2">
        <v>-1106</v>
      </c>
      <c r="F40" s="2">
        <v>2658</v>
      </c>
      <c r="G40" s="2">
        <v>0</v>
      </c>
      <c r="H40" s="2">
        <v>0</v>
      </c>
      <c r="I40" t="s">
        <v>4290</v>
      </c>
      <c r="J40" t="str">
        <f t="shared" si="0"/>
        <v>{ name: "The Shrine Explorer", landmark: "Side Quest", type: "Shrine of Light", region: 5, level: "Surface", x: -1106, y: 2658, z: 0, weight: 0, details: `&lt;strong&gt;Start:&lt;/strong&gt; 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Aspect` },</v>
      </c>
    </row>
    <row r="41" spans="1:10" x14ac:dyDescent="0.2">
      <c r="A41" t="s">
        <v>3042</v>
      </c>
      <c r="B41" t="s">
        <v>1619</v>
      </c>
      <c r="C41" s="2">
        <v>5</v>
      </c>
      <c r="D41" s="2" t="s">
        <v>785</v>
      </c>
      <c r="E41" s="2">
        <v>-1654</v>
      </c>
      <c r="F41" s="2">
        <v>2533</v>
      </c>
      <c r="G41" s="2">
        <v>233</v>
      </c>
      <c r="H41" s="2">
        <v>0</v>
      </c>
      <c r="I41" t="s">
        <v>4292</v>
      </c>
      <c r="J41" t="str">
        <f t="shared" si="0"/>
        <v>{ name: "Who Finds the Haven", landmark: "Side Quest", type: "Snowfield Stable", region: 5, level: "Surface", x: -1654, y: 2533, z: 233, weight: 0, details: `&lt;strong&gt;Start:&lt;/strong&gt; 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Mushrooms` },</v>
      </c>
    </row>
    <row r="42" spans="1:10" x14ac:dyDescent="0.2">
      <c r="A42" t="s">
        <v>3058</v>
      </c>
      <c r="B42" t="s">
        <v>1341</v>
      </c>
      <c r="C42" s="2">
        <v>6</v>
      </c>
      <c r="D42" s="2" t="s">
        <v>785</v>
      </c>
      <c r="E42" s="2">
        <v>1670</v>
      </c>
      <c r="F42" s="2">
        <v>3668</v>
      </c>
      <c r="G42" s="2">
        <v>100</v>
      </c>
      <c r="H42" s="2">
        <v>0</v>
      </c>
      <c r="I42" t="s">
        <v>4293</v>
      </c>
      <c r="J42" t="str">
        <f t="shared" si="0"/>
        <v>{ name: "Hebra's Colossal Fossil", landmark: "Side Quest", type: "Hebra North Summit", region: 6, level: "Surface", x: 1670, y: 3668, z: 100, weight: 0, details: `&lt;strong&gt;Start:&lt;/strong&gt; Finish &lt;img src="icons/side-quest.png" style="height: 20px; width: 20px; vertical-align: middle; margin-right: 5px;"&gt;&lt;span style="color: #c6a96a; font-weight: bold;"&gt;Eldin's Colossal Fossil&lt;/span&gt;&lt;br&gt;&lt;strong&gt;Reward:&lt;/strong&gt; Purple Rupee` },</v>
      </c>
    </row>
    <row r="43" spans="1:10" x14ac:dyDescent="0.2">
      <c r="A43" t="s">
        <v>3043</v>
      </c>
      <c r="B43" t="s">
        <v>1399</v>
      </c>
      <c r="C43" s="2">
        <v>6</v>
      </c>
      <c r="D43" s="2" t="s">
        <v>785</v>
      </c>
      <c r="E43" s="2">
        <v>407</v>
      </c>
      <c r="F43" s="2">
        <v>2182</v>
      </c>
      <c r="G43" s="2">
        <v>179</v>
      </c>
      <c r="H43" s="2">
        <v>0</v>
      </c>
      <c r="I43" t="s">
        <v>3122</v>
      </c>
      <c r="J43" t="str">
        <f t="shared" si="0"/>
        <v>{ name: "The Secret Room", landmark: "Side Quest", type: "Korok Forest", region: 6, level: "Surface", x: 407, y: 2182, z: 179, weight: 0, details: `&lt;strong&gt;Start:&lt;/strong&gt; Talk to Oaki&lt;br&gt;&lt;strong&gt;Reward:&lt;/strong&gt; Korok Fabric` },</v>
      </c>
    </row>
    <row r="44" spans="1:10" x14ac:dyDescent="0.2">
      <c r="A44" t="s">
        <v>3017</v>
      </c>
      <c r="B44" t="s">
        <v>1558</v>
      </c>
      <c r="C44" s="2">
        <v>6</v>
      </c>
      <c r="D44" s="2" t="s">
        <v>785</v>
      </c>
      <c r="E44" s="2">
        <v>600</v>
      </c>
      <c r="F44" s="2">
        <v>1283</v>
      </c>
      <c r="G44" s="2">
        <v>47</v>
      </c>
      <c r="H44" s="2">
        <v>0</v>
      </c>
      <c r="I44" t="s">
        <v>3117</v>
      </c>
      <c r="J44" t="str">
        <f t="shared" si="0"/>
        <v>{ name: "The Treasure Hunters", landmark: "Side Quest", type: "Rauru Hillside", region: 6, level: "Surface", x: 600, y: 1283, z: 47, weight: 0, details: `&lt;strong&gt;Start:&lt;/strong&gt; Talk to Domidak&lt;br&gt;&lt;strong&gt;Reward:&lt;/strong&gt; Bomb Flowers` },</v>
      </c>
    </row>
    <row r="45" spans="1:10" x14ac:dyDescent="0.2">
      <c r="A45" t="s">
        <v>3044</v>
      </c>
      <c r="B45" t="s">
        <v>1399</v>
      </c>
      <c r="C45" s="2">
        <v>6</v>
      </c>
      <c r="D45" s="2" t="s">
        <v>785</v>
      </c>
      <c r="E45" s="2">
        <v>424</v>
      </c>
      <c r="F45" s="2">
        <v>2182</v>
      </c>
      <c r="G45" s="2">
        <v>227</v>
      </c>
      <c r="H45" s="2">
        <v>0</v>
      </c>
      <c r="I45" t="s">
        <v>3123</v>
      </c>
      <c r="J45" t="str">
        <f t="shared" si="0"/>
        <v>{ name: "Walton's Treasure Hunt", landmark: "Side Quest", type: "Korok Forest", region: 6, level: "Surface", x: 424, y: 2182, z: 227, weight: 0, details: `&lt;strong&gt;Start:&lt;/strong&gt; Talk to Walton&lt;br&gt;&lt;strong&gt;Reward:&lt;/strong&gt; Forest Dweller's Bow` },</v>
      </c>
    </row>
    <row r="46" spans="1:10" x14ac:dyDescent="0.2">
      <c r="A46" t="s">
        <v>3045</v>
      </c>
      <c r="B46" t="s">
        <v>1399</v>
      </c>
      <c r="C46" s="2">
        <v>6</v>
      </c>
      <c r="D46" s="2" t="s">
        <v>785</v>
      </c>
      <c r="E46" s="2">
        <v>418</v>
      </c>
      <c r="F46" s="2">
        <v>2132</v>
      </c>
      <c r="G46" s="2">
        <v>143</v>
      </c>
      <c r="H46" s="2">
        <v>0</v>
      </c>
      <c r="I46" t="s">
        <v>3124</v>
      </c>
      <c r="J46" t="str">
        <f t="shared" si="0"/>
        <v>{ name: "Whirly Swirly Things", landmark: "Side Quest", type: "Korok Forest", region: 6, level: "Surface", x: 418, y: 2132, z: 143, weight: 0, details: `&lt;strong&gt;Start:&lt;/strong&gt; Talk to Kula After Curing the Deku Tree&lt;br&gt;&lt;strong&gt;Reward:&lt;/strong&gt; Endura Carrot x5` },</v>
      </c>
    </row>
    <row r="47" spans="1:10" x14ac:dyDescent="0.2">
      <c r="A47" t="s">
        <v>3054</v>
      </c>
      <c r="B47" t="s">
        <v>1031</v>
      </c>
      <c r="C47" s="2">
        <v>7</v>
      </c>
      <c r="D47" s="2" t="s">
        <v>785</v>
      </c>
      <c r="E47" s="2">
        <v>2619</v>
      </c>
      <c r="F47" s="2">
        <v>1151</v>
      </c>
      <c r="G47" s="2">
        <v>148</v>
      </c>
      <c r="H47" s="2">
        <v>0</v>
      </c>
      <c r="I47" t="s">
        <v>4448</v>
      </c>
      <c r="J47" t="str">
        <f t="shared" si="0"/>
        <v>{ name: "A Picture for Foothill Stable", landmark: "Side Quest", type: "Foothill Stable", region: 7, level: "Surface", x: 2619, y: 1151, z: 148, weight: 0, details: `&lt;strong&gt;Start:&lt;/strong&gt; 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Elixir` },</v>
      </c>
    </row>
    <row r="48" spans="1:10" x14ac:dyDescent="0.2">
      <c r="A48" t="s">
        <v>3055</v>
      </c>
      <c r="B48" t="s">
        <v>1716</v>
      </c>
      <c r="C48" s="2">
        <v>7</v>
      </c>
      <c r="D48" s="2" t="s">
        <v>785</v>
      </c>
      <c r="E48" s="2">
        <v>1060</v>
      </c>
      <c r="F48" s="2">
        <v>1135</v>
      </c>
      <c r="G48" s="2">
        <v>22</v>
      </c>
      <c r="H48" s="2">
        <v>0</v>
      </c>
      <c r="I48" t="s">
        <v>4449</v>
      </c>
      <c r="J48" t="str">
        <f t="shared" si="0"/>
        <v>{ name: "A Picture for Woodland Stable", landmark: "Side Quest", type: "Woodland Stable", region: 7, level: "Surface", x: 1060, y: 1135, z: 22, weight: 0, details: `&lt;strong&gt;Start:&lt;/strong&gt; 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Curry` },</v>
      </c>
    </row>
    <row r="49" spans="1:10" x14ac:dyDescent="0.2">
      <c r="A49" t="s">
        <v>3056</v>
      </c>
      <c r="B49" t="s">
        <v>1302</v>
      </c>
      <c r="C49" s="2">
        <v>7</v>
      </c>
      <c r="D49" s="2" t="s">
        <v>785</v>
      </c>
      <c r="E49" s="2">
        <v>1660</v>
      </c>
      <c r="F49" s="2">
        <v>2469</v>
      </c>
      <c r="G49" s="2">
        <v>386</v>
      </c>
      <c r="H49" s="2">
        <v>0</v>
      </c>
      <c r="I49" t="s">
        <v>3151</v>
      </c>
      <c r="J49" t="str">
        <f t="shared" si="0"/>
        <v>{ name: "Amber Dealer", landmark: "Side Quest", type: "Goron City", region: 7, level: "Surface", x: 1660, y: 2469, z: 386, weight: 0, details: `&lt;strong&gt;Start:&lt;/strong&gt; Talk to Ramella&lt;br&gt;&lt;strong&gt;Reward:&lt;/strong&gt; Rupees x200, Selling Ores to Ramella` },</v>
      </c>
    </row>
    <row r="50" spans="1:10" x14ac:dyDescent="0.2">
      <c r="A50" t="s">
        <v>3057</v>
      </c>
      <c r="B50" t="s">
        <v>1133</v>
      </c>
      <c r="C50" s="2">
        <v>7</v>
      </c>
      <c r="D50" s="2" t="s">
        <v>785</v>
      </c>
      <c r="E50" s="2">
        <v>1751</v>
      </c>
      <c r="F50" s="2">
        <v>1537</v>
      </c>
      <c r="G50" s="2">
        <v>278</v>
      </c>
      <c r="H50" s="2">
        <v>0</v>
      </c>
      <c r="I50" t="s">
        <v>3129</v>
      </c>
      <c r="J50" t="str">
        <f t="shared" si="0"/>
        <v>{ name: "Cash In on Ripened Flint", landmark: "Side Quest", type: "Bedrock Bistro", region: 7, level: "Surface", x: 1751, y: 1537, z: 278, weight: 0, details: `&lt;strong&gt;Start:&lt;/strong&gt; Talk to Gomo&lt;br&gt;&lt;strong&gt;Reward:&lt;/strong&gt; Rupees x1000` },</v>
      </c>
    </row>
    <row r="51" spans="1:10" x14ac:dyDescent="0.2">
      <c r="A51" t="s">
        <v>4294</v>
      </c>
      <c r="B51" t="s">
        <v>959</v>
      </c>
      <c r="C51" s="2">
        <v>7</v>
      </c>
      <c r="D51" s="2" t="s">
        <v>785</v>
      </c>
      <c r="E51" s="2">
        <v>1828</v>
      </c>
      <c r="F51" s="2">
        <v>2077</v>
      </c>
      <c r="G51" s="2">
        <v>321</v>
      </c>
      <c r="H51" s="2">
        <v>0</v>
      </c>
      <c r="I51" t="s">
        <v>4299</v>
      </c>
      <c r="J51" t="str">
        <f t="shared" si="0"/>
        <v>{ name: "Mine-Cart Land: Quickshot Course", landmark: "Side Quest", type: "Southern Mine", region: 7, level: "Surface", x: 1828, y: 2077,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Rupee` },</v>
      </c>
    </row>
    <row r="52" spans="1:10" x14ac:dyDescent="0.2">
      <c r="A52" t="s">
        <v>4295</v>
      </c>
      <c r="B52" t="s">
        <v>1165</v>
      </c>
      <c r="C52" s="2">
        <v>7</v>
      </c>
      <c r="D52" s="2" t="s">
        <v>785</v>
      </c>
      <c r="E52" s="2">
        <v>2582</v>
      </c>
      <c r="F52" s="2">
        <v>1426</v>
      </c>
      <c r="G52" s="2">
        <v>134</v>
      </c>
      <c r="H52" s="2">
        <v>0</v>
      </c>
      <c r="I52" t="s">
        <v>4296</v>
      </c>
      <c r="J52" t="str">
        <f t="shared" si="0"/>
        <v>{ name: "Misko's Treasure: The Fierce Deity", landmark: "Side Quest", type: "Cephla Lake", region: 7, level: "Surface", x: 2582, y: 1426, z: 134, weight: 0, details: `&lt;strong&gt;Start:&lt;/strong&gt; 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Sword` },</v>
      </c>
    </row>
    <row r="53" spans="1:10" x14ac:dyDescent="0.2">
      <c r="A53" t="s">
        <v>4640</v>
      </c>
      <c r="B53" t="s">
        <v>1302</v>
      </c>
      <c r="C53" s="2">
        <v>7</v>
      </c>
      <c r="D53" s="2" t="s">
        <v>785</v>
      </c>
      <c r="E53" s="2">
        <v>1648</v>
      </c>
      <c r="F53" s="2">
        <v>2439</v>
      </c>
      <c r="G53" s="2">
        <v>381</v>
      </c>
      <c r="H53" s="2">
        <v>0</v>
      </c>
      <c r="I53" t="s">
        <v>4263</v>
      </c>
      <c r="J53" t="str">
        <f t="shared" si="0"/>
        <v>{ name: "The Hidden Treasure at Lizard Lakes", landmark: "Side Quest", type: "Goron City", region: 7, level: "Surface", x: 1648, y: 2439, z: 381, weight: 0, details: `&lt;strong&gt;Start:&lt;/strong&gt; Talk to Bludo&lt;br&gt;&lt;strong&gt;Reward:&lt;/strong&gt; Vah Rudania Divine Helm` },</v>
      </c>
    </row>
    <row r="54" spans="1:10" x14ac:dyDescent="0.2">
      <c r="A54" t="s">
        <v>4641</v>
      </c>
      <c r="B54" t="s">
        <v>1165</v>
      </c>
      <c r="C54" s="2">
        <v>7</v>
      </c>
      <c r="D54" s="2" t="s">
        <v>785</v>
      </c>
      <c r="E54" s="2">
        <v>2603</v>
      </c>
      <c r="F54" s="2">
        <v>1319</v>
      </c>
      <c r="G54" s="2">
        <v>150</v>
      </c>
      <c r="H54" s="2">
        <v>0</v>
      </c>
      <c r="I54" t="s">
        <v>4670</v>
      </c>
      <c r="J54" t="str">
        <f t="shared" si="0"/>
        <v>{ name: "Misko's Treasure: Twins Manuscript", landmark: "Side Quest", type: "Cephla Lake", region: 7, level: "Surface", x: 2603, y: 1319, z: 150, weight: 0, details: `&lt;strong&gt;Start:&lt;/strong&gt; Speak with Domidak and Prissen&lt;br&gt;&lt;strong&gt;Reward:&lt;/strong&gt; Tingle's Shirt` },</v>
      </c>
    </row>
    <row r="55" spans="1:10" x14ac:dyDescent="0.2">
      <c r="A55" t="s">
        <v>4642</v>
      </c>
      <c r="B55" t="s">
        <v>1165</v>
      </c>
      <c r="C55" s="2">
        <v>7</v>
      </c>
      <c r="D55" s="2" t="s">
        <v>785</v>
      </c>
      <c r="E55" s="2">
        <v>2609</v>
      </c>
      <c r="F55" s="2">
        <v>1313</v>
      </c>
      <c r="G55" s="2">
        <v>150</v>
      </c>
      <c r="H55" s="2">
        <v>0</v>
      </c>
      <c r="I55" t="s">
        <v>4671</v>
      </c>
      <c r="J55" t="str">
        <f t="shared" ref="J55:J56" si="1"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`&lt;strong&gt;Start:&lt;/strong&gt; "&amp;I55&amp;"` },"</f>
        <v>{ name: "Misko's Treasure: Pirate Manuscript", landmark: "Side Quest", type: "Cephla Lake", region: 7, level: "Surface", x: 2609, y: 1313, z: 150, weight: 0, details: `&lt;strong&gt;Start:&lt;/strong&gt; Speak with Domidak and Prissen&lt;br&gt;&lt;strong&gt;Reward:&lt;/strong&gt; Tingle's Tights` },</v>
      </c>
    </row>
    <row r="56" spans="1:10" x14ac:dyDescent="0.2">
      <c r="A56" t="s">
        <v>4643</v>
      </c>
      <c r="B56" t="s">
        <v>1165</v>
      </c>
      <c r="C56" s="2">
        <v>7</v>
      </c>
      <c r="D56" s="2" t="s">
        <v>785</v>
      </c>
      <c r="E56" s="2">
        <v>2603</v>
      </c>
      <c r="F56" s="2">
        <v>1307</v>
      </c>
      <c r="G56" s="2">
        <v>150</v>
      </c>
      <c r="H56" s="2">
        <v>0</v>
      </c>
      <c r="I56" t="s">
        <v>4672</v>
      </c>
      <c r="J56" t="str">
        <f t="shared" si="1"/>
        <v>{ name: "Misko's Treasure: Heroines Manuscript", landmark: "Side Quest", type: "Cephla Lake", region: 7, level: "Surface", x: 2603, y: 1307, z: 150, weight: 0, details: `&lt;strong&gt;Start:&lt;/strong&gt; Speak with Domidak and Prissen&lt;br&gt;&lt;strong&gt;Reward:&lt;/strong&gt; Tingle's Hood` },</v>
      </c>
    </row>
    <row r="57" spans="1:10" x14ac:dyDescent="0.2">
      <c r="A57" t="s">
        <v>3059</v>
      </c>
      <c r="B57" t="s">
        <v>1133</v>
      </c>
      <c r="C57" s="2">
        <v>7</v>
      </c>
      <c r="D57" s="2" t="s">
        <v>785</v>
      </c>
      <c r="E57" s="2">
        <v>1757</v>
      </c>
      <c r="F57" s="2">
        <v>1548</v>
      </c>
      <c r="G57" s="2">
        <v>279</v>
      </c>
      <c r="H57" s="2">
        <v>0</v>
      </c>
      <c r="I57" t="s">
        <v>3130</v>
      </c>
      <c r="J57" t="str">
        <f t="shared" si="0"/>
        <v>{ name: "Meat for Meat", landmark: "Side Quest", type: "Bedrock Bistro", region: 7, level: "Surface", x: 1757, y: 1548, z: 279, weight: 0, details: `&lt;strong&gt;Start:&lt;/strong&gt; Talk to Mezer&lt;br&gt;&lt;strong&gt;Reward:&lt;/strong&gt; Large Zonai Charge` },</v>
      </c>
    </row>
    <row r="58" spans="1:10" x14ac:dyDescent="0.2">
      <c r="A58" t="s">
        <v>3060</v>
      </c>
      <c r="B58" t="s">
        <v>959</v>
      </c>
      <c r="C58" s="2">
        <v>7</v>
      </c>
      <c r="D58" s="2" t="s">
        <v>785</v>
      </c>
      <c r="E58" s="2">
        <v>1820</v>
      </c>
      <c r="F58" s="2">
        <v>2069</v>
      </c>
      <c r="G58" s="2">
        <v>321</v>
      </c>
      <c r="H58" s="2">
        <v>0</v>
      </c>
      <c r="I58" t="s">
        <v>4300</v>
      </c>
      <c r="J58" t="str">
        <f t="shared" si="0"/>
        <v>{ name: "Mine-Cart Land: Death Mountain", landmark: "Side Quest", type: "Southern Mine", region: 7, level: "Surface", x: 1820, y: 2069,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Fabric` },</v>
      </c>
    </row>
    <row r="59" spans="1:10" x14ac:dyDescent="0.2">
      <c r="A59" t="s">
        <v>4262</v>
      </c>
      <c r="B59" t="s">
        <v>959</v>
      </c>
      <c r="C59" s="2">
        <v>7</v>
      </c>
      <c r="D59" s="2" t="s">
        <v>785</v>
      </c>
      <c r="E59" s="2">
        <v>1836</v>
      </c>
      <c r="F59" s="2">
        <v>2069</v>
      </c>
      <c r="G59" s="2">
        <v>321</v>
      </c>
      <c r="H59" s="2">
        <v>0</v>
      </c>
      <c r="I59" t="s">
        <v>4266</v>
      </c>
      <c r="J59" t="str">
        <f t="shared" si="0"/>
        <v>{ name: "Mine-Cart Land: Open For Business!", landmark: "Side Quest", type: "Southern Mine", region: 7, level: "Surface", x: 1836, y: 2069, z: 321, weight: 0, details: `&lt;strong&gt;Start:&lt;/strong&gt; Talk to Bayge&lt;br&gt;&lt;strong&gt;Reward:&lt;/strong&gt; Red Rupee` },</v>
      </c>
    </row>
    <row r="60" spans="1:10" x14ac:dyDescent="0.2">
      <c r="A60" t="s">
        <v>3061</v>
      </c>
      <c r="B60" t="s">
        <v>1165</v>
      </c>
      <c r="C60" s="2">
        <v>7</v>
      </c>
      <c r="D60" s="2" t="s">
        <v>785</v>
      </c>
      <c r="E60" s="2">
        <v>2611</v>
      </c>
      <c r="F60" s="2">
        <v>1327</v>
      </c>
      <c r="G60" s="2">
        <v>150</v>
      </c>
      <c r="H60" s="2">
        <v>0</v>
      </c>
      <c r="I60" t="s">
        <v>4297</v>
      </c>
      <c r="J60" t="str">
        <f t="shared" si="0"/>
        <v>{ name: "Misko's Cave of Chests", landmark: "Side Quest", type: "Cephla Lake", region: 7, level: "Surface", x: 2611, y: 1327, z: 150, weight: 0, details: `&lt;strong&gt;Start:&lt;/strong&gt; Talk to Domidak and Prissen&lt;br&gt;&lt;strong&gt;Reward:&lt;/strong&gt; Ember Trousers` },</v>
      </c>
    </row>
    <row r="61" spans="1:10" x14ac:dyDescent="0.2">
      <c r="A61" t="s">
        <v>4644</v>
      </c>
      <c r="B61" t="s">
        <v>891</v>
      </c>
      <c r="C61" s="2">
        <v>7</v>
      </c>
      <c r="D61" s="2" t="s">
        <v>785</v>
      </c>
      <c r="E61" s="2">
        <v>1379</v>
      </c>
      <c r="F61" s="2">
        <v>2258</v>
      </c>
      <c r="G61" s="2">
        <v>294</v>
      </c>
      <c r="H61" s="2">
        <v>0</v>
      </c>
      <c r="I61" t="s">
        <v>4673</v>
      </c>
      <c r="J61" t="str">
        <f t="shared" si="0"/>
        <v>{ name: "Misko's Treasure of Awakening I", landmark: "Side Quest", type: "Goronbi River Cave", region: 7, level: "Surface", x: 1379, y: 2258, z: 294, weight: 0, details: `&lt;strong&gt;Start:&lt;/strong&gt; Find Misko's Letter&lt;br&gt;&lt;strong&gt;Reward:&lt;/strong&gt; Tunic of Awakening` },</v>
      </c>
    </row>
    <row r="62" spans="1:10" x14ac:dyDescent="0.2">
      <c r="A62" t="s">
        <v>4645</v>
      </c>
      <c r="B62" t="s">
        <v>853</v>
      </c>
      <c r="C62" s="2">
        <v>3</v>
      </c>
      <c r="D62" s="2" t="s">
        <v>785</v>
      </c>
      <c r="E62" s="2">
        <v>-3522</v>
      </c>
      <c r="F62" s="2">
        <v>417</v>
      </c>
      <c r="G62" s="2">
        <v>241</v>
      </c>
      <c r="H62" s="2">
        <v>0</v>
      </c>
      <c r="I62" t="s">
        <v>4674</v>
      </c>
      <c r="J62" t="str">
        <f t="shared" ref="J62:J63" si="2"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`&lt;strong&gt;Start:&lt;/strong&gt; "&amp;I62&amp;"` },"</f>
        <v>{ name: "Misko's Treasure of Awakening II", landmark: "Side Quest", type: "Ancient Columns Cave", region: 3, level: "Surface", x: -3522, y: 417, z: 241, weight: 0, details: `&lt;strong&gt;Start:&lt;/strong&gt; Read the sign next to where you found the Tunic of Awakening&lt;br&gt;&lt;strong&gt;Reward:&lt;/strong&gt; Trousers of Awakening` },</v>
      </c>
    </row>
    <row r="63" spans="1:10" x14ac:dyDescent="0.2">
      <c r="A63" t="s">
        <v>4646</v>
      </c>
      <c r="B63" t="s">
        <v>865</v>
      </c>
      <c r="C63" s="2">
        <v>2</v>
      </c>
      <c r="D63" s="2" t="s">
        <v>785</v>
      </c>
      <c r="E63" s="2">
        <v>-1161</v>
      </c>
      <c r="F63" s="2">
        <v>-1271</v>
      </c>
      <c r="G63" s="2">
        <v>34</v>
      </c>
      <c r="H63" s="2">
        <v>0</v>
      </c>
      <c r="I63" t="s">
        <v>4675</v>
      </c>
      <c r="J63" t="str">
        <f t="shared" si="2"/>
        <v>{ name: "Misko's Treasure of Awakening III", landmark: "Side Quest", type: "Coliseum Ruins Cave", region: 2, level: "Surface", x: -1161, y: -1271, z: 34, weight: 0, details: `&lt;strong&gt;Start:&lt;/strong&gt; Read the sign next to where you found the Trousers of Awakening&lt;br&gt;&lt;strong&gt;Reward:&lt;/strong&gt; Mask of Awakening` },</v>
      </c>
    </row>
    <row r="64" spans="1:10" x14ac:dyDescent="0.2">
      <c r="A64" t="s">
        <v>3062</v>
      </c>
      <c r="B64" t="s">
        <v>1302</v>
      </c>
      <c r="C64" s="2">
        <v>7</v>
      </c>
      <c r="D64" s="2" t="s">
        <v>785</v>
      </c>
      <c r="E64" s="2">
        <v>1677</v>
      </c>
      <c r="F64" s="2">
        <v>2427</v>
      </c>
      <c r="G64" s="2">
        <v>383</v>
      </c>
      <c r="H64" s="2">
        <v>0</v>
      </c>
      <c r="I64" t="s">
        <v>4298</v>
      </c>
      <c r="J64" t="str">
        <f t="shared" si="0"/>
        <v>{ name: "Moon-Gazing Gorons", landmark: "Side Quest", type: "Goron City", region: 7, level: "Surface", x: 1677, y: 2427, z: 383, weight: 0, details: `&lt;strong&gt;Start:&lt;/strong&gt; 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Rupees` },</v>
      </c>
    </row>
    <row r="65" spans="1:10" x14ac:dyDescent="0.2">
      <c r="A65" t="s">
        <v>3063</v>
      </c>
      <c r="B65" t="s">
        <v>1133</v>
      </c>
      <c r="C65" s="2">
        <v>7</v>
      </c>
      <c r="D65" s="2" t="s">
        <v>785</v>
      </c>
      <c r="E65" s="2">
        <v>1765</v>
      </c>
      <c r="F65" s="2">
        <v>1558</v>
      </c>
      <c r="G65" s="2">
        <v>279</v>
      </c>
      <c r="H65" s="2">
        <v>0</v>
      </c>
      <c r="I65" t="s">
        <v>3131</v>
      </c>
      <c r="J65" t="str">
        <f t="shared" si="0"/>
        <v>{ name: "Rock Roast or Dust", landmark: "Side Quest", type: "Bedrock Bistro", region: 7, level: "Surface", x: 1765, y: 1558, z: 279, weight: 0, details: `&lt;strong&gt;Start:&lt;/strong&gt; Talk to Cooke&lt;br&gt;&lt;strong&gt;Reward:&lt;/strong&gt; Seared Gourmet Steak` },</v>
      </c>
    </row>
    <row r="66" spans="1:10" x14ac:dyDescent="0.2">
      <c r="A66" t="s">
        <v>3064</v>
      </c>
      <c r="B66" t="s">
        <v>1302</v>
      </c>
      <c r="C66" s="2">
        <v>7</v>
      </c>
      <c r="D66" s="2" t="s">
        <v>785</v>
      </c>
      <c r="E66" s="2">
        <v>1705</v>
      </c>
      <c r="F66" s="2">
        <v>2423</v>
      </c>
      <c r="G66" s="2">
        <v>392</v>
      </c>
      <c r="H66" s="2">
        <v>0</v>
      </c>
      <c r="I66" t="s">
        <v>3132</v>
      </c>
      <c r="J66" t="str">
        <f t="shared" si="0"/>
        <v>{ name: "Simmerstone Springs", landmark: "Side Quest", type: "Goron City", region: 7, level: "Surface", x: 1705, y: 2423, z: 392, weight: 0, details: `&lt;strong&gt;Start:&lt;/strong&gt; Talk to Kima&lt;br&gt;&lt;strong&gt;Reward:&lt;/strong&gt; Silver Rupee` },</v>
      </c>
    </row>
    <row r="67" spans="1:10" x14ac:dyDescent="0.2">
      <c r="A67" t="s">
        <v>3065</v>
      </c>
      <c r="B67" t="s">
        <v>1302</v>
      </c>
      <c r="C67" s="2">
        <v>7</v>
      </c>
      <c r="D67" s="2" t="s">
        <v>785</v>
      </c>
      <c r="E67" s="2">
        <v>1690</v>
      </c>
      <c r="F67" s="2">
        <v>2498</v>
      </c>
      <c r="G67" s="2">
        <v>396</v>
      </c>
      <c r="H67" s="2">
        <v>0</v>
      </c>
      <c r="I67" t="s">
        <v>4301</v>
      </c>
      <c r="J67" t="str">
        <f t="shared" si="0"/>
        <v>{ name: "Soul of the Gorons", landmark: "Side Quest", type: "Goron City", region: 7, level: "Surface", x: 1690, y: 2498, z: 396, weight: 0, details: `&lt;strong&gt;Start:&lt;/strong&gt; 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Breaker` },</v>
      </c>
    </row>
    <row r="68" spans="1:10" x14ac:dyDescent="0.2">
      <c r="A68" t="s">
        <v>3066</v>
      </c>
      <c r="B68" t="s">
        <v>874</v>
      </c>
      <c r="C68" s="2">
        <v>7</v>
      </c>
      <c r="D68" s="2" t="s">
        <v>785</v>
      </c>
      <c r="E68" s="2">
        <v>2345</v>
      </c>
      <c r="F68" s="2">
        <v>2680</v>
      </c>
      <c r="G68" s="2">
        <v>514</v>
      </c>
      <c r="H68" s="2">
        <v>0</v>
      </c>
      <c r="I68" t="s">
        <v>4302</v>
      </c>
      <c r="J68" t="str">
        <f t="shared" si="0"/>
        <v>{ name: "The Abandoned Laborer", landmark: "Side Quest", type: "Death Mountain West Tunnel", region: 7, level: "Surface", x: 2345, y: 2680, z: 514, weight: 0, details: `&lt;strong&gt;Start:&lt;/strong&gt; 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Charge` },</v>
      </c>
    </row>
    <row r="69" spans="1:10" x14ac:dyDescent="0.2">
      <c r="A69" t="s">
        <v>4637</v>
      </c>
      <c r="B69" t="s">
        <v>4638</v>
      </c>
      <c r="C69" s="2">
        <v>7</v>
      </c>
      <c r="D69" s="2" t="s">
        <v>785</v>
      </c>
      <c r="E69" s="2">
        <v>1745</v>
      </c>
      <c r="F69" s="2">
        <v>2579</v>
      </c>
      <c r="G69" s="2">
        <v>427</v>
      </c>
      <c r="H69" s="2">
        <v>0</v>
      </c>
      <c r="I69" t="s">
        <v>4666</v>
      </c>
      <c r="J69" t="str">
        <f t="shared" si="0"/>
        <v>{ name: "The Ancient City Gorondia!", landmark: "Side Quest", type: "North of Goron City", region: 7, level: "Surface", x: 1745, y: 2579, z: 427, weight: 0, details: `&lt;strong&gt;Start:&lt;/strong&gt; Talk to Dugby&lt;br&gt;&lt;strong&gt;Reward:&lt;/strong&gt; Zonai Charge` },</v>
      </c>
    </row>
    <row r="70" spans="1:10" x14ac:dyDescent="0.2">
      <c r="A70" t="s">
        <v>4639</v>
      </c>
      <c r="B70" t="s">
        <v>1302</v>
      </c>
      <c r="C70" s="2">
        <v>7</v>
      </c>
      <c r="D70" s="2" t="s">
        <v>785</v>
      </c>
      <c r="E70" s="2">
        <v>1626</v>
      </c>
      <c r="F70" s="2">
        <v>2436</v>
      </c>
      <c r="G70" s="2">
        <v>884</v>
      </c>
      <c r="H70" s="2">
        <v>0</v>
      </c>
      <c r="I70" t="s">
        <v>4667</v>
      </c>
      <c r="J70" t="str">
        <f t="shared" ref="J70" si="3"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`&lt;strong&gt;Start:&lt;/strong&gt; "&amp;I70&amp;"` },"</f>
        <v>{ name: "The Ancient City Gorondia?", landmark: "Side Quest", type: "Goron City", region: 7, level: "Surface", x: 1626, y: 2436, z: 884, weight: 0, details: `&lt;strong&gt;Start:&lt;/strong&gt; Talk to Dugby&lt;br&gt;&lt;strong&gt;Reward:&lt;/strong&gt; Large Zonai Charge` },</v>
      </c>
    </row>
    <row r="71" spans="1:10" x14ac:dyDescent="0.2">
      <c r="A71" t="s">
        <v>3046</v>
      </c>
      <c r="B71" t="s">
        <v>1028</v>
      </c>
      <c r="C71" s="2">
        <v>8</v>
      </c>
      <c r="D71" s="2" t="s">
        <v>785</v>
      </c>
      <c r="E71" s="2">
        <v>4235</v>
      </c>
      <c r="F71" s="2">
        <v>2736</v>
      </c>
      <c r="G71" s="2">
        <v>125</v>
      </c>
      <c r="H71" s="2">
        <v>0</v>
      </c>
      <c r="I71" t="s">
        <v>4450</v>
      </c>
      <c r="J71" t="str">
        <f t="shared" si="0"/>
        <v>{ name: "A Picture for East Akkala Stable", landmark: "Side Quest", type: "East Akkala Stable", region: 8, level: "Surface", x: 4235, y: 2736, z: 125, weight: 0, details: `&lt;strong&gt;Start:&lt;/strong&gt; 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Bowl` },</v>
      </c>
    </row>
    <row r="72" spans="1:10" x14ac:dyDescent="0.2">
      <c r="A72" t="s">
        <v>4220</v>
      </c>
      <c r="B72" t="s">
        <v>1078</v>
      </c>
      <c r="C72" s="2">
        <v>8</v>
      </c>
      <c r="D72" s="2" t="s">
        <v>785</v>
      </c>
      <c r="E72" s="2">
        <v>3157</v>
      </c>
      <c r="F72" s="2">
        <v>1698</v>
      </c>
      <c r="G72" s="2">
        <v>201</v>
      </c>
      <c r="H72" s="2">
        <v>0</v>
      </c>
      <c r="I72" t="s">
        <v>4451</v>
      </c>
      <c r="J72" t="str">
        <f t="shared" ref="J72:J137" si="4"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`&lt;strong&gt;Start:&lt;/strong&gt; "&amp;I72&amp;"` },"</f>
        <v>{ name: "A Picture for South Akkala Stable", landmark: "Side Quest", type: "South Akkala Stable", region: 8, level: "Surface", x: 3157, y: 1698, z: 201, weight: 0, details: `&lt;strong&gt;Start:&lt;/strong&gt; 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Stew` },</v>
      </c>
    </row>
    <row r="73" spans="1:10" x14ac:dyDescent="0.2">
      <c r="A73" t="s">
        <v>3047</v>
      </c>
      <c r="B73" t="s">
        <v>1028</v>
      </c>
      <c r="C73" s="2">
        <v>8</v>
      </c>
      <c r="D73" s="2" t="s">
        <v>785</v>
      </c>
      <c r="E73" s="2">
        <v>4339</v>
      </c>
      <c r="F73" s="2">
        <v>2816</v>
      </c>
      <c r="G73" s="2">
        <v>142</v>
      </c>
      <c r="H73" s="2">
        <v>0</v>
      </c>
      <c r="I73" t="s">
        <v>3125</v>
      </c>
      <c r="J73" t="str">
        <f t="shared" si="4"/>
        <v>{ name: "Eldin's Colossal Fossil", landmark: "Side Quest", type: "East Akkala Stable", region: 8, level: "Surface", x: 4339, y: 2816, z: 142, weight: 0, details: `&lt;strong&gt;Start:&lt;/strong&gt; Talk to Loone&lt;br&gt;&lt;strong&gt;Reward:&lt;/strong&gt; Purple Rupee` },</v>
      </c>
    </row>
    <row r="74" spans="1:10" x14ac:dyDescent="0.2">
      <c r="A74" t="s">
        <v>3048</v>
      </c>
      <c r="B74" t="s">
        <v>1636</v>
      </c>
      <c r="C74" s="2">
        <v>8</v>
      </c>
      <c r="D74" s="2" t="s">
        <v>785</v>
      </c>
      <c r="E74" s="2">
        <v>3758</v>
      </c>
      <c r="F74" s="2">
        <v>2676</v>
      </c>
      <c r="G74" s="2">
        <v>3</v>
      </c>
      <c r="H74" s="2">
        <v>0</v>
      </c>
      <c r="I74" t="s">
        <v>4303</v>
      </c>
      <c r="J74" t="str">
        <f t="shared" si="4"/>
        <v>{ name: "Goddess Statue of Power", landmark: "Side Quest", type: "Spring of Power", region: 8, level: "Surface", x: 3758, y: 2676, z: 3, weight: 0, details: `&lt;strong&gt;Start:&lt;/strong&gt; Talk to the &lt;img src="icons/goddess-statue.png" style="height: 20px; width: 20px; vertical-align: middle; margin-right: 5px;"&gt;&lt;span style="color: #7cc9c2; font-weight: bold;"&gt;Goddess Statue of Power&lt;/span&gt;&lt;br&gt;&lt;strong&gt;Reward:&lt;/strong&gt; Ruby` },</v>
      </c>
    </row>
    <row r="75" spans="1:10" x14ac:dyDescent="0.2">
      <c r="A75" t="s">
        <v>3049</v>
      </c>
      <c r="B75" t="s">
        <v>1664</v>
      </c>
      <c r="C75" s="2">
        <v>8</v>
      </c>
      <c r="D75" s="2" t="s">
        <v>785</v>
      </c>
      <c r="E75" s="2">
        <v>3946</v>
      </c>
      <c r="F75" s="2">
        <v>1596</v>
      </c>
      <c r="G75" s="2">
        <v>128</v>
      </c>
      <c r="H75" s="2">
        <v>0</v>
      </c>
      <c r="I75" t="s">
        <v>3126</v>
      </c>
      <c r="J75" t="str">
        <f t="shared" si="4"/>
        <v>{ name: "Home on Arrange", landmark: "Side Quest", type: "Tarrey Town", region: 8, level: "Surface", x: 3946, y: 1596, z: 128, weight: 0, details: `&lt;strong&gt;Start:&lt;/strong&gt; Speak with Rhondson in Tarrey Town&lt;br&gt;&lt;strong&gt;Reward:&lt;/strong&gt; Hudson Construction Fabric` },</v>
      </c>
    </row>
    <row r="76" spans="1:10" x14ac:dyDescent="0.2">
      <c r="A76" t="s">
        <v>3050</v>
      </c>
      <c r="B76" t="s">
        <v>998</v>
      </c>
      <c r="C76" s="2">
        <v>8</v>
      </c>
      <c r="D76" s="2" t="s">
        <v>785</v>
      </c>
      <c r="E76" s="2">
        <v>3755</v>
      </c>
      <c r="F76" s="2">
        <v>1677</v>
      </c>
      <c r="G76" s="2">
        <v>92</v>
      </c>
      <c r="H76" s="2">
        <v>0</v>
      </c>
      <c r="I76" t="s">
        <v>4304</v>
      </c>
      <c r="J76" t="str">
        <f t="shared" si="4"/>
        <v>{ name: "Master the Vehicle Prototype", landmark: "Side Quest", type: "Hudson Construction Site", region: 8, level: "Surface", x: 3755, y: 1677, z: 92, weight: 0, details: `&lt;strong&gt;Start:&lt;/strong&gt; Talk to Fernison&lt;br&gt;&lt;strong&gt;Reward:&lt;/strong&gt; 100 Rupees, Sleepover Ticket` },</v>
      </c>
    </row>
    <row r="77" spans="1:10" x14ac:dyDescent="0.2">
      <c r="A77" t="s">
        <v>4647</v>
      </c>
      <c r="B77" t="s">
        <v>1078</v>
      </c>
      <c r="C77" s="2">
        <v>8</v>
      </c>
      <c r="D77" s="2" t="s">
        <v>785</v>
      </c>
      <c r="E77" s="2">
        <v>3085</v>
      </c>
      <c r="F77" s="2">
        <v>1672</v>
      </c>
      <c r="G77" s="2">
        <v>201</v>
      </c>
      <c r="H77" s="2">
        <v>0</v>
      </c>
      <c r="I77" t="s">
        <v>4273</v>
      </c>
      <c r="J77" t="str">
        <f t="shared" si="4"/>
        <v>{ name: "One-Hit Wonder!", landmark: "Side Quest", type: "South Akkala Stable", region: 8, level: "Surface", x: 3085, y: 1672, z: 201, weight: 0, details: `&lt;strong&gt;Start:&lt;/strong&gt; Talk to Parcy&lt;br&gt;&lt;strong&gt;Reward:&lt;/strong&gt; Random gems` },</v>
      </c>
    </row>
    <row r="78" spans="1:10" x14ac:dyDescent="0.2">
      <c r="A78" t="s">
        <v>4658</v>
      </c>
      <c r="B78" t="s">
        <v>1438</v>
      </c>
      <c r="C78" s="2">
        <v>8</v>
      </c>
      <c r="D78" s="2" t="s">
        <v>785</v>
      </c>
      <c r="E78" s="2">
        <v>4655</v>
      </c>
      <c r="F78" s="2">
        <v>3682</v>
      </c>
      <c r="G78" s="2">
        <v>129</v>
      </c>
      <c r="H78" s="2">
        <v>0</v>
      </c>
      <c r="I78" t="s">
        <v>3128</v>
      </c>
      <c r="J78" t="str">
        <f t="shared" si="4"/>
        <v>{ name: "The Lomei Labyrinth Island Prophecy", landmark: "Side Quest", type: "Lomei Labyrinth Island", region: 8, level: "Surface", x: 4655, y: 3682, z: 129, weight: 0, details: `&lt;strong&gt;Start:&lt;/strong&gt; Activate the Lomei Labyrinth Island Terminal&lt;br&gt;&lt;strong&gt;Reward:&lt;/strong&gt; Evil Spirit Armor` },</v>
      </c>
    </row>
    <row r="79" spans="1:10" x14ac:dyDescent="0.2">
      <c r="A79" t="s">
        <v>3051</v>
      </c>
      <c r="B79" t="s">
        <v>998</v>
      </c>
      <c r="C79" s="2">
        <v>8</v>
      </c>
      <c r="D79" s="2" t="s">
        <v>785</v>
      </c>
      <c r="E79" s="2">
        <v>3798</v>
      </c>
      <c r="F79" s="2">
        <v>1564</v>
      </c>
      <c r="G79" s="2">
        <v>91</v>
      </c>
      <c r="H79" s="2">
        <v>0</v>
      </c>
      <c r="I79" t="s">
        <v>4264</v>
      </c>
      <c r="J79" t="str">
        <f t="shared" si="4"/>
        <v>{ name: "Secrets Within", landmark: "Side Quest", type: "Hudson Construction Site", region: 8, level: "Surface", x: 3798, y: 1564, z: 91, weight: 0, details: `&lt;strong&gt;Start:&lt;/strong&gt; Talk to Pulcho&lt;br&gt;&lt;strong&gt;Reward:&lt;/strong&gt; Sundelion` },</v>
      </c>
    </row>
    <row r="80" spans="1:10" x14ac:dyDescent="0.2">
      <c r="A80" t="s">
        <v>3052</v>
      </c>
      <c r="B80" t="s">
        <v>1028</v>
      </c>
      <c r="C80" s="2">
        <v>8</v>
      </c>
      <c r="D80" s="2" t="s">
        <v>785</v>
      </c>
      <c r="E80" s="2">
        <v>4200</v>
      </c>
      <c r="F80" s="2">
        <v>2766</v>
      </c>
      <c r="G80" s="2">
        <v>127</v>
      </c>
      <c r="H80" s="2">
        <v>0</v>
      </c>
      <c r="I80" t="s">
        <v>3127</v>
      </c>
      <c r="J80" t="str">
        <f t="shared" si="4"/>
        <v>{ name: "Strongest in the World", landmark: "Side Quest", type: "East Akkala Stable", region: 8, level: "Surface", x: 4200, y: 2766, z: 127, weight: 0, details: `&lt;strong&gt;Start:&lt;/strong&gt; Talk to Chabi&lt;br&gt;&lt;strong&gt;Reward:&lt;/strong&gt; Rupees` },</v>
      </c>
    </row>
    <row r="81" spans="1:10" x14ac:dyDescent="0.2">
      <c r="A81" t="s">
        <v>3053</v>
      </c>
      <c r="B81" t="s">
        <v>1028</v>
      </c>
      <c r="C81" s="2">
        <v>8</v>
      </c>
      <c r="D81" s="2" t="s">
        <v>785</v>
      </c>
      <c r="E81" s="2">
        <v>4240</v>
      </c>
      <c r="F81" s="2">
        <v>2724</v>
      </c>
      <c r="G81" s="2">
        <v>126</v>
      </c>
      <c r="H81" s="2">
        <v>0</v>
      </c>
      <c r="I81" t="s">
        <v>3150</v>
      </c>
      <c r="J81" t="str">
        <f t="shared" si="4"/>
        <v>{ name: "The Gathering Pirates", landmark: "Side Quest", type: "East Akkala Stable", region: 8, level: "Surface", x: 4240, y: 2724, z: 126, weight: 0, details: `&lt;strong&gt;Start:&lt;/strong&gt; Talk to Aya&lt;br&gt;&lt;strong&gt;Reward:&lt;/strong&gt; Pony Points, Endura Carrot` },</v>
      </c>
    </row>
    <row r="82" spans="1:10" x14ac:dyDescent="0.2">
      <c r="A82" t="s">
        <v>4668</v>
      </c>
      <c r="B82" t="s">
        <v>1665</v>
      </c>
      <c r="C82" s="2">
        <v>8</v>
      </c>
      <c r="D82" s="2" t="s">
        <v>785</v>
      </c>
      <c r="E82" s="2">
        <v>3742</v>
      </c>
      <c r="F82" s="2">
        <v>1678</v>
      </c>
      <c r="G82" s="2">
        <v>92</v>
      </c>
      <c r="H82" s="2">
        <v>0</v>
      </c>
      <c r="I82" t="s">
        <v>4305</v>
      </c>
      <c r="J82" t="str">
        <f t="shared" si="4"/>
        <v>{ name: "The Tarrey Town Race is On!", landmark: "Side Quest", type: "Tarrey Town Race", region: 8, level: "Surface", x: 3742, y: 1678, z: 92, weight: 0, details: `&lt;strong&gt;Start:&lt;/strong&gt; 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Minigame` },</v>
      </c>
    </row>
    <row r="83" spans="1:10" x14ac:dyDescent="0.2">
      <c r="A83" t="s">
        <v>3067</v>
      </c>
      <c r="B83" t="s">
        <v>1730</v>
      </c>
      <c r="C83" s="2">
        <v>9</v>
      </c>
      <c r="D83" s="2" t="s">
        <v>785</v>
      </c>
      <c r="E83" s="2">
        <v>3323</v>
      </c>
      <c r="F83" s="2">
        <v>490</v>
      </c>
      <c r="G83" s="2">
        <v>139</v>
      </c>
      <c r="H83" s="2">
        <v>0</v>
      </c>
      <c r="I83" t="s">
        <v>4306</v>
      </c>
      <c r="J83" t="str">
        <f t="shared" si="4"/>
        <v>{ name: "A Crabulous Deal", landmark: "Side Quest", type: "Zora's Domain", region: 9, level: "Surface", x: 3323, y: 490, z: 139, weight: 0, details: `&lt;strong&gt;Start:&lt;/strong&gt; 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item` },</v>
      </c>
    </row>
    <row r="84" spans="1:10" x14ac:dyDescent="0.2">
      <c r="A84" t="s">
        <v>3069</v>
      </c>
      <c r="B84" t="s">
        <v>1730</v>
      </c>
      <c r="C84" s="2">
        <v>9</v>
      </c>
      <c r="D84" s="2" t="s">
        <v>785</v>
      </c>
      <c r="E84" s="2">
        <v>3307</v>
      </c>
      <c r="F84" s="2">
        <v>488</v>
      </c>
      <c r="G84" s="2">
        <v>150</v>
      </c>
      <c r="H84" s="2">
        <v>0</v>
      </c>
      <c r="I84" t="s">
        <v>4307</v>
      </c>
      <c r="J84" t="str">
        <f t="shared" si="4"/>
        <v>{ name: "A Token of Friendship", landmark: "Side Quest", type: "Zora's Domain", region: 9, level: "Surface", x: 3307, y: 488, z: 150, weight: 0, details: `&lt;strong&gt;Start:&lt;/strong&gt; Talk to Yona&lt;br&gt;&lt;strong&gt;Reward:&lt;/strong&gt; Zora Greaves` },</v>
      </c>
    </row>
    <row r="85" spans="1:10" x14ac:dyDescent="0.2">
      <c r="A85" t="s">
        <v>3070</v>
      </c>
      <c r="B85" t="s">
        <v>1730</v>
      </c>
      <c r="C85" s="2">
        <v>9</v>
      </c>
      <c r="D85" s="2" t="s">
        <v>785</v>
      </c>
      <c r="E85" s="2">
        <v>3290</v>
      </c>
      <c r="F85" s="2">
        <v>440</v>
      </c>
      <c r="G85" s="2">
        <v>139</v>
      </c>
      <c r="H85" s="2">
        <v>0</v>
      </c>
      <c r="I85" t="s">
        <v>4310</v>
      </c>
      <c r="J85" t="str">
        <f t="shared" si="4"/>
        <v>{ name: "A Wife Wafted Away", landmark: "Side Quest", type: "Zora's Domain", region: 9, level: "Surface", x: 3290, y: 440, z: 139, weight: 0, details: `&lt;strong&gt;Start:&lt;/strong&gt; 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Skewer` },</v>
      </c>
    </row>
    <row r="86" spans="1:10" x14ac:dyDescent="0.2">
      <c r="A86" t="s">
        <v>4648</v>
      </c>
      <c r="B86" t="s">
        <v>1730</v>
      </c>
      <c r="C86" s="2">
        <v>9</v>
      </c>
      <c r="D86" s="2" t="s">
        <v>785</v>
      </c>
      <c r="E86" s="2">
        <v>3340</v>
      </c>
      <c r="F86" s="2">
        <v>542</v>
      </c>
      <c r="G86" s="2">
        <v>163</v>
      </c>
      <c r="H86" s="2">
        <v>0</v>
      </c>
      <c r="I86" t="s">
        <v>4308</v>
      </c>
      <c r="J86" t="str">
        <f t="shared" si="4"/>
        <v>{ name: "Secret Treasure Under the Great Fish", landmark: "Side Quest", type: "Zora's Domain", region: 9, level: "Surface", x: 3340, y: 542, z: 163, weight: 0, details: `&lt;strong&gt;Start:&lt;/strong&gt; 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Helm` },</v>
      </c>
    </row>
    <row r="87" spans="1:10" x14ac:dyDescent="0.2">
      <c r="A87" t="s">
        <v>3072</v>
      </c>
      <c r="B87" t="s">
        <v>1730</v>
      </c>
      <c r="C87" s="2">
        <v>9</v>
      </c>
      <c r="D87" s="2" t="s">
        <v>785</v>
      </c>
      <c r="E87" s="2">
        <v>3335</v>
      </c>
      <c r="F87" s="2">
        <v>491</v>
      </c>
      <c r="G87" s="2">
        <v>140</v>
      </c>
      <c r="H87" s="2">
        <v>0</v>
      </c>
      <c r="I87" t="s">
        <v>4309</v>
      </c>
      <c r="J87" t="str">
        <f t="shared" si="4"/>
        <v>{ name: "Glory of the Zora", landmark: "Side Quest", type: "Zora's Domain", region: 9, level: "Surface", x: 3335, y: 491, z: 140, weight: 0, details: `&lt;strong&gt;Start:&lt;/strong&gt; 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Trident` },</v>
      </c>
    </row>
    <row r="88" spans="1:10" x14ac:dyDescent="0.2">
      <c r="A88" t="s">
        <v>3074</v>
      </c>
      <c r="B88" t="s">
        <v>1730</v>
      </c>
      <c r="C88" s="2">
        <v>9</v>
      </c>
      <c r="D88" s="2" t="s">
        <v>785</v>
      </c>
      <c r="E88" s="2">
        <v>2846</v>
      </c>
      <c r="F88" s="2">
        <v>585</v>
      </c>
      <c r="G88" s="2">
        <v>375</v>
      </c>
      <c r="H88" s="2">
        <v>0</v>
      </c>
      <c r="I88" t="s">
        <v>4311</v>
      </c>
      <c r="J88" t="str">
        <f t="shared" si="4"/>
        <v>{ name: "Mired in Muck", landmark: "Side Quest", type: "Zora's Domain", region: 9, level: "Surface", x: 2846, y: 585, z: 375, weight: 0, details: `&lt;strong&gt;Start:&lt;/strong&gt; Talk to Bazz&lt;br&gt;&lt;strong&gt;Reward:&lt;/strong&gt; Zora Spear` },</v>
      </c>
    </row>
    <row r="89" spans="1:10" x14ac:dyDescent="0.2">
      <c r="A89" t="s">
        <v>3075</v>
      </c>
      <c r="B89" t="s">
        <v>4660</v>
      </c>
      <c r="C89" s="2">
        <v>9</v>
      </c>
      <c r="D89" s="2" t="s">
        <v>785</v>
      </c>
      <c r="E89" s="2">
        <v>3596</v>
      </c>
      <c r="F89" s="2">
        <v>338</v>
      </c>
      <c r="G89" s="2">
        <v>211</v>
      </c>
      <c r="H89" s="2">
        <v>0</v>
      </c>
      <c r="I89" t="s">
        <v>4312</v>
      </c>
      <c r="J89" t="str">
        <f t="shared" si="4"/>
        <v>{ name: "The Blue Stone", landmark: "Side Quest", type: "East Resevoir Lake", region: 9, level: "Surface", x: 3596, y: 338, z: 211, weight: 0, details: `&lt;strong&gt;Start:&lt;/strong&gt; Talk to Ledo&lt;br&gt;&lt;strong&gt;Reward:&lt;/strong&gt; Zora Fabric` },</v>
      </c>
    </row>
    <row r="90" spans="1:10" x14ac:dyDescent="0.2">
      <c r="A90" s="35" t="s">
        <v>3076</v>
      </c>
      <c r="B90" t="s">
        <v>1730</v>
      </c>
      <c r="C90" s="2">
        <v>9</v>
      </c>
      <c r="D90" s="2" t="s">
        <v>785</v>
      </c>
      <c r="E90" s="8">
        <v>3470</v>
      </c>
      <c r="F90" s="8">
        <v>485</v>
      </c>
      <c r="G90" s="8">
        <v>155</v>
      </c>
      <c r="H90" s="2">
        <v>0</v>
      </c>
      <c r="I90" s="35" t="s">
        <v>4313</v>
      </c>
      <c r="J90" t="str">
        <f t="shared" si="4"/>
        <v>{ name: "The Fort at Ja'Abu Ridge", landmark: "Side Quest", type: "Zora's Domain", region: 9, level: "Surface", x: 3470, y: 485, z: 155, weight: 0, details: `&lt;strong&gt;Start:&lt;/strong&gt; 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Rupees` },</v>
      </c>
    </row>
    <row r="91" spans="1:10" x14ac:dyDescent="0.2">
      <c r="A91" s="35" t="s">
        <v>3077</v>
      </c>
      <c r="B91" t="s">
        <v>1730</v>
      </c>
      <c r="C91" s="2">
        <v>9</v>
      </c>
      <c r="D91" s="2" t="s">
        <v>785</v>
      </c>
      <c r="E91" s="8">
        <v>3273</v>
      </c>
      <c r="F91" s="8">
        <v>542</v>
      </c>
      <c r="G91" s="8">
        <v>155</v>
      </c>
      <c r="H91" s="2">
        <v>0</v>
      </c>
      <c r="I91" s="35" t="s">
        <v>4314</v>
      </c>
      <c r="J91" t="str">
        <f t="shared" si="4"/>
        <v>{ name: "The Moonlit Princess", landmark: "Side Quest", type: "Zora's Domain", region: 9, level: "Surface", x: 3273, y: 542, z: 155, weight: 0, details: `&lt;strong&gt;Start:&lt;/strong&gt; 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Sword` },</v>
      </c>
    </row>
    <row r="92" spans="1:10" s="35" customFormat="1" x14ac:dyDescent="0.2">
      <c r="A92" t="s">
        <v>3078</v>
      </c>
      <c r="B92" t="s">
        <v>1730</v>
      </c>
      <c r="C92" s="2">
        <v>9</v>
      </c>
      <c r="D92" s="2" t="s">
        <v>785</v>
      </c>
      <c r="E92" s="2">
        <v>3322</v>
      </c>
      <c r="F92" s="2">
        <v>548</v>
      </c>
      <c r="G92" s="2">
        <v>163</v>
      </c>
      <c r="H92" s="2">
        <v>0</v>
      </c>
      <c r="I92" t="s">
        <v>4315</v>
      </c>
      <c r="J92" t="str">
        <f t="shared" si="4"/>
        <v>{ name: "The Never-Ending Lecture", landmark: "Side Quest", type: "Zora's Domain", region: 9, level: "Surface", x: 3322, y: 548, z: 163, weight: 0, details: `&lt;strong&gt;Start:&lt;/strong&gt; Talk to Chroma&lt;br&gt;&lt;strong&gt;Reward:&lt;/strong&gt; Zora Helm` },</v>
      </c>
    </row>
    <row r="93" spans="1:10" s="35" customFormat="1" x14ac:dyDescent="0.2">
      <c r="A93" t="s">
        <v>3079</v>
      </c>
      <c r="B93" t="s">
        <v>1048</v>
      </c>
      <c r="C93" s="2">
        <v>9</v>
      </c>
      <c r="D93" s="2" t="s">
        <v>785</v>
      </c>
      <c r="E93" s="2">
        <v>3295</v>
      </c>
      <c r="F93" s="2">
        <v>511</v>
      </c>
      <c r="G93" s="2">
        <v>140</v>
      </c>
      <c r="H93" s="2">
        <v>0</v>
      </c>
      <c r="I93" t="s">
        <v>4316</v>
      </c>
      <c r="J93" t="str">
        <f t="shared" si="4"/>
        <v>{ name: "True Treasure", landmark: "Side Quest", type: "Lodrum Headland", region: 9, level: "Surface", x: 3295, y: 511, z: 140, weight: 0, details: `&lt;strong&gt;Start:&lt;/strong&gt; 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Shrine` },</v>
      </c>
    </row>
    <row r="94" spans="1:10" x14ac:dyDescent="0.2">
      <c r="A94" t="s">
        <v>3068</v>
      </c>
      <c r="B94" t="s">
        <v>1710</v>
      </c>
      <c r="C94" s="2">
        <v>10</v>
      </c>
      <c r="D94" s="2" t="s">
        <v>785</v>
      </c>
      <c r="E94" s="2">
        <v>896</v>
      </c>
      <c r="F94" s="2">
        <v>-182</v>
      </c>
      <c r="G94" s="2">
        <v>26</v>
      </c>
      <c r="H94" s="2">
        <v>0</v>
      </c>
      <c r="I94" t="s">
        <v>4452</v>
      </c>
      <c r="J94" t="str">
        <f t="shared" si="4"/>
        <v>{ name: "A Picture for Wetland Stable", landmark: "Side Quest", type: "Wetland Stable", region: 10, level: "Surface", x: 896, y: -182, z: 26, weight: 0, details: `&lt;strong&gt;Start:&lt;/strong&gt; 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Elixir` },</v>
      </c>
    </row>
    <row r="95" spans="1:10" x14ac:dyDescent="0.2">
      <c r="A95" t="s">
        <v>3082</v>
      </c>
      <c r="B95" t="s">
        <v>999</v>
      </c>
      <c r="C95" s="2">
        <v>10</v>
      </c>
      <c r="D95" s="2" t="s">
        <v>785</v>
      </c>
      <c r="E95" s="2">
        <v>1843</v>
      </c>
      <c r="F95" s="2">
        <v>-970</v>
      </c>
      <c r="G95" s="2">
        <v>115</v>
      </c>
      <c r="H95" s="2">
        <v>0</v>
      </c>
      <c r="I95" t="s">
        <v>4317</v>
      </c>
      <c r="J95" t="str">
        <f t="shared" si="4"/>
        <v>{ name: "A Trip through History", landmark: "Side Quest", type: "Kakariko Village", region: 10, level: "Surface", x: 1843, y: -970, z: 115, weight: 0, details: `&lt;strong&gt;Start:&lt;/strong&gt; Talk to Bugut&lt;br&gt;&lt;strong&gt;Reward:&lt;/strong&gt; Thunderwing Butterfly x3` },</v>
      </c>
    </row>
    <row r="96" spans="1:10" x14ac:dyDescent="0.2">
      <c r="A96" t="s">
        <v>3071</v>
      </c>
      <c r="B96" t="s">
        <v>1710</v>
      </c>
      <c r="C96" s="2">
        <v>10</v>
      </c>
      <c r="D96" s="2" t="s">
        <v>785</v>
      </c>
      <c r="E96" s="2">
        <v>865</v>
      </c>
      <c r="F96" s="2">
        <v>-171</v>
      </c>
      <c r="G96" s="2">
        <v>25</v>
      </c>
      <c r="H96" s="2">
        <v>0</v>
      </c>
      <c r="I96" t="s">
        <v>4274</v>
      </c>
      <c r="J96" t="str">
        <f t="shared" si="4"/>
        <v>{ name: "An Uninvited Guest", landmark: "Side Quest", type: "Wetland Stable", region: 10, level: "Surface", x: 865, y: -171, z: 25, weight: 0, details: `&lt;strong&gt;Start:&lt;/strong&gt; Speak with Ami&lt;br&gt;&lt;strong&gt;Reward:&lt;/strong&gt; Two Pony Points` },</v>
      </c>
    </row>
    <row r="97" spans="1:10" x14ac:dyDescent="0.2">
      <c r="A97" t="s">
        <v>3084</v>
      </c>
      <c r="B97" t="s">
        <v>999</v>
      </c>
      <c r="C97" s="2">
        <v>10</v>
      </c>
      <c r="D97" s="2" t="s">
        <v>785</v>
      </c>
      <c r="E97" s="2">
        <v>1784</v>
      </c>
      <c r="F97" s="2">
        <v>-1027</v>
      </c>
      <c r="G97" s="2">
        <v>115</v>
      </c>
      <c r="H97" s="2">
        <v>0</v>
      </c>
      <c r="I97" t="s">
        <v>3135</v>
      </c>
      <c r="J97" t="str">
        <f t="shared" si="4"/>
        <v>{ name: "Codgers' Quarrel", landmark: "Side Quest", type: "Kakariko Village", region: 10, level: "Surface", x: 1784, y: -1027, z: 115, weight: 0, details: `&lt;strong&gt;Start:&lt;/strong&gt; Talk to Trissa&lt;br&gt;&lt;strong&gt;Reward:&lt;/strong&gt; Endura Carrot` },</v>
      </c>
    </row>
    <row r="98" spans="1:10" x14ac:dyDescent="0.2">
      <c r="A98" t="s">
        <v>3087</v>
      </c>
      <c r="B98" t="s">
        <v>999</v>
      </c>
      <c r="C98" s="2">
        <v>10</v>
      </c>
      <c r="D98" s="2" t="s">
        <v>785</v>
      </c>
      <c r="E98" s="2">
        <v>1803</v>
      </c>
      <c r="F98" s="2">
        <v>-1028</v>
      </c>
      <c r="G98" s="2">
        <v>115</v>
      </c>
      <c r="H98" s="2">
        <v>0</v>
      </c>
      <c r="I98" t="s">
        <v>4632</v>
      </c>
      <c r="J98" t="str">
        <f t="shared" si="4"/>
        <v>{ name: "Follow the Cuccos", landmark: "Side Quest", type: "Kakariko Village", region: 10, level: "Surface", x: 1803, y: -1028, z: 115, weight: 0, details: `&lt;strong&gt;Start:&lt;/strong&gt; 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Rupee` },</v>
      </c>
    </row>
    <row r="99" spans="1:10" x14ac:dyDescent="0.2">
      <c r="A99" t="s">
        <v>3088</v>
      </c>
      <c r="B99" t="s">
        <v>999</v>
      </c>
      <c r="C99" s="2">
        <v>10</v>
      </c>
      <c r="D99" s="2" t="s">
        <v>785</v>
      </c>
      <c r="E99" s="2">
        <v>1908</v>
      </c>
      <c r="F99" s="2">
        <v>-999</v>
      </c>
      <c r="G99" s="2">
        <v>127</v>
      </c>
      <c r="H99" s="2">
        <v>0</v>
      </c>
      <c r="I99" t="s">
        <v>4318</v>
      </c>
      <c r="J99" t="str">
        <f t="shared" si="4"/>
        <v>{ name: "Gloom-Borne Illness", landmark: "Side Quest", type: "Kakariko Village", region: 10, level: "Surface", x: 1908, y: -999, z: 127, weight: 0, details: `&lt;strong&gt;Start:&lt;/strong&gt; Speak with Lasli&lt;br&gt;&lt;strong&gt;Reward:&lt;/strong&gt; Energizing Veggie Porridge` },</v>
      </c>
    </row>
    <row r="100" spans="1:10" x14ac:dyDescent="0.2">
      <c r="A100" t="s">
        <v>3093</v>
      </c>
      <c r="B100" t="s">
        <v>999</v>
      </c>
      <c r="C100" s="2">
        <v>10</v>
      </c>
      <c r="D100" s="2" t="s">
        <v>785</v>
      </c>
      <c r="E100" s="2">
        <v>1836</v>
      </c>
      <c r="F100" s="2">
        <v>-1022</v>
      </c>
      <c r="G100" s="2">
        <v>116</v>
      </c>
      <c r="H100" s="2">
        <v>0</v>
      </c>
      <c r="I100" t="s">
        <v>4319</v>
      </c>
      <c r="J100" t="str">
        <f t="shared" si="4"/>
        <v>{ name: "Out of the Inn", landmark: "Side Quest", type: "Kakariko Village", region: 10, level: "Surface", x: 1836, y: -1022, z: 116, weight: 0, details: `&lt;strong&gt;Start:&lt;/strong&gt; Talk to Dai&lt;br&gt;&lt;strong&gt;Reward:&lt;/strong&gt; Sticky Elixir` },</v>
      </c>
    </row>
    <row r="101" spans="1:10" x14ac:dyDescent="0.2">
      <c r="A101" t="s">
        <v>4649</v>
      </c>
      <c r="B101" t="s">
        <v>1570</v>
      </c>
      <c r="C101" s="2">
        <v>10</v>
      </c>
      <c r="D101" s="2" t="s">
        <v>785</v>
      </c>
      <c r="E101" s="2">
        <v>1711</v>
      </c>
      <c r="F101" s="2">
        <v>-653</v>
      </c>
      <c r="G101" s="2">
        <v>13</v>
      </c>
      <c r="H101" s="2">
        <v>0</v>
      </c>
      <c r="I101" t="s">
        <v>4320</v>
      </c>
      <c r="J101" t="str">
        <f t="shared" si="4"/>
        <v>{ name: "The Ultimate Dish?", landmark: "Side Quest", type: "Rikoka Hills Well", region: 10, level: "Surface", x: 1711, y: -653, z: 13, weight: 0, details: `&lt;strong&gt;Start:&lt;/strong&gt; Talk to Moza&lt;br&gt;&lt;strong&gt;Reward:&lt;/strong&gt; Monster Stew` },</v>
      </c>
    </row>
    <row r="102" spans="1:10" x14ac:dyDescent="0.2">
      <c r="A102" t="s">
        <v>4221</v>
      </c>
      <c r="B102" t="s">
        <v>1221</v>
      </c>
      <c r="C102" s="2">
        <v>10</v>
      </c>
      <c r="D102" s="2" t="s">
        <v>785</v>
      </c>
      <c r="E102" s="2">
        <v>1756</v>
      </c>
      <c r="F102" s="2">
        <v>-1929</v>
      </c>
      <c r="G102" s="2">
        <v>10</v>
      </c>
      <c r="H102" s="2">
        <v>0</v>
      </c>
      <c r="I102" t="s">
        <v>4453</v>
      </c>
      <c r="J102" t="str">
        <f t="shared" si="4"/>
        <v>{ name: "A Picture for Dueling Peaks Stable", landmark: "Side Quest", type: "Dueling Peaks Stable", region: 10, level: "Surface", x: 1756, y: -1929, z: 10, weight: 0, details: `&lt;strong&gt;Start:&lt;/strong&gt; 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Pie` },</v>
      </c>
    </row>
    <row r="103" spans="1:10" x14ac:dyDescent="0.2">
      <c r="A103" t="s">
        <v>3080</v>
      </c>
      <c r="B103" t="s">
        <v>1325</v>
      </c>
      <c r="C103" s="2">
        <v>11</v>
      </c>
      <c r="D103" s="2" t="s">
        <v>785</v>
      </c>
      <c r="E103" s="2">
        <v>3945</v>
      </c>
      <c r="F103" s="2">
        <v>-2508</v>
      </c>
      <c r="G103" s="2">
        <v>0</v>
      </c>
      <c r="H103" s="2">
        <v>0</v>
      </c>
      <c r="I103" t="s">
        <v>3133</v>
      </c>
      <c r="J103" t="str">
        <f t="shared" si="4"/>
        <v>{ name: "A Bottled Cry for Help", landmark: "Side Quest", type: "Hateno Bay", region: 11, level: "Surface", x: 3945, y: -2508, z: 0, weight: 0, details: `&lt;strong&gt;Start:&lt;/strong&gt; Investigate the Bottled Letter&lt;br&gt;&lt;strong&gt;Reward:&lt;/strong&gt; 100 Rupees` },</v>
      </c>
    </row>
    <row r="104" spans="1:10" x14ac:dyDescent="0.2">
      <c r="A104" t="s">
        <v>3081</v>
      </c>
      <c r="B104" t="s">
        <v>1329</v>
      </c>
      <c r="C104" s="2">
        <v>11</v>
      </c>
      <c r="D104" s="2" t="s">
        <v>785</v>
      </c>
      <c r="E104" s="2">
        <v>3312</v>
      </c>
      <c r="F104" s="2">
        <v>-2298</v>
      </c>
      <c r="G104" s="2">
        <v>112</v>
      </c>
      <c r="H104" s="2">
        <v>0</v>
      </c>
      <c r="I104" t="s">
        <v>3134</v>
      </c>
      <c r="J104" t="str">
        <f t="shared" si="4"/>
        <v>{ name: "A New Champion's Tunic", landmark: "Side Quest", type: "Hateno Village", region: 11, level: "Surface", x: 3312, y: -2298, z: 112, weight: 0, details: `&lt;strong&gt;Start:&lt;/strong&gt; Examine Zelda's Diary&lt;br&gt;&lt;strong&gt;Reward:&lt;/strong&gt; Champion's Leathers` },</v>
      </c>
    </row>
    <row r="105" spans="1:10" x14ac:dyDescent="0.2">
      <c r="A105" t="s">
        <v>3086</v>
      </c>
      <c r="B105" t="s">
        <v>4661</v>
      </c>
      <c r="C105" s="2">
        <v>11</v>
      </c>
      <c r="D105" s="2" t="s">
        <v>785</v>
      </c>
      <c r="E105" s="2">
        <v>3626</v>
      </c>
      <c r="F105" s="2">
        <v>-2075</v>
      </c>
      <c r="G105" s="2">
        <v>178</v>
      </c>
      <c r="H105" s="2">
        <v>0</v>
      </c>
      <c r="I105" t="s">
        <v>3137</v>
      </c>
      <c r="J105" t="str">
        <f t="shared" si="4"/>
        <v>{ name: "Dantz's Prize Cows", landmark: "Side Quest", type: "Hateno Village's Lake Sumac", region: 11, level: "Surface", x: 3626, y: -2075, z: 178, weight: 0, details: `&lt;strong&gt;Start:&lt;/strong&gt; Speak With Dantz&lt;br&gt;&lt;strong&gt;Reward:&lt;/strong&gt; Fresh Milk` },</v>
      </c>
    </row>
    <row r="106" spans="1:10" x14ac:dyDescent="0.2">
      <c r="A106" t="s">
        <v>3073</v>
      </c>
      <c r="B106" t="s">
        <v>1637</v>
      </c>
      <c r="C106" s="2">
        <v>11</v>
      </c>
      <c r="D106" s="2" t="s">
        <v>785</v>
      </c>
      <c r="E106" s="2">
        <v>3906</v>
      </c>
      <c r="F106" s="2">
        <v>-1328</v>
      </c>
      <c r="G106" s="2">
        <v>467</v>
      </c>
      <c r="H106" s="2">
        <v>0</v>
      </c>
      <c r="I106" t="s">
        <v>4321</v>
      </c>
      <c r="J106" t="str">
        <f t="shared" si="4"/>
        <v>{ name: "Goddess Statue of Wisdom", landmark: "Side Quest", type: "Spring of Wisdom", region: 11, level: "Surface", x: 3906, y: -1328, z: 467, weight: 0, details: `&lt;strong&gt;Start:&lt;/strong&gt; Talk to the &lt;img src="icons/goddess-statue.png" style="height: 20px; width: 20px; vertical-align: middle; margin-right: 5px;"&gt;&lt;span style="color: #7cc9c2; font-weight: bold;"&gt;Goddess Statue of Wisdom&lt;/span&gt;&lt;br&gt;&lt;strong&gt;Reward:&lt;/strong&gt; Sapphire` },</v>
      </c>
    </row>
    <row r="107" spans="1:10" x14ac:dyDescent="0.2">
      <c r="A107" t="s">
        <v>3089</v>
      </c>
      <c r="B107" t="s">
        <v>1329</v>
      </c>
      <c r="C107" s="2">
        <v>11</v>
      </c>
      <c r="D107" s="2" t="s">
        <v>785</v>
      </c>
      <c r="E107" s="2">
        <v>3298</v>
      </c>
      <c r="F107" s="2">
        <v>-2123</v>
      </c>
      <c r="G107" s="2">
        <v>109</v>
      </c>
      <c r="H107" s="2">
        <v>0</v>
      </c>
      <c r="I107" t="s">
        <v>4322</v>
      </c>
      <c r="J107" t="str">
        <f t="shared" si="4"/>
        <v>{ name: "Homegrown in Hateno", landmark: "Side Quest", type: "Hateno Village", region: 11, level: "Surface", x: 3298, y: -2123, z: 109, weight: 0, details: `&lt;strong&gt;Start:&lt;/strong&gt; 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x5` },</v>
      </c>
    </row>
    <row r="108" spans="1:10" x14ac:dyDescent="0.2">
      <c r="A108" t="s">
        <v>3091</v>
      </c>
      <c r="B108" t="s">
        <v>1329</v>
      </c>
      <c r="C108" s="2">
        <v>11</v>
      </c>
      <c r="D108" s="2" t="s">
        <v>785</v>
      </c>
      <c r="E108" s="2">
        <v>3375</v>
      </c>
      <c r="F108" s="2">
        <v>-2131</v>
      </c>
      <c r="G108" s="2">
        <v>129</v>
      </c>
      <c r="H108" s="2">
        <v>0</v>
      </c>
      <c r="I108" t="s">
        <v>4323</v>
      </c>
      <c r="J108" t="str">
        <f t="shared" si="4"/>
        <v>{ name: "Manny's Beloved", landmark: "Side Quest", type: "Hateno Village", region: 11, level: "Surface", x: 3375, y: -2131, z: 129, weight: 0, details: `&lt;strong&gt;Start:&lt;/strong&gt; Talk to Manny&lt;br&gt;&lt;strong&gt;Reward:&lt;/strong&gt; Rushroom` },</v>
      </c>
    </row>
    <row r="109" spans="1:10" x14ac:dyDescent="0.2">
      <c r="A109" t="s">
        <v>3094</v>
      </c>
      <c r="B109" t="s">
        <v>1329</v>
      </c>
      <c r="C109" s="2">
        <v>11</v>
      </c>
      <c r="D109" s="2" t="s">
        <v>785</v>
      </c>
      <c r="E109" s="2">
        <v>3411</v>
      </c>
      <c r="F109" s="2">
        <v>-2146</v>
      </c>
      <c r="G109" s="2">
        <v>121</v>
      </c>
      <c r="H109" s="2">
        <v>0</v>
      </c>
      <c r="I109" t="s">
        <v>4324</v>
      </c>
      <c r="J109" t="str">
        <f t="shared" si="4"/>
        <v>{ name: "Photographing a Chuchu", landmark: "Side Quest", type: "Hateno Village", region: 11, level: "Surface", x: 3411, y: -2146, z: 121, weight: 0, details: `&lt;strong&gt;Start:&lt;/strong&gt; Talk to Sayge&lt;br&gt;&lt;strong&gt;Reward:&lt;/strong&gt; Chuchu Fabric` },</v>
      </c>
    </row>
    <row r="110" spans="1:10" x14ac:dyDescent="0.2">
      <c r="A110" t="s">
        <v>4650</v>
      </c>
      <c r="B110" t="s">
        <v>1328</v>
      </c>
      <c r="C110" s="2">
        <v>11</v>
      </c>
      <c r="D110" s="2" t="s">
        <v>785</v>
      </c>
      <c r="E110" s="2">
        <v>3361</v>
      </c>
      <c r="F110" s="2">
        <v>-1969</v>
      </c>
      <c r="G110" s="2">
        <v>129</v>
      </c>
      <c r="H110" s="2">
        <v>0</v>
      </c>
      <c r="I110" t="s">
        <v>3138</v>
      </c>
      <c r="J110" t="str">
        <f t="shared" si="4"/>
        <v>{ name: "Teach Me a Lesson I", landmark: "Side Quest", type: "Hateno School", region: 11, level: "Surface", x: 3361, y: -1969, z: 129, weight: 0, details: `&lt;strong&gt;Start:&lt;/strong&gt; Talk to Symin During Class&lt;br&gt;&lt;strong&gt;Reward:&lt;/strong&gt; Hylian Rice` },</v>
      </c>
    </row>
    <row r="111" spans="1:10" x14ac:dyDescent="0.2">
      <c r="A111" t="s">
        <v>4651</v>
      </c>
      <c r="B111" t="s">
        <v>1328</v>
      </c>
      <c r="C111" s="2">
        <v>11</v>
      </c>
      <c r="D111" s="2" t="s">
        <v>785</v>
      </c>
      <c r="E111" s="2">
        <v>3371</v>
      </c>
      <c r="F111" s="2">
        <v>-1969</v>
      </c>
      <c r="G111" s="2">
        <v>129</v>
      </c>
      <c r="H111" s="2">
        <v>0</v>
      </c>
      <c r="I111" t="s">
        <v>4669</v>
      </c>
      <c r="J111" t="str">
        <f t="shared" ref="J111" si="5"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`&lt;strong&gt;Start:&lt;/strong&gt; "&amp;I111&amp;"` },"</f>
        <v>{ name: "Teach Me a Lesson II", landmark: "Side Quest", type: "Hateno School", region: 11, level: "Surface", x: 3371, y: -1969, z: 129, weight: 0, details: `&lt;strong&gt;Start:&lt;/strong&gt; Talk to Symin During Class&lt;br&gt;&lt;strong&gt;Reward:&lt;/strong&gt; Access to the school's field for planting` },</v>
      </c>
    </row>
    <row r="112" spans="1:10" x14ac:dyDescent="0.2">
      <c r="A112" t="s">
        <v>3097</v>
      </c>
      <c r="B112" t="s">
        <v>1329</v>
      </c>
      <c r="C112" s="2">
        <v>11</v>
      </c>
      <c r="D112" s="2" t="s">
        <v>785</v>
      </c>
      <c r="E112" s="2">
        <v>3335</v>
      </c>
      <c r="F112" s="2">
        <v>-2036</v>
      </c>
      <c r="G112" s="2">
        <v>117</v>
      </c>
      <c r="H112" s="2">
        <v>0</v>
      </c>
      <c r="I112" t="s">
        <v>3139</v>
      </c>
      <c r="J112" t="str">
        <f t="shared" si="4"/>
        <v>{ name: "Uma's Garden", landmark: "Side Quest", type: "Hateno Village", region: 11, level: "Surface", x: 3335, y: -2036, z: 117, weight: 0, details: `&lt;strong&gt;Start:&lt;/strong&gt; Talk to Uma at the School Field&lt;br&gt;&lt;strong&gt;Reward:&lt;/strong&gt; ` },</v>
      </c>
    </row>
    <row r="113" spans="1:10" x14ac:dyDescent="0.2">
      <c r="A113" t="s">
        <v>3083</v>
      </c>
      <c r="B113" t="s">
        <v>1447</v>
      </c>
      <c r="C113" s="2">
        <v>12</v>
      </c>
      <c r="D113" s="2" t="s">
        <v>785</v>
      </c>
      <c r="E113" s="2">
        <v>2957</v>
      </c>
      <c r="F113" s="2">
        <v>-3492</v>
      </c>
      <c r="G113" s="2">
        <v>1</v>
      </c>
      <c r="H113" s="2">
        <v>0</v>
      </c>
      <c r="I113" t="s">
        <v>4326</v>
      </c>
      <c r="J113" t="str">
        <f t="shared" si="4"/>
        <v>{ name: "A Way to Trade, Washed Away", landmark: "Side Quest", type: "Lurelin Village", region: 12, level: "Surface", x: 2957, y: -3492, z: 1, weight: 0, details: `&lt;strong&gt;Start:&lt;/strong&gt; 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Fragment` },</v>
      </c>
    </row>
    <row r="114" spans="1:10" x14ac:dyDescent="0.2">
      <c r="A114" t="s">
        <v>3085</v>
      </c>
      <c r="B114" t="s">
        <v>1447</v>
      </c>
      <c r="C114" s="2">
        <v>12</v>
      </c>
      <c r="D114" s="2" t="s">
        <v>785</v>
      </c>
      <c r="E114" s="2">
        <v>2895</v>
      </c>
      <c r="F114" s="2">
        <v>-3433</v>
      </c>
      <c r="G114" s="2">
        <v>0</v>
      </c>
      <c r="H114" s="2">
        <v>0</v>
      </c>
      <c r="I114" t="s">
        <v>3136</v>
      </c>
      <c r="J114" t="str">
        <f t="shared" si="4"/>
        <v>{ name: "Dad's Blue Shirt", landmark: "Side Quest", type: "Lurelin Village", region: 12, level: "Surface", x: 2895, y: -3433, z: 0, weight: 0, details: `&lt;strong&gt;Start:&lt;/strong&gt; Talk to Zuta&lt;br&gt;&lt;strong&gt;Reward:&lt;/strong&gt; Island Lobster Shirt` },</v>
      </c>
    </row>
    <row r="115" spans="1:10" x14ac:dyDescent="0.2">
      <c r="A115" t="s">
        <v>3090</v>
      </c>
      <c r="B115" t="s">
        <v>1447</v>
      </c>
      <c r="C115" s="2">
        <v>12</v>
      </c>
      <c r="D115" s="2" t="s">
        <v>785</v>
      </c>
      <c r="E115" s="2">
        <v>2858</v>
      </c>
      <c r="F115" s="2">
        <v>-3516</v>
      </c>
      <c r="G115" s="2">
        <v>0</v>
      </c>
      <c r="H115" s="2">
        <v>0</v>
      </c>
      <c r="I115" t="s">
        <v>4325</v>
      </c>
      <c r="J115" t="str">
        <f t="shared" si="4"/>
        <v>{ name: "Lurelin Resort Project", landmark: "Side Quest", type: "Lurelin Village", region: 12, level: "Surface", x: 2858, y: -3516, z: 0, weight: 0, details: `&lt;strong&gt;Start:&lt;/strong&gt; 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Rally` },</v>
      </c>
    </row>
    <row r="116" spans="1:10" x14ac:dyDescent="0.2">
      <c r="A116" t="s">
        <v>3095</v>
      </c>
      <c r="B116" t="s">
        <v>1447</v>
      </c>
      <c r="C116" s="2">
        <v>12</v>
      </c>
      <c r="D116" s="2" t="s">
        <v>785</v>
      </c>
      <c r="E116" s="2">
        <v>2845</v>
      </c>
      <c r="F116" s="2">
        <v>-3462</v>
      </c>
      <c r="G116" s="2">
        <v>4</v>
      </c>
      <c r="H116" s="2">
        <v>0</v>
      </c>
      <c r="I116" t="s">
        <v>4265</v>
      </c>
      <c r="J116" t="str">
        <f t="shared" si="4"/>
        <v>{ name: "Rattled Ralera", landmark: "Side Quest", type: "Lurelin Village", region: 12, level: "Surface", x: 2845, y: -3462, z: 4, weight: 0, details: `&lt;strong&gt;Start:&lt;/strong&gt; Talk to Ralera&lt;br&gt;&lt;strong&gt;Reward:&lt;/strong&gt; Lurelin Village Fabric` },</v>
      </c>
    </row>
    <row r="117" spans="1:10" x14ac:dyDescent="0.2">
      <c r="A117" t="s">
        <v>3096</v>
      </c>
      <c r="B117" t="s">
        <v>1248</v>
      </c>
      <c r="C117" s="2">
        <v>12</v>
      </c>
      <c r="D117" s="2" t="s">
        <v>785</v>
      </c>
      <c r="E117" s="2">
        <v>4508</v>
      </c>
      <c r="F117" s="2">
        <v>-3503</v>
      </c>
      <c r="G117" s="2">
        <v>0</v>
      </c>
      <c r="H117" s="2">
        <v>0</v>
      </c>
      <c r="I117" t="s">
        <v>4327</v>
      </c>
      <c r="J117" t="str">
        <f t="shared" si="4"/>
        <v>{ name: "Seeking the Pirate Hideout", landmark: "Side Quest", type: "Eventide Island", region: 12, level: "Surface", x: 4508, y: -3503, z: 0, weight: 0, details: `&lt;strong&gt;Start:&lt;/strong&gt; Talk to Sesami&lt;br&gt;&lt;strong&gt;Reward:&lt;/strong&gt; Blue-Maned Lynel Saber Horn` },</v>
      </c>
    </row>
    <row r="118" spans="1:10" x14ac:dyDescent="0.2">
      <c r="A118" t="s">
        <v>3098</v>
      </c>
      <c r="B118" t="s">
        <v>1353</v>
      </c>
      <c r="C118" s="2">
        <v>13</v>
      </c>
      <c r="D118" s="2" t="s">
        <v>785</v>
      </c>
      <c r="E118" s="2">
        <v>523</v>
      </c>
      <c r="F118" s="2">
        <v>-3458</v>
      </c>
      <c r="G118" s="2">
        <v>47</v>
      </c>
      <c r="H118" s="2">
        <v>0</v>
      </c>
      <c r="I118" t="s">
        <v>4454</v>
      </c>
      <c r="J118" t="str">
        <f t="shared" si="4"/>
        <v>{ name: "A Picture for Highland Stable", landmark: "Side Quest", type: "Highland Stable", region: 13, level: "Surface", x: 523, y: -3458, z: 47, weight: 0, details: `&lt;strong&gt;Start:&lt;/strong&gt; 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Crepe` },</v>
      </c>
    </row>
    <row r="119" spans="1:10" x14ac:dyDescent="0.2">
      <c r="A119" t="s">
        <v>3099</v>
      </c>
      <c r="B119" t="s">
        <v>1046</v>
      </c>
      <c r="C119" s="2">
        <v>13</v>
      </c>
      <c r="D119" s="2" t="s">
        <v>785</v>
      </c>
      <c r="E119" s="2">
        <v>1559</v>
      </c>
      <c r="F119" s="2">
        <v>-3543</v>
      </c>
      <c r="G119" s="2">
        <v>61</v>
      </c>
      <c r="H119" s="2">
        <v>0</v>
      </c>
      <c r="I119" t="s">
        <v>4455</v>
      </c>
      <c r="J119" t="str">
        <f t="shared" si="4"/>
        <v>{ name: "A Picture for Lakeside Stable", landmark: "Side Quest", type: "Lakeside Stable", region: 13, level: "Surface", x: 1559, y: -3543, z: 61, weight: 0, details: `&lt;strong&gt;Start:&lt;/strong&gt; 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Soup` },</v>
      </c>
    </row>
    <row r="120" spans="1:10" x14ac:dyDescent="0.2">
      <c r="A120" t="s">
        <v>3101</v>
      </c>
      <c r="B120" t="s">
        <v>1080</v>
      </c>
      <c r="C120" s="2">
        <v>13</v>
      </c>
      <c r="D120" s="2" t="s">
        <v>785</v>
      </c>
      <c r="E120" s="2">
        <v>873</v>
      </c>
      <c r="F120" s="2">
        <v>-2354</v>
      </c>
      <c r="G120" s="2">
        <v>17</v>
      </c>
      <c r="H120" s="2">
        <v>0</v>
      </c>
      <c r="I120" t="s">
        <v>4328</v>
      </c>
      <c r="J120" t="str">
        <f t="shared" si="4"/>
        <v>{ name: "Goddess Statue of Courage", landmark: "Side Quest", type: "Spring of Courage", region: 13, level: "Surface", x: 873, y: -2354, z: 17, weight: 0, details: `&lt;strong&gt;Start:&lt;/strong&gt; Talk to the &lt;img src="icons/goddess-statue.png" style="height: 20px; width: 20px; vertical-align: middle; margin-right: 5px;"&gt;&lt;span style="color: #7cc9c2; font-weight: bold;"&gt;Goddess Statue of Courage&lt;/span&gt;&lt;br&gt;&lt;strong&gt;Reward:&lt;/strong&gt; Topaz` },</v>
      </c>
    </row>
    <row r="121" spans="1:10" x14ac:dyDescent="0.2">
      <c r="A121" t="s">
        <v>3092</v>
      </c>
      <c r="B121" t="s">
        <v>1046</v>
      </c>
      <c r="C121" s="2">
        <v>13</v>
      </c>
      <c r="D121" s="2" t="s">
        <v>785</v>
      </c>
      <c r="E121" s="2">
        <v>1562</v>
      </c>
      <c r="F121" s="2">
        <v>-3529</v>
      </c>
      <c r="G121" s="2">
        <v>60</v>
      </c>
      <c r="H121" s="2">
        <v>0</v>
      </c>
      <c r="I121" t="s">
        <v>4275</v>
      </c>
      <c r="J121" t="str">
        <f t="shared" si="4"/>
        <v>{ name: "Ousting the Giants", landmark: "Side Quest", type: "Lakeside Stable", region: 13, level: "Surface", x: 1562, y: -3529, z: 60, weight: 0, details: `&lt;strong&gt;Start:&lt;/strong&gt; Talk to Kampo&lt;br&gt;&lt;strong&gt;Reward:&lt;/strong&gt; Mighty Fried Bananas` },</v>
      </c>
    </row>
    <row r="122" spans="1:10" x14ac:dyDescent="0.2">
      <c r="A122" t="s">
        <v>4653</v>
      </c>
      <c r="B122" t="s">
        <v>1034</v>
      </c>
      <c r="C122" s="2">
        <v>14</v>
      </c>
      <c r="D122" s="2" t="s">
        <v>785</v>
      </c>
      <c r="E122" s="2">
        <v>-2797</v>
      </c>
      <c r="F122" s="2">
        <v>-2221</v>
      </c>
      <c r="G122" s="2">
        <v>29</v>
      </c>
      <c r="H122" s="2">
        <v>0</v>
      </c>
      <c r="I122" t="s">
        <v>4456</v>
      </c>
      <c r="J122" t="str">
        <f t="shared" si="4"/>
        <v>{ name: "A Picture for Closed Stable I", landmark: "Side Quest", type: "Gerudo Canyon Stable", region: 14, level: "Surface", x: -2797, y: -2221,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3" spans="1:10" x14ac:dyDescent="0.2">
      <c r="A123" t="s">
        <v>4654</v>
      </c>
      <c r="B123" t="s">
        <v>1034</v>
      </c>
      <c r="C123" s="2">
        <v>14</v>
      </c>
      <c r="D123" s="2" t="s">
        <v>785</v>
      </c>
      <c r="E123" s="2">
        <v>-2791</v>
      </c>
      <c r="F123" s="2">
        <v>-2228</v>
      </c>
      <c r="G123" s="2">
        <v>29</v>
      </c>
      <c r="H123" s="2">
        <v>0</v>
      </c>
      <c r="I123" t="s">
        <v>4456</v>
      </c>
      <c r="J123" t="str">
        <f t="shared" si="4"/>
        <v>{ name: "A Picture for Closed Stable II", landmark: "Side Quest", type: "Gerudo Canyon Stable", region: 14, level: "Surface", x: -2791, y: -2228,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4" spans="1:10" x14ac:dyDescent="0.2">
      <c r="A124" t="s">
        <v>4656</v>
      </c>
      <c r="B124" t="s">
        <v>1057</v>
      </c>
      <c r="C124" s="2">
        <v>14</v>
      </c>
      <c r="D124" s="2" t="s">
        <v>785</v>
      </c>
      <c r="E124" s="2">
        <v>-1380</v>
      </c>
      <c r="F124" s="2">
        <v>-3364</v>
      </c>
      <c r="G124" s="2">
        <v>469</v>
      </c>
      <c r="H124" s="2">
        <v>0</v>
      </c>
      <c r="I124" t="s">
        <v>4329</v>
      </c>
      <c r="J124" t="str">
        <f t="shared" si="4"/>
        <v>{ name: "Cold-Endurance Contest!", landmark: "Side Quest", type: "Mount Granajh", region: 14, level: "Surface", x: -1380, y: -3364, z: 469, weight: 0, details: `&lt;strong&gt;Start:&lt;/strong&gt; Talk to Rahdo&lt;br&gt;&lt;strong&gt;Reward:&lt;/strong&gt; Silver Rupee` },</v>
      </c>
    </row>
    <row r="125" spans="1:10" x14ac:dyDescent="0.2">
      <c r="A125" t="s">
        <v>3102</v>
      </c>
      <c r="B125" t="s">
        <v>1284</v>
      </c>
      <c r="C125" s="2">
        <v>14</v>
      </c>
      <c r="D125" s="2" t="s">
        <v>785</v>
      </c>
      <c r="E125" s="2">
        <v>-3814</v>
      </c>
      <c r="F125" s="2">
        <v>-2874</v>
      </c>
      <c r="G125" s="2">
        <v>43</v>
      </c>
      <c r="H125" s="2">
        <v>0</v>
      </c>
      <c r="I125" t="s">
        <v>4330</v>
      </c>
      <c r="J125" t="str">
        <f t="shared" si="4"/>
        <v>{ name: "Dalia's Game", landmark: "Side Quest", type: "Gerudo Town", region: 14, level: "Surface", x: -3814, y: -2874, z: 43, weight: 0, details: `&lt;strong&gt;Start:&lt;/strong&gt; Speak with Dalia&lt;br&gt;&lt;strong&gt;Reward:&lt;/strong&gt; An Orb related to The Mysterious Eighth side quest` },</v>
      </c>
    </row>
    <row r="126" spans="1:10" x14ac:dyDescent="0.2">
      <c r="A126" t="s">
        <v>3103</v>
      </c>
      <c r="B126" t="s">
        <v>1385</v>
      </c>
      <c r="C126" s="2">
        <v>14</v>
      </c>
      <c r="D126" s="2" t="s">
        <v>785</v>
      </c>
      <c r="E126" s="2">
        <v>-3226</v>
      </c>
      <c r="F126" s="2">
        <v>-2518</v>
      </c>
      <c r="G126" s="2">
        <v>23</v>
      </c>
      <c r="H126" s="2">
        <v>0</v>
      </c>
      <c r="I126" t="s">
        <v>3141</v>
      </c>
      <c r="J126" t="str">
        <f t="shared" si="4"/>
        <v>{ name: "Decorate with Passion", landmark: "Side Quest", type: "Kara Kara Bazaar", region: 14, level: "Surface", x: -3226, y: -2518, z: 23, weight: 0, details: `&lt;strong&gt;Start:&lt;/strong&gt; Talk to Boraa&lt;br&gt;&lt;strong&gt;Reward:&lt;/strong&gt; Electric Keese Wing` },</v>
      </c>
    </row>
    <row r="127" spans="1:10" x14ac:dyDescent="0.2">
      <c r="A127" t="s">
        <v>3104</v>
      </c>
      <c r="B127" t="s">
        <v>997</v>
      </c>
      <c r="C127" s="2">
        <v>14</v>
      </c>
      <c r="D127" s="2" t="s">
        <v>785</v>
      </c>
      <c r="E127" s="2">
        <v>-1660</v>
      </c>
      <c r="F127" s="2">
        <v>-2013</v>
      </c>
      <c r="G127" s="2">
        <v>-15</v>
      </c>
      <c r="H127" s="2">
        <v>0</v>
      </c>
      <c r="I127" t="s">
        <v>3142</v>
      </c>
      <c r="J127" t="str">
        <f t="shared" si="4"/>
        <v>{ name: "Disaster in Gerudo Canyon", landmark: "Side Quest", type: "Gerudo Canyon Pass", region: 14, level: "Surface", x: -1660, y: -2013, z: -15, weight: 0, details: `&lt;strong&gt;Start:&lt;/strong&gt; Talk to Quince&lt;br&gt;&lt;strong&gt;Reward:&lt;/strong&gt; Bomb Flower x10` },</v>
      </c>
    </row>
    <row r="128" spans="1:10" x14ac:dyDescent="0.2">
      <c r="A128" t="s">
        <v>3105</v>
      </c>
      <c r="B128" t="s">
        <v>1033</v>
      </c>
      <c r="C128" s="2">
        <v>14</v>
      </c>
      <c r="D128" s="2" t="s">
        <v>785</v>
      </c>
      <c r="E128" s="2">
        <v>-2726</v>
      </c>
      <c r="F128" s="2">
        <v>-2336</v>
      </c>
      <c r="G128" s="2">
        <v>62</v>
      </c>
      <c r="H128" s="2">
        <v>0</v>
      </c>
      <c r="I128" t="s">
        <v>3143</v>
      </c>
      <c r="J128" t="str">
        <f t="shared" si="4"/>
        <v>{ name: "Gleeok Guts", landmark: "Side Quest", type: "Gerudo Canyon", region: 14, level: "Surface", x: -2726, y: -2336, z: 62, weight: 0, details: `&lt;strong&gt;Start:&lt;/strong&gt; Talk to Malena&lt;br&gt;&lt;strong&gt;Reward:&lt;/strong&gt; Gold Rupee` },</v>
      </c>
    </row>
    <row r="129" spans="1:10" x14ac:dyDescent="0.2">
      <c r="A129" t="s">
        <v>4655</v>
      </c>
      <c r="B129" t="s">
        <v>1057</v>
      </c>
      <c r="C129" s="2">
        <v>14</v>
      </c>
      <c r="D129" s="2" t="s">
        <v>785</v>
      </c>
      <c r="E129" s="2">
        <v>-1380</v>
      </c>
      <c r="F129" s="2">
        <v>-3440</v>
      </c>
      <c r="G129" s="2">
        <v>469</v>
      </c>
      <c r="H129" s="2">
        <v>0</v>
      </c>
      <c r="I129" t="s">
        <v>4331</v>
      </c>
      <c r="J129" t="str">
        <f t="shared" si="4"/>
        <v>{ name: "Heat-Endurance Contest!", landmark: "Side Quest", type: "Mount Granajh", region: 14, level: "Surface", x: -1380, y: -3440, z: 469, weight: 0, details: `&lt;strong&gt;Start:&lt;/strong&gt; 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Rupee` },</v>
      </c>
    </row>
    <row r="130" spans="1:10" x14ac:dyDescent="0.2">
      <c r="A130" t="s">
        <v>3106</v>
      </c>
      <c r="B130" t="s">
        <v>1385</v>
      </c>
      <c r="C130" s="2">
        <v>14</v>
      </c>
      <c r="D130" s="2" t="s">
        <v>785</v>
      </c>
      <c r="E130" s="2">
        <v>-3273</v>
      </c>
      <c r="F130" s="2">
        <v>-2581</v>
      </c>
      <c r="G130" s="2">
        <v>23</v>
      </c>
      <c r="H130" s="2">
        <v>0</v>
      </c>
      <c r="I130" t="s">
        <v>4332</v>
      </c>
      <c r="J130" t="str">
        <f t="shared" si="4"/>
        <v>{ name: "Lost in the Dunes", landmark: "Side Quest", type: "Kara Kara Bazaar", region: 14, level: "Surface", x: -3273, y: -2581, z: 23, weight: 0, details: `&lt;strong&gt;Start:&lt;/strong&gt; Speak with Banja&lt;br&gt;&lt;strong&gt;Reward:&lt;/strong&gt; An Orb related to The Mysterious Eighth side quest` },</v>
      </c>
    </row>
    <row r="131" spans="1:10" x14ac:dyDescent="0.2">
      <c r="A131" t="s">
        <v>3107</v>
      </c>
      <c r="B131" t="s">
        <v>1034</v>
      </c>
      <c r="C131" s="2">
        <v>14</v>
      </c>
      <c r="D131" s="2" t="s">
        <v>785</v>
      </c>
      <c r="E131" s="2">
        <v>-2796</v>
      </c>
      <c r="F131" s="2">
        <v>-2234</v>
      </c>
      <c r="G131" s="2">
        <v>29</v>
      </c>
      <c r="H131" s="2">
        <v>0</v>
      </c>
      <c r="I131" t="s">
        <v>4276</v>
      </c>
      <c r="J131" t="str">
        <f t="shared" si="4"/>
        <v>{ name: "Piaffe, Packed Away", landmark: "Side Quest", type: "Gerudo Canyon Stable", region: 14, level: "Surface", x: -2796, y: -2234, z: 29, weight: 0, details: `&lt;strong&gt;Start:&lt;/strong&gt; Speak to Piaffe&lt;br&gt;&lt;strong&gt;Reward:&lt;/strong&gt; 1 Pony Point` },</v>
      </c>
    </row>
    <row r="132" spans="1:10" x14ac:dyDescent="0.2">
      <c r="A132" s="35" t="s">
        <v>3108</v>
      </c>
      <c r="B132" t="s">
        <v>1284</v>
      </c>
      <c r="C132" s="2">
        <v>14</v>
      </c>
      <c r="D132" s="2" t="s">
        <v>785</v>
      </c>
      <c r="E132" s="8">
        <v>-3828</v>
      </c>
      <c r="F132" s="8">
        <v>-2886</v>
      </c>
      <c r="G132" s="8">
        <v>43</v>
      </c>
      <c r="H132" s="2">
        <v>0</v>
      </c>
      <c r="I132" s="35" t="s">
        <v>4333</v>
      </c>
      <c r="J132" t="str">
        <f t="shared" si="4"/>
        <v>{ name: "Pride of the Gerudo", landmark: "Side Quest", type: "Gerudo Town", region: 14, level: "Surface", x: -3828, y: -2886, z: 43, weight: 0, details: `&lt;strong&gt;Start:&lt;/strong&gt; Talk to Isha&lt;br&gt;&lt;strong&gt;Reward:&lt;/strong&gt; Scimitar of the Seven, Daybreaker` },</v>
      </c>
    </row>
    <row r="133" spans="1:10" s="35" customFormat="1" x14ac:dyDescent="0.2">
      <c r="A133" t="s">
        <v>3109</v>
      </c>
      <c r="B133" t="s">
        <v>1193</v>
      </c>
      <c r="C133" s="2">
        <v>14</v>
      </c>
      <c r="D133" s="2" t="s">
        <v>785</v>
      </c>
      <c r="E133" s="2">
        <v>-1005</v>
      </c>
      <c r="F133" s="2">
        <v>-3582</v>
      </c>
      <c r="G133" s="2">
        <v>219</v>
      </c>
      <c r="H133" s="2">
        <v>0</v>
      </c>
      <c r="I133" t="s">
        <v>3144</v>
      </c>
      <c r="J133" t="str">
        <f t="shared" si="4"/>
        <v>{ name: "The Great Tumbleweed Purge", landmark: "Side Quest", type: "Daval Peak", region: 14, level: "Surface", x: -1005, y: -3582, z: 219, weight: 0, details: `&lt;strong&gt;Start:&lt;/strong&gt; Talk to Barles&lt;br&gt;&lt;strong&gt;Reward:&lt;/strong&gt; Royal Shield` },</v>
      </c>
    </row>
    <row r="134" spans="1:10" x14ac:dyDescent="0.2">
      <c r="A134" t="s">
        <v>3110</v>
      </c>
      <c r="B134" t="s">
        <v>1284</v>
      </c>
      <c r="C134" s="2">
        <v>14</v>
      </c>
      <c r="D134" s="2" t="s">
        <v>785</v>
      </c>
      <c r="E134" s="2">
        <v>-3882</v>
      </c>
      <c r="F134" s="2">
        <v>-2977</v>
      </c>
      <c r="G134" s="2">
        <v>33</v>
      </c>
      <c r="H134" s="2">
        <v>0</v>
      </c>
      <c r="I134" t="s">
        <v>3145</v>
      </c>
      <c r="J134" t="str">
        <f t="shared" si="4"/>
        <v>{ name: "The Heroines' Secret", landmark: "Side Quest", type: "Gerudo Town", region: 14, level: "Surface", x: -3882, y: -2977, z: 33, weight: 0, details: `&lt;strong&gt;Start:&lt;/strong&gt; Talk to Rotana&lt;br&gt;&lt;strong&gt;Reward:&lt;/strong&gt; 100 Rupees` },</v>
      </c>
    </row>
    <row r="135" spans="1:10" x14ac:dyDescent="0.2">
      <c r="A135" t="s">
        <v>3111</v>
      </c>
      <c r="B135" t="s">
        <v>1520</v>
      </c>
      <c r="C135" s="2">
        <v>14</v>
      </c>
      <c r="D135" s="2" t="s">
        <v>785</v>
      </c>
      <c r="E135" s="2">
        <v>-3754</v>
      </c>
      <c r="F135" s="2">
        <v>-2276</v>
      </c>
      <c r="G135" s="2">
        <v>33</v>
      </c>
      <c r="H135" s="2">
        <v>0</v>
      </c>
      <c r="I135" t="s">
        <v>3146</v>
      </c>
      <c r="J135" t="str">
        <f t="shared" si="4"/>
        <v>{ name: "The Iceless Icehouse", landmark: "Side Quest", type: "Northern Icehouse", region: 14, level: "Surface", x: -3754, y: -2276, z: 33, weight: 0, details: `&lt;strong&gt;Start:&lt;/strong&gt; Talk to Anche&lt;br&gt;&lt;strong&gt;Reward:&lt;/strong&gt; Purple Rupee` },</v>
      </c>
    </row>
    <row r="136" spans="1:10" x14ac:dyDescent="0.2">
      <c r="A136" t="s">
        <v>3112</v>
      </c>
      <c r="B136" t="s">
        <v>1284</v>
      </c>
      <c r="C136" s="2">
        <v>14</v>
      </c>
      <c r="D136" s="2" t="s">
        <v>785</v>
      </c>
      <c r="E136" s="2">
        <v>-3871</v>
      </c>
      <c r="F136" s="2">
        <v>-2960</v>
      </c>
      <c r="G136" s="2">
        <v>33</v>
      </c>
      <c r="H136" s="2">
        <v>0</v>
      </c>
      <c r="I136" t="s">
        <v>4334</v>
      </c>
      <c r="J136" t="str">
        <f t="shared" si="4"/>
        <v>{ name: "The Missing Owner", landmark: "Side Quest", type: "Gerudo Town", region: 14, level: "Surface", x: -3871, y: -2960, z: 33, weight: 0, details: `&lt;strong&gt;Start:&lt;/strong&gt; Speak With Cara&lt;br&gt;&lt;strong&gt;Reward:&lt;/strong&gt; Diamond` },</v>
      </c>
    </row>
    <row r="137" spans="1:10" x14ac:dyDescent="0.2">
      <c r="A137" t="s">
        <v>3113</v>
      </c>
      <c r="B137" t="s">
        <v>1284</v>
      </c>
      <c r="C137" s="2">
        <v>14</v>
      </c>
      <c r="D137" s="2" t="s">
        <v>785</v>
      </c>
      <c r="E137" s="2">
        <v>-3828</v>
      </c>
      <c r="F137" s="2">
        <v>-2971</v>
      </c>
      <c r="G137" s="2">
        <v>29</v>
      </c>
      <c r="H137" s="2">
        <v>0</v>
      </c>
      <c r="I137" t="s">
        <v>4335</v>
      </c>
      <c r="J137" t="str">
        <f t="shared" si="4"/>
        <v>{ name: "The Mysterious Eighth", landmark: "Side Quest", type: "Gerudo Town", region: 14, level: "Surface", x: -3828, y: -2971, z: 29, weight: 0, details: `&lt;strong&gt;Start:&lt;/strong&gt; 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Diamond` },</v>
      </c>
    </row>
    <row r="138" spans="1:10" x14ac:dyDescent="0.2">
      <c r="A138" t="s">
        <v>3114</v>
      </c>
      <c r="B138" t="s">
        <v>1629</v>
      </c>
      <c r="C138" s="2">
        <v>14</v>
      </c>
      <c r="D138" s="2" t="s">
        <v>785</v>
      </c>
      <c r="E138" s="2">
        <v>-1794</v>
      </c>
      <c r="F138" s="2">
        <v>-3440</v>
      </c>
      <c r="G138" s="2">
        <v>46</v>
      </c>
      <c r="H138" s="2">
        <v>0</v>
      </c>
      <c r="I138" t="s">
        <v>3147</v>
      </c>
      <c r="J138" t="str">
        <f t="shared" ref="J138:J140" si="6">"{ name: "&amp;CHAR(34)&amp;A138&amp;CHAR(34)&amp;", landmark: "&amp;CHAR(34)&amp;"Side Quest"&amp;CHAR(34)&amp;", type: "&amp;CHAR(34)&amp;B138&amp;CHAR(34)&amp;", region: "&amp;C138&amp;", level: "&amp;CHAR(34)&amp;D138&amp;CHAR(34)&amp;", x: "&amp;E138&amp;", y: "&amp;F138&amp;", z: "&amp;G138&amp;", weight: "&amp;H138&amp;", details: `&lt;strong&gt;Start:&lt;/strong&gt; "&amp;I138&amp;"` },"</f>
        <v>{ name: "The South Lomei Prophecy", landmark: "Side Quest", type: "South Lomei Labyrinth", region: 14, level: "Surface", x: -1794, y: -3440, z: 46, weight: 0, details: `&lt;strong&gt;Start:&lt;/strong&gt; Activate the South Lomei Labyrinth Terminal&lt;br&gt;&lt;strong&gt;Reward:&lt;/strong&gt; Evil Spirit Mask` },</v>
      </c>
    </row>
    <row r="139" spans="1:10" x14ac:dyDescent="0.2">
      <c r="A139" t="s">
        <v>4652</v>
      </c>
      <c r="B139" t="s">
        <v>1284</v>
      </c>
      <c r="C139" s="2">
        <v>14</v>
      </c>
      <c r="D139" s="2" t="s">
        <v>785</v>
      </c>
      <c r="E139" s="2">
        <v>-3778</v>
      </c>
      <c r="F139" s="2">
        <v>-2921</v>
      </c>
      <c r="G139" s="2">
        <v>43</v>
      </c>
      <c r="H139" s="2">
        <v>0</v>
      </c>
      <c r="I139" t="s">
        <v>4336</v>
      </c>
      <c r="J139" t="str">
        <f t="shared" si="6"/>
        <v>{ name: "To the Ruins!", landmark: "Side Quest", type: "Gerudo Town", region: 14, level: "Surface", x: -3778, y: -2921, z: 43, weight: 0, details: `&lt;strong&gt;Start:&lt;/strong&gt; 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Rupee` },</v>
      </c>
    </row>
    <row r="140" spans="1:10" x14ac:dyDescent="0.2">
      <c r="A140" t="s">
        <v>3115</v>
      </c>
      <c r="B140" t="s">
        <v>1284</v>
      </c>
      <c r="C140" s="2">
        <v>14</v>
      </c>
      <c r="D140" s="2" t="s">
        <v>785</v>
      </c>
      <c r="E140" s="2">
        <v>-3896</v>
      </c>
      <c r="F140" s="2">
        <v>-2965</v>
      </c>
      <c r="G140" s="2">
        <v>51</v>
      </c>
      <c r="H140" s="2">
        <v>0</v>
      </c>
      <c r="I140" t="s">
        <v>4337</v>
      </c>
      <c r="J140" t="str">
        <f t="shared" si="6"/>
        <v>{ name: "Treasure of the Gerudo Desert", landmark: "Side Quest", type: "Gerudo Town", region: 14, level: "Surface", x: -3896, y: -2965, z: 51, weight: 0, details: `&lt;strong&gt;Start:&lt;/strong&gt; 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Helm` },</v>
      </c>
    </row>
  </sheetData>
  <autoFilter ref="A1:J140" xr:uid="{9B66D1FE-B66F-F348-9F83-5F8C8FFF29B7}">
    <sortState xmlns:xlrd2="http://schemas.microsoft.com/office/spreadsheetml/2017/richdata2" ref="A2:J140">
      <sortCondition ref="D1:D140"/>
    </sortState>
  </autoFilter>
  <sortState xmlns:xlrd2="http://schemas.microsoft.com/office/spreadsheetml/2017/richdata2" ref="A2:J140">
    <sortCondition ref="A93:A140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F4A0-354D-3E4C-84C8-01BD62C83A7D}">
  <sheetPr>
    <tabColor theme="7"/>
  </sheetPr>
  <dimension ref="A1:J32"/>
  <sheetViews>
    <sheetView workbookViewId="0">
      <selection activeCell="J11" sqref="J11"/>
    </sheetView>
  </sheetViews>
  <sheetFormatPr baseColWidth="10" defaultRowHeight="16" x14ac:dyDescent="0.2"/>
  <cols>
    <col min="1" max="1" width="41.33203125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85" style="19" customWidth="1"/>
  </cols>
  <sheetData>
    <row r="1" spans="1:10" s="6" customFormat="1" ht="17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36" t="s">
        <v>2081</v>
      </c>
      <c r="J1" s="6" t="s">
        <v>2075</v>
      </c>
    </row>
    <row r="2" spans="1:10" ht="68" x14ac:dyDescent="0.2">
      <c r="A2" t="s">
        <v>4488</v>
      </c>
      <c r="B2" s="7" t="s">
        <v>1923</v>
      </c>
      <c r="C2" s="2">
        <v>2</v>
      </c>
      <c r="D2" s="2" t="s">
        <v>783</v>
      </c>
      <c r="E2" s="2">
        <v>-1343</v>
      </c>
      <c r="F2" s="2">
        <v>-1382</v>
      </c>
      <c r="G2" s="2">
        <v>1008</v>
      </c>
      <c r="H2" s="2">
        <v>0</v>
      </c>
      <c r="I2" s="19" t="s">
        <v>4526</v>
      </c>
      <c r="J2" t="str">
        <f t="shared" ref="J2:J4" si="0">"{ name: "&amp;CHAR(34)&amp;A2&amp;CHAR(34)&amp;", landmark: "&amp;CHAR(34)&amp;"Shrine Quest"&amp;CHAR(34)&amp;", type: "&amp;CHAR(34)&amp;B2&amp;" Quest"&amp;CHAR(34)&amp;", region: "&amp;C2&amp;", level: "&amp;CHAR(34)&amp;D2&amp;CHAR(34)&amp;", x: "&amp;E2&amp;", y: "&amp;F2&amp;", z: "&amp;G2&amp;", weight: "&amp;H2&amp;", details: `"&amp;I2&amp;"` },"</f>
        <v>{ name: "The South Hyrule Sky Crystal", landmark: "Shrine Quest", type: "Jinodok Shrine Quest", region: 2, level: "Sky", x: -1343, y: -1382, z: 1008, weight: 0, details: `&lt;strong&gt;Task:&lt;/strong&gt;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Shrine&lt;/span&gt;` },</v>
      </c>
    </row>
    <row r="3" spans="1:10" ht="102" x14ac:dyDescent="0.2">
      <c r="A3" t="s">
        <v>4489</v>
      </c>
      <c r="B3" s="7" t="s">
        <v>1920</v>
      </c>
      <c r="C3" s="2">
        <v>3</v>
      </c>
      <c r="D3" s="2" t="s">
        <v>783</v>
      </c>
      <c r="E3" s="2">
        <v>-3440</v>
      </c>
      <c r="F3" s="2">
        <v>658</v>
      </c>
      <c r="G3" s="2">
        <v>1421</v>
      </c>
      <c r="H3" s="2">
        <v>0</v>
      </c>
      <c r="I3" s="19" t="s">
        <v>4527</v>
      </c>
      <c r="J3" t="str">
        <f t="shared" si="0"/>
        <v>{ name: "The Tabantha Sky Crystal", landmark: "Shrine Quest", type: "Ganos Shrine Quest", region: 3, level: "Sky", x: -3440, y: 658, z: 1421, weight: 0, details: `&lt;strong&gt;Task:&lt;/strong&gt;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Shrine&lt;/span&gt;` },</v>
      </c>
    </row>
    <row r="4" spans="1:10" ht="68" x14ac:dyDescent="0.2">
      <c r="A4" t="s">
        <v>4490</v>
      </c>
      <c r="B4" s="7" t="s">
        <v>4491</v>
      </c>
      <c r="C4" s="2">
        <v>5</v>
      </c>
      <c r="D4" s="2" t="s">
        <v>783</v>
      </c>
      <c r="E4" s="2">
        <v>-1723</v>
      </c>
      <c r="F4" s="2">
        <v>3533</v>
      </c>
      <c r="G4" s="2">
        <v>944</v>
      </c>
      <c r="H4" s="2">
        <v>0</v>
      </c>
      <c r="I4" s="19" t="s">
        <v>4528</v>
      </c>
      <c r="J4" t="str">
        <f t="shared" si="0"/>
        <v>{ name: "The East Hebra Sky Crystal", landmark: "Shrine Quest", type: "Tauninoud Shrine Quest", region: 5, level: "Sky", x: -1723, y: 3533, z: 944,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Shrine&lt;/span&gt;` },</v>
      </c>
    </row>
    <row r="5" spans="1:10" ht="68" x14ac:dyDescent="0.2">
      <c r="A5" t="s">
        <v>4487</v>
      </c>
      <c r="B5" s="7" t="s">
        <v>2009</v>
      </c>
      <c r="C5" s="2">
        <v>6</v>
      </c>
      <c r="D5" s="2" t="s">
        <v>783</v>
      </c>
      <c r="E5" s="2">
        <v>506</v>
      </c>
      <c r="F5" s="2">
        <v>2589</v>
      </c>
      <c r="G5" s="2">
        <v>1665</v>
      </c>
      <c r="H5" s="2">
        <v>0</v>
      </c>
      <c r="I5" s="19" t="s">
        <v>4534</v>
      </c>
      <c r="J5" t="str">
        <f>"{ name: "&amp;CHAR(34)&amp;A5&amp;CHAR(34)&amp;", landmark: "&amp;CHAR(34)&amp;"Shrine Quest"&amp;CHAR(34)&amp;", type: "&amp;CHAR(34)&amp;B5&amp;" Quest"&amp;CHAR(34)&amp;", region: "&amp;C5&amp;", level: "&amp;CHAR(34)&amp;D5&amp;CHAR(34)&amp;", x: "&amp;E5&amp;", y: "&amp;F5&amp;", z: "&amp;G5&amp;", weight: "&amp;H5&amp;", details: `"&amp;I5&amp;"` },"</f>
        <v>{ name: "The North Hyrule Sky Crystal", landmark: "Shrine Quest", type: "Mayam Shrine Quest", region: 6, level: "Sky", x: 506, y: 2589, z: 1665, weight: 0, details: `&lt;strong&gt;Task:&lt;/strong&gt;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Shrine&lt;/span&gt;` },</v>
      </c>
    </row>
    <row r="6" spans="1:10" ht="68" x14ac:dyDescent="0.2">
      <c r="A6" t="s">
        <v>4492</v>
      </c>
      <c r="B6" s="7" t="s">
        <v>2041</v>
      </c>
      <c r="C6" s="2">
        <v>8</v>
      </c>
      <c r="D6" s="2" t="s">
        <v>783</v>
      </c>
      <c r="E6" s="2">
        <v>4522</v>
      </c>
      <c r="F6" s="2">
        <v>2104</v>
      </c>
      <c r="G6" s="2">
        <v>1440</v>
      </c>
      <c r="H6" s="2">
        <v>0</v>
      </c>
      <c r="I6" s="19" t="s">
        <v>4529</v>
      </c>
      <c r="J6" t="str">
        <f t="shared" ref="J6:J32" si="1">"{ name: "&amp;CHAR(34)&amp;A6&amp;CHAR(34)&amp;", landmark: "&amp;CHAR(34)&amp;"Shrine Quest"&amp;CHAR(34)&amp;", type: "&amp;CHAR(34)&amp;B6&amp;" Quest"&amp;CHAR(34)&amp;", region: "&amp;C6&amp;", level: "&amp;CHAR(34)&amp;D6&amp;CHAR(34)&amp;", x: "&amp;E6&amp;", y: "&amp;F6&amp;", z: "&amp;G6&amp;", weight: "&amp;H6&amp;", details: `"&amp;I6&amp;"` },"</f>
        <v>{ name: "The Sky Mine Crystal", landmark: "Shrine Quest", type: "Gikaku Shrine Quest", region: 8, level: "Sky", x: 4522, y: 2104, z: 1440, weight: 0, details: `&lt;strong&gt;Task:&lt;/strong&gt;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Shrine&lt;/span&gt;` },</v>
      </c>
    </row>
    <row r="7" spans="1:10" ht="68" x14ac:dyDescent="0.2">
      <c r="A7" t="s">
        <v>4493</v>
      </c>
      <c r="B7" s="7" t="s">
        <v>2033</v>
      </c>
      <c r="C7" s="2">
        <v>8</v>
      </c>
      <c r="D7" s="2" t="s">
        <v>783</v>
      </c>
      <c r="E7" s="2">
        <v>3818</v>
      </c>
      <c r="F7" s="2">
        <v>1588</v>
      </c>
      <c r="G7" s="2">
        <v>1165</v>
      </c>
      <c r="H7" s="2">
        <v>0</v>
      </c>
      <c r="I7" s="19" t="s">
        <v>4530</v>
      </c>
      <c r="J7" t="str">
        <f t="shared" si="1"/>
        <v>{ name: "The Sokkala Sky Crystal", landmark: "Shrine Quest", type: "Natak Shrine Quest", region: 8, level: "Sky", x: 3818, y: 1588, z: 1165, weight: 0, details: `&lt;strong&gt;Task:&lt;/strong&gt;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Shrine&lt;/span&gt;` },</v>
      </c>
    </row>
    <row r="8" spans="1:10" ht="68" x14ac:dyDescent="0.2">
      <c r="A8" t="s">
        <v>4495</v>
      </c>
      <c r="B8" s="7" t="s">
        <v>1973</v>
      </c>
      <c r="C8" s="2">
        <v>10</v>
      </c>
      <c r="D8" s="2" t="s">
        <v>783</v>
      </c>
      <c r="E8" s="2">
        <v>1826</v>
      </c>
      <c r="F8" s="2">
        <v>-1368</v>
      </c>
      <c r="G8" s="2">
        <v>923</v>
      </c>
      <c r="H8" s="2">
        <v>0</v>
      </c>
      <c r="I8" s="19" t="s">
        <v>4532</v>
      </c>
      <c r="J8" t="str">
        <f t="shared" si="1"/>
        <v>{ name: "The North Necluda Sky Crystal", landmark: "Shrine Quest", type: "Josiu Shrine Quest", region: 10, level: "Sky", x: 1826, y: -1368, z: 923,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Shrine&lt;/span&gt;` },</v>
      </c>
    </row>
    <row r="9" spans="1:10" ht="68" x14ac:dyDescent="0.2">
      <c r="A9" t="s">
        <v>4496</v>
      </c>
      <c r="B9" s="7" t="s">
        <v>1952</v>
      </c>
      <c r="C9" s="2">
        <v>10</v>
      </c>
      <c r="D9" s="2" t="s">
        <v>783</v>
      </c>
      <c r="E9" s="2">
        <v>1704</v>
      </c>
      <c r="F9" s="2">
        <v>-1846</v>
      </c>
      <c r="G9" s="2">
        <v>650</v>
      </c>
      <c r="H9" s="2">
        <v>0</v>
      </c>
      <c r="I9" s="19" t="s">
        <v>4535</v>
      </c>
      <c r="J9" t="str">
        <f t="shared" si="1"/>
        <v>{ name: "The West Necluda Sky Crystal", landmark: "Shrine Quest", type: "Ukoojisi Shrine Quest", region: 10, level: "Sky", x: 1704, y: -1846, z: 650, weight: 0, details: `&lt;strong&gt;Task:&lt;/strong&gt;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Shrine&lt;/span&gt;` },</v>
      </c>
    </row>
    <row r="10" spans="1:10" ht="68" x14ac:dyDescent="0.2">
      <c r="A10" t="s">
        <v>4494</v>
      </c>
      <c r="B10" s="7" t="s">
        <v>2015</v>
      </c>
      <c r="C10" s="2">
        <v>11</v>
      </c>
      <c r="D10" s="2" t="s">
        <v>783</v>
      </c>
      <c r="E10" s="2">
        <v>4826</v>
      </c>
      <c r="F10" s="2">
        <v>-789</v>
      </c>
      <c r="G10" s="2">
        <v>1896</v>
      </c>
      <c r="H10" s="2">
        <v>0</v>
      </c>
      <c r="I10" s="19" t="s">
        <v>4531</v>
      </c>
      <c r="J10" t="str">
        <f t="shared" si="1"/>
        <v>{ name: "The South Lanayru Sky Crystal", landmark: "Shrine Quest", type: "Mayanas Shrine Quest", region: 11, level: "Sky", x: 4826, y: -789, z: 1896, weight: 0, details: `&lt;strong&gt;Task:&lt;/strong&gt;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Shrine&lt;/span&gt;` },</v>
      </c>
    </row>
    <row r="11" spans="1:10" ht="68" x14ac:dyDescent="0.2">
      <c r="A11" t="s">
        <v>4497</v>
      </c>
      <c r="B11" s="7" t="s">
        <v>1966</v>
      </c>
      <c r="C11" s="2">
        <v>12</v>
      </c>
      <c r="D11" s="2" t="s">
        <v>783</v>
      </c>
      <c r="E11" s="2">
        <v>3054</v>
      </c>
      <c r="F11" s="2">
        <v>-2757</v>
      </c>
      <c r="G11" s="2">
        <v>1192</v>
      </c>
      <c r="H11" s="2">
        <v>0</v>
      </c>
      <c r="I11" s="19" t="s">
        <v>4536</v>
      </c>
      <c r="J11" t="str">
        <f t="shared" si="1"/>
        <v>{ name: "The Necluda Sky Crystal", landmark: "Shrine Quest", type: "Kumamayn Shrine Quest", region: 12, level: "Sky", x: 3054, y: -2757, z: 1192, weight: 0, details: `&lt;strong&gt;Task:&lt;/strong&gt;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Shrine&lt;/span&gt;` },</v>
      </c>
    </row>
    <row r="12" spans="1:10" ht="85" x14ac:dyDescent="0.2">
      <c r="A12" t="s">
        <v>4466</v>
      </c>
      <c r="B12" s="7" t="s">
        <v>1919</v>
      </c>
      <c r="C12" s="2">
        <v>3</v>
      </c>
      <c r="D12" s="2" t="s">
        <v>785</v>
      </c>
      <c r="E12" s="2">
        <v>-2215</v>
      </c>
      <c r="F12" s="2">
        <v>650</v>
      </c>
      <c r="G12" s="2">
        <v>105</v>
      </c>
      <c r="H12" s="2">
        <v>0</v>
      </c>
      <c r="I12" s="19" t="s">
        <v>4506</v>
      </c>
      <c r="J12" t="str">
        <f t="shared" si="1"/>
        <v>{ name: "The Satori Mountain Crystal", landmark: "Shrine Quest", type: "Usazum Shrine Quest", region: 3, level: "Surface", x: -2215, y: 650, z: 105, weight: 0, details: `&lt;strong&gt;Task:&lt;/strong&gt;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Shrine&lt;/span&gt;` },</v>
      </c>
    </row>
    <row r="13" spans="1:10" ht="85" x14ac:dyDescent="0.2">
      <c r="A13" t="s">
        <v>4468</v>
      </c>
      <c r="B13" s="7" t="s">
        <v>1921</v>
      </c>
      <c r="C13" s="2">
        <v>3</v>
      </c>
      <c r="D13" s="2" t="s">
        <v>785</v>
      </c>
      <c r="E13" s="2">
        <v>-3940</v>
      </c>
      <c r="F13" s="2">
        <v>1056</v>
      </c>
      <c r="G13" s="2">
        <v>73</v>
      </c>
      <c r="H13" s="2">
        <v>0</v>
      </c>
      <c r="I13" s="19" t="s">
        <v>4508</v>
      </c>
      <c r="J13" t="str">
        <f t="shared" si="1"/>
        <v>{ name: "The Gisa Crater Crystal", landmark: "Shrine Quest", type: "Ikatak Shrine Quest", region: 3, level: "Surface", x: -3940, y: 1056, z: 73, weight: 0, details: `&lt;strong&gt;Task:&lt;/strong&gt;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Shrine&lt;/span&gt;` },</v>
      </c>
    </row>
    <row r="14" spans="1:10" ht="102" x14ac:dyDescent="0.2">
      <c r="A14" t="s">
        <v>4467</v>
      </c>
      <c r="B14" s="7" t="s">
        <v>1931</v>
      </c>
      <c r="C14" s="2">
        <v>4</v>
      </c>
      <c r="D14" s="2" t="s">
        <v>785</v>
      </c>
      <c r="E14" s="2">
        <v>-3632</v>
      </c>
      <c r="F14" s="2">
        <v>1827</v>
      </c>
      <c r="G14" s="2">
        <v>204</v>
      </c>
      <c r="H14" s="2">
        <v>0</v>
      </c>
      <c r="I14" s="19" t="s">
        <v>4507</v>
      </c>
      <c r="J14" t="str">
        <f t="shared" si="1"/>
        <v>{ name: "The White Bird's Guidance", landmark: "Shrine Quest", type: "Wao-os Shrine Quest", region: 4, level: "Surface", x: -3632, y: 1827, z: 204, weight: 0, details: `&lt;strong&gt;Task:&lt;/strong&gt;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Shrine&lt;/span&gt;` },</v>
      </c>
    </row>
    <row r="15" spans="1:10" ht="85" x14ac:dyDescent="0.2">
      <c r="A15" t="s">
        <v>4469</v>
      </c>
      <c r="B15" s="7" t="s">
        <v>1977</v>
      </c>
      <c r="C15" s="2">
        <v>4</v>
      </c>
      <c r="D15" s="2" t="s">
        <v>785</v>
      </c>
      <c r="E15" s="2">
        <v>-2675</v>
      </c>
      <c r="F15" s="2">
        <v>3353</v>
      </c>
      <c r="G15" s="2">
        <v>249</v>
      </c>
      <c r="H15" s="2">
        <v>0</v>
      </c>
      <c r="I15" s="19" t="s">
        <v>4509</v>
      </c>
      <c r="J15" t="str">
        <f t="shared" si="1"/>
        <v>{ name: "The North Hebra Mountains Crystal", landmark: "Shrine Quest", type: "Sisuran Shrine Quest", region: 4, level: "Surface", x: -2675, y: 3353, z: 249, weight: 0, details: `&lt;strong&gt;Task:&lt;/strong&gt;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Shrine&lt;/span&gt;` },</v>
      </c>
    </row>
    <row r="16" spans="1:10" ht="85" x14ac:dyDescent="0.2">
      <c r="A16" t="s">
        <v>4470</v>
      </c>
      <c r="B16" s="7" t="s">
        <v>1969</v>
      </c>
      <c r="C16" s="2">
        <v>4</v>
      </c>
      <c r="D16" s="2" t="s">
        <v>785</v>
      </c>
      <c r="E16" s="2">
        <v>-2994</v>
      </c>
      <c r="F16" s="2">
        <v>3157</v>
      </c>
      <c r="G16" s="2">
        <v>501</v>
      </c>
      <c r="H16" s="2">
        <v>0</v>
      </c>
      <c r="I16" s="19" t="s">
        <v>4510</v>
      </c>
      <c r="J16" t="str">
        <f t="shared" si="1"/>
        <v>{ name: "The Northwest Hebra Cave Crystal", landmark: "Shrine Quest", type: "Rutafu-um Shrine Quest", region: 4, level: "Surface", x: -2994, y: 3157, z: 501, weight: 0, details: `&lt;strong&gt;Task:&lt;/strong&gt;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Shrine&lt;/span&gt;` },</v>
      </c>
    </row>
    <row r="17" spans="1:10" ht="68" x14ac:dyDescent="0.2">
      <c r="A17" t="s">
        <v>4471</v>
      </c>
      <c r="B17" s="7" t="s">
        <v>2007</v>
      </c>
      <c r="C17" s="2">
        <v>6</v>
      </c>
      <c r="D17" s="2" t="s">
        <v>785</v>
      </c>
      <c r="E17" s="2">
        <v>561</v>
      </c>
      <c r="F17" s="2">
        <v>2159</v>
      </c>
      <c r="G17" s="2">
        <v>158</v>
      </c>
      <c r="H17" s="2">
        <v>0</v>
      </c>
      <c r="I17" s="19" t="s">
        <v>4511</v>
      </c>
      <c r="J17" t="str">
        <f t="shared" si="1"/>
        <v>{ name: "A Pretty Stone and Five Golden Apples", landmark: "Shrine Quest", type: "Pupunke Shrine Quest", region: 6, level: "Surface", x: 561, y: 2159, z: 158, weight: 0, details: `&lt;strong&gt;Task:&lt;/strong&gt;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Shrine&lt;/span&gt;` },</v>
      </c>
    </row>
    <row r="18" spans="1:10" ht="68" x14ac:dyDescent="0.2">
      <c r="A18" t="s">
        <v>4472</v>
      </c>
      <c r="B18" s="7" t="s">
        <v>2003</v>
      </c>
      <c r="C18" s="2">
        <v>6</v>
      </c>
      <c r="D18" s="2" t="s">
        <v>785</v>
      </c>
      <c r="E18" s="2">
        <v>108</v>
      </c>
      <c r="F18" s="2">
        <v>2370</v>
      </c>
      <c r="G18" s="2">
        <v>185</v>
      </c>
      <c r="H18" s="2">
        <v>0</v>
      </c>
      <c r="I18" s="19" t="s">
        <v>4512</v>
      </c>
      <c r="J18" t="str">
        <f t="shared" si="1"/>
        <v>{ name: "None Shall Pass", landmark: "Shrine Quest", type: "Sakunbomar Shrine Quest", region: 6, level: "Surface", x: 108, y: 2370, z: 185, weight: 0, details: `&lt;strong&gt;Task:&lt;/strong&gt;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Shrine&lt;/span&gt;` },</v>
      </c>
    </row>
    <row r="19" spans="1:10" ht="102" x14ac:dyDescent="0.2">
      <c r="A19" t="s">
        <v>4473</v>
      </c>
      <c r="B19" s="7" t="s">
        <v>1998</v>
      </c>
      <c r="C19" s="2">
        <v>6</v>
      </c>
      <c r="D19" s="2" t="s">
        <v>785</v>
      </c>
      <c r="E19" s="2">
        <v>382</v>
      </c>
      <c r="F19" s="2">
        <v>2084</v>
      </c>
      <c r="G19" s="2">
        <v>145</v>
      </c>
      <c r="H19" s="2">
        <v>0</v>
      </c>
      <c r="I19" s="19" t="s">
        <v>4513</v>
      </c>
      <c r="J19" t="str">
        <f t="shared" si="1"/>
        <v>{ name: "Maca's Special Place", landmark: "Shrine Quest", type: "Ninjis Shrine Quest", region: 6, level: "Surface", x: 382, y: 2084, z: 145, weight: 0, details: `&lt;strong&gt;Task:&lt;/strong&gt;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Shrine&lt;/span&gt;` },</v>
      </c>
    </row>
    <row r="20" spans="1:10" ht="85" x14ac:dyDescent="0.2">
      <c r="A20" t="s">
        <v>4474</v>
      </c>
      <c r="B20" s="7" t="s">
        <v>2037</v>
      </c>
      <c r="C20" s="2">
        <v>7</v>
      </c>
      <c r="D20" s="2" t="s">
        <v>785</v>
      </c>
      <c r="E20" s="2">
        <v>2630</v>
      </c>
      <c r="F20" s="2">
        <v>2735</v>
      </c>
      <c r="G20" s="2">
        <v>533</v>
      </c>
      <c r="H20" s="2">
        <v>0</v>
      </c>
      <c r="I20" s="19" t="s">
        <v>4514</v>
      </c>
      <c r="J20" t="str">
        <f t="shared" si="1"/>
        <v>{ name: "The Death Caldera Crystal", landmark: "Shrine Quest", type: "Momosik Shrine Quest", region: 7, level: "Surface", x: 2630, y: 2735, z: 533, weight: 0, details: `&lt;strong&gt;Task:&lt;/strong&gt;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Shrine&lt;/span&gt;` },</v>
      </c>
    </row>
    <row r="21" spans="1:10" ht="85" x14ac:dyDescent="0.2">
      <c r="A21" t="s">
        <v>4475</v>
      </c>
      <c r="B21" s="7" t="s">
        <v>2025</v>
      </c>
      <c r="C21" s="2">
        <v>7</v>
      </c>
      <c r="D21" s="2" t="s">
        <v>785</v>
      </c>
      <c r="E21" s="2">
        <v>2494</v>
      </c>
      <c r="F21" s="2">
        <v>1861</v>
      </c>
      <c r="G21" s="2">
        <v>132</v>
      </c>
      <c r="H21" s="2">
        <v>0</v>
      </c>
      <c r="I21" s="19" t="s">
        <v>4515</v>
      </c>
      <c r="J21" t="str">
        <f t="shared" si="1"/>
        <v>{ name: "The Lake Intenoch Cave Crystal", landmark: "Shrine Quest", type: "Moshapin Shrine Quest", region: 7, level: "Surface", x: 2494, y: 1861, z: 132, weight: 0, details: `&lt;strong&gt;Task:&lt;/strong&gt;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Shrine&lt;/span&gt;` },</v>
      </c>
    </row>
    <row r="22" spans="1:10" ht="68" x14ac:dyDescent="0.2">
      <c r="A22" t="s">
        <v>4476</v>
      </c>
      <c r="B22" s="7" t="s">
        <v>2032</v>
      </c>
      <c r="C22" s="2">
        <v>8</v>
      </c>
      <c r="D22" s="2" t="s">
        <v>785</v>
      </c>
      <c r="E22" s="2">
        <v>3925</v>
      </c>
      <c r="F22" s="2">
        <v>1600</v>
      </c>
      <c r="G22" s="2">
        <v>130</v>
      </c>
      <c r="H22" s="2">
        <v>0</v>
      </c>
      <c r="I22" s="19" t="s">
        <v>4516</v>
      </c>
      <c r="J22" t="str">
        <f t="shared" si="1"/>
        <v>{ name: "Rock for Sale", landmark: "Shrine Quest", type: "Jochi-ihiga Shrine Quest", region: 8, level: "Surface", x: 3925, y: 1600, z: 130, weight: 0, details: `&lt;strong&gt;Task:&lt;/strong&gt;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Shrine&lt;/span&gt;` },</v>
      </c>
    </row>
    <row r="23" spans="1:10" ht="68" x14ac:dyDescent="0.2">
      <c r="A23" t="s">
        <v>4477</v>
      </c>
      <c r="B23" s="7" t="s">
        <v>1993</v>
      </c>
      <c r="C23" s="2">
        <v>10</v>
      </c>
      <c r="D23" s="2" t="s">
        <v>785</v>
      </c>
      <c r="E23" s="2">
        <v>2397</v>
      </c>
      <c r="F23" s="2">
        <v>-519</v>
      </c>
      <c r="G23" s="2">
        <v>154</v>
      </c>
      <c r="H23" s="2">
        <v>0</v>
      </c>
      <c r="I23" s="19" t="s">
        <v>4517</v>
      </c>
      <c r="J23" t="str">
        <f t="shared" si="1"/>
        <v>{ name: "Dyeing to Find It", landmark: "Shrine Quest", type: "Kurakat Shrine Quest", region: 10, level: "Surface", x: 2397, y: -519, z: 154, weight: 0, details: `&lt;strong&gt;Task:&lt;/strong&gt;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Shrine&lt;/span&gt;` },</v>
      </c>
    </row>
    <row r="24" spans="1:10" ht="85" x14ac:dyDescent="0.2">
      <c r="A24" t="s">
        <v>4479</v>
      </c>
      <c r="B24" s="7" t="s">
        <v>1990</v>
      </c>
      <c r="C24" s="2">
        <v>10</v>
      </c>
      <c r="D24" s="2" t="s">
        <v>785</v>
      </c>
      <c r="E24" s="2">
        <v>2679</v>
      </c>
      <c r="F24" s="2">
        <v>-1373</v>
      </c>
      <c r="G24" s="2">
        <v>124</v>
      </c>
      <c r="H24" s="2">
        <v>0</v>
      </c>
      <c r="I24" s="19" t="s">
        <v>4519</v>
      </c>
      <c r="J24" t="str">
        <f t="shared" si="1"/>
        <v>{ name: "The Lanayru Road Crystal", landmark: "Shrine Quest", type: "O-ogim Shrine Quest", region: 10, level: "Surface", x: 2679, y: -1373, z: 124, weight: 0, details: `&lt;strong&gt;Task:&lt;/strong&gt;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Shrine&lt;/span&gt;` },</v>
      </c>
    </row>
    <row r="25" spans="1:10" ht="85" x14ac:dyDescent="0.2">
      <c r="A25" t="s">
        <v>4480</v>
      </c>
      <c r="B25" s="7" t="s">
        <v>2010</v>
      </c>
      <c r="C25" s="2">
        <v>9</v>
      </c>
      <c r="D25" s="2" t="s">
        <v>785</v>
      </c>
      <c r="E25" s="2">
        <v>2924</v>
      </c>
      <c r="F25" s="2">
        <v>219</v>
      </c>
      <c r="G25" s="2">
        <v>151</v>
      </c>
      <c r="H25" s="2">
        <v>0</v>
      </c>
      <c r="I25" s="19" t="s">
        <v>4520</v>
      </c>
      <c r="J25" t="str">
        <f t="shared" si="1"/>
        <v>{ name: "The Ralis Channel Crystal", landmark: "Shrine Quest", type: "Joniu Shrine Quest", region: 9, level: "Surface", x: 2924, y: 219, z: 151, weight: 0, details: `&lt;strong&gt;Task:&lt;/strong&gt;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Shrine&lt;/span&gt;` },</v>
      </c>
    </row>
    <row r="26" spans="1:10" ht="68" x14ac:dyDescent="0.2">
      <c r="A26" t="s">
        <v>4481</v>
      </c>
      <c r="B26" s="7" t="s">
        <v>1949</v>
      </c>
      <c r="C26" s="2">
        <v>13</v>
      </c>
      <c r="D26" s="2" t="s">
        <v>785</v>
      </c>
      <c r="E26" s="2">
        <v>944</v>
      </c>
      <c r="F26" s="2">
        <v>-1905</v>
      </c>
      <c r="G26" s="2">
        <v>17</v>
      </c>
      <c r="H26" s="2">
        <v>0</v>
      </c>
      <c r="I26" s="19" t="s">
        <v>4521</v>
      </c>
      <c r="J26" t="str">
        <f t="shared" si="1"/>
        <v>{ name: "Keys Born of Water", landmark: "Shrine Quest", type: "Jochisiu Shrine Quest", region: 13, level: "Surface", x: 944, y: -1905, z: 17, weight: 0, details: `&lt;strong&gt;Task:&lt;/strong&gt;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Shrine&lt;/span&gt;` },</v>
      </c>
    </row>
    <row r="27" spans="1:10" ht="68" x14ac:dyDescent="0.2">
      <c r="A27" t="s">
        <v>4478</v>
      </c>
      <c r="B27" s="7" t="s">
        <v>1994</v>
      </c>
      <c r="C27" s="2">
        <v>11</v>
      </c>
      <c r="D27" s="2" t="s">
        <v>785</v>
      </c>
      <c r="E27" s="2">
        <v>3960</v>
      </c>
      <c r="F27" s="2">
        <v>-1360</v>
      </c>
      <c r="G27" s="2">
        <v>435</v>
      </c>
      <c r="H27" s="2">
        <v>0</v>
      </c>
      <c r="I27" s="19" t="s">
        <v>4518</v>
      </c>
      <c r="J27" t="str">
        <f t="shared" si="1"/>
        <v>{ name: "The High Spring and the Light Rings", landmark: "Shrine Quest", type: "Zakusu Shrine Quest", region: 11, level: "Surface", x: 3960, y: -1360, z: 435, weight: 0, details: `&lt;strong&gt;Task:&lt;/strong&gt;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Shrine&lt;/span&gt;` },</v>
      </c>
    </row>
    <row r="28" spans="1:10" ht="85" x14ac:dyDescent="0.2">
      <c r="A28" t="s">
        <v>4482</v>
      </c>
      <c r="B28" s="7" t="s">
        <v>1965</v>
      </c>
      <c r="C28" s="2">
        <v>11</v>
      </c>
      <c r="D28" s="2" t="s">
        <v>785</v>
      </c>
      <c r="E28" s="2">
        <v>2447</v>
      </c>
      <c r="F28" s="2">
        <v>-2190</v>
      </c>
      <c r="G28" s="2">
        <v>-29</v>
      </c>
      <c r="H28" s="2">
        <v>0</v>
      </c>
      <c r="I28" s="19" t="s">
        <v>4522</v>
      </c>
      <c r="J28" t="str">
        <f t="shared" si="1"/>
        <v>{ name: "The Oakle's Navel Cave Crystal", landmark: "Shrine Quest", type: "Tokiy Shrine Quest", region: 11, level: "Surface", x: 2447, y: -2190, z: -29, weight: 0, details: `&lt;strong&gt;Task:&lt;/strong&gt;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Shrine&lt;/span&gt;` },</v>
      </c>
    </row>
    <row r="29" spans="1:10" ht="102" x14ac:dyDescent="0.2">
      <c r="A29" t="s">
        <v>4485</v>
      </c>
      <c r="B29" s="7" t="s">
        <v>1945</v>
      </c>
      <c r="C29" s="2">
        <v>13</v>
      </c>
      <c r="D29" s="2" t="s">
        <v>785</v>
      </c>
      <c r="E29" s="2">
        <v>1205</v>
      </c>
      <c r="F29" s="2">
        <v>-2489</v>
      </c>
      <c r="G29" s="2">
        <v>96</v>
      </c>
      <c r="H29" s="2">
        <v>0</v>
      </c>
      <c r="I29" s="19" t="s">
        <v>4524</v>
      </c>
      <c r="J29" t="str">
        <f t="shared" si="1"/>
        <v>{ name: "Legend of the Soaring Spear", landmark: "Shrine Quest", type: "Utojis Shrine Quest", region: 13, level: "Surface", x: 1205, y: -2489, z: 96, weight: 0, details: `&lt;strong&gt;Task:&lt;/strong&gt;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Shrine&lt;/span&gt;` },</v>
      </c>
    </row>
    <row r="30" spans="1:10" ht="102" x14ac:dyDescent="0.2">
      <c r="A30" t="s">
        <v>4483</v>
      </c>
      <c r="B30" s="7" t="s">
        <v>1911</v>
      </c>
      <c r="C30" s="2">
        <v>13</v>
      </c>
      <c r="D30" s="2" t="s">
        <v>785</v>
      </c>
      <c r="E30" s="2">
        <v>-695</v>
      </c>
      <c r="F30" s="2">
        <v>-3398</v>
      </c>
      <c r="G30" s="2">
        <v>172</v>
      </c>
      <c r="H30" s="2">
        <v>0</v>
      </c>
      <c r="I30" s="19" t="s">
        <v>4533</v>
      </c>
      <c r="J30" t="str">
        <f t="shared" si="1"/>
        <v>{ name: "Ride the Giant Horse", landmark: "Shrine Quest", type: "Ishokin Shrine Quest", region: 13, level: "Surface", x: -695, y: -3398, z: 172, weight: 0, details: `&lt;strong&gt;Task:&lt;/strong&gt;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Shrine&lt;/span&gt;` },</v>
      </c>
    </row>
    <row r="31" spans="1:10" ht="102" x14ac:dyDescent="0.2">
      <c r="A31" t="s">
        <v>4484</v>
      </c>
      <c r="B31" s="7" t="s">
        <v>1926</v>
      </c>
      <c r="C31" s="2">
        <v>13</v>
      </c>
      <c r="D31" s="2" t="s">
        <v>785</v>
      </c>
      <c r="E31" s="2">
        <v>132</v>
      </c>
      <c r="F31" s="2">
        <v>-2494</v>
      </c>
      <c r="G31" s="2">
        <v>692</v>
      </c>
      <c r="H31" s="2">
        <v>0</v>
      </c>
      <c r="I31" s="19" t="s">
        <v>4523</v>
      </c>
      <c r="J31" t="str">
        <f t="shared" si="1"/>
        <v>{ name: "The Lake Hylia Crystal", landmark: "Shrine Quest", type: "En-oma Shrine Quest", region: 13, level: "Surface", x: 132, y: -2494, z: 692, weight: 0, details: `&lt;strong&gt;Task:&lt;/strong&gt;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Shrine&lt;/span&gt;` },</v>
      </c>
    </row>
    <row r="32" spans="1:10" ht="68" x14ac:dyDescent="0.2">
      <c r="A32" t="s">
        <v>4486</v>
      </c>
      <c r="B32" s="7" t="s">
        <v>1913</v>
      </c>
      <c r="C32" s="2">
        <v>14</v>
      </c>
      <c r="D32" s="2" t="s">
        <v>785</v>
      </c>
      <c r="E32" s="2">
        <v>-1895</v>
      </c>
      <c r="F32" s="2">
        <v>-2344</v>
      </c>
      <c r="G32" s="2">
        <v>-2</v>
      </c>
      <c r="H32" s="2">
        <v>0</v>
      </c>
      <c r="I32" s="19" t="s">
        <v>4525</v>
      </c>
      <c r="J32" t="str">
        <f t="shared" si="1"/>
        <v>{ name: "The Gerudo Canyon Crystal", landmark: "Shrine Quest", type: "Rakakudaj Shrine Quest", region: 14, level: "Surface", x: -1895, y: -2344, z: -2, weight: 0, details: `&lt;strong&gt;Task:&lt;/strong&gt;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Shrine&lt;/span&gt;` },</v>
      </c>
    </row>
  </sheetData>
  <autoFilter ref="A1:J54" xr:uid="{9B66D1FE-B66F-F348-9F83-5F8C8FFF29B7}">
    <sortState xmlns:xlrd2="http://schemas.microsoft.com/office/spreadsheetml/2017/richdata2" ref="A2:J41">
      <sortCondition ref="D1:D54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AB90-D0D2-9643-B5AA-63A9E6C42F0B}">
  <sheetPr>
    <tabColor theme="7"/>
  </sheetPr>
  <dimension ref="A1:J61"/>
  <sheetViews>
    <sheetView workbookViewId="0">
      <selection activeCell="B6" sqref="B6"/>
    </sheetView>
  </sheetViews>
  <sheetFormatPr baseColWidth="10" defaultRowHeight="16" x14ac:dyDescent="0.2"/>
  <cols>
    <col min="1" max="1" width="30.1640625" bestFit="1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4342</v>
      </c>
      <c r="B2" s="7" t="s">
        <v>1441</v>
      </c>
      <c r="C2" s="2">
        <v>1</v>
      </c>
      <c r="D2" s="2" t="s">
        <v>785</v>
      </c>
      <c r="E2" s="2">
        <v>-264</v>
      </c>
      <c r="F2" s="2">
        <v>133</v>
      </c>
      <c r="G2" s="2">
        <v>19</v>
      </c>
      <c r="H2" s="2">
        <v>0</v>
      </c>
      <c r="I2" t="s">
        <v>4403</v>
      </c>
      <c r="J2" t="str">
        <f t="shared" ref="J2:J61" si="0"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"Hateno Village Research Lab", landmark: "Side Quest", type: "Lookout Landing", region: 1, level: "Surface", x: -264, y: 133, z: 19, weight: 0, details: `&lt;strong&gt;Start:&lt;/strong&gt; 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Sensor` },</v>
      </c>
    </row>
    <row r="3" spans="1:10" x14ac:dyDescent="0.2">
      <c r="A3" t="s">
        <v>4343</v>
      </c>
      <c r="B3" s="7" t="s">
        <v>1324</v>
      </c>
      <c r="C3" s="2">
        <v>11</v>
      </c>
      <c r="D3" s="2" t="s">
        <v>785</v>
      </c>
      <c r="E3" s="2">
        <v>3767</v>
      </c>
      <c r="F3" s="2">
        <v>-2132</v>
      </c>
      <c r="G3" s="2">
        <v>230</v>
      </c>
      <c r="H3" s="2">
        <v>0</v>
      </c>
      <c r="I3" t="s">
        <v>4404</v>
      </c>
      <c r="J3" t="str">
        <f t="shared" si="0"/>
        <v>{ name: "Filling Out The Compendium", landmark: "Side Quest", type: "Hateno Ancient Tech Lab", region: 11, level: "Surface", x: 3767, y: -2132,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Fabric` },</v>
      </c>
    </row>
    <row r="4" spans="1:10" x14ac:dyDescent="0.2">
      <c r="A4" t="s">
        <v>4344</v>
      </c>
      <c r="B4" s="7" t="s">
        <v>1324</v>
      </c>
      <c r="C4" s="2">
        <v>11</v>
      </c>
      <c r="D4" s="2" t="s">
        <v>785</v>
      </c>
      <c r="E4" s="2">
        <v>3789</v>
      </c>
      <c r="F4" s="2">
        <v>-2119</v>
      </c>
      <c r="G4" s="2">
        <v>230</v>
      </c>
      <c r="H4" s="2">
        <v>0</v>
      </c>
      <c r="I4" t="s">
        <v>4405</v>
      </c>
      <c r="J4" t="str">
        <f t="shared" si="0"/>
        <v>{ name: "Presenting: The Travel Medallion!", landmark: "Side Quest", type: "Hateno Ancient Tech Lab", region: 11, level: "Surface", x: 3789, y: -2119,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Medallion` },</v>
      </c>
    </row>
    <row r="5" spans="1:10" x14ac:dyDescent="0.2">
      <c r="A5" t="s">
        <v>4345</v>
      </c>
      <c r="B5" s="7" t="s">
        <v>1324</v>
      </c>
      <c r="C5" s="2">
        <v>11</v>
      </c>
      <c r="D5" s="2" t="s">
        <v>785</v>
      </c>
      <c r="E5" s="2">
        <v>3787</v>
      </c>
      <c r="F5" s="2">
        <v>-2129</v>
      </c>
      <c r="G5" s="2">
        <v>230</v>
      </c>
      <c r="H5" s="2">
        <v>0</v>
      </c>
      <c r="I5" t="s">
        <v>4406</v>
      </c>
      <c r="J5" t="str">
        <f t="shared" si="0"/>
        <v>{ name: "Presenting: Hero's Path Mode!", landmark: "Side Quest", type: "Hateno Ancient Tech Lab", region: 11, level: "Surface", x: 3787, y: -2129,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Mode` },</v>
      </c>
    </row>
    <row r="6" spans="1:10" x14ac:dyDescent="0.2">
      <c r="A6" t="s">
        <v>4346</v>
      </c>
      <c r="B6" s="7" t="s">
        <v>1324</v>
      </c>
      <c r="C6" s="2">
        <v>11</v>
      </c>
      <c r="D6" s="2" t="s">
        <v>785</v>
      </c>
      <c r="E6" s="2">
        <v>3783</v>
      </c>
      <c r="F6" s="2">
        <v>-2137</v>
      </c>
      <c r="G6" s="2">
        <v>230</v>
      </c>
      <c r="H6" s="2">
        <v>0</v>
      </c>
      <c r="I6" t="s">
        <v>4407</v>
      </c>
      <c r="J6" t="str">
        <f t="shared" si="0"/>
        <v>{ name: "Presenting: Sensor +!", landmark: "Side Quest", type: "Hateno Ancient Tech Lab", region: 11, level: "Surface", x: 3783, y: -2137,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+` },</v>
      </c>
    </row>
    <row r="7" spans="1:10" x14ac:dyDescent="0.2">
      <c r="A7" t="s">
        <v>4396</v>
      </c>
      <c r="B7" s="7" t="s">
        <v>1664</v>
      </c>
      <c r="C7" s="2">
        <v>8</v>
      </c>
      <c r="D7" s="2" t="s">
        <v>785</v>
      </c>
      <c r="E7" s="2">
        <v>3939</v>
      </c>
      <c r="F7" s="2">
        <v>1587</v>
      </c>
      <c r="G7" s="2">
        <v>128</v>
      </c>
      <c r="H7" s="2">
        <v>0</v>
      </c>
      <c r="I7" t="s">
        <v>4408</v>
      </c>
      <c r="J7" t="str">
        <f t="shared" si="0"/>
        <v>{ name: "Mattison's Independence", landmark: "Side Quest", type: "Tarrey Town", region: 8, level: "Surface", x: 3939, y: 1587, z: 128, weight: 0, details: `&lt;strong&gt;Start:&lt;/strong&gt; &lt;strong&gt;Start:&lt;/strong&gt; Talk to Hudson&lt;br&gt;&lt;strong&gt;Reward:&lt;/strong&gt; 200 Rupees` },</v>
      </c>
    </row>
    <row r="8" spans="1:10" x14ac:dyDescent="0.2">
      <c r="A8" t="s">
        <v>4347</v>
      </c>
      <c r="B8" s="7" t="s">
        <v>1329</v>
      </c>
      <c r="C8" s="2">
        <v>11</v>
      </c>
      <c r="D8" s="2" t="s">
        <v>785</v>
      </c>
      <c r="E8" s="2">
        <v>3631</v>
      </c>
      <c r="F8" s="2">
        <v>-2046</v>
      </c>
      <c r="G8" s="2">
        <v>178</v>
      </c>
      <c r="H8" s="2">
        <v>0</v>
      </c>
      <c r="I8" t="s">
        <v>4409</v>
      </c>
      <c r="J8" t="str">
        <f t="shared" si="0"/>
        <v>{ name: "A Letter To Koyin", landmark: "Side Quest", type: "Hateno Village", region: 11, level: "Surface", x: 3631, y: -2046, z: 178, weight: 0, details: `&lt;strong&gt;Start:&lt;/strong&gt; &lt;strong&gt;Start:&lt;/strong&gt; Talk to Koyin&lt;br&gt;&lt;strong&gt;Reward:&lt;/strong&gt; Hateno Cheese` },</v>
      </c>
    </row>
    <row r="9" spans="1:10" x14ac:dyDescent="0.2">
      <c r="A9" t="s">
        <v>4348</v>
      </c>
      <c r="B9" s="7" t="s">
        <v>1329</v>
      </c>
      <c r="C9" s="2">
        <v>11</v>
      </c>
      <c r="D9" s="2" t="s">
        <v>785</v>
      </c>
      <c r="E9" s="2">
        <v>3432</v>
      </c>
      <c r="F9" s="2">
        <v>-2084</v>
      </c>
      <c r="G9" s="2">
        <v>150</v>
      </c>
      <c r="H9" s="2">
        <v>0</v>
      </c>
      <c r="I9" t="s">
        <v>4410</v>
      </c>
      <c r="J9" t="str">
        <f t="shared" si="0"/>
        <v>{ name: "A New Signature Food", landmark: "Side Quest", type: "Hateno Village", region: 11, level: "Surface", x: 3432, y: -2084, z: 150,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Rupees` },</v>
      </c>
    </row>
    <row r="10" spans="1:10" x14ac:dyDescent="0.2">
      <c r="A10" t="s">
        <v>4397</v>
      </c>
      <c r="B10" s="7" t="s">
        <v>1329</v>
      </c>
      <c r="C10" s="2">
        <v>11</v>
      </c>
      <c r="D10" s="2" t="s">
        <v>785</v>
      </c>
      <c r="E10" s="2">
        <v>3445</v>
      </c>
      <c r="F10" s="2">
        <v>-2091</v>
      </c>
      <c r="G10" s="2">
        <v>150</v>
      </c>
      <c r="H10" s="2">
        <v>0</v>
      </c>
      <c r="I10" t="s">
        <v>4438</v>
      </c>
      <c r="J10" t="str">
        <f t="shared" si="0"/>
        <v>{ name: "Reede's Secret", landmark: "Side Quest", type: "Hateno Village", region: 11, level: "Surface", x: 3445, y: -2091, z: 150, weight: 0, details: `&lt;strong&gt;Start:&lt;/strong&gt; &lt;strong&gt;Start:&lt;/strong&gt; Talk to Clavia&lt;br&gt;&lt;strong&gt;Reward:&lt;/strong&gt; 10x Hylian Tomatoes` },</v>
      </c>
    </row>
    <row r="11" spans="1:10" x14ac:dyDescent="0.2">
      <c r="A11" t="s">
        <v>4398</v>
      </c>
      <c r="B11" s="7" t="s">
        <v>1329</v>
      </c>
      <c r="C11" s="2">
        <v>11</v>
      </c>
      <c r="D11" s="2" t="s">
        <v>785</v>
      </c>
      <c r="E11" s="2">
        <v>3355</v>
      </c>
      <c r="F11" s="2">
        <v>-2139</v>
      </c>
      <c r="G11" s="2">
        <v>115</v>
      </c>
      <c r="H11" s="2">
        <v>0</v>
      </c>
      <c r="I11" t="s">
        <v>4439</v>
      </c>
      <c r="J11" t="str">
        <f t="shared" si="0"/>
        <v>{ name: "Cece's Secret", landmark: "Side Quest", type: "Hateno Village", region: 11, level: "Surface", x: 3355, y: -2139, z: 115, weight: 0, details: `&lt;strong&gt;Start:&lt;/strong&gt; &lt;strong&gt;Start:&lt;/strong&gt; Talk to Sophie&lt;br&gt;&lt;strong&gt;Reward:&lt;/strong&gt; 10x Ironshrooms` },</v>
      </c>
    </row>
    <row r="12" spans="1:10" x14ac:dyDescent="0.2">
      <c r="A12" t="s">
        <v>4349</v>
      </c>
      <c r="B12" s="7" t="s">
        <v>1329</v>
      </c>
      <c r="C12" s="2">
        <v>11</v>
      </c>
      <c r="D12" s="2" t="s">
        <v>785</v>
      </c>
      <c r="E12" s="2">
        <v>3360</v>
      </c>
      <c r="F12" s="2">
        <v>-2118</v>
      </c>
      <c r="G12" s="2">
        <v>115</v>
      </c>
      <c r="H12" s="2">
        <v>0</v>
      </c>
      <c r="I12" t="s">
        <v>4411</v>
      </c>
      <c r="J12" t="str">
        <f t="shared" si="0"/>
        <v>{ name: "Team Cece Or Team Reede?", landmark: "Side Quest", type: "Hateno Village", region: 11, level: "Surface", x: 3360, y: -2118, z: 115, weight: 0, details: `&lt;strong&gt;Start:&lt;/strong&gt; &lt;strong&gt;Start:&lt;/strong&gt; Talk to Cece&lt;br&gt;&lt;strong&gt;Reward:&lt;/strong&gt; Use of Clothing Shop` },</v>
      </c>
    </row>
    <row r="13" spans="1:10" x14ac:dyDescent="0.2">
      <c r="A13" t="s">
        <v>4350</v>
      </c>
      <c r="B13" s="7" t="s">
        <v>1329</v>
      </c>
      <c r="C13" s="2">
        <v>11</v>
      </c>
      <c r="D13" s="2" t="s">
        <v>785</v>
      </c>
      <c r="E13" s="2">
        <v>3349</v>
      </c>
      <c r="F13" s="2">
        <v>-2128</v>
      </c>
      <c r="G13" s="2">
        <v>115</v>
      </c>
      <c r="H13" s="2">
        <v>0</v>
      </c>
      <c r="I13" t="s">
        <v>4412</v>
      </c>
      <c r="J13" t="str">
        <f t="shared" si="0"/>
        <v>{ name: "The Mayoral Election", landmark: "Side Quest", type: "Hateno Village", region: 11, level: "Surface", x: 3349, y: -2128, z: 115,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hat` },</v>
      </c>
    </row>
    <row r="14" spans="1:10" x14ac:dyDescent="0.2">
      <c r="A14" t="s">
        <v>4351</v>
      </c>
      <c r="B14" s="7" t="s">
        <v>1447</v>
      </c>
      <c r="C14" s="2">
        <v>12</v>
      </c>
      <c r="D14" s="2" t="s">
        <v>785</v>
      </c>
      <c r="E14" s="2">
        <v>2780</v>
      </c>
      <c r="F14" s="2">
        <v>-3264</v>
      </c>
      <c r="G14" s="2">
        <v>85</v>
      </c>
      <c r="H14" s="2">
        <v>0</v>
      </c>
      <c r="I14" t="s">
        <v>4413</v>
      </c>
      <c r="J14" t="str">
        <f t="shared" si="0"/>
        <v>{ name: "Ruffian-Infested Village", landmark: "Side Quest", type: "Lurelin Village", region: 12, level: "Surface", x: 2780, y: -3264, z: 85, weight: 0, details: `&lt;strong&gt;Start:&lt;/strong&gt; &lt;strong&gt;Start:&lt;/strong&gt; Talk to Rozel&lt;br&gt;&lt;strong&gt;Reward:&lt;/strong&gt; Lurelin Village Restored` },</v>
      </c>
    </row>
    <row r="15" spans="1:10" x14ac:dyDescent="0.2">
      <c r="A15" t="s">
        <v>4352</v>
      </c>
      <c r="B15" s="7" t="s">
        <v>1447</v>
      </c>
      <c r="C15" s="2">
        <v>12</v>
      </c>
      <c r="D15" s="2" t="s">
        <v>785</v>
      </c>
      <c r="E15" s="2">
        <v>2870</v>
      </c>
      <c r="F15" s="2">
        <v>-3446</v>
      </c>
      <c r="G15" s="2">
        <v>10</v>
      </c>
      <c r="H15" s="2">
        <v>0</v>
      </c>
      <c r="I15" t="s">
        <v>4414</v>
      </c>
      <c r="J15" t="str">
        <f t="shared" si="0"/>
        <v>{ name: "Lurelin Village Restoration Project", landmark: "Side Quest", type: "Lurelin Village", region: 12, level: "Surface", x: 2870, y: -3446, z: 10, weight: 0, details: `&lt;strong&gt;Start:&lt;/strong&gt; &lt;strong&gt;Start:&lt;/strong&gt; Talk to Bolson&lt;br&gt;&lt;strong&gt;Reward:&lt;/strong&gt; Free Village Services` },</v>
      </c>
    </row>
    <row r="16" spans="1:10" x14ac:dyDescent="0.2">
      <c r="A16" t="s">
        <v>4353</v>
      </c>
      <c r="B16" s="7" t="s">
        <v>1444</v>
      </c>
      <c r="C16" s="2">
        <v>3</v>
      </c>
      <c r="D16" s="2" t="s">
        <v>785</v>
      </c>
      <c r="E16" s="2">
        <v>-3248</v>
      </c>
      <c r="F16" s="2">
        <v>1758</v>
      </c>
      <c r="G16" s="2">
        <v>151</v>
      </c>
      <c r="H16" s="2">
        <v>0</v>
      </c>
      <c r="I16" t="s">
        <v>4440</v>
      </c>
      <c r="J16" t="str">
        <f t="shared" si="0"/>
        <v>{ name: "Potential Princess Sightings!", landmark: "Side Quest", type: "Lucky Clover Gazette", region: 3, level: "Surface", x: -3248, y: 1758, z: 151, weight: 0, details: `&lt;strong&gt;Start:&lt;/strong&gt; &lt;strong&gt;Start:&lt;/strong&gt; Talk to Traysi&lt;br&gt;&lt;strong&gt;Reward:&lt;/strong&gt; Froggy Armor, Lucky Clover Gazette Fabric` },</v>
      </c>
    </row>
    <row r="17" spans="1:10" x14ac:dyDescent="0.2">
      <c r="A17" t="s">
        <v>4402</v>
      </c>
      <c r="B17" s="7" t="s">
        <v>1529</v>
      </c>
      <c r="C17" s="2">
        <v>2</v>
      </c>
      <c r="D17" s="2" t="s">
        <v>785</v>
      </c>
      <c r="E17" s="2">
        <v>-1414</v>
      </c>
      <c r="F17" s="2">
        <v>-1291</v>
      </c>
      <c r="G17" s="2">
        <v>30</v>
      </c>
      <c r="H17" s="2">
        <v>0</v>
      </c>
      <c r="I17" t="s">
        <v>4415</v>
      </c>
      <c r="J17" t="str">
        <f t="shared" si="0"/>
        <v>{ name: "The Beckoning Woman", landmark: "Side Quest", type: "Outskirt Stable", region: 2, level: "Surface", x: -1414, y: -1291, z: 30, weight: 0, details: `&lt;strong&gt;Start:&lt;/strong&gt; &lt;strong&gt;Start:&lt;/strong&gt; Talk to Penn&lt;br&gt;&lt;strong&gt;Reward:&lt;/strong&gt; Rupees` },</v>
      </c>
    </row>
    <row r="18" spans="1:10" x14ac:dyDescent="0.2">
      <c r="A18" t="s">
        <v>4354</v>
      </c>
      <c r="B18" s="7" t="s">
        <v>1578</v>
      </c>
      <c r="C18" s="2">
        <v>2</v>
      </c>
      <c r="D18" s="2" t="s">
        <v>785</v>
      </c>
      <c r="E18" s="2">
        <v>387</v>
      </c>
      <c r="F18" s="2">
        <v>-1045</v>
      </c>
      <c r="G18" s="2">
        <v>10</v>
      </c>
      <c r="H18" s="2">
        <v>0</v>
      </c>
      <c r="I18" t="s">
        <v>4415</v>
      </c>
      <c r="J18" t="str">
        <f t="shared" si="0"/>
        <v>{ name: "Gourmets Gone Missing", landmark: "Side Quest", type: "Riverside Stable", region: 2, level: "Surface", x: 387, y: -1045, z: 10, weight: 0, details: `&lt;strong&gt;Start:&lt;/strong&gt; &lt;strong&gt;Start:&lt;/strong&gt; Talk to Penn&lt;br&gt;&lt;strong&gt;Reward:&lt;/strong&gt; Rupees` },</v>
      </c>
    </row>
    <row r="19" spans="1:10" x14ac:dyDescent="0.2">
      <c r="A19" t="s">
        <v>4355</v>
      </c>
      <c r="B19" s="7" t="s">
        <v>1506</v>
      </c>
      <c r="C19" s="2">
        <v>3</v>
      </c>
      <c r="D19" s="2" t="s">
        <v>785</v>
      </c>
      <c r="E19" s="2">
        <v>-1346</v>
      </c>
      <c r="F19" s="2">
        <v>730</v>
      </c>
      <c r="G19" s="2">
        <v>86</v>
      </c>
      <c r="H19" s="2">
        <v>0</v>
      </c>
      <c r="I19" t="s">
        <v>4415</v>
      </c>
      <c r="J19" t="str">
        <f t="shared" si="0"/>
        <v>{ name: "The Beast And The Princess", landmark: "Side Quest", type: "New Serenne Stable", region: 3, level: "Surface", x: -1346, y: 730, z: 86, weight: 0, details: `&lt;strong&gt;Start:&lt;/strong&gt; &lt;strong&gt;Start:&lt;/strong&gt; Talk to Penn&lt;br&gt;&lt;strong&gt;Reward:&lt;/strong&gt; Rupees` },</v>
      </c>
    </row>
    <row r="20" spans="1:10" x14ac:dyDescent="0.2">
      <c r="A20" t="s">
        <v>4399</v>
      </c>
      <c r="B20" s="7" t="s">
        <v>1619</v>
      </c>
      <c r="C20" s="2">
        <v>5</v>
      </c>
      <c r="D20" s="2" t="s">
        <v>785</v>
      </c>
      <c r="E20" s="2">
        <v>-1639</v>
      </c>
      <c r="F20" s="2">
        <v>2584</v>
      </c>
      <c r="G20" s="2">
        <v>234</v>
      </c>
      <c r="H20" s="2">
        <v>0</v>
      </c>
      <c r="I20" t="s">
        <v>4416</v>
      </c>
      <c r="J20" t="str">
        <f t="shared" si="0"/>
        <v>{ name: "Zelda's Golden Horse", landmark: "Side Quest", type: "Snowfield Stable", region: 5, level: "Surface", x: -1639, y: 2584, z: 234, weight: 0, details: `&lt;strong&gt;Start:&lt;/strong&gt; &lt;strong&gt;Start:&lt;/strong&gt; Talk to Penn&lt;br&gt;&lt;strong&gt;Reward:&lt;/strong&gt; Zelda's Golden Horse, Royal Bridle, Royal Saddle` },</v>
      </c>
    </row>
    <row r="21" spans="1:10" x14ac:dyDescent="0.2">
      <c r="A21" t="s">
        <v>4356</v>
      </c>
      <c r="B21" s="7" t="s">
        <v>1650</v>
      </c>
      <c r="C21" s="2">
        <v>3</v>
      </c>
      <c r="D21" s="2" t="s">
        <v>785</v>
      </c>
      <c r="E21" s="2">
        <v>-2914</v>
      </c>
      <c r="F21" s="2">
        <v>529</v>
      </c>
      <c r="G21" s="2">
        <v>170</v>
      </c>
      <c r="H21" s="2">
        <v>0</v>
      </c>
      <c r="I21" t="s">
        <v>4415</v>
      </c>
      <c r="J21" t="str">
        <f t="shared" si="0"/>
        <v>{ name: "White Goats Gone Missing", landmark: "Side Quest", type: "Tabantha Bridge Stable", region: 3, level: "Surface", x: -2914, y: 529, z: 170, weight: 0, details: `&lt;strong&gt;Start:&lt;/strong&gt; &lt;strong&gt;Start:&lt;/strong&gt; Talk to Penn&lt;br&gt;&lt;strong&gt;Reward:&lt;/strong&gt; Rupees` },</v>
      </c>
    </row>
    <row r="22" spans="1:10" x14ac:dyDescent="0.2">
      <c r="A22" t="s">
        <v>4357</v>
      </c>
      <c r="B22" s="7" t="s">
        <v>1031</v>
      </c>
      <c r="C22" s="2">
        <v>7</v>
      </c>
      <c r="D22" s="2" t="s">
        <v>785</v>
      </c>
      <c r="E22" s="2">
        <v>2587</v>
      </c>
      <c r="F22" s="2">
        <v>1154</v>
      </c>
      <c r="G22" s="2">
        <v>145</v>
      </c>
      <c r="H22" s="2">
        <v>0</v>
      </c>
      <c r="I22" t="s">
        <v>4415</v>
      </c>
      <c r="J22" t="str">
        <f t="shared" si="0"/>
        <v>{ name: "For Our Princess!", landmark: "Side Quest", type: "Foothill Stable", region: 7, level: "Surface", x: 2587, y: 1154, z: 145, weight: 0, details: `&lt;strong&gt;Start:&lt;/strong&gt; &lt;strong&gt;Start:&lt;/strong&gt; Talk to Penn&lt;br&gt;&lt;strong&gt;Reward:&lt;/strong&gt; Rupees` },</v>
      </c>
    </row>
    <row r="23" spans="1:10" x14ac:dyDescent="0.2">
      <c r="A23" t="s">
        <v>4358</v>
      </c>
      <c r="B23" s="7" t="s">
        <v>1078</v>
      </c>
      <c r="C23" s="2">
        <v>8</v>
      </c>
      <c r="D23" s="2" t="s">
        <v>785</v>
      </c>
      <c r="E23" s="2">
        <v>3166</v>
      </c>
      <c r="F23" s="2">
        <v>1715</v>
      </c>
      <c r="G23" s="2">
        <v>200</v>
      </c>
      <c r="H23" s="2">
        <v>0</v>
      </c>
      <c r="I23" t="s">
        <v>4415</v>
      </c>
      <c r="J23" t="str">
        <f t="shared" si="0"/>
        <v>{ name: "The All-Clucking Cucco", landmark: "Side Quest", type: "South Akkala Stable", region: 8, level: "Surface", x: 3166, y: 1715, z: 200, weight: 0, details: `&lt;strong&gt;Start:&lt;/strong&gt; &lt;strong&gt;Start:&lt;/strong&gt; Talk to Penn&lt;br&gt;&lt;strong&gt;Reward:&lt;/strong&gt; Rupees` },</v>
      </c>
    </row>
    <row r="24" spans="1:10" x14ac:dyDescent="0.2">
      <c r="A24" t="s">
        <v>4359</v>
      </c>
      <c r="B24" s="7" t="s">
        <v>1710</v>
      </c>
      <c r="C24" s="2">
        <v>10</v>
      </c>
      <c r="D24" s="2" t="s">
        <v>785</v>
      </c>
      <c r="E24" s="2">
        <v>880</v>
      </c>
      <c r="F24" s="2">
        <v>-151</v>
      </c>
      <c r="G24" s="2">
        <v>25</v>
      </c>
      <c r="H24" s="2">
        <v>0</v>
      </c>
      <c r="I24" t="s">
        <v>4415</v>
      </c>
      <c r="J24" t="str">
        <f t="shared" si="0"/>
        <v>{ name: "The Missing Farm Tools", landmark: "Side Quest", type: "Wetland Stable", region: 10, level: "Surface", x: 880, y: -151, z: 25, weight: 0, details: `&lt;strong&gt;Start:&lt;/strong&gt; &lt;strong&gt;Start:&lt;/strong&gt; Talk to Penn&lt;br&gt;&lt;strong&gt;Reward:&lt;/strong&gt; Rupees` },</v>
      </c>
    </row>
    <row r="25" spans="1:10" x14ac:dyDescent="0.2">
      <c r="A25" t="s">
        <v>4360</v>
      </c>
      <c r="B25" s="7" t="s">
        <v>1221</v>
      </c>
      <c r="C25" s="2">
        <v>10</v>
      </c>
      <c r="D25" s="2" t="s">
        <v>785</v>
      </c>
      <c r="E25" s="2">
        <v>1779</v>
      </c>
      <c r="F25" s="2">
        <v>-1904</v>
      </c>
      <c r="G25" s="2">
        <v>10</v>
      </c>
      <c r="H25" s="2">
        <v>0</v>
      </c>
      <c r="I25" t="s">
        <v>4415</v>
      </c>
      <c r="J25" t="str">
        <f t="shared" si="0"/>
        <v>{ name: "Princess Zelda Kidnapped?!", landmark: "Side Quest", type: "Dueling Peaks Stable", region: 10, level: "Surface", x: 1779, y: -1904, z: 10, weight: 0, details: `&lt;strong&gt;Start:&lt;/strong&gt; &lt;strong&gt;Start:&lt;/strong&gt; Talk to Penn&lt;br&gt;&lt;strong&gt;Reward:&lt;/strong&gt; Rupees` },</v>
      </c>
    </row>
    <row r="26" spans="1:10" x14ac:dyDescent="0.2">
      <c r="A26" t="s">
        <v>4361</v>
      </c>
      <c r="B26" s="7" t="s">
        <v>1353</v>
      </c>
      <c r="C26" s="2">
        <v>13</v>
      </c>
      <c r="D26" s="2" t="s">
        <v>785</v>
      </c>
      <c r="E26" s="2">
        <v>511</v>
      </c>
      <c r="F26" s="2">
        <v>-3440</v>
      </c>
      <c r="G26" s="2">
        <v>47</v>
      </c>
      <c r="H26" s="2">
        <v>0</v>
      </c>
      <c r="I26" t="s">
        <v>4415</v>
      </c>
      <c r="J26" t="str">
        <f t="shared" si="0"/>
        <v>{ name: "An Eerie Voice", landmark: "Side Quest", type: "Highland Stable", region: 13, level: "Surface", x: 511, y: -3440, z: 47, weight: 0, details: `&lt;strong&gt;Start:&lt;/strong&gt; &lt;strong&gt;Start:&lt;/strong&gt; Talk to Penn&lt;br&gt;&lt;strong&gt;Reward:&lt;/strong&gt; Rupees` },</v>
      </c>
    </row>
    <row r="27" spans="1:10" x14ac:dyDescent="0.2">
      <c r="A27" t="s">
        <v>4362</v>
      </c>
      <c r="B27" s="7" t="s">
        <v>1034</v>
      </c>
      <c r="C27" s="2">
        <v>14</v>
      </c>
      <c r="D27" s="2" t="s">
        <v>785</v>
      </c>
      <c r="E27" s="2">
        <v>-2823</v>
      </c>
      <c r="F27" s="2">
        <v>-2219</v>
      </c>
      <c r="G27" s="2">
        <v>29</v>
      </c>
      <c r="H27" s="2">
        <v>0</v>
      </c>
      <c r="I27" t="s">
        <v>4415</v>
      </c>
      <c r="J27" t="str">
        <f t="shared" si="0"/>
        <v>{ name: "The Blocked Well", landmark: "Side Quest", type: "Gerudo Canyon Stable", region: 14, level: "Surface", x: -2823, y: -2219, z: 29, weight: 0, details: `&lt;strong&gt;Start:&lt;/strong&gt; &lt;strong&gt;Start:&lt;/strong&gt; Talk to Penn&lt;br&gt;&lt;strong&gt;Reward:&lt;/strong&gt; Rupees` },</v>
      </c>
    </row>
    <row r="28" spans="1:10" x14ac:dyDescent="0.2">
      <c r="A28" t="s">
        <v>4400</v>
      </c>
      <c r="B28" s="7" t="s">
        <v>1353</v>
      </c>
      <c r="C28" s="2">
        <v>13</v>
      </c>
      <c r="D28" s="2" t="s">
        <v>785</v>
      </c>
      <c r="E28" s="2">
        <v>526</v>
      </c>
      <c r="F28" s="2">
        <v>-3398</v>
      </c>
      <c r="G28" s="2">
        <v>47</v>
      </c>
      <c r="H28" s="2">
        <v>0</v>
      </c>
      <c r="I28" t="s">
        <v>4417</v>
      </c>
      <c r="J28" t="str">
        <f t="shared" si="0"/>
        <v>{ name: "The Flute Player's Plan", landmark: "Side Quest", type: "Highland Stable", region: 13, level: "Surface", x: 526, y: -3398, z: 47, weight: 0, details: `&lt;strong&gt;Start:&lt;/strong&gt; &lt;strong&gt;Start:&lt;/strong&gt; Talk to Pyper&lt;br&gt;&lt;strong&gt;Reward:&lt;/strong&gt; Big Hearty Truffle` },</v>
      </c>
    </row>
    <row r="29" spans="1:10" x14ac:dyDescent="0.2">
      <c r="A29" t="s">
        <v>4363</v>
      </c>
      <c r="B29" s="7" t="s">
        <v>806</v>
      </c>
      <c r="C29" s="2">
        <v>10</v>
      </c>
      <c r="D29" s="2" t="s">
        <v>785</v>
      </c>
      <c r="E29" s="2">
        <v>2170</v>
      </c>
      <c r="F29" s="2">
        <v>1378</v>
      </c>
      <c r="G29" s="2">
        <v>85</v>
      </c>
      <c r="H29" s="2">
        <v>0</v>
      </c>
      <c r="I29" t="s">
        <v>4418</v>
      </c>
      <c r="J29" t="str">
        <f t="shared" si="0"/>
        <v>{ name: "Honey, Bee Mine", landmark: "Side Quest", type: "West Necluda", region: 10, level: "Surface", x: 2170, y: 1378, z: 85, weight: 0, details: `&lt;strong&gt;Start:&lt;/strong&gt; &lt;strong&gt;Start:&lt;/strong&gt; Talk to Beetz&lt;br&gt;&lt;strong&gt;Reward:&lt;/strong&gt; 100 Rupees` },</v>
      </c>
    </row>
    <row r="30" spans="1:10" x14ac:dyDescent="0.2">
      <c r="A30" t="s">
        <v>4364</v>
      </c>
      <c r="B30" s="7" t="s">
        <v>799</v>
      </c>
      <c r="C30" s="2">
        <v>3</v>
      </c>
      <c r="D30" s="2" t="s">
        <v>785</v>
      </c>
      <c r="E30" s="2">
        <v>-3650</v>
      </c>
      <c r="F30" s="2">
        <v>770</v>
      </c>
      <c r="G30" s="2">
        <v>-130</v>
      </c>
      <c r="H30" s="2">
        <v>0</v>
      </c>
      <c r="I30" t="s">
        <v>4441</v>
      </c>
      <c r="J30" t="str">
        <f t="shared" si="0"/>
        <v>{ name: "The Hornist's Dramatic Escape", landmark: "Side Quest", type: "Tabantha Frontier", region: 3, level: "Surface", x: -3650, y: 770, z: -130, weight: 0, details: `&lt;strong&gt;Start:&lt;/strong&gt; &lt;strong&gt;Start:&lt;/strong&gt; Talk to Eustus&lt;br&gt;&lt;strong&gt;Reward:&lt;/strong&gt; 3x Courser Bee Honey` },</v>
      </c>
    </row>
    <row r="31" spans="1:10" x14ac:dyDescent="0.2">
      <c r="A31" t="s">
        <v>4365</v>
      </c>
      <c r="B31" s="7" t="s">
        <v>1716</v>
      </c>
      <c r="C31" s="2">
        <v>7</v>
      </c>
      <c r="D31" s="2" t="s">
        <v>785</v>
      </c>
      <c r="E31" s="2">
        <v>1040</v>
      </c>
      <c r="F31" s="2">
        <v>1145</v>
      </c>
      <c r="G31" s="2">
        <v>20</v>
      </c>
      <c r="H31" s="2">
        <v>0</v>
      </c>
      <c r="I31" t="s">
        <v>4419</v>
      </c>
      <c r="J31" t="str">
        <f t="shared" si="0"/>
        <v>{ name: "Serenade To A Great Fairy", landmark: "Side Quest", type: "Woodland Stable", region: 7, level: "Surface", x: 1040, y: 1145, z: 20, weight: 0, details: `&lt;strong&gt;Start:&lt;/strong&gt; &lt;strong&gt;Start:&lt;/strong&gt; Talk to Penn&lt;br&gt;&lt;strong&gt;Reward:&lt;/strong&gt; 100 Rupees` },</v>
      </c>
    </row>
    <row r="32" spans="1:10" x14ac:dyDescent="0.2">
      <c r="A32" t="s">
        <v>4366</v>
      </c>
      <c r="B32" s="7" t="s">
        <v>1529</v>
      </c>
      <c r="C32" s="2">
        <v>2</v>
      </c>
      <c r="D32" s="2" t="s">
        <v>785</v>
      </c>
      <c r="E32" s="2">
        <v>-1402</v>
      </c>
      <c r="F32" s="2">
        <v>-1261</v>
      </c>
      <c r="G32" s="2">
        <v>30</v>
      </c>
      <c r="H32" s="2">
        <v>0</v>
      </c>
      <c r="I32" t="s">
        <v>4420</v>
      </c>
      <c r="J32" t="str">
        <f t="shared" si="0"/>
        <v>{ name: "Serenade to Kaysa", landmark: "Side Quest", type: "Outskirt Stable", region: 2, level: "Surface", x: -1402, y: -1261, z: 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Rupees` },</v>
      </c>
    </row>
    <row r="33" spans="1:10" x14ac:dyDescent="0.2">
      <c r="A33" t="s">
        <v>4367</v>
      </c>
      <c r="B33" s="7" t="s">
        <v>1221</v>
      </c>
      <c r="C33" s="2">
        <v>12</v>
      </c>
      <c r="D33" s="2" t="s">
        <v>785</v>
      </c>
      <c r="E33" s="2">
        <v>1738</v>
      </c>
      <c r="F33" s="2">
        <v>-1955</v>
      </c>
      <c r="G33" s="2">
        <v>10</v>
      </c>
      <c r="H33" s="2">
        <v>0</v>
      </c>
      <c r="I33" t="s">
        <v>4421</v>
      </c>
      <c r="J33" t="str">
        <f t="shared" si="0"/>
        <v>{ name: "Serenade To Cotera", landmark: "Side Quest", type: "Dueling Peaks Stable", region: 12, level: "Surface", x: 1738, y: -1955, z: 10,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Rupees` },</v>
      </c>
    </row>
    <row r="34" spans="1:10" x14ac:dyDescent="0.2">
      <c r="A34" t="s">
        <v>4368</v>
      </c>
      <c r="B34" s="7" t="s">
        <v>1619</v>
      </c>
      <c r="C34" s="2">
        <v>5</v>
      </c>
      <c r="D34" s="2" t="s">
        <v>785</v>
      </c>
      <c r="E34" s="2">
        <v>-1634</v>
      </c>
      <c r="F34" s="2">
        <v>2592</v>
      </c>
      <c r="G34" s="2">
        <v>234</v>
      </c>
      <c r="H34" s="2">
        <v>0</v>
      </c>
      <c r="I34" t="s">
        <v>4422</v>
      </c>
      <c r="J34" t="str">
        <f t="shared" si="0"/>
        <v>{ name: "Serenade To Mija", landmark: "Side Quest", type: "Snowfield Stable", region: 5, level: "Surface", x: -1634, y: 2592, z: 234,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Rupees` },</v>
      </c>
    </row>
    <row r="35" spans="1:10" x14ac:dyDescent="0.2">
      <c r="A35" t="s">
        <v>4369</v>
      </c>
      <c r="B35" s="7" t="s">
        <v>788</v>
      </c>
      <c r="C35" s="2">
        <v>2</v>
      </c>
      <c r="D35" s="2" t="s">
        <v>785</v>
      </c>
      <c r="E35" s="2">
        <v>-476</v>
      </c>
      <c r="F35" s="2">
        <v>-539</v>
      </c>
      <c r="G35" s="2">
        <v>27</v>
      </c>
      <c r="H35" s="2">
        <v>0</v>
      </c>
      <c r="I35" t="s">
        <v>4457</v>
      </c>
      <c r="J35" t="str">
        <f t="shared" si="0"/>
        <v>{ name: "Bring Peace To Hyrule Field!", landmark: "Side Quest", type: "Central Hyrule", region: 2, level: "Surface", x: -476, y: -539, z: 27, weight: 0, details: `&lt;strong&gt;Start:&lt;/strong&gt; &lt;strong&gt;Start:&lt;/strong&gt; Talk to Hoz&lt;br&gt;&lt;strong&gt;Reward:&lt;/strong&gt; 100 Rupees` },</v>
      </c>
    </row>
    <row r="36" spans="1:10" x14ac:dyDescent="0.2">
      <c r="A36" t="s">
        <v>4370</v>
      </c>
      <c r="B36" s="7" t="s">
        <v>788</v>
      </c>
      <c r="C36" s="2">
        <v>1</v>
      </c>
      <c r="D36" s="2" t="s">
        <v>785</v>
      </c>
      <c r="E36" s="2">
        <v>2233</v>
      </c>
      <c r="F36" s="2">
        <v>-1785</v>
      </c>
      <c r="G36" s="2">
        <v>16</v>
      </c>
      <c r="H36" s="2">
        <v>0</v>
      </c>
      <c r="I36" t="s">
        <v>4457</v>
      </c>
      <c r="J36" t="str">
        <f t="shared" si="0"/>
        <v>{ name: "Bring Peace To Necluda!", landmark: "Side Quest", type: "Central Hyrule", region: 1, level: "Surface", x: 2233, y: -1785, z: 16, weight: 0, details: `&lt;strong&gt;Start:&lt;/strong&gt; &lt;strong&gt;Start:&lt;/strong&gt; Talk to Hoz&lt;br&gt;&lt;strong&gt;Reward:&lt;/strong&gt; 100 Rupees` },</v>
      </c>
    </row>
    <row r="37" spans="1:10" x14ac:dyDescent="0.2">
      <c r="A37" t="s">
        <v>4371</v>
      </c>
      <c r="B37" s="7" t="s">
        <v>791</v>
      </c>
      <c r="C37" s="2">
        <v>7</v>
      </c>
      <c r="D37" s="2" t="s">
        <v>785</v>
      </c>
      <c r="E37" s="2">
        <v>2366</v>
      </c>
      <c r="F37" s="2">
        <v>3057</v>
      </c>
      <c r="G37" s="2">
        <v>449</v>
      </c>
      <c r="H37" s="2">
        <v>0</v>
      </c>
      <c r="I37" t="s">
        <v>4458</v>
      </c>
      <c r="J37" t="str">
        <f t="shared" si="0"/>
        <v>{ name: "Bring Peace To Eldin!", landmark: "Side Quest", type: "Eldin Canyon", region: 7, level: "Surface", x: 2366, y: 3057, z: 449, weight: 0, details: `&lt;strong&gt;Start:&lt;/strong&gt; &lt;strong&gt;Start:&lt;/strong&gt; Talk to Toren&lt;br&gt;&lt;strong&gt;Reward:&lt;/strong&gt; 100 Rupees` },</v>
      </c>
    </row>
    <row r="38" spans="1:10" x14ac:dyDescent="0.2">
      <c r="A38" t="s">
        <v>4372</v>
      </c>
      <c r="B38" s="7" t="s">
        <v>835</v>
      </c>
      <c r="C38" s="2">
        <v>9</v>
      </c>
      <c r="D38" s="2" t="s">
        <v>785</v>
      </c>
      <c r="E38" s="2">
        <v>3006</v>
      </c>
      <c r="F38" s="2">
        <v>1107</v>
      </c>
      <c r="G38" s="2">
        <v>400</v>
      </c>
      <c r="H38" s="2">
        <v>0</v>
      </c>
      <c r="I38" t="s">
        <v>4458</v>
      </c>
      <c r="J38" t="str">
        <f t="shared" si="0"/>
        <v>{ name: "Bring Peace To Akkala!", landmark: "Side Quest", type: "South Akkala Plains", region: 9, level: "Surface", x: 3006, y: 1107, z: 400, weight: 0, details: `&lt;strong&gt;Start:&lt;/strong&gt; &lt;strong&gt;Start:&lt;/strong&gt; Talk to Toren&lt;br&gt;&lt;strong&gt;Reward:&lt;/strong&gt; 100 Rupees` },</v>
      </c>
    </row>
    <row r="39" spans="1:10" x14ac:dyDescent="0.2">
      <c r="A39" t="s">
        <v>4373</v>
      </c>
      <c r="B39" s="7" t="s">
        <v>794</v>
      </c>
      <c r="C39" s="2">
        <v>13</v>
      </c>
      <c r="D39" s="2" t="s">
        <v>785</v>
      </c>
      <c r="E39" s="2">
        <v>-25</v>
      </c>
      <c r="F39" s="2">
        <v>-3417</v>
      </c>
      <c r="G39" s="2">
        <v>10</v>
      </c>
      <c r="H39" s="2">
        <v>0</v>
      </c>
      <c r="I39" t="s">
        <v>4459</v>
      </c>
      <c r="J39" t="str">
        <f t="shared" si="0"/>
        <v>{ name: "Bring Peace To Faron!", landmark: "Side Quest", type: "Faron Grasslands", region: 13, level: "Surface", x: -25, y: -3417, z: 10, weight: 0, details: `&lt;strong&gt;Start:&lt;/strong&gt; &lt;strong&gt;Start:&lt;/strong&gt; Talk to Flaxel&lt;br&gt;&lt;strong&gt;Reward:&lt;/strong&gt; 100 Rupees` },</v>
      </c>
    </row>
    <row r="40" spans="1:10" x14ac:dyDescent="0.2">
      <c r="A40" t="s">
        <v>4374</v>
      </c>
      <c r="B40" s="7" t="s">
        <v>794</v>
      </c>
      <c r="C40" s="2">
        <v>13</v>
      </c>
      <c r="D40" s="2" t="s">
        <v>785</v>
      </c>
      <c r="E40" s="2">
        <v>-1797</v>
      </c>
      <c r="F40" s="2">
        <v>2298</v>
      </c>
      <c r="G40" s="2">
        <v>264</v>
      </c>
      <c r="H40" s="2">
        <v>0</v>
      </c>
      <c r="I40" t="s">
        <v>4459</v>
      </c>
      <c r="J40" t="str">
        <f t="shared" si="0"/>
        <v>{ name: "Bring Peace To Hebra!", landmark: "Side Quest", type: "Faron Grasslands", region: 13, level: "Surface", x: -1797, y: 2298, z: 264, weight: 0, details: `&lt;strong&gt;Start:&lt;/strong&gt; &lt;strong&gt;Start:&lt;/strong&gt; Talk to Flaxel&lt;br&gt;&lt;strong&gt;Reward:&lt;/strong&gt; 100 Rupees` },</v>
      </c>
    </row>
    <row r="41" spans="1:10" x14ac:dyDescent="0.2">
      <c r="A41" t="s">
        <v>4401</v>
      </c>
      <c r="B41" s="7" t="s">
        <v>787</v>
      </c>
      <c r="C41" s="2">
        <v>3</v>
      </c>
      <c r="D41" s="2" t="s">
        <v>785</v>
      </c>
      <c r="E41" s="2">
        <v>-1748</v>
      </c>
      <c r="F41" s="2">
        <v>1124</v>
      </c>
      <c r="G41" s="2">
        <v>202</v>
      </c>
      <c r="H41" s="2">
        <v>0</v>
      </c>
      <c r="I41" t="s">
        <v>4460</v>
      </c>
      <c r="J41" t="str">
        <f t="shared" si="0"/>
        <v>{ name: "Hestu's Concerns", landmark: "Side Quest", type: "Hyrule Ridge", region: 3, level: "Surface", x: -1748, y: 1124, z: 202, weight: 0, details: `&lt;strong&gt;Start:&lt;/strong&gt; &lt;strong&gt;Start:&lt;/strong&gt; Talk to Hyrule Ridge&lt;br&gt;&lt;strong&gt;Reward:&lt;/strong&gt; Inventory Expansion` },</v>
      </c>
    </row>
    <row r="42" spans="1:10" x14ac:dyDescent="0.2">
      <c r="A42" t="s">
        <v>4375</v>
      </c>
      <c r="B42" s="7" t="s">
        <v>791</v>
      </c>
      <c r="C42" s="2">
        <v>7</v>
      </c>
      <c r="D42" s="2" t="s">
        <v>785</v>
      </c>
      <c r="E42" s="2">
        <v>1227</v>
      </c>
      <c r="F42" s="2">
        <v>1216</v>
      </c>
      <c r="G42" s="2">
        <v>20</v>
      </c>
      <c r="H42" s="2">
        <v>0</v>
      </c>
      <c r="I42" t="s">
        <v>4461</v>
      </c>
      <c r="J42" t="str">
        <f t="shared" si="0"/>
        <v>{ name: "The Hunt For Bubbul Gems!", landmark: "Side Quest", type: "Eldin Canyon", region: 7, level: "Surface", x: 1227, y: 1216, z: 20, weight: 0, details: `&lt;strong&gt;Start:&lt;/strong&gt; &lt;strong&gt;Start:&lt;/strong&gt; Talk to Koltin&lt;br&gt;&lt;strong&gt;Reward:&lt;/strong&gt; Bokoblin Mask` },</v>
      </c>
    </row>
    <row r="43" spans="1:10" x14ac:dyDescent="0.2">
      <c r="A43" t="s">
        <v>4376</v>
      </c>
      <c r="B43" s="7" t="s">
        <v>791</v>
      </c>
      <c r="C43" s="2">
        <v>7</v>
      </c>
      <c r="D43" s="2" t="s">
        <v>785</v>
      </c>
      <c r="E43" s="2">
        <v>1219</v>
      </c>
      <c r="F43" s="2">
        <v>1223</v>
      </c>
      <c r="G43" s="2">
        <v>15</v>
      </c>
      <c r="H43" s="2">
        <v>0</v>
      </c>
      <c r="I43" t="s">
        <v>4423</v>
      </c>
      <c r="J43" t="str">
        <f t="shared" si="0"/>
        <v>{ name: "The Search For Koltin", landmark: "Side Quest", type: "Eldin Canyon", region: 7, level: "Surface", x: 1219, y: 1223, z: 15, weight: 0, details: `&lt;strong&gt;Start:&lt;/strong&gt; 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Shop` },</v>
      </c>
    </row>
    <row r="44" spans="1:10" x14ac:dyDescent="0.2">
      <c r="A44" t="s">
        <v>4377</v>
      </c>
      <c r="B44" s="7" t="s">
        <v>1664</v>
      </c>
      <c r="C44" s="2">
        <v>8</v>
      </c>
      <c r="D44" s="2" t="s">
        <v>785</v>
      </c>
      <c r="E44" s="2">
        <v>3950</v>
      </c>
      <c r="F44" s="2">
        <v>1644</v>
      </c>
      <c r="G44" s="2">
        <v>130</v>
      </c>
      <c r="H44" s="2">
        <v>0</v>
      </c>
      <c r="I44" t="s">
        <v>4424</v>
      </c>
      <c r="J44" t="str">
        <f t="shared" si="0"/>
        <v>{ name: "A Monstrous Collection I", landmark: "Side Quest", type: "Tarrey Town", region: 8, level: "Surface", x: 3950, y: 1644, z: 130, weight: 0, details: `&lt;strong&gt;Start:&lt;/strong&gt; &lt;strong&gt;Start:&lt;/strong&gt; Talk to Kilton&lt;br&gt;&lt;strong&gt;Reward:&lt;/strong&gt; Monster Extract` },</v>
      </c>
    </row>
    <row r="45" spans="1:10" x14ac:dyDescent="0.2">
      <c r="A45" t="s">
        <v>4378</v>
      </c>
      <c r="B45" s="7" t="s">
        <v>1664</v>
      </c>
      <c r="C45" s="2">
        <v>8</v>
      </c>
      <c r="D45" s="2" t="s">
        <v>785</v>
      </c>
      <c r="E45" s="2">
        <v>3947</v>
      </c>
      <c r="F45" s="2">
        <v>1661</v>
      </c>
      <c r="G45" s="2">
        <v>130</v>
      </c>
      <c r="H45" s="2">
        <v>0</v>
      </c>
      <c r="I45" t="s">
        <v>4425</v>
      </c>
      <c r="J45" t="str">
        <f t="shared" si="0"/>
        <v>{ name: "A Monstrous Collection II", landmark: "Side Quest", type: "Tarrey Town", region: 8, level: "Surface", x: 3947, y: 1661, z: 130, weight: 0, details: `&lt;strong&gt;Start:&lt;/strong&gt; &lt;strong&gt;Start:&lt;/strong&gt; Talk to Kilton&lt;br&gt;&lt;strong&gt;Reward:&lt;/strong&gt; Sneaky Monster Soup, Monster Extract` },</v>
      </c>
    </row>
    <row r="46" spans="1:10" x14ac:dyDescent="0.2">
      <c r="A46" t="s">
        <v>4379</v>
      </c>
      <c r="B46" s="7" t="s">
        <v>1664</v>
      </c>
      <c r="C46" s="2">
        <v>8</v>
      </c>
      <c r="D46" s="2" t="s">
        <v>785</v>
      </c>
      <c r="E46" s="2">
        <v>3960</v>
      </c>
      <c r="F46" s="2">
        <v>1663</v>
      </c>
      <c r="G46" s="2">
        <v>130</v>
      </c>
      <c r="H46" s="2">
        <v>0</v>
      </c>
      <c r="I46" t="s">
        <v>4426</v>
      </c>
      <c r="J46" t="str">
        <f t="shared" si="0"/>
        <v>{ name: "A Monstrous Collection III", landmark: "Side Quest", type: "Tarrey Town", region: 8, level: "Surface", x: 3960, y: 1663, z: 130, weight: 0, details: `&lt;strong&gt;Start:&lt;/strong&gt; &lt;strong&gt;Start:&lt;/strong&gt; Talk to Kilton&lt;br&gt;&lt;strong&gt;Reward:&lt;/strong&gt; Monster Bridle, Monster Extract` },</v>
      </c>
    </row>
    <row r="47" spans="1:10" x14ac:dyDescent="0.2">
      <c r="A47" t="s">
        <v>4380</v>
      </c>
      <c r="B47" s="7" t="s">
        <v>1664</v>
      </c>
      <c r="C47" s="2">
        <v>8</v>
      </c>
      <c r="D47" s="2" t="s">
        <v>785</v>
      </c>
      <c r="E47" s="2">
        <v>3973</v>
      </c>
      <c r="F47" s="2">
        <v>1664</v>
      </c>
      <c r="G47" s="2">
        <v>130</v>
      </c>
      <c r="H47" s="2">
        <v>0</v>
      </c>
      <c r="I47" t="s">
        <v>4427</v>
      </c>
      <c r="J47" t="str">
        <f t="shared" si="0"/>
        <v>{ name: "A Monstrous Collection IV", landmark: "Side Quest", type: "Tarrey Town", region: 8, level: "Surface", x: 3973, y: 1664, z: 130, weight: 0, details: `&lt;strong&gt;Start:&lt;/strong&gt; &lt;strong&gt;Start:&lt;/strong&gt; Talk to Kilton&lt;br&gt;&lt;strong&gt;Reward:&lt;/strong&gt; Monster Saddle, Monster Extract` },</v>
      </c>
    </row>
    <row r="48" spans="1:10" x14ac:dyDescent="0.2">
      <c r="A48" t="s">
        <v>4381</v>
      </c>
      <c r="B48" s="7" t="s">
        <v>1664</v>
      </c>
      <c r="C48" s="2">
        <v>8</v>
      </c>
      <c r="D48" s="2" t="s">
        <v>785</v>
      </c>
      <c r="E48" s="2">
        <v>3975</v>
      </c>
      <c r="F48" s="2">
        <v>1646</v>
      </c>
      <c r="G48" s="2">
        <v>130</v>
      </c>
      <c r="H48" s="2">
        <v>0</v>
      </c>
      <c r="I48" t="s">
        <v>4428</v>
      </c>
      <c r="J48" t="str">
        <f t="shared" si="0"/>
        <v>{ name: "A Monstrous Collection V", landmark: "Side Quest", type: "Tarrey Town", region: 8, level: "Surface", x: 3975, y: 1646, z: 130, weight: 0, details: `&lt;strong&gt;Start:&lt;/strong&gt; &lt;strong&gt;Start:&lt;/strong&gt; Talk to Kilton&lt;br&gt;&lt;strong&gt;Reward:&lt;/strong&gt; Diamond, Monster Extract` },</v>
      </c>
    </row>
    <row r="49" spans="1:10" x14ac:dyDescent="0.2">
      <c r="A49" t="s">
        <v>4382</v>
      </c>
      <c r="B49" s="7" t="s">
        <v>1087</v>
      </c>
      <c r="C49" s="2">
        <v>6</v>
      </c>
      <c r="D49" s="2" t="s">
        <v>785</v>
      </c>
      <c r="E49" s="2">
        <v>367</v>
      </c>
      <c r="F49" s="2">
        <v>3100</v>
      </c>
      <c r="G49" s="2">
        <v>180</v>
      </c>
      <c r="H49" s="2">
        <v>0</v>
      </c>
      <c r="I49" t="s">
        <v>4429</v>
      </c>
      <c r="J49" t="str">
        <f t="shared" si="0"/>
        <v>{ name: "Investigate The Thyphlo Ruins", landmark: "Side Quest", type: "Thyphlo Ruins", region: 6, level: "Surface", x: 367, y: 3100, z: 180, weight: 0, details: `&lt;strong&gt;Start:&lt;/strong&gt; 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Diamond` },</v>
      </c>
    </row>
    <row r="50" spans="1:10" x14ac:dyDescent="0.2">
      <c r="A50" t="s">
        <v>4383</v>
      </c>
      <c r="B50" s="7" t="s">
        <v>1087</v>
      </c>
      <c r="C50" s="2">
        <v>6</v>
      </c>
      <c r="D50" s="2" t="s">
        <v>785</v>
      </c>
      <c r="E50" s="2">
        <v>365</v>
      </c>
      <c r="F50" s="2">
        <v>3059</v>
      </c>
      <c r="G50" s="2">
        <v>175</v>
      </c>
      <c r="H50" s="2">
        <v>0</v>
      </c>
      <c r="I50" t="s">
        <v>4462</v>
      </c>
      <c r="J50" t="str">
        <f t="shared" si="0"/>
        <v>{ name: "The Owl Protected By Dragons", landmark: "Side Quest", type: "Thyphlo Ruins", region: 6, level: "Surface", x: 365, y: 3059, z: 175, weight: 0, details: `&lt;strong&gt;Start:&lt;/strong&gt; &lt;strong&gt;Start:&lt;/strong&gt; Talk to Kazul&lt;br&gt;&lt;strong&gt;Reward:&lt;/strong&gt; Sapphire x3` },</v>
      </c>
    </row>
    <row r="51" spans="1:10" x14ac:dyDescent="0.2">
      <c r="A51" t="s">
        <v>4384</v>
      </c>
      <c r="B51" s="7" t="s">
        <v>1087</v>
      </c>
      <c r="C51" s="2">
        <v>6</v>
      </c>
      <c r="D51" s="2" t="s">
        <v>785</v>
      </c>
      <c r="E51" s="2">
        <v>216</v>
      </c>
      <c r="F51" s="2">
        <v>3121</v>
      </c>
      <c r="G51" s="2">
        <v>174</v>
      </c>
      <c r="H51" s="2">
        <v>0</v>
      </c>
      <c r="I51" t="s">
        <v>4463</v>
      </c>
      <c r="J51" t="str">
        <f t="shared" si="0"/>
        <v>{ name: "The Corridor Between Two Dragons", landmark: "Side Quest", type: "Thyphlo Ruins", region: 6, level: "Surface", x: 216, y: 3121, z: 174, weight: 0, details: `&lt;strong&gt;Start:&lt;/strong&gt; &lt;strong&gt;Start:&lt;/strong&gt; Talk to Kazul&lt;br&gt;&lt;strong&gt;Reward:&lt;/strong&gt; Ruby x3` },</v>
      </c>
    </row>
    <row r="52" spans="1:10" x14ac:dyDescent="0.2">
      <c r="A52" t="s">
        <v>4385</v>
      </c>
      <c r="B52" s="7" t="s">
        <v>1087</v>
      </c>
      <c r="C52" s="2">
        <v>6</v>
      </c>
      <c r="D52" s="2" t="s">
        <v>785</v>
      </c>
      <c r="E52" s="2">
        <v>185</v>
      </c>
      <c r="F52" s="2">
        <v>3181</v>
      </c>
      <c r="G52" s="2">
        <v>174</v>
      </c>
      <c r="H52" s="2">
        <v>0</v>
      </c>
      <c r="I52" t="s">
        <v>4464</v>
      </c>
      <c r="J52" t="str">
        <f t="shared" si="0"/>
        <v>{ name: "The Six Dragons", landmark: "Side Quest", type: "Thyphlo Ruins", region: 6, level: "Surface", x: 185, y: 3181, z: 174, weight: 0, details: `&lt;strong&gt;Start:&lt;/strong&gt; &lt;strong&gt;Start:&lt;/strong&gt; Talk to Kazul&lt;br&gt;&lt;strong&gt;Reward:&lt;/strong&gt; Opal x5` },</v>
      </c>
    </row>
    <row r="53" spans="1:10" x14ac:dyDescent="0.2">
      <c r="A53" t="s">
        <v>4386</v>
      </c>
      <c r="B53" s="7" t="s">
        <v>1087</v>
      </c>
      <c r="C53" s="2">
        <v>6</v>
      </c>
      <c r="D53" s="2" t="s">
        <v>785</v>
      </c>
      <c r="E53" s="2">
        <v>457</v>
      </c>
      <c r="F53" s="2">
        <v>3082</v>
      </c>
      <c r="G53" s="2">
        <v>175</v>
      </c>
      <c r="H53" s="2">
        <v>0</v>
      </c>
      <c r="I53" t="s">
        <v>4465</v>
      </c>
      <c r="J53" t="str">
        <f t="shared" si="0"/>
        <v>{ name: "The Long Dragon", landmark: "Side Quest", type: "Thyphlo Ruins", region: 6, level: "Surface", x: 457, y: 3082, z: 175, weight: 0, details: `&lt;strong&gt;Start:&lt;/strong&gt; &lt;strong&gt;Start:&lt;/strong&gt; Talk to Kazul&lt;br&gt;&lt;strong&gt;Reward:&lt;/strong&gt; Topaz x3` },</v>
      </c>
    </row>
    <row r="54" spans="1:10" x14ac:dyDescent="0.2">
      <c r="A54" t="s">
        <v>4388</v>
      </c>
      <c r="B54" s="7" t="s">
        <v>1441</v>
      </c>
      <c r="C54" s="2">
        <v>1</v>
      </c>
      <c r="D54" s="2" t="s">
        <v>785</v>
      </c>
      <c r="E54" s="2">
        <v>265</v>
      </c>
      <c r="F54" s="2">
        <v>66</v>
      </c>
      <c r="G54" s="2">
        <v>19</v>
      </c>
      <c r="H54" s="2">
        <v>0</v>
      </c>
      <c r="I54" t="s">
        <v>4431</v>
      </c>
      <c r="J54" t="str">
        <f t="shared" si="0"/>
        <v>{ name: "Messages From An Ancient Era", landmark: "Side Quest", type: "Lookout Landing", region: 1, level: "Surface", x: 265, y: 66, z: 19, weight: 0, details: `&lt;strong&gt;Start:&lt;/strong&gt; &lt;strong&gt;Start:&lt;/strong&gt; Talk to Wortsworth&lt;br&gt;&lt;strong&gt;Reward:&lt;/strong&gt; Rupees, Zonai Survey Team Paraglider Fabric` },</v>
      </c>
    </row>
    <row r="55" spans="1:10" x14ac:dyDescent="0.2">
      <c r="A55" t="s">
        <v>4389</v>
      </c>
      <c r="B55" s="7" t="s">
        <v>950</v>
      </c>
      <c r="C55" s="2">
        <v>1</v>
      </c>
      <c r="D55" s="2" t="s">
        <v>785</v>
      </c>
      <c r="E55" s="2">
        <v>-242</v>
      </c>
      <c r="F55" s="2">
        <v>146</v>
      </c>
      <c r="G55" s="2">
        <v>26</v>
      </c>
      <c r="H55" s="2">
        <v>0</v>
      </c>
      <c r="I55" t="s">
        <v>4432</v>
      </c>
      <c r="J55" t="str">
        <f t="shared" si="0"/>
        <v>{ name: "A Deal With The Statue", landmark: "Side Quest", type: "Royal Hidden Passage", region: 1, level: "Surface", x: -242, y: 146, z: 26, weight: 0, details: `&lt;strong&gt;Start:&lt;/strong&gt; &lt;strong&gt;Start:&lt;/strong&gt; Talk to Horned Statue&lt;br&gt;&lt;strong&gt;Reward:&lt;/strong&gt; Ability to swap Stamina and Heart containers` },</v>
      </c>
    </row>
    <row r="56" spans="1:10" x14ac:dyDescent="0.2">
      <c r="A56" t="s">
        <v>4390</v>
      </c>
      <c r="B56" s="7" t="s">
        <v>1441</v>
      </c>
      <c r="C56" s="2">
        <v>1</v>
      </c>
      <c r="D56" s="2" t="s">
        <v>785</v>
      </c>
      <c r="E56" s="2">
        <v>-265</v>
      </c>
      <c r="F56" s="2">
        <v>146</v>
      </c>
      <c r="G56" s="2">
        <v>26</v>
      </c>
      <c r="H56" s="2">
        <v>0</v>
      </c>
      <c r="I56" t="s">
        <v>4437</v>
      </c>
      <c r="J56" t="str">
        <f t="shared" si="0"/>
        <v>{ name: "Who Goes There?", landmark: "Side Quest", type: "Lookout Landing", region: 1, level: "Surface", x: -265, y: 146, z: 26, weight: 0, details: `&lt;strong&gt;Start:&lt;/strong&gt; &lt;strong&gt;Start:&lt;/strong&gt; Talk to Jerrin&lt;br&gt;&lt;strong&gt;Reward:&lt;/strong&gt; Red Rupee` },</v>
      </c>
    </row>
    <row r="57" spans="1:10" x14ac:dyDescent="0.2">
      <c r="A57" t="s">
        <v>4391</v>
      </c>
      <c r="B57" s="7" t="s">
        <v>4392</v>
      </c>
      <c r="C57" s="2">
        <v>2</v>
      </c>
      <c r="D57" s="2" t="s">
        <v>785</v>
      </c>
      <c r="E57" s="2">
        <v>-820</v>
      </c>
      <c r="F57" s="2">
        <v>-2019</v>
      </c>
      <c r="G57" s="2">
        <v>144</v>
      </c>
      <c r="H57" s="2">
        <v>0</v>
      </c>
      <c r="I57" t="s">
        <v>4433</v>
      </c>
      <c r="J57" t="str">
        <f t="shared" si="0"/>
        <v>{ name: "A Call From The Depths", landmark: "Side Quest", type: "Temple Of Time Ruins", region: 2, level: "Surface", x: -820, y: -2019, z: 144, weight: 0, details: `&lt;strong&gt;Start:&lt;/strong&gt; &lt;strong&gt;Start:&lt;/strong&gt; Talk to Statue&lt;br&gt;&lt;strong&gt;Reward:&lt;/strong&gt; 1 Heart Container or Stamina Essence` },</v>
      </c>
    </row>
    <row r="58" spans="1:10" x14ac:dyDescent="0.2">
      <c r="A58" t="s">
        <v>4393</v>
      </c>
      <c r="B58" s="7" t="s">
        <v>840</v>
      </c>
      <c r="C58" s="2">
        <v>15</v>
      </c>
      <c r="D58" s="2" t="s">
        <v>785</v>
      </c>
      <c r="E58" s="2">
        <v>-3617</v>
      </c>
      <c r="F58" s="2">
        <v>-1348</v>
      </c>
      <c r="G58" s="2">
        <v>330</v>
      </c>
      <c r="H58" s="2">
        <v>0</v>
      </c>
      <c r="I58" t="s">
        <v>4434</v>
      </c>
      <c r="J58" t="str">
        <f t="shared" si="0"/>
        <v>{ name: "Infiltrating The Yiga Clan", landmark: "Side Quest", type: "Yiga Clan Hideout", region: 15, level: "Surface", x: -3617, y: -1348, z: 330, weight: 0, details: `&lt;strong&gt;Start:&lt;/strong&gt; &lt;strong&gt;Start:&lt;/strong&gt; Talk to Mimos&lt;br&gt;&lt;strong&gt;Reward:&lt;/strong&gt; Access to the Yiga Clan Hideout, Earthwake Technique, Thunder Helm` },</v>
      </c>
    </row>
    <row r="59" spans="1:10" x14ac:dyDescent="0.2">
      <c r="A59" t="s">
        <v>4394</v>
      </c>
      <c r="B59" s="7" t="s">
        <v>987</v>
      </c>
      <c r="C59" s="2">
        <v>15</v>
      </c>
      <c r="D59" s="2" t="s">
        <v>785</v>
      </c>
      <c r="E59" s="2">
        <v>-2441</v>
      </c>
      <c r="F59" s="2">
        <v>-1797</v>
      </c>
      <c r="G59" s="2">
        <v>110</v>
      </c>
      <c r="H59" s="2">
        <v>0</v>
      </c>
      <c r="I59" t="s">
        <v>4435</v>
      </c>
      <c r="J59" t="str">
        <f t="shared" si="0"/>
        <v>{ name: "The Yiga Clan Exam", landmark: "Side Quest", type: "Yiga Blademaster Station", region: 15, level: "Surface", x: -2441, y: -1797, z: 110, weight: 0, details: `&lt;strong&gt;Start:&lt;/strong&gt; &lt;strong&gt;Start:&lt;/strong&gt; Talk to Yiga Blademaster&lt;br&gt;&lt;strong&gt;Reward:&lt;/strong&gt; Ruby, Eightfold Longblade (Untarnished)` },</v>
      </c>
    </row>
    <row r="60" spans="1:10" x14ac:dyDescent="0.2">
      <c r="A60" t="s">
        <v>4387</v>
      </c>
      <c r="B60" s="7" t="s">
        <v>991</v>
      </c>
      <c r="C60" s="2">
        <v>0</v>
      </c>
      <c r="D60" s="2" t="s">
        <v>783</v>
      </c>
      <c r="E60" s="2">
        <v>458</v>
      </c>
      <c r="F60" s="2">
        <v>-790</v>
      </c>
      <c r="G60" s="2">
        <v>1556</v>
      </c>
      <c r="H60" s="2">
        <v>0</v>
      </c>
      <c r="I60" t="s">
        <v>4430</v>
      </c>
      <c r="J60" t="str">
        <f>"{ name: "&amp;CHAR(34)&amp;A60&amp;CHAR(34)&amp;", landmark: "&amp;CHAR(34)&amp;"Side Quest"&amp;CHAR(34)&amp;", type: "&amp;CHAR(34)&amp;B60&amp;CHAR(34)&amp;", region: "&amp;C60&amp;", level: "&amp;CHAR(34)&amp;D60&amp;CHAR(34)&amp;", x: "&amp;E60&amp;", y: "&amp;F60&amp;", z: "&amp;G60&amp;", weight: "&amp;H60&amp;", details: `&lt;strong&gt;Start:&lt;/strong&gt; "&amp;I60&amp;"` },"</f>
        <v>{ name: "Legend of the Great Sky Island", landmark: "Side Quest", type: "Great Sky Island", region: 0, level: "Sky", x: 458, y: -790, z: 1556, weight: 0, details: `&lt;strong&gt;Start:&lt;/strong&gt; &lt;strong&gt;Start:&lt;/strong&gt; Talk to Steward Construct&lt;br&gt;&lt;strong&gt;Reward:&lt;/strong&gt; Zonai Fabric` },</v>
      </c>
    </row>
    <row r="61" spans="1:10" x14ac:dyDescent="0.2">
      <c r="A61" t="s">
        <v>4395</v>
      </c>
      <c r="B61" s="7" t="s">
        <v>1308</v>
      </c>
      <c r="C61" s="2">
        <v>2</v>
      </c>
      <c r="D61" s="2" t="s">
        <v>994</v>
      </c>
      <c r="E61" s="2">
        <v>-797</v>
      </c>
      <c r="F61" s="2">
        <v>-1919</v>
      </c>
      <c r="G61" s="2">
        <v>-523</v>
      </c>
      <c r="H61" s="2">
        <v>0</v>
      </c>
      <c r="I61" t="s">
        <v>4436</v>
      </c>
      <c r="J61" t="str">
        <f t="shared" si="0"/>
        <v>{ name: "Master Kohga Of The Yiga Clan", landmark: "Side Quest", type: "Great Abandoned Central Mine", region: 2, level: "Depths", x: -797, y: -1919, z: -523, weight: 0, details: `&lt;strong&gt;Start:&lt;/strong&gt; &lt;strong&gt;Start:&lt;/strong&gt; Talk to Kohga&lt;br&gt;&lt;strong&gt;Reward:&lt;/strong&gt; Schema Stones` },</v>
      </c>
    </row>
  </sheetData>
  <autoFilter ref="A1:J68" xr:uid="{9B66D1FE-B66F-F348-9F83-5F8C8FFF29B7}">
    <sortState xmlns:xlrd2="http://schemas.microsoft.com/office/spreadsheetml/2017/richdata2" ref="A2:J68">
      <sortCondition ref="D1:D68"/>
    </sortState>
  </autoFilter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topLeftCell="A275" zoomScaleNormal="100" workbookViewId="0">
      <selection activeCell="A295" sqref="A29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4057</v>
      </c>
      <c r="B2" t="s">
        <v>2990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2990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4115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4058</v>
      </c>
      <c r="B5" t="s">
        <v>4115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4059</v>
      </c>
      <c r="B6" t="s">
        <v>2990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2990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2990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2990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4056</v>
      </c>
      <c r="B10" t="s">
        <v>2994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2990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2994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2993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4060</v>
      </c>
      <c r="B14" t="s">
        <v>2990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4063</v>
      </c>
      <c r="B15" t="s">
        <v>2991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4064</v>
      </c>
      <c r="B16" t="s">
        <v>2991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4062</v>
      </c>
      <c r="B17" t="s">
        <v>2991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4061</v>
      </c>
      <c r="B18" t="s">
        <v>2990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4115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2993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4065</v>
      </c>
      <c r="B21" t="s">
        <v>2994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4066</v>
      </c>
      <c r="B22" t="s">
        <v>2992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2992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4115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2992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4067</v>
      </c>
      <c r="B26" t="s">
        <v>2992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4068</v>
      </c>
      <c r="B27" t="s">
        <v>2992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2992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2994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2993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2990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4069</v>
      </c>
      <c r="B32" t="s">
        <v>2990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2990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4115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4115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4115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4115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4115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4079</v>
      </c>
      <c r="B39" t="s">
        <v>2990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4071</v>
      </c>
      <c r="B40" t="s">
        <v>4115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2990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4070</v>
      </c>
      <c r="B42" t="s">
        <v>2991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4115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4073</v>
      </c>
      <c r="B44" t="s">
        <v>4115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2990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4072</v>
      </c>
      <c r="B46" t="s">
        <v>2990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4115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2990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2993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2993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4074</v>
      </c>
      <c r="B51" t="s">
        <v>2993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2993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4075</v>
      </c>
      <c r="B53" t="s">
        <v>2991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2991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4076</v>
      </c>
      <c r="B55" t="s">
        <v>2990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2993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4077</v>
      </c>
      <c r="B57" t="s">
        <v>2994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4091</v>
      </c>
      <c r="B58" t="s">
        <v>4115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4092</v>
      </c>
      <c r="B59" t="s">
        <v>2990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4093</v>
      </c>
      <c r="B60" t="s">
        <v>2994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4094</v>
      </c>
      <c r="B61" t="s">
        <v>2993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4095</v>
      </c>
      <c r="B62" t="s">
        <v>2990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4096</v>
      </c>
      <c r="B63" t="s">
        <v>2993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4097</v>
      </c>
      <c r="B64" t="s">
        <v>2990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4098</v>
      </c>
      <c r="B65" t="s">
        <v>2993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4099</v>
      </c>
      <c r="B66" t="s">
        <v>2993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4100</v>
      </c>
      <c r="B67" t="s">
        <v>2991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4101</v>
      </c>
      <c r="B68" t="s">
        <v>2990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4102</v>
      </c>
      <c r="B69" t="s">
        <v>4115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4103</v>
      </c>
      <c r="B70" t="s">
        <v>4115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4104</v>
      </c>
      <c r="B71" t="s">
        <v>4115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4105</v>
      </c>
      <c r="B72" t="s">
        <v>2992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4080</v>
      </c>
      <c r="B73" t="s">
        <v>2992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4081</v>
      </c>
      <c r="B74" t="s">
        <v>2992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4084</v>
      </c>
      <c r="B75" t="s">
        <v>4115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4083</v>
      </c>
      <c r="B76" t="s">
        <v>2990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4085</v>
      </c>
      <c r="B77" t="s">
        <v>4115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4106</v>
      </c>
      <c r="B78" t="s">
        <v>2993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4107</v>
      </c>
      <c r="B79" t="s">
        <v>2993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4108</v>
      </c>
      <c r="B80" t="s">
        <v>4115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4109</v>
      </c>
      <c r="B81" t="s">
        <v>4115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4110</v>
      </c>
      <c r="B82" t="s">
        <v>2991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4087</v>
      </c>
      <c r="B83" t="s">
        <v>2990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4111</v>
      </c>
      <c r="B84" t="s">
        <v>2994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4112</v>
      </c>
      <c r="B85" t="s">
        <v>4115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4089</v>
      </c>
      <c r="B86" t="s">
        <v>2994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4113</v>
      </c>
      <c r="B87" t="s">
        <v>2991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4114</v>
      </c>
      <c r="B88" t="s">
        <v>2994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2837</v>
      </c>
      <c r="I90" s="6" t="s">
        <v>2081</v>
      </c>
      <c r="J90" s="6" t="s">
        <v>2075</v>
      </c>
    </row>
    <row r="91" spans="1:10" x14ac:dyDescent="0.2">
      <c r="A91" t="s">
        <v>4116</v>
      </c>
      <c r="B91" t="s">
        <v>4117</v>
      </c>
      <c r="C91" s="2" t="s">
        <v>2503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4120</v>
      </c>
      <c r="B92" t="s">
        <v>4118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4122</v>
      </c>
      <c r="B93" t="s">
        <v>4119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4498</v>
      </c>
      <c r="B94" t="s">
        <v>4118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the Tabantha Sky Archipelago", landmark: "Flux Construct", type: "Flux Construct III", region: 3, level: "Sky", x: -3450, y: 658, z: 1421, weight: 0, details: "" },</v>
      </c>
    </row>
    <row r="95" spans="1:10" x14ac:dyDescent="0.2">
      <c r="A95" t="s">
        <v>4121</v>
      </c>
      <c r="B95" t="s">
        <v>4117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4499</v>
      </c>
      <c r="B96" t="s">
        <v>4117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the West Hebra Sky Archipelago", landmark: "Flux Construct", type: "Flux Construct I", region: 4, level: "Sky", x: -3834, y: 2721, z: 547, weight: 0, details: "" },</v>
      </c>
    </row>
    <row r="97" spans="1:10" x14ac:dyDescent="0.2">
      <c r="A97" t="s">
        <v>4123</v>
      </c>
      <c r="B97" t="s">
        <v>4117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4124</v>
      </c>
      <c r="B98" t="s">
        <v>4118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4125</v>
      </c>
      <c r="B99" t="s">
        <v>4119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4500</v>
      </c>
      <c r="B100" t="s">
        <v>4119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the Wellspring Island", landmark: "Flux Construct", type: "Flux Construct II", region: 9, level: "Sky", x: 3386, y: 633, z: 1280, weight: 0, details: "" },</v>
      </c>
    </row>
    <row r="101" spans="1:10" x14ac:dyDescent="0.2">
      <c r="A101" t="s">
        <v>4501</v>
      </c>
      <c r="B101" t="s">
        <v>4119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the Lanayru Sky Archipelago", landmark: "Flux Construct", type: "Flux Construct II", region: 9, level: "Sky", x: 3000, y: -252, z: 891, weight: 0, details: "" },</v>
      </c>
    </row>
    <row r="102" spans="1:10" x14ac:dyDescent="0.2">
      <c r="A102" t="s">
        <v>4502</v>
      </c>
      <c r="B102" t="s">
        <v>4118</v>
      </c>
      <c r="C102" s="2">
        <v>12</v>
      </c>
      <c r="D102" s="2" t="s">
        <v>783</v>
      </c>
      <c r="E102" s="2">
        <v>3044</v>
      </c>
      <c r="F102" s="2">
        <v>-2757</v>
      </c>
      <c r="G102" s="2">
        <v>1192</v>
      </c>
      <c r="H102" s="2">
        <v>0</v>
      </c>
      <c r="J102" t="str">
        <f t="shared" si="3"/>
        <v>{ name: "Guardian of the Necluda Sky Archipelago", landmark: "Flux Construct", type: "Flux Construct III", region: 12, level: "Sky", x: 3044, y: -2757, z: 1192, weight: 0, details: "" },</v>
      </c>
    </row>
    <row r="103" spans="1:10" x14ac:dyDescent="0.2">
      <c r="A103" t="s">
        <v>4503</v>
      </c>
      <c r="B103" t="s">
        <v>4118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the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4504</v>
      </c>
      <c r="B104" t="s">
        <v>4118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the Faron Sky Archipelago", landmark: "Flux Construct", type: "Flux Construct III", region: 13, level: "Sky", x: -326, y: -2591, z: 891, weight: 0, details: "" },</v>
      </c>
    </row>
    <row r="105" spans="1:10" x14ac:dyDescent="0.2">
      <c r="A105" t="s">
        <v>4505</v>
      </c>
      <c r="B105" t="s">
        <v>4118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the Thunderhead Isles", landmark: "Flux Construct", type: "Flux Construct III", region: 13, level: "Sky", x: 1133, y: -3273, z: 756, weight: 0, details: "" },</v>
      </c>
    </row>
    <row r="106" spans="1:10" x14ac:dyDescent="0.2">
      <c r="A106" t="s">
        <v>4077</v>
      </c>
      <c r="B106" t="s">
        <v>4117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4078</v>
      </c>
      <c r="B107" t="s">
        <v>4118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4126</v>
      </c>
      <c r="B108" t="s">
        <v>4118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4118</v>
      </c>
      <c r="C109" s="2">
        <v>5</v>
      </c>
      <c r="D109" s="2" t="s">
        <v>994</v>
      </c>
      <c r="E109" s="2">
        <v>-807</v>
      </c>
      <c r="F109" s="2">
        <v>3541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-807, y: 3541, z: -658, weight: 0, details: "" },</v>
      </c>
    </row>
    <row r="110" spans="1:10" x14ac:dyDescent="0.2">
      <c r="A110" t="s">
        <v>4102</v>
      </c>
      <c r="B110" t="s">
        <v>4119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4103</v>
      </c>
      <c r="B111" t="s">
        <v>4119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4082</v>
      </c>
      <c r="B112" t="s">
        <v>4119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4118</v>
      </c>
      <c r="C113" s="2">
        <v>8</v>
      </c>
      <c r="D113" s="2" t="s">
        <v>994</v>
      </c>
      <c r="E113" s="2">
        <v>4653</v>
      </c>
      <c r="F113" s="2">
        <v>3691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4653, y: 3691, z: -426, weight: 0, details: "" },</v>
      </c>
    </row>
    <row r="114" spans="1:10" x14ac:dyDescent="0.2">
      <c r="A114" t="s">
        <v>4084</v>
      </c>
      <c r="B114" t="s">
        <v>4119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4085</v>
      </c>
      <c r="B115" t="s">
        <v>4119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4106</v>
      </c>
      <c r="B116" t="s">
        <v>4118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4107</v>
      </c>
      <c r="B117" t="s">
        <v>4119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4127</v>
      </c>
      <c r="B118" t="s">
        <v>4119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4086</v>
      </c>
      <c r="B119" t="s">
        <v>4119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4087</v>
      </c>
      <c r="B120" t="s">
        <v>4118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4088</v>
      </c>
      <c r="B121" t="s">
        <v>4117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4118</v>
      </c>
      <c r="C122" s="2">
        <v>14</v>
      </c>
      <c r="D122" s="2" t="s">
        <v>994</v>
      </c>
      <c r="E122" s="2">
        <v>-1788</v>
      </c>
      <c r="F122" s="2">
        <v>-3456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-1788, y: -3456, z: -501, weight: 0, details: "" },</v>
      </c>
    </row>
    <row r="123" spans="1:10" x14ac:dyDescent="0.2">
      <c r="A123" t="s">
        <v>4089</v>
      </c>
      <c r="B123" t="s">
        <v>4119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4113</v>
      </c>
      <c r="B124" t="s">
        <v>4118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4114</v>
      </c>
      <c r="B125" t="s">
        <v>4117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2837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2996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4128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2997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2997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4128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2995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4128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4129</v>
      </c>
      <c r="B135" t="s">
        <v>2997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2997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4128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4128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2995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4128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4130</v>
      </c>
      <c r="B141" t="s">
        <v>2996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4128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4131</v>
      </c>
      <c r="B143" t="s">
        <v>4128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2997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4128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2996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2997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4132</v>
      </c>
      <c r="B148" t="s">
        <v>2996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2995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2995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2997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4128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2997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3157</v>
      </c>
      <c r="B154" t="s">
        <v>2995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4134</v>
      </c>
      <c r="B155" t="s">
        <v>2995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4128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2997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4133</v>
      </c>
      <c r="B158" t="s">
        <v>4128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2997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2996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2995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4135</v>
      </c>
      <c r="B162" t="s">
        <v>2996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4136</v>
      </c>
      <c r="B163" t="s">
        <v>2995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4137</v>
      </c>
      <c r="B164" t="s">
        <v>4128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4138</v>
      </c>
      <c r="B165" t="s">
        <v>2996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2996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2996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4139</v>
      </c>
      <c r="B168" t="s">
        <v>2997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4140</v>
      </c>
      <c r="B169" t="s">
        <v>4128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4141</v>
      </c>
      <c r="B170" t="s">
        <v>2997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4091</v>
      </c>
      <c r="B171" t="s">
        <v>4128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4092</v>
      </c>
      <c r="B172" t="s">
        <v>4128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4094</v>
      </c>
      <c r="B173" t="s">
        <v>2997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4095</v>
      </c>
      <c r="B174" t="s">
        <v>2995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4142</v>
      </c>
      <c r="B175" t="s">
        <v>2996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4143</v>
      </c>
      <c r="B176" t="s">
        <v>2996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4102</v>
      </c>
      <c r="B177" t="s">
        <v>2997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4103</v>
      </c>
      <c r="B178" t="s">
        <v>2996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4080</v>
      </c>
      <c r="B179" t="s">
        <v>2997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4082</v>
      </c>
      <c r="B180" t="s">
        <v>2995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4144</v>
      </c>
      <c r="B181" t="s">
        <v>2997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4145</v>
      </c>
      <c r="B182" t="s">
        <v>2996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4106</v>
      </c>
      <c r="B183" t="s">
        <v>2997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4107</v>
      </c>
      <c r="B184" t="s">
        <v>2996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4147</v>
      </c>
      <c r="B185" t="s">
        <v>2996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4146</v>
      </c>
      <c r="B186" t="s">
        <v>2997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4111</v>
      </c>
      <c r="B187" t="s">
        <v>2997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4112</v>
      </c>
      <c r="B188" t="s">
        <v>2995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4148</v>
      </c>
      <c r="B189" t="s">
        <v>2995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4149</v>
      </c>
      <c r="B190" t="s">
        <v>2995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4150</v>
      </c>
      <c r="B191" t="s">
        <v>2995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4151</v>
      </c>
      <c r="B192" t="s">
        <v>2996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4154</v>
      </c>
      <c r="B193" t="s">
        <v>4128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4152</v>
      </c>
      <c r="B194" t="s">
        <v>2995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4153</v>
      </c>
      <c r="B195" t="s">
        <v>2997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4090</v>
      </c>
      <c r="B196" t="s">
        <v>2996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2837</v>
      </c>
      <c r="I198" s="6" t="s">
        <v>2081</v>
      </c>
      <c r="J198" s="6" t="s">
        <v>2075</v>
      </c>
    </row>
    <row r="199" spans="1:10" x14ac:dyDescent="0.2">
      <c r="A199" t="s">
        <v>4139</v>
      </c>
      <c r="B199" t="s">
        <v>2999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4140</v>
      </c>
      <c r="B200" t="s">
        <v>2999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4141</v>
      </c>
      <c r="B201" t="s">
        <v>4155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4091</v>
      </c>
      <c r="B202" t="s">
        <v>2998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4092</v>
      </c>
      <c r="B203" t="s">
        <v>4155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4093</v>
      </c>
      <c r="B204" t="s">
        <v>4155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4156</v>
      </c>
      <c r="B205" t="s">
        <v>4155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4094</v>
      </c>
      <c r="B206" t="s">
        <v>2998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4095</v>
      </c>
      <c r="B207" t="s">
        <v>2999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4096</v>
      </c>
      <c r="B208" t="s">
        <v>2998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4097</v>
      </c>
      <c r="B209" t="s">
        <v>2999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4157</v>
      </c>
      <c r="B210" t="s">
        <v>2998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4158</v>
      </c>
      <c r="B211" t="s">
        <v>2999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4159</v>
      </c>
      <c r="B212" t="s">
        <v>2999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4160</v>
      </c>
      <c r="B213" t="s">
        <v>2999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4161</v>
      </c>
      <c r="B214" t="s">
        <v>2999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4162</v>
      </c>
      <c r="B215" t="s">
        <v>2999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4102</v>
      </c>
      <c r="B216" t="s">
        <v>2998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4103</v>
      </c>
      <c r="B217" t="s">
        <v>2998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4163</v>
      </c>
      <c r="B218" t="s">
        <v>2998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4082</v>
      </c>
      <c r="B219" t="s">
        <v>4155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4083</v>
      </c>
      <c r="B220" t="s">
        <v>2998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4164</v>
      </c>
      <c r="B221" t="s">
        <v>2998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4165</v>
      </c>
      <c r="B222" t="s">
        <v>2998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4106</v>
      </c>
      <c r="B223" t="s">
        <v>2999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4107</v>
      </c>
      <c r="B224" t="s">
        <v>2998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4087</v>
      </c>
      <c r="B225" t="s">
        <v>2999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4111</v>
      </c>
      <c r="B226" t="s">
        <v>4155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4112</v>
      </c>
      <c r="B227" t="s">
        <v>4155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4148</v>
      </c>
      <c r="B228" t="s">
        <v>2998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4166</v>
      </c>
      <c r="B229" t="s">
        <v>4155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4152</v>
      </c>
      <c r="B230" t="s">
        <v>2998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4153</v>
      </c>
      <c r="B231" t="s">
        <v>2998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4167</v>
      </c>
      <c r="B232" t="s">
        <v>4155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4168</v>
      </c>
      <c r="B233" t="s">
        <v>4155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4169</v>
      </c>
      <c r="B234" t="s">
        <v>4155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4170</v>
      </c>
      <c r="B235" t="s">
        <v>4155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4171</v>
      </c>
      <c r="B236" t="s">
        <v>2998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4113</v>
      </c>
      <c r="B237" t="s">
        <v>2999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4114</v>
      </c>
      <c r="B238" t="s">
        <v>2999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2837</v>
      </c>
      <c r="I240" s="6" t="s">
        <v>2081</v>
      </c>
      <c r="J240" s="6" t="s">
        <v>2075</v>
      </c>
    </row>
    <row r="241" spans="1:10" x14ac:dyDescent="0.2">
      <c r="A241" t="s">
        <v>4172</v>
      </c>
      <c r="B241" t="s">
        <v>3000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4174</v>
      </c>
      <c r="B242" t="s">
        <v>3000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4173</v>
      </c>
      <c r="B243" t="s">
        <v>3000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3003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3002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3001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3001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4175</v>
      </c>
      <c r="B248" t="s">
        <v>3003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3002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3002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4176</v>
      </c>
      <c r="B251" t="s">
        <v>3003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3002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4177</v>
      </c>
      <c r="B253" t="s">
        <v>3001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3000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2837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4178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4178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4179</v>
      </c>
      <c r="B259" t="s">
        <v>4178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4178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2837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4180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4180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3004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4180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4180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3005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3004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3004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3004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3005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3004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3004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4182</v>
      </c>
      <c r="B275" t="s">
        <v>3004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4180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3005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4183</v>
      </c>
      <c r="B278" t="s">
        <v>3005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4184</v>
      </c>
      <c r="B279" t="s">
        <v>4181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4185</v>
      </c>
      <c r="B280" t="s">
        <v>4180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4186</v>
      </c>
      <c r="B281" t="s">
        <v>3004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4187</v>
      </c>
      <c r="B282" t="s">
        <v>3005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4188</v>
      </c>
      <c r="B283" t="s">
        <v>3006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4189</v>
      </c>
      <c r="B284" t="s">
        <v>3009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4190</v>
      </c>
      <c r="B285" t="s">
        <v>4181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4191</v>
      </c>
      <c r="B286" t="s">
        <v>3008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4192</v>
      </c>
      <c r="B287" t="s">
        <v>3008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4193</v>
      </c>
      <c r="B288" t="s">
        <v>3007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4194</v>
      </c>
      <c r="B289" t="s">
        <v>3007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4195</v>
      </c>
      <c r="B290" t="s">
        <v>3007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4196</v>
      </c>
      <c r="B291" t="s">
        <v>3007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4197</v>
      </c>
      <c r="B292" t="s">
        <v>3009</v>
      </c>
      <c r="C292" s="2" t="s">
        <v>2835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4198</v>
      </c>
      <c r="B293" t="s">
        <v>3008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4199</v>
      </c>
      <c r="B294" t="s">
        <v>3008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4200</v>
      </c>
      <c r="B295" t="s">
        <v>3007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4154</v>
      </c>
      <c r="B296" t="s">
        <v>3007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2412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2412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2856</v>
      </c>
    </row>
    <row r="4" spans="1:10" x14ac:dyDescent="0.2">
      <c r="A4" t="s">
        <v>1535</v>
      </c>
      <c r="B4" t="s">
        <v>2412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2857</v>
      </c>
    </row>
    <row r="5" spans="1:10" x14ac:dyDescent="0.2">
      <c r="A5" t="s">
        <v>2413</v>
      </c>
      <c r="B5" t="s">
        <v>2412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2858</v>
      </c>
    </row>
    <row r="6" spans="1:10" x14ac:dyDescent="0.2">
      <c r="A6" t="s">
        <v>1726</v>
      </c>
      <c r="B6" t="s">
        <v>2412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2859</v>
      </c>
    </row>
    <row r="7" spans="1:10" x14ac:dyDescent="0.2">
      <c r="A7" t="s">
        <v>1238</v>
      </c>
      <c r="B7" t="s">
        <v>2412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2860</v>
      </c>
    </row>
    <row r="8" spans="1:10" x14ac:dyDescent="0.2">
      <c r="A8" t="s">
        <v>1317</v>
      </c>
      <c r="B8" t="s">
        <v>2412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2861</v>
      </c>
    </row>
    <row r="9" spans="1:10" x14ac:dyDescent="0.2">
      <c r="A9" t="s">
        <v>1033</v>
      </c>
      <c r="B9" t="s">
        <v>2412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2862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11" sqref="J11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2445</v>
      </c>
      <c r="C2" s="2" t="s">
        <v>2449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2445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2840</v>
      </c>
    </row>
    <row r="4" spans="1:10" x14ac:dyDescent="0.2">
      <c r="A4" t="s">
        <v>1669</v>
      </c>
      <c r="B4" t="s">
        <v>2445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2841</v>
      </c>
    </row>
    <row r="5" spans="1:10" x14ac:dyDescent="0.2">
      <c r="A5" t="s">
        <v>847</v>
      </c>
      <c r="B5" t="s">
        <v>2445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2842</v>
      </c>
    </row>
    <row r="6" spans="1:10" x14ac:dyDescent="0.2">
      <c r="A6" t="s">
        <v>1273</v>
      </c>
      <c r="B6" t="s">
        <v>2445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2843</v>
      </c>
    </row>
    <row r="7" spans="1:10" x14ac:dyDescent="0.2">
      <c r="A7" t="s">
        <v>1399</v>
      </c>
      <c r="B7" t="s">
        <v>2445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2844</v>
      </c>
    </row>
    <row r="8" spans="1:10" x14ac:dyDescent="0.2">
      <c r="A8" t="s">
        <v>1302</v>
      </c>
      <c r="B8" t="s">
        <v>2445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2845</v>
      </c>
    </row>
    <row r="9" spans="1:10" x14ac:dyDescent="0.2">
      <c r="A9" t="s">
        <v>1028</v>
      </c>
      <c r="B9" t="s">
        <v>2445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3152</v>
      </c>
      <c r="J9" t="s">
        <v>3153</v>
      </c>
    </row>
    <row r="10" spans="1:10" x14ac:dyDescent="0.2">
      <c r="A10" t="s">
        <v>1636</v>
      </c>
      <c r="B10" t="s">
        <v>2445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2846</v>
      </c>
    </row>
    <row r="11" spans="1:10" x14ac:dyDescent="0.2">
      <c r="A11" t="s">
        <v>1664</v>
      </c>
      <c r="B11" t="s">
        <v>2445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2847</v>
      </c>
    </row>
    <row r="12" spans="1:10" x14ac:dyDescent="0.2">
      <c r="A12" t="s">
        <v>1730</v>
      </c>
      <c r="B12" t="s">
        <v>2445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2848</v>
      </c>
    </row>
    <row r="13" spans="1:10" x14ac:dyDescent="0.2">
      <c r="A13" t="s">
        <v>999</v>
      </c>
      <c r="B13" t="s">
        <v>2445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2849</v>
      </c>
    </row>
    <row r="14" spans="1:10" x14ac:dyDescent="0.2">
      <c r="A14" t="s">
        <v>1080</v>
      </c>
      <c r="B14" t="s">
        <v>2445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2850</v>
      </c>
    </row>
    <row r="15" spans="1:10" x14ac:dyDescent="0.2">
      <c r="A15" t="s">
        <v>1329</v>
      </c>
      <c r="B15" t="s">
        <v>2445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2851</v>
      </c>
    </row>
    <row r="16" spans="1:10" x14ac:dyDescent="0.2">
      <c r="A16" t="s">
        <v>1637</v>
      </c>
      <c r="B16" t="s">
        <v>2445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2852</v>
      </c>
    </row>
    <row r="17" spans="1:10" x14ac:dyDescent="0.2">
      <c r="A17" t="s">
        <v>1447</v>
      </c>
      <c r="B17" t="s">
        <v>2445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2853</v>
      </c>
    </row>
    <row r="18" spans="1:10" x14ac:dyDescent="0.2">
      <c r="A18" t="s">
        <v>795</v>
      </c>
      <c r="B18" t="s">
        <v>2445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2854</v>
      </c>
    </row>
    <row r="19" spans="1:10" x14ac:dyDescent="0.2">
      <c r="A19" t="s">
        <v>1284</v>
      </c>
      <c r="B19" t="s">
        <v>2445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2855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2837</v>
      </c>
      <c r="I1" s="6" t="s">
        <v>2342</v>
      </c>
      <c r="J1" s="6" t="s">
        <v>2075</v>
      </c>
    </row>
    <row r="2" spans="1:10" x14ac:dyDescent="0.2">
      <c r="A2" t="s">
        <v>1020</v>
      </c>
      <c r="B2" t="s">
        <v>2343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2343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2863</v>
      </c>
    </row>
    <row r="4" spans="1:10" x14ac:dyDescent="0.2">
      <c r="A4" t="s">
        <v>1050</v>
      </c>
      <c r="B4" t="s">
        <v>2343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2864</v>
      </c>
    </row>
    <row r="5" spans="1:10" x14ac:dyDescent="0.2">
      <c r="A5" t="s">
        <v>1058</v>
      </c>
      <c r="B5" t="s">
        <v>2343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2865</v>
      </c>
    </row>
    <row r="6" spans="1:10" x14ac:dyDescent="0.2">
      <c r="A6" t="s">
        <v>1071</v>
      </c>
      <c r="B6" t="s">
        <v>2343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2866</v>
      </c>
    </row>
    <row r="7" spans="1:10" x14ac:dyDescent="0.2">
      <c r="A7" t="s">
        <v>1030</v>
      </c>
      <c r="B7" t="s">
        <v>2343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2867</v>
      </c>
    </row>
    <row r="8" spans="1:10" x14ac:dyDescent="0.2">
      <c r="A8" t="s">
        <v>1032</v>
      </c>
      <c r="B8" t="s">
        <v>2343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2868</v>
      </c>
    </row>
    <row r="9" spans="1:10" x14ac:dyDescent="0.2">
      <c r="A9" t="s">
        <v>1051</v>
      </c>
      <c r="B9" t="s">
        <v>2343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2869</v>
      </c>
    </row>
    <row r="10" spans="1:10" x14ac:dyDescent="0.2">
      <c r="A10" t="s">
        <v>1060</v>
      </c>
      <c r="B10" t="s">
        <v>2343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2870</v>
      </c>
    </row>
    <row r="11" spans="1:10" x14ac:dyDescent="0.2">
      <c r="A11" t="s">
        <v>1077</v>
      </c>
      <c r="B11" t="s">
        <v>2343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2871</v>
      </c>
    </row>
    <row r="12" spans="1:10" x14ac:dyDescent="0.2">
      <c r="A12" t="s">
        <v>787</v>
      </c>
      <c r="B12" t="s">
        <v>2343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2872</v>
      </c>
    </row>
    <row r="13" spans="1:10" x14ac:dyDescent="0.2">
      <c r="A13" t="s">
        <v>1040</v>
      </c>
      <c r="B13" t="s">
        <v>2343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2873</v>
      </c>
    </row>
    <row r="14" spans="1:10" x14ac:dyDescent="0.2">
      <c r="A14" t="s">
        <v>1045</v>
      </c>
      <c r="B14" t="s">
        <v>2343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2874</v>
      </c>
    </row>
    <row r="15" spans="1:10" x14ac:dyDescent="0.2">
      <c r="A15" t="s">
        <v>1049</v>
      </c>
      <c r="B15" t="s">
        <v>2343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2875</v>
      </c>
    </row>
    <row r="16" spans="1:10" x14ac:dyDescent="0.2">
      <c r="A16" t="s">
        <v>1059</v>
      </c>
      <c r="B16" t="s">
        <v>2343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2876</v>
      </c>
    </row>
    <row r="17" spans="1:10" x14ac:dyDescent="0.2">
      <c r="A17" t="s">
        <v>1072</v>
      </c>
      <c r="B17" t="s">
        <v>2343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2877</v>
      </c>
    </row>
    <row r="18" spans="1:10" x14ac:dyDescent="0.2">
      <c r="A18" t="s">
        <v>1075</v>
      </c>
      <c r="B18" t="s">
        <v>2343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2878</v>
      </c>
    </row>
    <row r="19" spans="1:10" x14ac:dyDescent="0.2">
      <c r="A19" t="s">
        <v>1082</v>
      </c>
      <c r="B19" t="s">
        <v>2343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2879</v>
      </c>
    </row>
    <row r="20" spans="1:10" x14ac:dyDescent="0.2">
      <c r="A20" t="s">
        <v>1037</v>
      </c>
      <c r="B20" t="s">
        <v>2343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2880</v>
      </c>
    </row>
    <row r="21" spans="1:10" x14ac:dyDescent="0.2">
      <c r="A21" t="s">
        <v>1081</v>
      </c>
      <c r="B21" t="s">
        <v>2343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2881</v>
      </c>
    </row>
    <row r="22" spans="1:10" x14ac:dyDescent="0.2">
      <c r="A22" t="s">
        <v>1083</v>
      </c>
      <c r="B22" t="s">
        <v>2343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2882</v>
      </c>
    </row>
    <row r="23" spans="1:10" x14ac:dyDescent="0.2">
      <c r="A23" t="s">
        <v>1056</v>
      </c>
      <c r="B23" t="s">
        <v>2343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2883</v>
      </c>
    </row>
    <row r="24" spans="1:10" x14ac:dyDescent="0.2">
      <c r="A24" t="s">
        <v>1062</v>
      </c>
      <c r="B24" t="s">
        <v>2343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2884</v>
      </c>
    </row>
    <row r="25" spans="1:10" x14ac:dyDescent="0.2">
      <c r="A25" t="s">
        <v>1069</v>
      </c>
      <c r="B25" t="s">
        <v>2343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2885</v>
      </c>
    </row>
    <row r="26" spans="1:10" x14ac:dyDescent="0.2">
      <c r="A26" t="s">
        <v>1079</v>
      </c>
      <c r="B26" t="s">
        <v>2343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2886</v>
      </c>
    </row>
    <row r="27" spans="1:10" x14ac:dyDescent="0.2">
      <c r="A27" t="s">
        <v>1026</v>
      </c>
      <c r="B27" t="s">
        <v>2343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2887</v>
      </c>
    </row>
    <row r="28" spans="1:10" x14ac:dyDescent="0.2">
      <c r="A28" t="s">
        <v>792</v>
      </c>
      <c r="B28" t="s">
        <v>2343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2888</v>
      </c>
    </row>
    <row r="29" spans="1:10" x14ac:dyDescent="0.2">
      <c r="A29" t="s">
        <v>1038</v>
      </c>
      <c r="B29" t="s">
        <v>2343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2889</v>
      </c>
    </row>
    <row r="30" spans="1:10" x14ac:dyDescent="0.2">
      <c r="A30" t="s">
        <v>1087</v>
      </c>
      <c r="B30" t="s">
        <v>2343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2890</v>
      </c>
    </row>
    <row r="31" spans="1:10" x14ac:dyDescent="0.2">
      <c r="A31" t="s">
        <v>1022</v>
      </c>
      <c r="B31" t="s">
        <v>2343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2891</v>
      </c>
    </row>
    <row r="32" spans="1:10" x14ac:dyDescent="0.2">
      <c r="A32" t="s">
        <v>793</v>
      </c>
      <c r="B32" t="s">
        <v>2343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2892</v>
      </c>
    </row>
    <row r="33" spans="1:10" x14ac:dyDescent="0.2">
      <c r="A33" t="s">
        <v>1025</v>
      </c>
      <c r="B33" t="s">
        <v>2343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2893</v>
      </c>
    </row>
    <row r="34" spans="1:10" x14ac:dyDescent="0.2">
      <c r="A34" t="s">
        <v>1031</v>
      </c>
      <c r="B34" t="s">
        <v>2343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2894</v>
      </c>
    </row>
    <row r="35" spans="1:10" x14ac:dyDescent="0.2">
      <c r="A35" t="s">
        <v>1035</v>
      </c>
      <c r="B35" t="s">
        <v>2343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2895</v>
      </c>
    </row>
    <row r="36" spans="1:10" x14ac:dyDescent="0.2">
      <c r="A36" t="s">
        <v>1054</v>
      </c>
      <c r="B36" t="s">
        <v>2343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2896</v>
      </c>
    </row>
    <row r="37" spans="1:10" x14ac:dyDescent="0.2">
      <c r="A37" t="s">
        <v>1068</v>
      </c>
      <c r="B37" t="s">
        <v>2343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2897</v>
      </c>
    </row>
    <row r="38" spans="1:10" x14ac:dyDescent="0.2">
      <c r="A38" t="s">
        <v>959</v>
      </c>
      <c r="B38" t="s">
        <v>2343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2898</v>
      </c>
    </row>
    <row r="39" spans="1:10" x14ac:dyDescent="0.2">
      <c r="A39" t="s">
        <v>1086</v>
      </c>
      <c r="B39" t="s">
        <v>2343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2899</v>
      </c>
    </row>
    <row r="40" spans="1:10" x14ac:dyDescent="0.2">
      <c r="A40" t="s">
        <v>1019</v>
      </c>
      <c r="B40" t="s">
        <v>2343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2900</v>
      </c>
    </row>
    <row r="41" spans="1:10" x14ac:dyDescent="0.2">
      <c r="A41" t="s">
        <v>1028</v>
      </c>
      <c r="B41" t="s">
        <v>2343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2901</v>
      </c>
    </row>
    <row r="42" spans="1:10" x14ac:dyDescent="0.2">
      <c r="A42" t="s">
        <v>1043</v>
      </c>
      <c r="B42" t="s">
        <v>2343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2902</v>
      </c>
    </row>
    <row r="43" spans="1:10" x14ac:dyDescent="0.2">
      <c r="A43" t="s">
        <v>1063</v>
      </c>
      <c r="B43" t="s">
        <v>2343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2903</v>
      </c>
    </row>
    <row r="44" spans="1:10" x14ac:dyDescent="0.2">
      <c r="A44" t="s">
        <v>837</v>
      </c>
      <c r="B44" t="s">
        <v>2343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2904</v>
      </c>
    </row>
    <row r="45" spans="1:10" x14ac:dyDescent="0.2">
      <c r="A45" t="s">
        <v>1078</v>
      </c>
      <c r="B45" t="s">
        <v>2343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2905</v>
      </c>
    </row>
    <row r="46" spans="1:10" x14ac:dyDescent="0.2">
      <c r="A46" t="s">
        <v>1023</v>
      </c>
      <c r="B46" t="s">
        <v>2343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2906</v>
      </c>
    </row>
    <row r="47" spans="1:10" x14ac:dyDescent="0.2">
      <c r="A47" t="s">
        <v>1048</v>
      </c>
      <c r="B47" t="s">
        <v>2343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2907</v>
      </c>
    </row>
    <row r="48" spans="1:10" x14ac:dyDescent="0.2">
      <c r="A48" t="s">
        <v>1073</v>
      </c>
      <c r="B48" t="s">
        <v>2343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2908</v>
      </c>
    </row>
    <row r="49" spans="1:10" x14ac:dyDescent="0.2">
      <c r="A49" t="s">
        <v>1076</v>
      </c>
      <c r="B49" t="s">
        <v>2343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2909</v>
      </c>
    </row>
    <row r="50" spans="1:10" x14ac:dyDescent="0.2">
      <c r="A50" t="s">
        <v>1088</v>
      </c>
      <c r="B50" t="s">
        <v>2343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2910</v>
      </c>
    </row>
    <row r="51" spans="1:10" x14ac:dyDescent="0.2">
      <c r="A51" t="s">
        <v>1089</v>
      </c>
      <c r="B51" t="s">
        <v>2343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2911</v>
      </c>
    </row>
    <row r="52" spans="1:10" x14ac:dyDescent="0.2">
      <c r="A52" t="s">
        <v>1091</v>
      </c>
      <c r="B52" t="s">
        <v>2343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2912</v>
      </c>
    </row>
    <row r="53" spans="1:10" x14ac:dyDescent="0.2">
      <c r="A53" t="s">
        <v>1047</v>
      </c>
      <c r="B53" t="s">
        <v>2343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2913</v>
      </c>
    </row>
    <row r="54" spans="1:10" x14ac:dyDescent="0.2">
      <c r="A54" t="s">
        <v>1070</v>
      </c>
      <c r="B54" t="s">
        <v>2343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2914</v>
      </c>
    </row>
    <row r="55" spans="1:10" x14ac:dyDescent="0.2">
      <c r="A55" t="s">
        <v>1074</v>
      </c>
      <c r="B55" t="s">
        <v>2343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2915</v>
      </c>
    </row>
    <row r="56" spans="1:10" x14ac:dyDescent="0.2">
      <c r="A56" t="s">
        <v>1024</v>
      </c>
      <c r="B56" t="s">
        <v>2343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2916</v>
      </c>
    </row>
    <row r="57" spans="1:10" x14ac:dyDescent="0.2">
      <c r="A57" t="s">
        <v>1052</v>
      </c>
      <c r="B57" t="s">
        <v>2343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2917</v>
      </c>
    </row>
    <row r="58" spans="1:10" x14ac:dyDescent="0.2">
      <c r="A58" t="s">
        <v>1055</v>
      </c>
      <c r="B58" t="s">
        <v>2343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2918</v>
      </c>
    </row>
    <row r="59" spans="1:10" x14ac:dyDescent="0.2">
      <c r="A59" t="s">
        <v>804</v>
      </c>
      <c r="B59" t="s">
        <v>2343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2919</v>
      </c>
    </row>
    <row r="60" spans="1:10" x14ac:dyDescent="0.2">
      <c r="A60" t="s">
        <v>1061</v>
      </c>
      <c r="B60" t="s">
        <v>2343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2920</v>
      </c>
    </row>
    <row r="61" spans="1:10" x14ac:dyDescent="0.2">
      <c r="A61" t="s">
        <v>1021</v>
      </c>
      <c r="B61" t="s">
        <v>2343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2921</v>
      </c>
    </row>
    <row r="62" spans="1:10" x14ac:dyDescent="0.2">
      <c r="A62" t="s">
        <v>1041</v>
      </c>
      <c r="B62" t="s">
        <v>2343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2922</v>
      </c>
    </row>
    <row r="63" spans="1:10" x14ac:dyDescent="0.2">
      <c r="A63" t="s">
        <v>1065</v>
      </c>
      <c r="B63" t="s">
        <v>2343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2923</v>
      </c>
    </row>
    <row r="64" spans="1:10" x14ac:dyDescent="0.2">
      <c r="A64" t="s">
        <v>1085</v>
      </c>
      <c r="B64" t="s">
        <v>2343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2924</v>
      </c>
    </row>
    <row r="65" spans="1:10" x14ac:dyDescent="0.2">
      <c r="A65" t="s">
        <v>1027</v>
      </c>
      <c r="B65" t="s">
        <v>2343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2925</v>
      </c>
    </row>
    <row r="66" spans="1:10" x14ac:dyDescent="0.2">
      <c r="A66" t="s">
        <v>1036</v>
      </c>
      <c r="B66" t="s">
        <v>2343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2926</v>
      </c>
    </row>
    <row r="67" spans="1:10" x14ac:dyDescent="0.2">
      <c r="A67" t="s">
        <v>796</v>
      </c>
      <c r="B67" t="s">
        <v>2343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2927</v>
      </c>
    </row>
    <row r="68" spans="1:10" x14ac:dyDescent="0.2">
      <c r="A68" t="s">
        <v>1046</v>
      </c>
      <c r="B68" t="s">
        <v>2343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2928</v>
      </c>
    </row>
    <row r="69" spans="1:10" x14ac:dyDescent="0.2">
      <c r="A69" t="s">
        <v>1064</v>
      </c>
      <c r="B69" t="s">
        <v>2343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2929</v>
      </c>
    </row>
    <row r="70" spans="1:10" x14ac:dyDescent="0.2">
      <c r="A70" t="s">
        <v>1067</v>
      </c>
      <c r="B70" t="s">
        <v>2343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2930</v>
      </c>
    </row>
    <row r="71" spans="1:10" x14ac:dyDescent="0.2">
      <c r="A71" t="s">
        <v>1080</v>
      </c>
      <c r="B71" t="s">
        <v>2343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2931</v>
      </c>
    </row>
    <row r="72" spans="1:10" x14ac:dyDescent="0.2">
      <c r="A72" t="s">
        <v>1029</v>
      </c>
      <c r="B72" t="s">
        <v>2343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2932</v>
      </c>
    </row>
    <row r="73" spans="1:10" x14ac:dyDescent="0.2">
      <c r="A73" t="s">
        <v>1033</v>
      </c>
      <c r="B73" t="s">
        <v>2343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2933</v>
      </c>
    </row>
    <row r="74" spans="1:10" x14ac:dyDescent="0.2">
      <c r="A74" t="s">
        <v>997</v>
      </c>
      <c r="B74" t="s">
        <v>2343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2934</v>
      </c>
    </row>
    <row r="75" spans="1:10" x14ac:dyDescent="0.2">
      <c r="A75" t="s">
        <v>1034</v>
      </c>
      <c r="B75" t="s">
        <v>2343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2935</v>
      </c>
    </row>
    <row r="76" spans="1:10" x14ac:dyDescent="0.2">
      <c r="A76" t="s">
        <v>1042</v>
      </c>
      <c r="B76" t="s">
        <v>2343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2936</v>
      </c>
    </row>
    <row r="77" spans="1:10" x14ac:dyDescent="0.2">
      <c r="A77" t="s">
        <v>1057</v>
      </c>
      <c r="B77" t="s">
        <v>2343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2937</v>
      </c>
    </row>
    <row r="78" spans="1:10" x14ac:dyDescent="0.2">
      <c r="A78" t="s">
        <v>1066</v>
      </c>
      <c r="B78" t="s">
        <v>2343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2938</v>
      </c>
    </row>
    <row r="79" spans="1:10" x14ac:dyDescent="0.2">
      <c r="A79" t="s">
        <v>1090</v>
      </c>
      <c r="B79" t="s">
        <v>2343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2939</v>
      </c>
    </row>
    <row r="80" spans="1:10" x14ac:dyDescent="0.2">
      <c r="A80" t="s">
        <v>1044</v>
      </c>
      <c r="B80" t="s">
        <v>2343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2940</v>
      </c>
    </row>
    <row r="81" spans="1:10" x14ac:dyDescent="0.2">
      <c r="A81" t="s">
        <v>1053</v>
      </c>
      <c r="B81" t="s">
        <v>2343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2941</v>
      </c>
    </row>
    <row r="82" spans="1:10" x14ac:dyDescent="0.2">
      <c r="A82" t="s">
        <v>1084</v>
      </c>
      <c r="B82" t="s">
        <v>2343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2942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E31" sqref="E3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4201</v>
      </c>
      <c r="B2" t="s">
        <v>2378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4567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 #01", landmark: "Old Map", type: "Old Map", region: 2, level: "Sky", x: -1456, y: -1585, z: 1220, weight: 0, details: `&lt;strong&gt;Leads to:&lt;/strong&gt; &lt;img src="icons/treasure.png" style="height: 20px; width: 20px; vertical-align: middle; margin-right: 5px;"&gt;&lt;span style="color: #c6a96a; font-weight: bold;"&gt;Trousers of the Hero&lt;/span&gt;` },</v>
      </c>
    </row>
    <row r="3" spans="1:10" x14ac:dyDescent="0.2">
      <c r="A3" t="s">
        <v>4202</v>
      </c>
      <c r="B3" t="s">
        <v>2378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4568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`"&amp;I3&amp;"` },"</f>
        <v>{ name: "South Hyrule Sky #02", landmark: "Old Map", type: "Old Map", region: 2, level: "Sky", x: -1231, y: -1403, z: 1007, weight: 0, details: `&lt;strong&gt;Leads to:&lt;/strong&gt; &lt;img src="icons/treasure.png" style="height: 20px; width: 20px; vertical-align: middle; margin-right: 5px;"&gt;&lt;span style="color: #c6a96a; font-weight: bold;"&gt;Tunic of the Hero&lt;/span&gt;` },</v>
      </c>
    </row>
    <row r="4" spans="1:10" x14ac:dyDescent="0.2">
      <c r="A4" t="s">
        <v>4203</v>
      </c>
      <c r="B4" t="s">
        <v>2378</v>
      </c>
      <c r="C4" s="2">
        <v>2</v>
      </c>
      <c r="D4" s="2" t="s">
        <v>783</v>
      </c>
      <c r="E4" s="2">
        <v>-1334</v>
      </c>
      <c r="F4" s="2">
        <v>-1548</v>
      </c>
      <c r="G4" s="2">
        <v>801</v>
      </c>
      <c r="H4" s="2">
        <v>0</v>
      </c>
      <c r="I4" t="s">
        <v>4569</v>
      </c>
      <c r="J4" t="str">
        <f t="shared" si="0"/>
        <v>{ name: "South Hyrule Sky #03", landmark: "Old Map", type: "Old Map", region: 2, level: "Sky", x: -1334, y: -1548, z: 801, weight: 0, details: `&lt;strong&gt;Leads to:&lt;/strong&gt; &lt;img src="icons/treasure.png" style="height: 20px; width: 20px; vertical-align: middle; margin-right: 5px;"&gt;&lt;span style="color: #c6a96a; font-weight: bold;"&gt;Cap of the Hero&lt;/span&gt;` },</v>
      </c>
    </row>
    <row r="5" spans="1:10" x14ac:dyDescent="0.2">
      <c r="A5" t="s">
        <v>4204</v>
      </c>
      <c r="B5" t="s">
        <v>2378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4570</v>
      </c>
      <c r="J5" t="str">
        <f t="shared" si="0"/>
        <v>{ name: "South Hyrule Sky #04", landmark: "Old Map", type: "Old Map", region: 2, level: "Sky", x: -818, y: -1594, z: 861, weight: 0, details: `&lt;strong&gt;Leads to:&lt;/strong&gt; &lt;img src="icons/treasure.png" style="height: 20px; width: 20px; vertical-align: middle; margin-right: 5px;"&gt;&lt;span style="color: #c6a96a; font-weight: bold;"&gt;Sheik's Mask&lt;/span&gt;` },</v>
      </c>
    </row>
    <row r="6" spans="1:10" x14ac:dyDescent="0.2">
      <c r="A6" t="s">
        <v>2442</v>
      </c>
      <c r="B6" t="s">
        <v>2378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4571</v>
      </c>
      <c r="J6" t="str">
        <f t="shared" si="0"/>
        <v>{ name: "North Tabantha Sky", landmark: "Old Map", type: "Old Map", region: 3, level: "Sky", x: -3437, y: 1431, z: 1193, weight: 0, details: `&lt;strong&gt;Leads to:&lt;/strong&gt; &lt;img src="icons/treasure.png" style="height: 20px; width: 20px; vertical-align: middle; margin-right: 5px;"&gt;&lt;span style="color: #c6a96a; font-weight: bold;"&gt;Tunic of the Wild&lt;/span&gt;` },</v>
      </c>
    </row>
    <row r="7" spans="1:10" x14ac:dyDescent="0.2">
      <c r="A7" t="s">
        <v>4205</v>
      </c>
      <c r="B7" t="s">
        <v>2378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4572</v>
      </c>
      <c r="J7" t="str">
        <f t="shared" si="0"/>
        <v>{ name: "Tabantha Sky #01", landmark: "Old Map", type: "Old Map", region: 3, level: "Sky", x: -3931, y: 609, z: 1708, weight: 0, details: `&lt;strong&gt;Leads to:&lt;/strong&gt; &lt;img src="icons/treasure.png" style="height: 20px; width: 20px; vertical-align: middle; margin-right: 5px;"&gt;&lt;span style="color: #c6a96a; font-weight: bold;"&gt;Trousers of the Wild&lt;/span&gt;` },</v>
      </c>
    </row>
    <row r="8" spans="1:10" x14ac:dyDescent="0.2">
      <c r="A8" t="s">
        <v>4206</v>
      </c>
      <c r="B8" t="s">
        <v>2378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4573</v>
      </c>
      <c r="J8" t="str">
        <f t="shared" si="0"/>
        <v>{ name: "Tabantha Sky #02", landmark: "Old Map", type: "Old Map", region: 3, level: "Sky", x: -3636, y: 466, z: 1661, weight: 0, details: `&lt;strong&gt;Leads to:&lt;/strong&gt; &lt;img src="icons/treasure.png" style="height: 20px; width: 20px; vertical-align: middle; margin-right: 5px;"&gt;&lt;span style="color: #c6a96a; font-weight: bold;"&gt;Cap of the Wild&lt;/span&gt;` },</v>
      </c>
    </row>
    <row r="9" spans="1:10" x14ac:dyDescent="0.2">
      <c r="A9" t="s">
        <v>2351</v>
      </c>
      <c r="B9" t="s">
        <v>2378</v>
      </c>
      <c r="C9" s="2">
        <v>4</v>
      </c>
      <c r="D9" s="2" t="s">
        <v>783</v>
      </c>
      <c r="E9" s="2">
        <v>-3462</v>
      </c>
      <c r="F9" s="2">
        <v>3519</v>
      </c>
      <c r="G9" s="2">
        <v>930</v>
      </c>
      <c r="H9" s="2">
        <v>0</v>
      </c>
      <c r="I9" t="s">
        <v>4574</v>
      </c>
      <c r="J9" t="str">
        <f t="shared" si="0"/>
        <v>{ name: "Rising Island Chain", landmark: "Old Map", type: "Old Map", region: 4, level: "Sky", x: -3462, y: 3519, z: 930, weight: 0, details: `&lt;strong&gt;Leads to:&lt;/strong&gt; &lt;img src="icons/treasure.png" style="height: 20px; width: 20px; vertical-align: middle; margin-right: 5px;"&gt;&lt;span style="color: #c6a96a; font-weight: bold;"&gt;Miner's Mask&lt;/span&gt;` },</v>
      </c>
    </row>
    <row r="10" spans="1:10" x14ac:dyDescent="0.2">
      <c r="A10" t="s">
        <v>4207</v>
      </c>
      <c r="B10" t="s">
        <v>2378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4575</v>
      </c>
      <c r="J10" t="str">
        <f t="shared" si="0"/>
        <v>{ name: "West Hebra Sky #01", landmark: "Old Map", type: "Old Map", region: 4, level: "Sky", x: -3860, y: 2922, z: 747, weight: 0, details: `&lt;strong&gt;Leads to:&lt;/strong&gt; &lt;img src="icons/treasure.png" style="height: 20px; width: 20px; vertical-align: middle; margin-right: 5px;"&gt;&lt;span style="color: #c6a96a; font-weight: bold;"&gt;Miner's Top&lt;/span&gt;` },</v>
      </c>
    </row>
    <row r="11" spans="1:10" x14ac:dyDescent="0.2">
      <c r="A11" t="s">
        <v>4208</v>
      </c>
      <c r="B11" t="s">
        <v>2378</v>
      </c>
      <c r="C11" s="2">
        <v>4</v>
      </c>
      <c r="D11" s="2" t="s">
        <v>783</v>
      </c>
      <c r="E11" s="2">
        <v>-3824</v>
      </c>
      <c r="F11" s="2">
        <v>2721</v>
      </c>
      <c r="G11" s="2">
        <v>544</v>
      </c>
      <c r="H11" s="2">
        <v>0</v>
      </c>
      <c r="I11" t="s">
        <v>4576</v>
      </c>
      <c r="J11" t="str">
        <f t="shared" si="0"/>
        <v>{ name: "West Hebra Sky #02", landmark: "Old Map", type: "Old Map", region: 4, level: "Sky", x: -3824, y: 2721, z: 544, weight: 0, details: `&lt;strong&gt;Leads to:&lt;/strong&gt; &lt;img src="icons/treasure.png" style="height: 20px; width: 20px; vertical-align: middle; margin-right: 5px;"&gt;&lt;span style="color: #c6a96a; font-weight: bold;"&gt;Miner's Trousers&lt;/span&gt;` },</v>
      </c>
    </row>
    <row r="12" spans="1:10" x14ac:dyDescent="0.2">
      <c r="A12" t="s">
        <v>2273</v>
      </c>
      <c r="B12" t="s">
        <v>2378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4577</v>
      </c>
      <c r="J12" t="str">
        <f t="shared" si="0"/>
        <v>{ name: "East Hebra Sky", landmark: "Old Map", type: "Old Map", region: 5, level: "Sky", x: -1648, y: 3508, z: 747, weight: 0, details: `&lt;strong&gt;Leads to:&lt;/strong&gt; &lt;img src="icons/treasure.png" style="height: 20px; width: 20px; vertical-align: middle; margin-right: 5px;"&gt;&lt;span style="color: #c6a96a; font-weight: bold;"&gt;Ravio's Hood&lt;/span&gt;` },</v>
      </c>
    </row>
    <row r="13" spans="1:10" x14ac:dyDescent="0.2">
      <c r="A13" t="s">
        <v>2274</v>
      </c>
      <c r="B13" t="s">
        <v>2378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4578</v>
      </c>
      <c r="J13" t="str">
        <f t="shared" si="0"/>
        <v>{ name: "North Hyrule Sky", landmark: "Old Map", type: "Old Map", region: 6, level: "Sky", x: 435, y: 2196, z: 2243, weight: 0, details: `&lt;strong&gt;Leads to:&lt;/strong&gt; &lt;img src="icons/treasure.png" style="height: 20px; width: 20px; vertical-align: middle; margin-right: 5px;"&gt;&lt;span style="color: #c6a96a; font-weight: bold;"&gt;Korok Mask&lt;/span&gt;` },</v>
      </c>
    </row>
    <row r="14" spans="1:10" x14ac:dyDescent="0.2">
      <c r="A14" t="s">
        <v>2277</v>
      </c>
      <c r="B14" t="s">
        <v>2378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4579</v>
      </c>
      <c r="J14" t="str">
        <f t="shared" si="0"/>
        <v>{ name: "South Eldin Sky", landmark: "Old Map", type: "Old Map", region: 7, level: "Sky", x: 1809, y: 1014, z: 1183, weight: 0, details: `&lt;strong&gt;Leads to:&lt;/strong&gt; &lt;img src="icons/treasure.png" style="height: 20px; width: 20px; vertical-align: middle; margin-right: 5px;"&gt;&lt;span style="color: #c6a96a; font-weight: bold;"&gt;Biggoron's Sword&lt;/span&gt;` },</v>
      </c>
    </row>
    <row r="15" spans="1:10" x14ac:dyDescent="0.2">
      <c r="A15" t="s">
        <v>4209</v>
      </c>
      <c r="B15" t="s">
        <v>2378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4580</v>
      </c>
      <c r="J15" t="str">
        <f t="shared" si="0"/>
        <v>{ name: "North Akkala Sky #01", landmark: "Old Map", type: "Old Map", region: 8, level: "Sky", x: 4267, y: 3108, z: 783, weight: 0, details: `&lt;strong&gt;Leads to:&lt;/strong&gt; &lt;img src="icons/treasure.png" style="height: 20px; width: 20px; vertical-align: middle; margin-right: 5px;"&gt;&lt;span style="color: #c6a96a; font-weight: bold;"&gt;Trousers of Twilight&lt;/span&gt;` },</v>
      </c>
    </row>
    <row r="16" spans="1:10" x14ac:dyDescent="0.2">
      <c r="A16" t="s">
        <v>4210</v>
      </c>
      <c r="B16" t="s">
        <v>2378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4581</v>
      </c>
      <c r="J16" t="str">
        <f t="shared" si="0"/>
        <v>{ name: "North Akkala Sky #02", landmark: "Old Map", type: "Old Map", region: 8, level: "Sky", x: 3285, y: 3444, z: 794, weight: 0, details: `&lt;strong&gt;Leads to:&lt;/strong&gt; &lt;img src="icons/treasure.png" style="height: 20px; width: 20px; vertical-align: middle; margin-right: 5px;"&gt;&lt;span style="color: #c6a96a; font-weight: bold;"&gt;Cap of Twilight&lt;/span&gt;` },</v>
      </c>
    </row>
    <row r="17" spans="1:10" x14ac:dyDescent="0.2">
      <c r="A17" t="s">
        <v>2276</v>
      </c>
      <c r="B17" t="s">
        <v>2378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4582</v>
      </c>
      <c r="J17" t="str">
        <f t="shared" si="0"/>
        <v>{ name: "Sokkala Sky", landmark: "Old Map", type: "Old Map", region: 8, level: "Sky", x: 3661, y: 1800, z: 988, weight: 0, details: `&lt;strong&gt;Leads to:&lt;/strong&gt; &lt;img src="icons/treasure.png" style="height: 20px; width: 20px; vertical-align: middle; margin-right: 5px;"&gt;&lt;span style="color: #c6a96a; font-weight: bold;"&gt;Tunic of Twilight&lt;/span&gt;` },</v>
      </c>
    </row>
    <row r="18" spans="1:10" x14ac:dyDescent="0.2">
      <c r="A18" t="s">
        <v>4211</v>
      </c>
      <c r="B18" t="s">
        <v>2378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4583</v>
      </c>
      <c r="J18" t="str">
        <f t="shared" si="0"/>
        <v>{ name: "Wellspring Island #01", landmark: "Old Map", type: "Old Map", region: 9, level: "Sky", x: 3691, y: 592, z: 1245, weight: 0, details: `&lt;strong&gt;Leads to:&lt;/strong&gt; &lt;img src="icons/treasure.png" style="height: 20px; width: 20px; vertical-align: middle; margin-right: 5px;"&gt;&lt;span style="color: #c6a96a; font-weight: bold;"&gt;Trousers of the Wind&lt;/span&gt;` },</v>
      </c>
    </row>
    <row r="19" spans="1:10" x14ac:dyDescent="0.2">
      <c r="A19" t="s">
        <v>4212</v>
      </c>
      <c r="B19" t="s">
        <v>2378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4584</v>
      </c>
      <c r="J19" t="str">
        <f t="shared" si="0"/>
        <v>{ name: "Wellspring Island #02", landmark: "Old Map", type: "Old Map", region: 9, level: "Sky", x: 3201, y: 598, z: 1417, weight: 0, details: `&lt;strong&gt;Leads to:&lt;/strong&gt; &lt;img src="icons/treasure.png" style="height: 20px; width: 20px; vertical-align: middle; margin-right: 5px;"&gt;&lt;span style="color: #c6a96a; font-weight: bold;"&gt;Cap of the Wind&lt;/span&gt;` },</v>
      </c>
    </row>
    <row r="20" spans="1:10" x14ac:dyDescent="0.2">
      <c r="A20" t="s">
        <v>1423</v>
      </c>
      <c r="B20" t="s">
        <v>2378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4585</v>
      </c>
      <c r="J20" t="str">
        <f t="shared" si="0"/>
        <v>{ name: "Lanayru Sky", landmark: "Old Map", type: "Old Map", region: 9, level: "Sky", x: 3167, y: 459, z: 935, weight: 0, details: `&lt;strong&gt;Leads to:&lt;/strong&gt; &lt;img src="icons/treasure.png" style="height: 20px; width: 20px; vertical-align: middle; margin-right: 5px;"&gt;&lt;span style="color: #c6a96a; font-weight: bold;"&gt;Tunic of the Wind&lt;/span&gt;` },</v>
      </c>
    </row>
    <row r="21" spans="1:10" x14ac:dyDescent="0.2">
      <c r="A21" t="s">
        <v>1162</v>
      </c>
      <c r="B21" t="s">
        <v>2378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4586</v>
      </c>
      <c r="J21" t="str">
        <f t="shared" si="0"/>
        <v>{ name: "Central Hyrule Sky", landmark: "Old Map", type: "Old Map", region: 10, level: "Sky", x: 1662, y: -352, z: 400, weight: 0, details: `&lt;strong&gt;Leads to:&lt;/strong&gt; &lt;img src="icons/treasure.png" style="height: 20px; width: 20px; vertical-align: middle; margin-right: 5px;"&gt;&lt;span style="color: #c6a96a; font-weight: bold;"&gt;Cap of Time&lt;/span&gt;` },</v>
      </c>
    </row>
    <row r="22" spans="1:10" x14ac:dyDescent="0.2">
      <c r="A22" t="s">
        <v>4213</v>
      </c>
      <c r="B22" t="s">
        <v>2378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4587</v>
      </c>
      <c r="J22" t="str">
        <f t="shared" si="0"/>
        <v>{ name: "North Necluda Sky #01", landmark: "Old Map", type: "Old Map", region: 10, level: "Sky", x: 1852, y: -980, z: 927, weight: 0, details: `&lt;strong&gt;Leads to:&lt;/strong&gt; &lt;img src="icons/treasure.png" style="height: 20px; width: 20px; vertical-align: middle; margin-right: 5px;"&gt;&lt;span style="color: #c6a96a; font-weight: bold;"&gt;Tunic of Time&lt;/span&gt;` },</v>
      </c>
    </row>
    <row r="23" spans="1:10" x14ac:dyDescent="0.2">
      <c r="A23" t="s">
        <v>4214</v>
      </c>
      <c r="B23" t="s">
        <v>2378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4588</v>
      </c>
      <c r="J23" t="str">
        <f t="shared" si="0"/>
        <v>{ name: "North Necluda Sky #02", landmark: "Old Map", type: "Old Map", region: 10, level: "Sky", x: 1814, y: -1324, z: 890, weight: 0, details: `&lt;strong&gt;Leads to:&lt;/strong&gt; &lt;img src="icons/treasure.png" style="height: 20px; width: 20px; vertical-align: middle; margin-right: 5px;"&gt;&lt;span style="color: #c6a96a; font-weight: bold;"&gt;Trousers of Time&lt;/span&gt;` },</v>
      </c>
    </row>
    <row r="24" spans="1:10" x14ac:dyDescent="0.2">
      <c r="A24" t="s">
        <v>2367</v>
      </c>
      <c r="B24" t="s">
        <v>2378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4589</v>
      </c>
      <c r="J24" t="str">
        <f t="shared" si="0"/>
        <v>{ name: "East Necluda Sky", landmark: "Old Map", type: "Old Map", region: 10, level: "Sky", x: 2644, y: -1415, z: 1477, weight: 0, details: `&lt;strong&gt;Leads to:&lt;/strong&gt; &lt;img src="icons/treasure.png" style="height: 20px; width: 20px; vertical-align: middle; margin-right: 5px;"&gt;&lt;span style="color: #c6a96a; font-weight: bold;"&gt;Sea-Breeze Shield&lt;/span&gt;` },</v>
      </c>
    </row>
    <row r="25" spans="1:10" x14ac:dyDescent="0.2">
      <c r="A25" t="s">
        <v>2282</v>
      </c>
      <c r="B25" t="s">
        <v>2378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4590</v>
      </c>
      <c r="J25" t="str">
        <f t="shared" si="0"/>
        <v>{ name: "West Necluda Sky", landmark: "Old Map", type: "Old Map", region: 10, level: "Sky", x: 1651, y: -2190, z: 565, weight: 0, details: `&lt;strong&gt;Leads to:&lt;/strong&gt; &lt;img src="icons/treasure.png" style="height: 20px; width: 20px; vertical-align: middle; margin-right: 5px;"&gt;&lt;span style="color: #c6a96a; font-weight: bold;"&gt;Tunic of the Sky&lt;/span&gt;` },</v>
      </c>
    </row>
    <row r="26" spans="1:10" x14ac:dyDescent="0.2">
      <c r="A26" t="s">
        <v>4215</v>
      </c>
      <c r="B26" t="s">
        <v>2378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4591</v>
      </c>
      <c r="J26" t="str">
        <f t="shared" si="0"/>
        <v>{ name: "South Lanayru Sky #01", landmark: "Old Map", type: "Old Map", region: 11, level: "Sky", x: 4659, y: -869, z: 1758, weight: 0, details: `&lt;strong&gt;Leads to:&lt;/strong&gt; &lt;img src="icons/treasure.png" style="height: 20px; width: 20px; vertical-align: middle; margin-right: 5px;"&gt;&lt;span style="color: #c6a96a; font-weight: bold;"&gt;Midna's Helmet&lt;/span&gt;` },</v>
      </c>
    </row>
    <row r="27" spans="1:10" x14ac:dyDescent="0.2">
      <c r="A27" t="s">
        <v>4216</v>
      </c>
      <c r="B27" t="s">
        <v>2378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4592</v>
      </c>
      <c r="J27" t="str">
        <f t="shared" si="0"/>
        <v>{ name: "South Lanayru Sky #02", landmark: "Old Map", type: "Old Map", region: 11, level: "Sky", x: 4750, y: -777, z: 1863, weight: 0, details: `&lt;strong&gt;Leads to:&lt;/strong&gt; &lt;img src="icons/treasure.png" style="height: 20px; width: 20px; vertical-align: middle; margin-right: 5px;"&gt;&lt;span style="color: #c6a96a; font-weight: bold;"&gt;Zant's Helmet&lt;/span&gt;` },</v>
      </c>
    </row>
    <row r="28" spans="1:10" x14ac:dyDescent="0.2">
      <c r="A28" t="s">
        <v>1501</v>
      </c>
      <c r="B28" t="s">
        <v>2378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4593</v>
      </c>
      <c r="J28" t="str">
        <f t="shared" si="0"/>
        <v>{ name: "Necluda Sky", landmark: "Old Map", type: "Old Map", region: 12, level: "Sky", x: 2158, y: -2592, z: 1262, weight: 0, details: `&lt;strong&gt;Leads to:&lt;/strong&gt; &lt;img src="icons/treasure.png" style="height: 20px; width: 20px; vertical-align: middle; margin-right: 5px;"&gt;&lt;span style="color: #c6a96a; font-weight: bold;"&gt;Sea-Breeze Boomerang&lt;/span&gt;` },</v>
      </c>
    </row>
    <row r="29" spans="1:10" x14ac:dyDescent="0.2">
      <c r="A29" t="s">
        <v>4217</v>
      </c>
      <c r="B29" t="s">
        <v>2378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4594</v>
      </c>
      <c r="J29" t="str">
        <f t="shared" si="0"/>
        <v>{ name: "Thunderhead Isles #01", landmark: "Old Map", type: "Old Map", region: 13, level: "Sky", x: 953, y: -3112, z: 756, weight: 0, details: `&lt;strong&gt;Leads to:&lt;/strong&gt; &lt;img src="icons/treasure.png" style="height: 20px; width: 20px; vertical-align: middle; margin-right: 5px;"&gt;&lt;span style="color: #c6a96a; font-weight: bold;"&gt;Trousers of the Sky&lt;/span&gt;` },</v>
      </c>
    </row>
    <row r="30" spans="1:10" x14ac:dyDescent="0.2">
      <c r="A30" t="s">
        <v>4218</v>
      </c>
      <c r="B30" t="s">
        <v>2378</v>
      </c>
      <c r="C30" s="2">
        <v>13</v>
      </c>
      <c r="D30" s="2" t="s">
        <v>783</v>
      </c>
      <c r="E30" s="2">
        <v>1143</v>
      </c>
      <c r="F30" s="2">
        <v>-3273</v>
      </c>
      <c r="G30" s="2">
        <v>757</v>
      </c>
      <c r="H30" s="2">
        <v>0</v>
      </c>
      <c r="I30" t="s">
        <v>4595</v>
      </c>
      <c r="J30" t="str">
        <f t="shared" si="0"/>
        <v>{ name: "Thunderhead Isles #02", landmark: "Old Map", type: "Old Map", region: 13, level: "Sky", x: 1143, y: -3273, z: 757, weight: 0, details: `&lt;strong&gt;Leads to:&lt;/strong&gt; &lt;img src="icons/treasure.png" style="height: 20px; width: 20px; vertical-align: middle; margin-right: 5px;"&gt;&lt;span style="color: #c6a96a; font-weight: bold;"&gt;Cap of the Sky&lt;/span&gt;` },</v>
      </c>
    </row>
    <row r="31" spans="1:10" x14ac:dyDescent="0.2">
      <c r="A31" t="s">
        <v>2272</v>
      </c>
      <c r="B31" t="s">
        <v>2378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4596</v>
      </c>
      <c r="J31" t="str">
        <f t="shared" si="0"/>
        <v>{ name: "East Gerudo Sky", landmark: "Old Map", type: "Old Map", region: 14, level: "Sky", x: -1955, y: -1808, z: 1167, weight: 0, details: `&lt;strong&gt;Leads to:&lt;/strong&gt; &lt;img src="icons/treasure.png" style="height: 20px; width: 20px; vertical-align: middle; margin-right: 5px;"&gt;&lt;span style="color: #c6a96a; font-weight: bold;"&gt;Sword of the Hero&lt;/span&gt;` },</v>
      </c>
    </row>
    <row r="32" spans="1:10" x14ac:dyDescent="0.2">
      <c r="A32" t="s">
        <v>2441</v>
      </c>
      <c r="B32" t="s">
        <v>2378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4597</v>
      </c>
      <c r="J32" t="str">
        <f t="shared" si="0"/>
        <v>{ name: "North Gerudo Sky", landmark: "Old Map", type: "Old Map", region: 15, level: "Sky", x: -3377, y: -21, z: 2284, weight: 0, details: `&lt;strong&gt;Leads to:&lt;/strong&gt; &lt;img src="icons/treasure.png" style="height: 20px; width: 20px; vertical-align: middle; margin-right: 5px;"&gt;&lt;span style="color: #c6a96a; font-weight: bold;"&gt;Majora's Mask&lt;/span&gt;`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2353</v>
      </c>
      <c r="B35" t="s">
        <v>2344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4598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`"&amp;I35&amp;"` },"</f>
        <v>{ name: "Miner's Top", landmark: "Treasure", type: "Treasure", region: 1, level: "Depths", x: -1077, y: -556, z: -514, weight: 0, details: `&lt;strong&gt;Shown on:&lt;/strong&gt; &lt;img src="icons/old-map.png" style="height: 20px; width: 20px; vertical-align: middle; margin-right: 5px;"&gt;&lt;span style="color: #dd88d3; font-weight: bold;"&gt;West Hebra Sky Map #1&lt;/span&gt;` },</v>
      </c>
    </row>
    <row r="36" spans="1:10" x14ac:dyDescent="0.2">
      <c r="A36" t="s">
        <v>2373</v>
      </c>
      <c r="B36" t="s">
        <v>2344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4599</v>
      </c>
      <c r="J36" t="str">
        <f t="shared" ref="J36:J65" si="1"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weight: "&amp;H36&amp;", details: `"&amp;I36&amp;"` },"</f>
        <v>{ name: "Majora's Mask", landmark: "Treasure", type: "Treasure", region: 2, level: "Depths", x: -1151, y: -1263, z: -499, weight: 0, details: `&lt;strong&gt;Shown on:&lt;/strong&gt; &lt;img src="icons/old-map.png" style="height: 20px; width: 20px; vertical-align: middle; margin-right: 5px;"&gt;&lt;span style="color: #dd88d3; font-weight: bold;"&gt;North Gerudo Sky&lt;/span&gt;` },</v>
      </c>
    </row>
    <row r="37" spans="1:10" x14ac:dyDescent="0.2">
      <c r="A37" t="s">
        <v>2354</v>
      </c>
      <c r="B37" t="s">
        <v>2344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4600</v>
      </c>
      <c r="J37" t="str">
        <f t="shared" si="1"/>
        <v>{ name: "Miner's Trousers", landmark: "Treasure", type: "Treasure", region: 2, level: "Depths", x: -1287, y: -2251, z: -707, weight: 0, details: `&lt;strong&gt;Shown on:&lt;/strong&gt; &lt;img src="icons/old-map.png" style="height: 20px; width: 20px; vertical-align: middle; margin-right: 5px;"&gt;&lt;span style="color: #dd88d3; font-weight: bold;"&gt;West Hebra Sky Map #2&lt;/span&gt;` },</v>
      </c>
    </row>
    <row r="38" spans="1:10" x14ac:dyDescent="0.2">
      <c r="A38" t="s">
        <v>2374</v>
      </c>
      <c r="B38" t="s">
        <v>2344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4601</v>
      </c>
      <c r="J38" t="str">
        <f t="shared" si="1"/>
        <v>{ name: "Sword of the Hero", landmark: "Treasure", type: "Treasure", region: 2, level: "Depths", x: -2048, y: -1129, z: -526, weight: 0, details: `&lt;strong&gt;Shown on:&lt;/strong&gt; &lt;img src="icons/old-map.png" style="height: 20px; width: 20px; vertical-align: middle; margin-right: 5px;"&gt;&lt;span style="color: #dd88d3; font-weight: bold;"&gt;East Gerudo Sky&lt;/span&gt;` },</v>
      </c>
    </row>
    <row r="39" spans="1:10" x14ac:dyDescent="0.2">
      <c r="A39" t="s">
        <v>2362</v>
      </c>
      <c r="B39" t="s">
        <v>2344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4602</v>
      </c>
      <c r="J39" t="str">
        <f t="shared" si="1"/>
        <v>{ name: "Tunic of the Wind", landmark: "Treasure", type: "Treasure", region: 3, level: "Depths", x: -3788, y: 1344, z: -682, weight: 0, details: `&lt;strong&gt;Shown on:&lt;/strong&gt; &lt;img src="icons/old-map.png" style="height: 20px; width: 20px; vertical-align: middle; margin-right: 5px;"&gt;&lt;span style="color: #dd88d3; font-weight: bold;"&gt;Lanayru Sky&lt;/span&gt;` },</v>
      </c>
    </row>
    <row r="40" spans="1:10" x14ac:dyDescent="0.2">
      <c r="A40" t="s">
        <v>2365</v>
      </c>
      <c r="B40" t="s">
        <v>2344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4603</v>
      </c>
      <c r="J40" t="str">
        <f t="shared" si="1"/>
        <v>{ name: "Tunic of Time", landmark: "Treasure", type: "Treasure", region: 3, level: "Depths", x: -2002, y: 1309, z: -715, weight: 0, details: `&lt;strong&gt;Shown on:&lt;/strong&gt; &lt;img src="icons/old-map.png" style="height: 20px; width: 20px; vertical-align: middle; margin-right: 5px;"&gt;&lt;span style="color: #dd88d3; font-weight: bold;"&gt;North Necluda Sky Map #1&lt;/span&gt;` },</v>
      </c>
    </row>
    <row r="41" spans="1:10" x14ac:dyDescent="0.2">
      <c r="A41" t="s">
        <v>2377</v>
      </c>
      <c r="B41" t="s">
        <v>2344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4604</v>
      </c>
      <c r="J41" t="str">
        <f t="shared" si="1"/>
        <v>{ name: "Cap of the Wild", landmark: "Treasure", type: "Treasure", region: 4, level: "Depths", x: -3956, y: 3723, z: -858, weight: 0, details: `&lt;strong&gt;Shown on:&lt;/strong&gt; &lt;img src="icons/old-map.png" style="height: 20px; width: 20px; vertical-align: middle; margin-right: 5px;"&gt;&lt;span style="color: #dd88d3; font-weight: bold;"&gt;Tabantha Sky Map #2&lt;/span&gt;` },</v>
      </c>
    </row>
    <row r="42" spans="1:10" x14ac:dyDescent="0.2">
      <c r="A42" t="s">
        <v>2346</v>
      </c>
      <c r="B42" t="s">
        <v>2344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4605</v>
      </c>
      <c r="J42" t="str">
        <f t="shared" si="1"/>
        <v>{ name: "Cap of Time", landmark: "Treasure", type: "Treasure", region: 4, level: "Depths", x: -4079, y: 2799, z: -450, weight: 0, details: `&lt;strong&gt;Shown on:&lt;/strong&gt; &lt;img src="icons/old-map.png" style="height: 20px; width: 20px; vertical-align: middle; margin-right: 5px;"&gt;&lt;span style="color: #dd88d3; font-weight: bold;"&gt;Central Hyrule Sky&lt;/span&gt;` },</v>
      </c>
    </row>
    <row r="43" spans="1:10" x14ac:dyDescent="0.2">
      <c r="A43" t="s">
        <v>2369</v>
      </c>
      <c r="B43" t="s">
        <v>2344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4606</v>
      </c>
      <c r="J43" t="str">
        <f t="shared" si="1"/>
        <v>{ name: "Sea-Breeze Boomerang", landmark: "Treasure", type: "Treasure", region: 4, level: "Depths", x: -2736, y: 2918, z: -1120, weight: 0, details: `&lt;strong&gt;Shown on:&lt;/strong&gt; &lt;img src="icons/old-map.png" style="height: 20px; width: 20px; vertical-align: middle; margin-right: 5px;"&gt;&lt;span style="color: #dd88d3; font-weight: bold;"&gt;Necluda Sky&lt;/span&gt;` },</v>
      </c>
    </row>
    <row r="44" spans="1:10" x14ac:dyDescent="0.2">
      <c r="A44" t="s">
        <v>2347</v>
      </c>
      <c r="B44" t="s">
        <v>2344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4607</v>
      </c>
      <c r="J44" t="str">
        <f t="shared" si="1"/>
        <v>{ name: "Trousers of the Hero", landmark: "Treasure", type: "Treasure", region: 4, level: "Depths", x: -3354, y: 2312, z: -812, weight: 0, details: `&lt;strong&gt;Shown on:&lt;/strong&gt; &lt;img src="icons/old-map.png" style="height: 20px; width: 20px; vertical-align: middle; margin-right: 5px;"&gt;&lt;span style="color: #dd88d3; font-weight: bold;"&gt;South Hyrule Sky Map #1&lt;/span&gt;` },</v>
      </c>
    </row>
    <row r="45" spans="1:10" x14ac:dyDescent="0.2">
      <c r="A45" t="s">
        <v>2358</v>
      </c>
      <c r="B45" t="s">
        <v>2344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4608</v>
      </c>
      <c r="J45" t="str">
        <f t="shared" si="1"/>
        <v>{ name: "Cap of Twilight", landmark: "Treasure", type: "Treasure", region: 6, level: "Depths", x: 263, y: 3121, z: -623, weight: 0, details: `&lt;strong&gt;Shown on:&lt;/strong&gt; &lt;img src="icons/old-map.png" style="height: 20px; width: 20px; vertical-align: middle; margin-right: 5px;"&gt;&lt;span style="color: #dd88d3; font-weight: bold;"&gt;North Akkala Sky Map #2&lt;/span&gt;` },</v>
      </c>
    </row>
    <row r="46" spans="1:10" x14ac:dyDescent="0.2">
      <c r="A46" t="s">
        <v>2345</v>
      </c>
      <c r="B46" t="s">
        <v>2344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4609</v>
      </c>
      <c r="J46" t="str">
        <f t="shared" si="1"/>
        <v>{ name: "Korok Mask", landmark: "Treasure", type: "Treasure", region: 6, level: "Depths", x: -114, y: 2433, z: -620, weight: 0, details: `&lt;strong&gt;Shown on:&lt;/strong&gt; &lt;img src="icons/old-map.png" style="height: 20px; width: 20px; vertical-align: middle; margin-right: 5px;"&gt;&lt;span style="color: #dd88d3; font-weight: bold;"&gt;North Hyrule Sky&lt;/span&gt;` },</v>
      </c>
    </row>
    <row r="47" spans="1:10" x14ac:dyDescent="0.2">
      <c r="A47" t="s">
        <v>2376</v>
      </c>
      <c r="B47" t="s">
        <v>2344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4610</v>
      </c>
      <c r="J47" t="str">
        <f t="shared" si="1"/>
        <v>{ name: "Trousers of the Wild", landmark: "Treasure", type: "Treasure", region: 6, level: "Depths", x: 1674, y: 3723, z: -561, weight: 0, details: `&lt;strong&gt;Shown on:&lt;/strong&gt; &lt;img src="icons/old-map.png" style="height: 20px; width: 20px; vertical-align: middle; margin-right: 5px;"&gt;&lt;span style="color: #dd88d3; font-weight: bold;"&gt;Tabantha Sky Map #1&lt;/span&gt;` },</v>
      </c>
    </row>
    <row r="48" spans="1:10" x14ac:dyDescent="0.2">
      <c r="A48" t="s">
        <v>2370</v>
      </c>
      <c r="B48" t="s">
        <v>2344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4611</v>
      </c>
      <c r="J48" t="str">
        <f t="shared" si="1"/>
        <v>{ name: "Tunic of the Sky", landmark: "Treasure", type: "Treasure", region: 7, level: "Depths", x: 1022, y: 1408, z: -543, weight: 0, details: `&lt;strong&gt;Shown on:&lt;/strong&gt; &lt;img src="icons/old-map.png" style="height: 20px; width: 20px; vertical-align: middle; margin-right: 5px;"&gt;&lt;span style="color: #dd88d3; font-weight: bold;"&gt;West Necluda Sky&lt;/span&gt;` },</v>
      </c>
    </row>
    <row r="49" spans="1:10" x14ac:dyDescent="0.2">
      <c r="A49" t="s">
        <v>2364</v>
      </c>
      <c r="B49" t="s">
        <v>2344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4612</v>
      </c>
      <c r="J49" t="str">
        <f t="shared" si="1"/>
        <v>{ name: "Zant's Helmet", landmark: "Treasure", type: "Treasure", region: 7, level: "Depths", x: 2142, y: 3183, z: -838, weight: 0, details: `&lt;strong&gt;Shown on:&lt;/strong&gt; &lt;img src="icons/old-map.png" style="height: 20px; width: 20px; vertical-align: middle; margin-right: 5px;"&gt;&lt;span style="color: #dd88d3; font-weight: bold;"&gt;South Lanayru Sky Map #2&lt;/span&gt;` },</v>
      </c>
    </row>
    <row r="50" spans="1:10" x14ac:dyDescent="0.2">
      <c r="A50" t="s">
        <v>2356</v>
      </c>
      <c r="B50" t="s">
        <v>2344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4613</v>
      </c>
      <c r="J50" t="str">
        <f t="shared" si="1"/>
        <v>{ name: "Biggoron's Sword", landmark: "Treasure", type: "Treasure", region: 8, level: "Depths", x: 3240, y: 3446, z: -430, weight: 0, details: `&lt;strong&gt;Shown on:&lt;/strong&gt; &lt;img src="icons/old-map.png" style="height: 20px; width: 20px; vertical-align: middle; margin-right: 5px;"&gt;&lt;span style="color: #dd88d3; font-weight: bold;"&gt;South Eldin Sky&lt;/span&gt;` },</v>
      </c>
    </row>
    <row r="51" spans="1:10" x14ac:dyDescent="0.2">
      <c r="A51" t="s">
        <v>2357</v>
      </c>
      <c r="B51" t="s">
        <v>2344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4614</v>
      </c>
      <c r="J51" t="str">
        <f t="shared" si="1"/>
        <v>{ name: "Trousers of Twilight", landmark: "Treasure", type: "Treasure", region: 8, level: "Depths", x: 3318, y: 1506, z: -856, weight: 0, details: `&lt;strong&gt;Shown on:&lt;/strong&gt; &lt;img src="icons/old-map.png" style="height: 20px; width: 20px; vertical-align: middle; margin-right: 5px;"&gt;&lt;span style="color: #dd88d3; font-weight: bold;"&gt;North Akkala Sky Map #1&lt;/span&gt;` },</v>
      </c>
    </row>
    <row r="52" spans="1:10" x14ac:dyDescent="0.2">
      <c r="A52" t="s">
        <v>2359</v>
      </c>
      <c r="B52" t="s">
        <v>2344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4615</v>
      </c>
      <c r="J52" t="str">
        <f t="shared" si="1"/>
        <v>{ name: "Tunic of Twilight", landmark: "Treasure", type: "Treasure", region: 8, level: "Depths", x: 4517, y: 2169, z: -454, weight: 0, details: `&lt;strong&gt;Shown on:&lt;/strong&gt; &lt;img src="icons/old-map.png" style="height: 20px; width: 20px; vertical-align: middle; margin-right: 5px;"&gt;&lt;span style="color: #dd88d3; font-weight: bold;"&gt;Sokkala Sky&lt;/span&gt;` },</v>
      </c>
    </row>
    <row r="53" spans="1:10" x14ac:dyDescent="0.2">
      <c r="A53" t="s">
        <v>2361</v>
      </c>
      <c r="B53" t="s">
        <v>2344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4616</v>
      </c>
      <c r="J53" t="str">
        <f t="shared" si="1"/>
        <v>{ name: "Cap of the Wind", landmark: "Treasure", type: "Treasure", region: 9, level: "Depths", x: 4654, y: 621, z: -722, weight: 0, details: `&lt;strong&gt;Shown on:&lt;/strong&gt; &lt;img src="icons/old-map.png" style="height: 20px; width: 20px; vertical-align: middle; margin-right: 5px;"&gt;&lt;span style="color: #dd88d3; font-weight: bold;"&gt;Wellspring Island Map #2&lt;/span&gt;` },</v>
      </c>
    </row>
    <row r="54" spans="1:10" x14ac:dyDescent="0.2">
      <c r="A54" t="s">
        <v>2368</v>
      </c>
      <c r="B54" t="s">
        <v>2344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4617</v>
      </c>
      <c r="J54" t="str">
        <f t="shared" si="1"/>
        <v>{ name: "Sea-Breeze Shield", landmark: "Treasure", type: "Treasure", region: 9, level: "Depths", x: 2667, y: 252, z: -559, weight: 0, details: `&lt;strong&gt;Shown on:&lt;/strong&gt; &lt;img src="icons/old-map.png" style="height: 20px; width: 20px; vertical-align: middle; margin-right: 5px;"&gt;&lt;span style="color: #dd88d3; font-weight: bold;"&gt;East Necluda Sky&lt;/span&gt;` },</v>
      </c>
    </row>
    <row r="55" spans="1:10" x14ac:dyDescent="0.2">
      <c r="A55" t="s">
        <v>2371</v>
      </c>
      <c r="B55" t="s">
        <v>2344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4618</v>
      </c>
      <c r="J55" t="str">
        <f t="shared" si="1"/>
        <v>{ name: "Trousers of the Sky", landmark: "Treasure", type: "Treasure", region: 10, level: "Depths", x: 1164, y: 426, z: -580, weight: 0, details: `&lt;strong&gt;Shown on:&lt;/strong&gt; &lt;img src="icons/old-map.png" style="height: 20px; width: 20px; vertical-align: middle; margin-right: 5px;"&gt;&lt;span style="color: #dd88d3; font-weight: bold;"&gt;Thunderhead Isles Map #1&lt;/span&gt;` },</v>
      </c>
    </row>
    <row r="56" spans="1:10" x14ac:dyDescent="0.2">
      <c r="A56" t="s">
        <v>2348</v>
      </c>
      <c r="B56" t="s">
        <v>2344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4619</v>
      </c>
      <c r="J56" t="str">
        <f t="shared" si="1"/>
        <v>{ name: "Tunic of the Hero", landmark: "Treasure", type: "Treasure", region: 10, level: "Depths", x: 1283, y: -1811, z: -784, weight: 0, details: `&lt;strong&gt;Shown on:&lt;/strong&gt; &lt;img src="icons/old-map.png" style="height: 20px; width: 20px; vertical-align: middle; margin-right: 5px;"&gt;&lt;span style="color: #dd88d3; font-weight: bold;"&gt;South Hyrule Sky Map #2&lt;/span&gt;` },</v>
      </c>
    </row>
    <row r="57" spans="1:10" x14ac:dyDescent="0.2">
      <c r="A57" t="s">
        <v>2372</v>
      </c>
      <c r="B57" t="s">
        <v>2344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4620</v>
      </c>
      <c r="J57" t="str">
        <f t="shared" si="1"/>
        <v>{ name: "Cap of the Sky", landmark: "Treasure", type: "Treasure", region: 11, level: "Depths", x: 3822, y: -1985, z: -632, weight: 0, details: `&lt;strong&gt;Shown on:&lt;/strong&gt; &lt;img src="icons/old-map.png" style="height: 20px; width: 20px; vertical-align: middle; margin-right: 5px;"&gt;&lt;span style="color: #dd88d3; font-weight: bold;"&gt;Thunderhead Isles Map #2&lt;/span&gt;` },</v>
      </c>
    </row>
    <row r="58" spans="1:10" x14ac:dyDescent="0.2">
      <c r="A58" t="s">
        <v>2349</v>
      </c>
      <c r="B58" t="s">
        <v>2344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4621</v>
      </c>
      <c r="J58" t="str">
        <f t="shared" si="1"/>
        <v>{ name: "Cap of the Hero", landmark: "Treasure", type: "Treasure", region: 12, level: "Depths", x: 2518, y: -3602, z: -626, weight: 0, details: `&lt;strong&gt;Shown on:&lt;/strong&gt; &lt;img src="icons/old-map.png" style="height: 20px; width: 20px; vertical-align: middle; margin-right: 5px;"&gt;&lt;span style="color: #dd88d3; font-weight: bold;"&gt;South Hyrule Sky Map #3&lt;/span&gt;` },</v>
      </c>
    </row>
    <row r="59" spans="1:10" x14ac:dyDescent="0.2">
      <c r="A59" t="s">
        <v>2363</v>
      </c>
      <c r="B59" t="s">
        <v>2344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4622</v>
      </c>
      <c r="J59" t="str">
        <f t="shared" si="1"/>
        <v>{ name: "Midna's Helmet", landmark: "Treasure", type: "Treasure", region: 12, level: "Depths", x: 4563, y: -3619, z: -471, weight: 0, details: `&lt;strong&gt;Shown on:&lt;/strong&gt; &lt;img src="icons/old-map.png" style="height: 20px; width: 20px; vertical-align: middle; margin-right: 5px;"&gt;&lt;span style="color: #dd88d3; font-weight: bold;"&gt;South Lanayru Sky Map #1&lt;/span&gt;` },</v>
      </c>
    </row>
    <row r="60" spans="1:10" x14ac:dyDescent="0.2">
      <c r="A60" t="s">
        <v>2355</v>
      </c>
      <c r="B60" t="s">
        <v>2344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4623</v>
      </c>
      <c r="J60" t="str">
        <f t="shared" si="1"/>
        <v>{ name: "Ravio's Hood", landmark: "Treasure", type: "Treasure", region: 12, level: "Depths", x: 2242, y: -1900, z: -467, weight: 0, details: `&lt;strong&gt;Shown on:&lt;/strong&gt; &lt;img src="icons/old-map.png" style="height: 20px; width: 20px; vertical-align: middle; margin-right: 5px;"&gt;&lt;span style="color: #dd88d3; font-weight: bold;"&gt;East Hebra Sky&lt;/span&gt;` },</v>
      </c>
    </row>
    <row r="61" spans="1:10" x14ac:dyDescent="0.2">
      <c r="A61" t="s">
        <v>2360</v>
      </c>
      <c r="B61" t="s">
        <v>2344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4624</v>
      </c>
      <c r="J61" t="str">
        <f t="shared" si="1"/>
        <v>{ name: "Trousers of the Wind", landmark: "Treasure", type: "Treasure", region: 12, level: "Depths", x: 3794, y: -3614, z: -445, weight: 0, details: `&lt;strong&gt;Shown on:&lt;/strong&gt; &lt;img src="icons/old-map.png" style="height: 20px; width: 20px; vertical-align: middle; margin-right: 5px;"&gt;&lt;span style="color: #dd88d3; font-weight: bold;"&gt;Wellspring Island Map #1&lt;/span&gt;` },</v>
      </c>
    </row>
    <row r="62" spans="1:10" x14ac:dyDescent="0.2">
      <c r="A62" t="s">
        <v>2352</v>
      </c>
      <c r="B62" t="s">
        <v>2344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4625</v>
      </c>
      <c r="J62" t="str">
        <f t="shared" si="1"/>
        <v>{ name: "Miner's Mask", landmark: "Treasure", type: "Treasure", region: 14, level: "Depths", x: -3230, y: -2476, z: -475, weight: 0, details: `&lt;strong&gt;Shown on:&lt;/strong&gt; &lt;img src="icons/old-map.png" style="height: 20px; width: 20px; vertical-align: middle; margin-right: 5px;"&gt;&lt;span style="color: #dd88d3; font-weight: bold;"&gt;Rising Island Chain&lt;/span&gt;` },</v>
      </c>
    </row>
    <row r="63" spans="1:10" x14ac:dyDescent="0.2">
      <c r="A63" t="s">
        <v>2350</v>
      </c>
      <c r="B63" t="s">
        <v>2344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4626</v>
      </c>
      <c r="J63" t="str">
        <f t="shared" si="1"/>
        <v>{ name: "Sheik's Mask", landmark: "Treasure", type: "Treasure", region: 14, level: "Depths", x: -4310, y: -3781, z: -479, weight: 0, details: `&lt;strong&gt;Shown on:&lt;/strong&gt; &lt;img src="icons/old-map.png" style="height: 20px; width: 20px; vertical-align: middle; margin-right: 5px;"&gt;&lt;span style="color: #dd88d3; font-weight: bold;"&gt;South Hyrule Sky Map #4&lt;/span&gt;` },</v>
      </c>
    </row>
    <row r="64" spans="1:10" x14ac:dyDescent="0.2">
      <c r="A64" t="s">
        <v>2375</v>
      </c>
      <c r="B64" t="s">
        <v>2344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4627</v>
      </c>
      <c r="J64" t="str">
        <f t="shared" si="1"/>
        <v>{ name: "Tunic of the Wild", landmark: "Treasure", type: "Treasure", region: 14, level: "Depths", x: -4879, y: -3720, z: -458, weight: 0, details: `&lt;strong&gt;Shown on:&lt;/strong&gt; &lt;img src="icons/old-map.png" style="height: 20px; width: 20px; vertical-align: middle; margin-right: 5px;"&gt;&lt;span style="color: #dd88d3; font-weight: bold;"&gt;North Tabantha Sky&lt;/span&gt;` },</v>
      </c>
    </row>
    <row r="65" spans="1:10" x14ac:dyDescent="0.2">
      <c r="A65" t="s">
        <v>2366</v>
      </c>
      <c r="B65" t="s">
        <v>2344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4628</v>
      </c>
      <c r="J65" t="str">
        <f t="shared" si="1"/>
        <v>{ name: "Trousers of Time", landmark: "Treasure", type: "Treasure", region: 15, level: "Depths", x: -4179, y: -697, z: -1121, weight: 0, details: `&lt;strong&gt;Shown on:&lt;/strong&gt; &lt;img src="icons/old-map.png" style="height: 20px; width: 20px; vertical-align: middle; margin-right: 5px;"&gt;&lt;span style="color: #dd88d3; font-weight: bold;"&gt;North Necluda Sky Map #2&lt;/span&gt;` },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C22" sqref="C22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  <col min="9" max="9" width="33.6640625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2278</v>
      </c>
      <c r="B2" t="s">
        <v>2518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Sky", landmark: "Sage's Will", type: "Sage's Will", region: 2, level: "Sky", x: -938, y: -1744, z: 1013, weight: 0, details: `` },</v>
      </c>
    </row>
    <row r="3" spans="1:10" x14ac:dyDescent="0.2">
      <c r="A3" t="s">
        <v>2525</v>
      </c>
      <c r="B3" t="s">
        <v>2518</v>
      </c>
      <c r="C3" s="2">
        <v>2</v>
      </c>
      <c r="D3" s="2" t="s">
        <v>783</v>
      </c>
      <c r="E3" s="2">
        <v>-2251</v>
      </c>
      <c r="F3" s="2">
        <v>-431</v>
      </c>
      <c r="G3" s="2">
        <v>923</v>
      </c>
      <c r="H3" s="2">
        <v>0</v>
      </c>
      <c r="I3" t="s">
        <v>4631</v>
      </c>
      <c r="J3" t="str">
        <f>"{ name: "&amp;CHAR(34)&amp;A3&amp;CHAR(34)&amp;", landmark: "&amp;CHAR(34)&amp;"Sage's Will"&amp;CHAR(34)&amp;", type: "&amp;CHAR(34)&amp;B3&amp;CHAR(34)&amp;", region: "&amp;C3&amp;", level: "&amp;CHAR(34)&amp;D3&amp;CHAR(34)&amp;", x: "&amp;E3&amp;", y: "&amp;F3&amp;", z: "&amp;G3&amp;", weight: "&amp;H3&amp;", details: `"&amp;I3&amp;"` },"</f>
        <v>{ name: "West Hyrule Sky", landmark: "Sage's Will", type: "Sage's Will", region: 2, level: "Sky", x: -2251, y: -431, z: 923, weight: 0, details: `Defeat &lt;img src="icons/flux-construct.png" style="height: 20px; width: 20px; vertical-align: middle; margin-right: 5px;"&gt;&lt;span style="color: #7cc9c2; font-weight: bold;"&gt;Flux Construct III&lt;/span&gt;` },</v>
      </c>
    </row>
    <row r="4" spans="1:10" x14ac:dyDescent="0.2">
      <c r="A4" t="s">
        <v>2524</v>
      </c>
      <c r="B4" t="s">
        <v>2518</v>
      </c>
      <c r="C4" s="2">
        <v>3</v>
      </c>
      <c r="D4" s="2" t="s">
        <v>783</v>
      </c>
      <c r="E4" s="2">
        <v>-3779</v>
      </c>
      <c r="F4" s="2">
        <v>1572</v>
      </c>
      <c r="G4" s="2">
        <v>1238</v>
      </c>
      <c r="H4" s="2">
        <v>0</v>
      </c>
      <c r="J4" t="str">
        <f t="shared" ref="J4:J21" si="0">"{ name: "&amp;CHAR(34)&amp;A4&amp;CHAR(34)&amp;", landmark: "&amp;CHAR(34)&amp;"Sage's Will"&amp;CHAR(34)&amp;", type: "&amp;CHAR(34)&amp;B4&amp;CHAR(34)&amp;", region: "&amp;C4&amp;", level: "&amp;CHAR(34)&amp;D4&amp;CHAR(34)&amp;", x: "&amp;E4&amp;", y: "&amp;F4&amp;", z: "&amp;G4&amp;", weight: "&amp;H4&amp;", details: `"&amp;I4&amp;"` },"</f>
        <v>{ name: "West Hebra Sky #3", landmark: "Sage's Will", type: "Sage's Will", region: 3, level: "Sky", x: -3779, y: 1572, z: 1238, weight: 0, details: `` },</v>
      </c>
    </row>
    <row r="5" spans="1:10" x14ac:dyDescent="0.2">
      <c r="A5" t="s">
        <v>2443</v>
      </c>
      <c r="B5" t="s">
        <v>2518</v>
      </c>
      <c r="C5" s="2">
        <v>4</v>
      </c>
      <c r="D5" s="2" t="s">
        <v>783</v>
      </c>
      <c r="E5" s="2">
        <v>-4419</v>
      </c>
      <c r="F5" s="2">
        <v>2251</v>
      </c>
      <c r="G5" s="2">
        <v>1246</v>
      </c>
      <c r="H5" s="2">
        <v>0</v>
      </c>
      <c r="I5" t="s">
        <v>4629</v>
      </c>
      <c r="J5" t="str">
        <f t="shared" si="0"/>
        <v>{ name: "West Hebra Sky #1", landmark: "Sage's Will", type: "Sage's Will", region: 4, level: "Sky", x: -4419, y: 2251, z: 1246, weight: 0, details: `Defeat &lt;img src="icons/gleeok.png" style="height: 20px; width: 20px; vertical-align: middle; margin-right: 5px;"&gt;&lt;span style="color: #de878b; font-weight: bold;"&gt;King Gleeok&lt;/span&gt;` },</v>
      </c>
    </row>
    <row r="6" spans="1:10" x14ac:dyDescent="0.2">
      <c r="A6" t="s">
        <v>2444</v>
      </c>
      <c r="B6" t="s">
        <v>2518</v>
      </c>
      <c r="C6" s="2">
        <v>4</v>
      </c>
      <c r="D6" s="2" t="s">
        <v>783</v>
      </c>
      <c r="E6" s="2">
        <v>-3079</v>
      </c>
      <c r="F6" s="2">
        <v>2152</v>
      </c>
      <c r="G6" s="2">
        <v>648</v>
      </c>
      <c r="H6" s="2">
        <v>0</v>
      </c>
      <c r="J6" t="str">
        <f t="shared" si="0"/>
        <v>{ name: "West Hebra Sky #2", landmark: "Sage's Will", type: "Sage's Will", region: 4, level: "Sky", x: -3079, y: 2152, z: 648, weight: 0, details: `` },</v>
      </c>
    </row>
    <row r="7" spans="1:10" x14ac:dyDescent="0.2">
      <c r="A7" t="s">
        <v>1242</v>
      </c>
      <c r="B7" t="s">
        <v>2518</v>
      </c>
      <c r="C7" s="2">
        <v>7</v>
      </c>
      <c r="D7" s="2" t="s">
        <v>783</v>
      </c>
      <c r="E7" s="2">
        <v>1764</v>
      </c>
      <c r="F7" s="2">
        <v>2267</v>
      </c>
      <c r="G7" s="2">
        <v>827</v>
      </c>
      <c r="H7" s="2">
        <v>0</v>
      </c>
      <c r="J7" t="str">
        <f t="shared" si="0"/>
        <v>{ name: "Eldin Sky", landmark: "Sage's Will", type: "Sage's Will", region: 7, level: "Sky", x: 1764, y: 2267, z: 827, weight: 0, details: `` },</v>
      </c>
    </row>
    <row r="8" spans="1:10" x14ac:dyDescent="0.2">
      <c r="A8" t="s">
        <v>2277</v>
      </c>
      <c r="B8" t="s">
        <v>2518</v>
      </c>
      <c r="C8" s="2">
        <v>7</v>
      </c>
      <c r="D8" s="2" t="s">
        <v>783</v>
      </c>
      <c r="E8" s="2">
        <v>1780</v>
      </c>
      <c r="F8" s="2">
        <v>973</v>
      </c>
      <c r="G8" s="2">
        <v>1226</v>
      </c>
      <c r="H8" s="2">
        <v>0</v>
      </c>
      <c r="J8" t="str">
        <f t="shared" si="0"/>
        <v>{ name: "South Eldin Sky", landmark: "Sage's Will", type: "Sage's Will", region: 7, level: "Sky", x: 1780, y: 973, z: 1226, weight: 0, details: `` },</v>
      </c>
    </row>
    <row r="9" spans="1:10" x14ac:dyDescent="0.2">
      <c r="A9" t="s">
        <v>2276</v>
      </c>
      <c r="B9" t="s">
        <v>2518</v>
      </c>
      <c r="C9" s="2">
        <v>8</v>
      </c>
      <c r="D9" s="2" t="s">
        <v>783</v>
      </c>
      <c r="E9" s="2">
        <v>3810</v>
      </c>
      <c r="F9" s="2">
        <v>1580</v>
      </c>
      <c r="G9" s="2">
        <v>1144</v>
      </c>
      <c r="H9" s="2">
        <v>0</v>
      </c>
      <c r="J9" t="str">
        <f t="shared" si="0"/>
        <v>{ name: "Sokkala Sky", landmark: "Sage's Will", type: "Sage's Will", region: 8, level: "Sky", x: 3810, y: 1580, z: 1144, weight: 0, details: `` },</v>
      </c>
    </row>
    <row r="10" spans="1:10" x14ac:dyDescent="0.2">
      <c r="A10" t="s">
        <v>2520</v>
      </c>
      <c r="B10" t="s">
        <v>2518</v>
      </c>
      <c r="C10" s="2">
        <v>9</v>
      </c>
      <c r="D10" s="2" t="s">
        <v>783</v>
      </c>
      <c r="E10" s="2">
        <v>2911</v>
      </c>
      <c r="F10" s="2">
        <v>525</v>
      </c>
      <c r="G10" s="2">
        <v>929</v>
      </c>
      <c r="H10" s="2">
        <v>0</v>
      </c>
      <c r="J10" t="str">
        <f t="shared" si="0"/>
        <v>{ name: "Lanayru Sky #1", landmark: "Sage's Will", type: "Sage's Will", region: 9, level: "Sky", x: 2911, y: 525, z: 929, weight: 0, details: `` },</v>
      </c>
    </row>
    <row r="11" spans="1:10" x14ac:dyDescent="0.2">
      <c r="A11" t="s">
        <v>2521</v>
      </c>
      <c r="B11" t="s">
        <v>2518</v>
      </c>
      <c r="C11" s="2">
        <v>9</v>
      </c>
      <c r="D11" s="2" t="s">
        <v>783</v>
      </c>
      <c r="E11" s="2">
        <v>3014</v>
      </c>
      <c r="F11" s="2">
        <v>-259</v>
      </c>
      <c r="G11" s="2">
        <v>909</v>
      </c>
      <c r="H11" s="2">
        <v>0</v>
      </c>
      <c r="I11" t="s">
        <v>4630</v>
      </c>
      <c r="J11" t="str">
        <f t="shared" si="0"/>
        <v>{ name: "Lanayru Sky #2", landmark: "Sage's Will", type: "Sage's Will", region: 9, level: "Sky", x: 3014, y: -259, z: 909, weight: 0, details: `Defeat &lt;img src="icons/flux-construct.png" style="height: 20px; width: 20px; vertical-align: middle; margin-right: 5px;"&gt;&lt;span style="color: #7cc9c2; font-weight: bold;"&gt;Flux Construct II&lt;/span&gt;` },</v>
      </c>
    </row>
    <row r="12" spans="1:10" x14ac:dyDescent="0.2">
      <c r="A12" t="s">
        <v>1015</v>
      </c>
      <c r="B12" t="s">
        <v>2518</v>
      </c>
      <c r="C12" s="2">
        <v>9</v>
      </c>
      <c r="D12" s="2" t="s">
        <v>783</v>
      </c>
      <c r="E12" s="2">
        <v>3397</v>
      </c>
      <c r="F12" s="2">
        <v>630</v>
      </c>
      <c r="G12" s="2">
        <v>1315</v>
      </c>
      <c r="H12" s="2">
        <v>0</v>
      </c>
      <c r="I12" t="s">
        <v>4630</v>
      </c>
      <c r="J12" t="str">
        <f t="shared" si="0"/>
        <v>{ name: "Wellspring Island", landmark: "Sage's Will", type: "Sage's Will", region: 9, level: "Sky", x: 3397, y: 630, z: 1315, weight: 0, details: `Defeat &lt;img src="icons/flux-construct.png" style="height: 20px; width: 20px; vertical-align: middle; margin-right: 5px;"&gt;&lt;span style="color: #7cc9c2; font-weight: bold;"&gt;Flux Construct II&lt;/span&gt;` },</v>
      </c>
    </row>
    <row r="13" spans="1:10" x14ac:dyDescent="0.2">
      <c r="A13" t="s">
        <v>2275</v>
      </c>
      <c r="B13" t="s">
        <v>2518</v>
      </c>
      <c r="C13" s="2">
        <v>10</v>
      </c>
      <c r="D13" s="2" t="s">
        <v>783</v>
      </c>
      <c r="E13" s="2">
        <v>1934</v>
      </c>
      <c r="F13" s="2">
        <v>-1062</v>
      </c>
      <c r="G13" s="2">
        <v>961</v>
      </c>
      <c r="H13" s="2">
        <v>0</v>
      </c>
      <c r="J13" t="str">
        <f t="shared" si="0"/>
        <v>{ name: "North Necluda Sky", landmark: "Sage's Will", type: "Sage's Will", region: 10, level: "Sky", x: 1934, y: -1062, z: 961, weight: 0, details: `` },</v>
      </c>
    </row>
    <row r="14" spans="1:10" x14ac:dyDescent="0.2">
      <c r="A14" t="s">
        <v>2522</v>
      </c>
      <c r="B14" t="s">
        <v>2518</v>
      </c>
      <c r="C14" s="2">
        <v>12</v>
      </c>
      <c r="D14" s="2" t="s">
        <v>783</v>
      </c>
      <c r="E14" s="2">
        <v>4652</v>
      </c>
      <c r="F14" s="2">
        <v>-3828</v>
      </c>
      <c r="G14" s="2">
        <v>1065</v>
      </c>
      <c r="H14" s="2">
        <v>0</v>
      </c>
      <c r="I14" t="s">
        <v>4629</v>
      </c>
      <c r="J14" t="str">
        <f t="shared" si="0"/>
        <v>{ name: "Eventide Island Sky", landmark: "Sage's Will", type: "Sage's Will", region: 12, level: "Sky", x: 4652, y: -3828, z: 1065, weight: 0, details: `Defeat &lt;img src="icons/gleeok.png" style="height: 20px; width: 20px; vertical-align: middle; margin-right: 5px;"&gt;&lt;span style="color: #de878b; font-weight: bold;"&gt;King Gleeok&lt;/span&gt;` },</v>
      </c>
    </row>
    <row r="15" spans="1:10" x14ac:dyDescent="0.2">
      <c r="A15" t="s">
        <v>2280</v>
      </c>
      <c r="B15" t="s">
        <v>2518</v>
      </c>
      <c r="C15" s="2">
        <v>12</v>
      </c>
      <c r="D15" s="2" t="s">
        <v>783</v>
      </c>
      <c r="E15" s="2">
        <v>2569</v>
      </c>
      <c r="F15" s="2">
        <v>-3601</v>
      </c>
      <c r="G15" s="2">
        <v>794</v>
      </c>
      <c r="H15" s="2">
        <v>0</v>
      </c>
      <c r="I15" t="s">
        <v>4631</v>
      </c>
      <c r="J15" t="str">
        <f t="shared" si="0"/>
        <v>{ name: "South Necluda Sky", landmark: "Sage's Will", type: "Sage's Will", region: 12, level: "Sky", x: 2569, y: -3601, z: 794,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6" spans="1:10" x14ac:dyDescent="0.2">
      <c r="A16" t="s">
        <v>2523</v>
      </c>
      <c r="B16" t="s">
        <v>2518</v>
      </c>
      <c r="C16" s="2">
        <v>13</v>
      </c>
      <c r="D16" s="2" t="s">
        <v>783</v>
      </c>
      <c r="E16" s="2">
        <v>1309</v>
      </c>
      <c r="F16" s="2">
        <v>-3210</v>
      </c>
      <c r="G16" s="2">
        <v>459</v>
      </c>
      <c r="H16" s="2">
        <v>0</v>
      </c>
      <c r="J16" t="str">
        <f t="shared" si="0"/>
        <v>{ name: "Dragon Head Island", landmark: "Sage's Will", type: "Sage's Will", region: 13, level: "Sky", x: 1309, y: -3210, z: 459, weight: 0, details: `` },</v>
      </c>
    </row>
    <row r="17" spans="1:10" x14ac:dyDescent="0.2">
      <c r="A17" t="s">
        <v>1253</v>
      </c>
      <c r="B17" t="s">
        <v>2518</v>
      </c>
      <c r="C17" s="2">
        <v>13</v>
      </c>
      <c r="D17" s="2" t="s">
        <v>783</v>
      </c>
      <c r="E17" s="2">
        <v>-316</v>
      </c>
      <c r="F17" s="2">
        <v>-2591</v>
      </c>
      <c r="G17" s="2">
        <v>894</v>
      </c>
      <c r="H17" s="2">
        <v>0</v>
      </c>
      <c r="I17" t="s">
        <v>4631</v>
      </c>
      <c r="J17" t="str">
        <f t="shared" si="0"/>
        <v>{ name: "Faron Sky", landmark: "Sage's Will", type: "Sage's Will", region: 13, level: "Sky", x: -316, y: -2591, z: 894,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8" spans="1:10" x14ac:dyDescent="0.2">
      <c r="A18" t="s">
        <v>1013</v>
      </c>
      <c r="B18" t="s">
        <v>2518</v>
      </c>
      <c r="C18" s="2">
        <v>13</v>
      </c>
      <c r="D18" s="2" t="s">
        <v>783</v>
      </c>
      <c r="E18" s="2">
        <v>966</v>
      </c>
      <c r="F18" s="2">
        <v>-3306</v>
      </c>
      <c r="G18" s="2">
        <v>846</v>
      </c>
      <c r="H18" s="2">
        <v>0</v>
      </c>
      <c r="J18" t="str">
        <f t="shared" si="0"/>
        <v>{ name: "Thunderhead Isles", landmark: "Sage's Will", type: "Sage's Will", region: 13, level: "Sky", x: 966, y: -3306, z: 846, weight: 0, details: `` },</v>
      </c>
    </row>
    <row r="19" spans="1:10" x14ac:dyDescent="0.2">
      <c r="A19" t="s">
        <v>2272</v>
      </c>
      <c r="B19" t="s">
        <v>2518</v>
      </c>
      <c r="C19" s="2">
        <v>14</v>
      </c>
      <c r="D19" s="2" t="s">
        <v>783</v>
      </c>
      <c r="E19" s="2">
        <v>-1962</v>
      </c>
      <c r="F19" s="2">
        <v>-1802</v>
      </c>
      <c r="G19" s="2">
        <v>1140</v>
      </c>
      <c r="H19" s="2">
        <v>0</v>
      </c>
      <c r="J19" t="str">
        <f t="shared" si="0"/>
        <v>{ name: "East Gerudo Sky", landmark: "Sage's Will", type: "Sage's Will", region: 14, level: "Sky", x: -1962, y: -1802, z: 1140, weight: 0, details: `` },</v>
      </c>
    </row>
    <row r="20" spans="1:10" x14ac:dyDescent="0.2">
      <c r="A20" t="s">
        <v>1283</v>
      </c>
      <c r="B20" t="s">
        <v>2518</v>
      </c>
      <c r="C20" s="2">
        <v>14</v>
      </c>
      <c r="D20" s="2" t="s">
        <v>783</v>
      </c>
      <c r="E20" s="2">
        <v>-4398</v>
      </c>
      <c r="F20" s="2">
        <v>-2641</v>
      </c>
      <c r="G20" s="2">
        <v>1490</v>
      </c>
      <c r="H20" s="2">
        <v>0</v>
      </c>
      <c r="I20" t="s">
        <v>4629</v>
      </c>
      <c r="J20" t="str">
        <f t="shared" si="0"/>
        <v>{ name: "Gerudo Sky", landmark: "Sage's Will", type: "Sage's Will", region: 14, level: "Sky", x: -4398, y: -2641, z: 1490, weight: 0, details: `Defeat &lt;img src="icons/gleeok.png" style="height: 20px; width: 20px; vertical-align: middle; margin-right: 5px;"&gt;&lt;span style="color: #de878b; font-weight: bold;"&gt;King Gleeok&lt;/span&gt;` },</v>
      </c>
    </row>
    <row r="21" spans="1:10" x14ac:dyDescent="0.2">
      <c r="A21" t="s">
        <v>2441</v>
      </c>
      <c r="B21" t="s">
        <v>2518</v>
      </c>
      <c r="C21" s="2">
        <v>15</v>
      </c>
      <c r="D21" s="2" t="s">
        <v>783</v>
      </c>
      <c r="E21" s="2">
        <v>-3426</v>
      </c>
      <c r="F21" s="2">
        <v>-318</v>
      </c>
      <c r="G21" s="2">
        <v>1943</v>
      </c>
      <c r="H21" s="2">
        <v>0</v>
      </c>
      <c r="J21" t="str">
        <f t="shared" si="0"/>
        <v>{ name: "North Gerudo Sky", landmark: "Sage's Will", type: "Sage's Will", region: 15, level: "Sky", x: -3426, y: -318, z: 1943, weight: 0, details: `` },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I2" sqref="I2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2380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4338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`"&amp;I2&amp;"` },"</f>
        <v>{ name: "Hot-Air Balloon", landmark: "Schematic", type: "Schema Stone", region: 1, level: "Surface", x: -256, y: 153, z: 20, weight: 0, details: `Complete &lt;img src="icons/main-quest.png" style="height: 20px; width: 20px; vertical-align: middle; margin-right: 5px;"&gt;&lt;span style="color: #fec043; font-weight: bold;"&gt;Mystery in the Depths&lt;/span&gt;` },</v>
      </c>
    </row>
    <row r="3" spans="1:10" x14ac:dyDescent="0.2">
      <c r="A3" t="s">
        <v>1735</v>
      </c>
      <c r="B3" t="s">
        <v>2380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4339</v>
      </c>
      <c r="J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weight: "&amp;H3&amp;", details: `"&amp;I3&amp;"` },"</f>
        <v>{ name: "Beam Cycle", landmark: "Schematic", type: "Schema Stone", region: 2, level: "Surface", x: -1122, y: -1902, z: 101, weight: 0, details: `Found in the &lt;img src="icons/location.png" style="height: 20px; width: 20px; vertical-align: middle; margin-right: 5px;"&gt;&lt;span style="color: #c6a96a; font-weight: bold;"&gt;Cave of Resurrection&lt;/span&gt;` },</v>
      </c>
    </row>
    <row r="4" spans="1:10" x14ac:dyDescent="0.2">
      <c r="A4" t="s">
        <v>1747</v>
      </c>
      <c r="B4" t="s">
        <v>2380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2943</v>
      </c>
    </row>
    <row r="5" spans="1:10" x14ac:dyDescent="0.2">
      <c r="A5" t="s">
        <v>1771</v>
      </c>
      <c r="B5" t="s">
        <v>2379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2944</v>
      </c>
    </row>
    <row r="6" spans="1:10" x14ac:dyDescent="0.2">
      <c r="A6" t="s">
        <v>1732</v>
      </c>
      <c r="B6" t="s">
        <v>2379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2945</v>
      </c>
    </row>
    <row r="7" spans="1:10" x14ac:dyDescent="0.2">
      <c r="A7" t="s">
        <v>1740</v>
      </c>
      <c r="B7" t="s">
        <v>2379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2946</v>
      </c>
    </row>
    <row r="8" spans="1:10" x14ac:dyDescent="0.2">
      <c r="A8" t="s">
        <v>1742</v>
      </c>
      <c r="B8" t="s">
        <v>2379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2947</v>
      </c>
    </row>
    <row r="9" spans="1:10" x14ac:dyDescent="0.2">
      <c r="A9" t="s">
        <v>1749</v>
      </c>
      <c r="B9" t="s">
        <v>2379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2948</v>
      </c>
    </row>
    <row r="10" spans="1:10" x14ac:dyDescent="0.2">
      <c r="A10" t="s">
        <v>1745</v>
      </c>
      <c r="B10" t="s">
        <v>2379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2949</v>
      </c>
    </row>
    <row r="11" spans="1:10" x14ac:dyDescent="0.2">
      <c r="A11" t="s">
        <v>1750</v>
      </c>
      <c r="B11" t="s">
        <v>2379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2950</v>
      </c>
    </row>
    <row r="12" spans="1:10" x14ac:dyDescent="0.2">
      <c r="A12" t="s">
        <v>1764</v>
      </c>
      <c r="B12" t="s">
        <v>2380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2951</v>
      </c>
    </row>
    <row r="13" spans="1:10" x14ac:dyDescent="0.2">
      <c r="A13" s="20" t="s">
        <v>1768</v>
      </c>
      <c r="B13" t="s">
        <v>2379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2952</v>
      </c>
    </row>
    <row r="14" spans="1:10" x14ac:dyDescent="0.2">
      <c r="A14" t="s">
        <v>1776</v>
      </c>
      <c r="B14" t="s">
        <v>2379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2953</v>
      </c>
    </row>
    <row r="15" spans="1:10" x14ac:dyDescent="0.2">
      <c r="A15" t="s">
        <v>1731</v>
      </c>
      <c r="B15" t="s">
        <v>2379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2954</v>
      </c>
    </row>
    <row r="16" spans="1:10" x14ac:dyDescent="0.2">
      <c r="A16" t="s">
        <v>1743</v>
      </c>
      <c r="B16" t="s">
        <v>2379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2955</v>
      </c>
    </row>
    <row r="17" spans="1:10" x14ac:dyDescent="0.2">
      <c r="A17" t="s">
        <v>1748</v>
      </c>
      <c r="B17" t="s">
        <v>2379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2956</v>
      </c>
    </row>
    <row r="18" spans="1:10" x14ac:dyDescent="0.2">
      <c r="A18" t="s">
        <v>1734</v>
      </c>
      <c r="B18" t="s">
        <v>2380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2957</v>
      </c>
    </row>
    <row r="19" spans="1:10" x14ac:dyDescent="0.2">
      <c r="A19" s="20" t="s">
        <v>1738</v>
      </c>
      <c r="B19" t="s">
        <v>2379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2958</v>
      </c>
    </row>
    <row r="20" spans="1:10" x14ac:dyDescent="0.2">
      <c r="A20" t="s">
        <v>1763</v>
      </c>
      <c r="B20" t="s">
        <v>2379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2959</v>
      </c>
    </row>
    <row r="21" spans="1:10" x14ac:dyDescent="0.2">
      <c r="A21" t="s">
        <v>1733</v>
      </c>
      <c r="B21" t="s">
        <v>2379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2960</v>
      </c>
    </row>
    <row r="22" spans="1:10" x14ac:dyDescent="0.2">
      <c r="A22" t="s">
        <v>1751</v>
      </c>
      <c r="B22" t="s">
        <v>2379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2961</v>
      </c>
    </row>
    <row r="23" spans="1:10" x14ac:dyDescent="0.2">
      <c r="A23" t="s">
        <v>1755</v>
      </c>
      <c r="B23" t="s">
        <v>2380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2962</v>
      </c>
    </row>
    <row r="24" spans="1:10" x14ac:dyDescent="0.2">
      <c r="A24" t="s">
        <v>1774</v>
      </c>
      <c r="B24" t="s">
        <v>2379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2963</v>
      </c>
    </row>
    <row r="25" spans="1:10" x14ac:dyDescent="0.2">
      <c r="A25" t="s">
        <v>1739</v>
      </c>
      <c r="B25" t="s">
        <v>2380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2964</v>
      </c>
    </row>
    <row r="26" spans="1:10" x14ac:dyDescent="0.2">
      <c r="A26" t="s">
        <v>1754</v>
      </c>
      <c r="B26" t="s">
        <v>2379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2965</v>
      </c>
    </row>
    <row r="27" spans="1:10" x14ac:dyDescent="0.2">
      <c r="A27" t="s">
        <v>1772</v>
      </c>
      <c r="B27" t="s">
        <v>2379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2966</v>
      </c>
    </row>
    <row r="28" spans="1:10" x14ac:dyDescent="0.2">
      <c r="A28" t="s">
        <v>1756</v>
      </c>
      <c r="B28" t="s">
        <v>2379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2967</v>
      </c>
    </row>
    <row r="29" spans="1:10" x14ac:dyDescent="0.2">
      <c r="A29" t="s">
        <v>1759</v>
      </c>
      <c r="B29" t="s">
        <v>2380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2968</v>
      </c>
    </row>
    <row r="30" spans="1:10" x14ac:dyDescent="0.2">
      <c r="A30" t="s">
        <v>1765</v>
      </c>
      <c r="B30" t="s">
        <v>2379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2969</v>
      </c>
    </row>
    <row r="31" spans="1:10" x14ac:dyDescent="0.2">
      <c r="A31" t="s">
        <v>1769</v>
      </c>
      <c r="B31" t="s">
        <v>2379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2970</v>
      </c>
    </row>
    <row r="32" spans="1:10" x14ac:dyDescent="0.2">
      <c r="A32" t="s">
        <v>1741</v>
      </c>
      <c r="B32" t="s">
        <v>2380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2971</v>
      </c>
    </row>
    <row r="33" spans="1:10" x14ac:dyDescent="0.2">
      <c r="A33" t="s">
        <v>1770</v>
      </c>
      <c r="B33" t="s">
        <v>2379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2972</v>
      </c>
    </row>
    <row r="34" spans="1:10" x14ac:dyDescent="0.2">
      <c r="A34" t="s">
        <v>1744</v>
      </c>
      <c r="B34" t="s">
        <v>2380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2973</v>
      </c>
    </row>
    <row r="35" spans="1:10" x14ac:dyDescent="0.2">
      <c r="A35" s="20" t="s">
        <v>1760</v>
      </c>
      <c r="B35" t="s">
        <v>2379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2974</v>
      </c>
    </row>
    <row r="36" spans="1:10" x14ac:dyDescent="0.2">
      <c r="A36" t="s">
        <v>1736</v>
      </c>
      <c r="B36" t="s">
        <v>2379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2975</v>
      </c>
    </row>
    <row r="37" spans="1:10" x14ac:dyDescent="0.2">
      <c r="A37" s="20" t="s">
        <v>1761</v>
      </c>
      <c r="B37" t="s">
        <v>2379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2976</v>
      </c>
    </row>
    <row r="38" spans="1:10" x14ac:dyDescent="0.2">
      <c r="A38" t="s">
        <v>1775</v>
      </c>
      <c r="B38" t="s">
        <v>2379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2977</v>
      </c>
    </row>
    <row r="39" spans="1:10" x14ac:dyDescent="0.2">
      <c r="A39" t="s">
        <v>1737</v>
      </c>
      <c r="B39" t="s">
        <v>2379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2978</v>
      </c>
    </row>
    <row r="40" spans="1:10" x14ac:dyDescent="0.2">
      <c r="A40" t="s">
        <v>1753</v>
      </c>
      <c r="B40" t="s">
        <v>2380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2979</v>
      </c>
    </row>
    <row r="41" spans="1:10" x14ac:dyDescent="0.2">
      <c r="A41" t="s">
        <v>1757</v>
      </c>
      <c r="B41" t="s">
        <v>2380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2980</v>
      </c>
    </row>
    <row r="42" spans="1:10" x14ac:dyDescent="0.2">
      <c r="A42" s="20" t="s">
        <v>1762</v>
      </c>
      <c r="B42" t="s">
        <v>2379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2981</v>
      </c>
    </row>
    <row r="43" spans="1:10" x14ac:dyDescent="0.2">
      <c r="A43" t="s">
        <v>1766</v>
      </c>
      <c r="B43" t="s">
        <v>2379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2982</v>
      </c>
    </row>
    <row r="44" spans="1:10" x14ac:dyDescent="0.2">
      <c r="A44" t="s">
        <v>1773</v>
      </c>
      <c r="B44" t="s">
        <v>2379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2983</v>
      </c>
    </row>
    <row r="45" spans="1:10" x14ac:dyDescent="0.2">
      <c r="A45" t="s">
        <v>1746</v>
      </c>
      <c r="B45" t="s">
        <v>2379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2984</v>
      </c>
    </row>
    <row r="46" spans="1:10" x14ac:dyDescent="0.2">
      <c r="A46" t="s">
        <v>1758</v>
      </c>
      <c r="B46" t="s">
        <v>2379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2985</v>
      </c>
    </row>
    <row r="47" spans="1:10" x14ac:dyDescent="0.2">
      <c r="A47" t="s">
        <v>1767</v>
      </c>
      <c r="B47" t="s">
        <v>2379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2986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2278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2281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2273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2274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2277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2276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2279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2282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2272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2441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R38" sqref="R38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2446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2455</v>
      </c>
    </row>
    <row r="4" spans="1:9" x14ac:dyDescent="0.2">
      <c r="A4" t="s">
        <v>2447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4340</v>
      </c>
      <c r="I4" t="s">
        <v>4341</v>
      </c>
    </row>
    <row r="5" spans="1:9" x14ac:dyDescent="0.2">
      <c r="A5" t="s">
        <v>2448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2456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2457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2458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2459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tabSelected="1" topLeftCell="A170" workbookViewId="0">
      <selection activeCell="C153" sqref="C153:C154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2541</v>
      </c>
      <c r="I1" s="6" t="s">
        <v>2544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2220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2989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2220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2989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2237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2989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2238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2989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2239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2989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2240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2989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2241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2989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2220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2989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2220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2989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2220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2989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2237</v>
      </c>
      <c r="C12" t="s">
        <v>4676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2989</v>
      </c>
      <c r="J12" s="23"/>
      <c r="K12" t="str">
        <f t="shared" si="0"/>
        <v>{ name: "Pondside Cave", landmark: "Cave", type: "(Entrance 1 of 2)", region: [0,2],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2238</v>
      </c>
      <c r="C13" t="s">
        <v>4676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2989</v>
      </c>
      <c r="J13" s="23"/>
      <c r="K13" t="str">
        <f t="shared" si="0"/>
        <v>{ name: "Pondside Cave", landmark: "Cave", type: "(Entrance 2 of 2)", region: [0,2],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2220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2989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2220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2989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2220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2989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2220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2989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2220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2989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2220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2989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2220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2989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2220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2989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2237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2989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2238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2989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2220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2989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2220</v>
      </c>
      <c r="C25">
        <v>3</v>
      </c>
      <c r="D25" t="s">
        <v>785</v>
      </c>
      <c r="E25" s="2">
        <v>-1736</v>
      </c>
      <c r="F25" s="2">
        <v>1167</v>
      </c>
      <c r="G25" s="2">
        <v>228</v>
      </c>
      <c r="H25" s="2">
        <v>4</v>
      </c>
      <c r="I25" s="2" t="s">
        <v>2989</v>
      </c>
      <c r="J25" s="23"/>
      <c r="K25" t="str">
        <f t="shared" si="0"/>
        <v>{ name: "Lindor's Brow Cave", landmark: "Cave", type: "", region: 3, level: "Surface", x: -1736, y: 1167,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2237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2989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2238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2989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2220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2989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2220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2989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2220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2989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2220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2989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2237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2989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2238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2989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2220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2989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2220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2989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2220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2989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2237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2989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2238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2989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2220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2989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2220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2989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2220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2989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2220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2989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2220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2989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2220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2989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2220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2989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2220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2989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2237</v>
      </c>
      <c r="C47" t="s">
        <v>2833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2989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2238</v>
      </c>
      <c r="C48" t="s">
        <v>2833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2989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2220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2989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2220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2989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2220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2989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2220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2989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2220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2989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2220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2989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2220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2989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2220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2989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2220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2989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2220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2989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2220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2989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2220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2989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2220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2989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2237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2989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2238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2989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2220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2989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2220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2989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2220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2989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2220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2989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2220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2989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2220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2989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2220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2989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2220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2989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2220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2989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2237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2989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2238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2989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2237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2989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2238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2989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2220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2989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2220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2989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2220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2989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2233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2989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2234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2989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2235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2989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2236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2989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2220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2989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2220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2989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2220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2989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2220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2989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2220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2989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2237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2989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2238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2989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2237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2989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2238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2989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2220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2989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2239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2989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2240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2989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2241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2989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2237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2989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2238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2989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2220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2989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2237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2989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2238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2989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2220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2989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2237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2989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2238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2989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2220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2989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2237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2989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2237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2989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2220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2989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2237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2989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2238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2989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2220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2989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2220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2989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2220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2989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2220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2989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2220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2989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2220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2989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2220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2989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2220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2989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2237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2989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2238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2989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2220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2989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2237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2989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2238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2989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2220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2989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2220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2989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2237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2989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2238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2989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2220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2989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2237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2989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2238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2989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2220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2989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2220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2989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2220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2989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2237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2989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2238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2989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2237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2989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2238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2989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2237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2989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2238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2989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2237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2989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2238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2989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2220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2989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2220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2989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2220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2989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2220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2989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2220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2989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2220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2989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2237</v>
      </c>
      <c r="C148" t="s">
        <v>2503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2989</v>
      </c>
      <c r="J148" s="23"/>
      <c r="K148" t="str">
        <f t="shared" si="2"/>
        <v>{ name: "Mining Cave", landmark: "Cave", type: "(Entrance 1 of 2)", region: [0,13],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2238</v>
      </c>
      <c r="C149" t="s">
        <v>2503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2989</v>
      </c>
      <c r="J149" s="23"/>
      <c r="K149" t="str">
        <f t="shared" si="2"/>
        <v>{ name: "Mining Cave", landmark: "Cave", type: "(Entrance 2 of 2)", region: [0,13],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2237</v>
      </c>
      <c r="C150" t="s">
        <v>2552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2989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2238</v>
      </c>
      <c r="C151" t="s">
        <v>2552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2989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2220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2989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2237</v>
      </c>
      <c r="C153" t="s">
        <v>2503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2989</v>
      </c>
      <c r="J153" s="23"/>
      <c r="K153" t="str">
        <f t="shared" si="2"/>
        <v>{ name: "Pit Cave", landmark: "Cave", type: "(Entrance 1 of 2)", region: [0,13],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2238</v>
      </c>
      <c r="C154" t="s">
        <v>2503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2989</v>
      </c>
      <c r="J154" s="23"/>
      <c r="K154" t="str">
        <f t="shared" si="2"/>
        <v>{ name: "Pit Cave", landmark: "Cave", type: "(Entrance 2 of 2)", region: [0,13],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2220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2989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2220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2989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2220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2989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2220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2989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2220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2989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2220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2989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2221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2989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2222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2989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2223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2989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2224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2989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2225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2989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2226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2989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2227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2989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2228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2989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2229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2989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2230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2989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2231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2989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2232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2989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2220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2989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2220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2989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2220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2989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2237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2989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2238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2989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2220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2989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2237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2989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2238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2989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2237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2989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2238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2989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2220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2989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2237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2989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2238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2989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2220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2989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2220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2989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2220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2989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2220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2989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2220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2989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2220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2989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2220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2989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2220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2989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2220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2989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2220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2989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2220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2989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2220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2989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2220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2989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workbookViewId="0">
      <selection activeCell="A4" sqref="A4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2839</v>
      </c>
      <c r="E2" s="2">
        <v>-254</v>
      </c>
      <c r="F2" s="2">
        <v>1012</v>
      </c>
      <c r="G2" s="2">
        <v>-65</v>
      </c>
      <c r="H2" s="2">
        <v>4</v>
      </c>
      <c r="I2" s="2" t="s">
        <v>2989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2839</v>
      </c>
      <c r="E3" s="2">
        <v>170</v>
      </c>
      <c r="F3" s="2">
        <v>882</v>
      </c>
      <c r="G3" s="2">
        <v>9</v>
      </c>
      <c r="H3" s="2">
        <v>4</v>
      </c>
      <c r="I3" s="2" t="s">
        <v>2989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2839</v>
      </c>
      <c r="E4" s="2">
        <v>-923</v>
      </c>
      <c r="F4" s="2">
        <v>667</v>
      </c>
      <c r="G4" s="2">
        <v>15</v>
      </c>
      <c r="H4" s="2">
        <v>4</v>
      </c>
      <c r="I4" s="2" t="s">
        <v>2989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2839</v>
      </c>
      <c r="E5" s="2">
        <v>-251</v>
      </c>
      <c r="F5" s="2">
        <v>-305</v>
      </c>
      <c r="G5" s="2">
        <v>-479</v>
      </c>
      <c r="H5" s="2">
        <v>4</v>
      </c>
      <c r="I5" s="2" t="s">
        <v>2989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2839</v>
      </c>
      <c r="E6" s="2">
        <v>-128</v>
      </c>
      <c r="F6" s="2">
        <v>-1658</v>
      </c>
      <c r="G6" s="2">
        <v>10</v>
      </c>
      <c r="H6" s="2">
        <v>4</v>
      </c>
      <c r="I6" s="2" t="s">
        <v>2989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2839</v>
      </c>
      <c r="E7" s="2">
        <v>-450</v>
      </c>
      <c r="F7" s="2">
        <v>-1993</v>
      </c>
      <c r="G7" s="2">
        <v>71</v>
      </c>
      <c r="H7" s="2">
        <v>4</v>
      </c>
      <c r="I7" s="2" t="s">
        <v>2989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2839</v>
      </c>
      <c r="E8" s="2">
        <v>-662</v>
      </c>
      <c r="F8" s="2">
        <v>-1510</v>
      </c>
      <c r="G8" s="2">
        <v>-518</v>
      </c>
      <c r="H8" s="2">
        <v>4</v>
      </c>
      <c r="I8" s="2" t="s">
        <v>2989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2839</v>
      </c>
      <c r="E9" s="2">
        <v>-930</v>
      </c>
      <c r="F9" s="2">
        <v>-2316</v>
      </c>
      <c r="G9" s="2">
        <v>167</v>
      </c>
      <c r="H9" s="2">
        <v>4</v>
      </c>
      <c r="I9" s="2" t="s">
        <v>2989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2839</v>
      </c>
      <c r="E10" s="2">
        <v>-1429</v>
      </c>
      <c r="F10" s="2">
        <v>-1993</v>
      </c>
      <c r="G10" s="2">
        <v>231</v>
      </c>
      <c r="H10" s="2">
        <v>4</v>
      </c>
      <c r="I10" s="2" t="s">
        <v>2989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2839</v>
      </c>
      <c r="E11" s="2">
        <v>-2645</v>
      </c>
      <c r="F11" s="2">
        <v>1126</v>
      </c>
      <c r="G11" s="2">
        <v>175</v>
      </c>
      <c r="H11" s="2">
        <v>4</v>
      </c>
      <c r="I11" s="2" t="s">
        <v>2989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2839</v>
      </c>
      <c r="E12" s="2">
        <v>-3571</v>
      </c>
      <c r="F12" s="2">
        <v>1803</v>
      </c>
      <c r="G12" s="2">
        <v>123</v>
      </c>
      <c r="H12" s="2">
        <v>4</v>
      </c>
      <c r="I12" s="2" t="s">
        <v>2989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2839</v>
      </c>
      <c r="E13" s="2">
        <v>-814</v>
      </c>
      <c r="F13" s="2">
        <v>3535</v>
      </c>
      <c r="G13" s="2">
        <v>235</v>
      </c>
      <c r="H13" s="2">
        <v>4</v>
      </c>
      <c r="I13" s="2" t="s">
        <v>2989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2839</v>
      </c>
      <c r="E14" s="2">
        <v>418</v>
      </c>
      <c r="F14" s="2">
        <v>2193</v>
      </c>
      <c r="G14" s="2">
        <v>144</v>
      </c>
      <c r="H14" s="2">
        <v>4</v>
      </c>
      <c r="I14" s="2" t="s">
        <v>2989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2839</v>
      </c>
      <c r="E15" s="2">
        <v>-63</v>
      </c>
      <c r="F15" s="2">
        <v>2984</v>
      </c>
      <c r="G15" s="2">
        <v>127</v>
      </c>
      <c r="H15" s="2">
        <v>4</v>
      </c>
      <c r="I15" s="2" t="s">
        <v>2989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2839</v>
      </c>
      <c r="E16" s="2">
        <v>-453</v>
      </c>
      <c r="F16" s="2">
        <v>1721</v>
      </c>
      <c r="G16" s="2">
        <v>169</v>
      </c>
      <c r="H16" s="2">
        <v>4</v>
      </c>
      <c r="I16" s="2" t="s">
        <v>2989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2839</v>
      </c>
      <c r="E17" s="2">
        <v>2535</v>
      </c>
      <c r="F17" s="2">
        <v>2603</v>
      </c>
      <c r="G17" s="2">
        <v>644</v>
      </c>
      <c r="H17" s="2">
        <v>4</v>
      </c>
      <c r="I17" s="2" t="s">
        <v>2989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2839</v>
      </c>
      <c r="E18" s="2">
        <v>1055</v>
      </c>
      <c r="F18" s="2">
        <v>1668</v>
      </c>
      <c r="G18" s="2">
        <v>150</v>
      </c>
      <c r="H18" s="2">
        <v>4</v>
      </c>
      <c r="I18" s="2" t="s">
        <v>2989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2839</v>
      </c>
      <c r="E19" s="2">
        <v>4037</v>
      </c>
      <c r="F19" s="2">
        <v>2177</v>
      </c>
      <c r="G19" s="2">
        <v>29</v>
      </c>
      <c r="H19" s="2">
        <v>4</v>
      </c>
      <c r="I19" s="2" t="s">
        <v>2989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2839</v>
      </c>
      <c r="E20" s="2">
        <v>4663</v>
      </c>
      <c r="F20" s="2">
        <v>3697</v>
      </c>
      <c r="G20" s="2">
        <v>50</v>
      </c>
      <c r="H20" s="2">
        <v>4</v>
      </c>
      <c r="I20" s="2" t="s">
        <v>2989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2839</v>
      </c>
      <c r="E21" s="2">
        <v>3248</v>
      </c>
      <c r="F21" s="2">
        <v>3441</v>
      </c>
      <c r="G21" s="2">
        <v>-43</v>
      </c>
      <c r="H21" s="2">
        <v>4</v>
      </c>
      <c r="I21" s="2" t="s">
        <v>2989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2839</v>
      </c>
      <c r="E22" s="2">
        <v>3272</v>
      </c>
      <c r="F22" s="2">
        <v>442</v>
      </c>
      <c r="G22" s="2">
        <v>-21</v>
      </c>
      <c r="H22" s="2">
        <v>4</v>
      </c>
      <c r="I22" s="2" t="s">
        <v>2989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2839</v>
      </c>
      <c r="E23" s="2">
        <v>3284</v>
      </c>
      <c r="F23" s="2">
        <v>1303</v>
      </c>
      <c r="G23" s="2">
        <v>217</v>
      </c>
      <c r="H23" s="2">
        <v>4</v>
      </c>
      <c r="I23" s="2" t="s">
        <v>2989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2839</v>
      </c>
      <c r="E24" s="2">
        <v>4708</v>
      </c>
      <c r="F24" s="2">
        <v>1308</v>
      </c>
      <c r="G24" s="2">
        <v>61</v>
      </c>
      <c r="H24" s="2">
        <v>4</v>
      </c>
      <c r="I24" s="2" t="s">
        <v>2989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2839</v>
      </c>
      <c r="E25" s="2">
        <v>1974</v>
      </c>
      <c r="F25" s="2">
        <v>-855</v>
      </c>
      <c r="G25" s="2">
        <v>178</v>
      </c>
      <c r="H25" s="2">
        <v>4</v>
      </c>
      <c r="I25" s="2" t="s">
        <v>2989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2839</v>
      </c>
      <c r="E26" s="2">
        <v>1727</v>
      </c>
      <c r="F26" s="2">
        <v>158</v>
      </c>
      <c r="G26" s="2">
        <v>-5</v>
      </c>
      <c r="H26" s="2">
        <v>4</v>
      </c>
      <c r="I26" s="2" t="s">
        <v>2989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2839</v>
      </c>
      <c r="E27" s="2">
        <v>3591</v>
      </c>
      <c r="F27" s="2">
        <v>-1341</v>
      </c>
      <c r="G27" s="2">
        <v>117</v>
      </c>
      <c r="H27" s="2">
        <v>4</v>
      </c>
      <c r="I27" s="2" t="s">
        <v>2989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2839</v>
      </c>
      <c r="E28" s="2">
        <v>4507</v>
      </c>
      <c r="F28" s="2">
        <v>-3459</v>
      </c>
      <c r="G28" s="2">
        <v>-17</v>
      </c>
      <c r="H28" s="2">
        <v>4</v>
      </c>
      <c r="I28" s="2" t="s">
        <v>2989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2839</v>
      </c>
      <c r="E29" s="2">
        <v>2513</v>
      </c>
      <c r="F29" s="2">
        <v>-2380</v>
      </c>
      <c r="G29" s="2">
        <v>131</v>
      </c>
      <c r="H29" s="2">
        <v>4</v>
      </c>
      <c r="I29" s="2" t="s">
        <v>2989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2839</v>
      </c>
      <c r="E30" s="2">
        <v>222</v>
      </c>
      <c r="F30" s="2">
        <v>-2119</v>
      </c>
      <c r="G30" s="2">
        <v>53</v>
      </c>
      <c r="H30" s="2">
        <v>4</v>
      </c>
      <c r="I30" s="2" t="s">
        <v>2989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2839</v>
      </c>
      <c r="E31" s="2">
        <v>-332</v>
      </c>
      <c r="F31" s="2">
        <v>-2598</v>
      </c>
      <c r="G31" s="2">
        <v>-52</v>
      </c>
      <c r="H31" s="2">
        <v>4</v>
      </c>
      <c r="I31" s="2" t="s">
        <v>2989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2839</v>
      </c>
      <c r="E32" s="2">
        <v>1305</v>
      </c>
      <c r="F32" s="2">
        <v>-2397</v>
      </c>
      <c r="G32" s="2">
        <v>62</v>
      </c>
      <c r="H32" s="2">
        <v>4</v>
      </c>
      <c r="I32" s="2" t="s">
        <v>2989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2839</v>
      </c>
      <c r="E33" s="2">
        <v>-2491</v>
      </c>
      <c r="F33" s="2">
        <v>-3068</v>
      </c>
      <c r="G33" s="2">
        <v>81</v>
      </c>
      <c r="H33" s="2">
        <v>4</v>
      </c>
      <c r="I33" s="2" t="s">
        <v>2989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2839</v>
      </c>
      <c r="E34" s="2">
        <v>-1795</v>
      </c>
      <c r="F34" s="2">
        <v>-3462</v>
      </c>
      <c r="G34" s="2">
        <v>46</v>
      </c>
      <c r="H34" s="2">
        <v>4</v>
      </c>
      <c r="I34" s="2" t="s">
        <v>2989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2839</v>
      </c>
      <c r="E35" s="2">
        <v>-3680</v>
      </c>
      <c r="F35" s="2">
        <v>-1853</v>
      </c>
      <c r="G35" s="2">
        <v>76</v>
      </c>
      <c r="H35" s="2">
        <v>4</v>
      </c>
      <c r="I35" s="2" t="s">
        <v>2989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2839</v>
      </c>
      <c r="E36" s="2">
        <v>-4203</v>
      </c>
      <c r="F36" s="2">
        <v>-639</v>
      </c>
      <c r="G36" s="2">
        <v>682</v>
      </c>
      <c r="H36" s="2">
        <v>4</v>
      </c>
      <c r="I36" s="2" t="s">
        <v>2989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2839</v>
      </c>
      <c r="E37" s="2">
        <v>-3429</v>
      </c>
      <c r="F37" s="2">
        <v>-1334</v>
      </c>
      <c r="G37" s="2">
        <v>335</v>
      </c>
      <c r="H37" s="2">
        <v>4</v>
      </c>
      <c r="I37" s="2" t="s">
        <v>2989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H6" sqref="H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2310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2261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2299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2253</v>
      </c>
      <c r="I3" t="s">
        <v>2313</v>
      </c>
    </row>
    <row r="4" spans="1:9" x14ac:dyDescent="0.2">
      <c r="A4" t="s">
        <v>2286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2244</v>
      </c>
      <c r="I4" t="s">
        <v>2314</v>
      </c>
    </row>
    <row r="5" spans="1:9" x14ac:dyDescent="0.2">
      <c r="A5" t="s">
        <v>2293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2265</v>
      </c>
      <c r="I5" t="s">
        <v>2315</v>
      </c>
    </row>
    <row r="6" spans="1:9" x14ac:dyDescent="0.2">
      <c r="A6" t="s">
        <v>2303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2256</v>
      </c>
      <c r="I6" t="s">
        <v>2316</v>
      </c>
    </row>
    <row r="7" spans="1:9" x14ac:dyDescent="0.2">
      <c r="A7" t="s">
        <v>2307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2259</v>
      </c>
      <c r="I7" t="s">
        <v>2317</v>
      </c>
    </row>
    <row r="8" spans="1:9" x14ac:dyDescent="0.2">
      <c r="A8" t="s">
        <v>2289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2264</v>
      </c>
      <c r="I8" t="s">
        <v>2318</v>
      </c>
    </row>
    <row r="9" spans="1:9" x14ac:dyDescent="0.2">
      <c r="A9" t="s">
        <v>2285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2243</v>
      </c>
      <c r="I9" t="s">
        <v>2319</v>
      </c>
    </row>
    <row r="10" spans="1:9" x14ac:dyDescent="0.2">
      <c r="A10" t="s">
        <v>2294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2249</v>
      </c>
      <c r="I10" t="s">
        <v>2320</v>
      </c>
    </row>
    <row r="11" spans="1:9" x14ac:dyDescent="0.2">
      <c r="A11" t="s">
        <v>2283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2242</v>
      </c>
      <c r="I11" t="s">
        <v>2321</v>
      </c>
    </row>
    <row r="12" spans="1:9" x14ac:dyDescent="0.2">
      <c r="A12" t="s">
        <v>2298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2252</v>
      </c>
      <c r="I12" t="s">
        <v>2322</v>
      </c>
    </row>
    <row r="13" spans="1:9" x14ac:dyDescent="0.2">
      <c r="A13" t="s">
        <v>2296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2251</v>
      </c>
      <c r="I13" t="s">
        <v>2323</v>
      </c>
    </row>
    <row r="14" spans="1:9" x14ac:dyDescent="0.2">
      <c r="A14" t="s">
        <v>2297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2267</v>
      </c>
      <c r="I14" t="s">
        <v>2324</v>
      </c>
    </row>
    <row r="15" spans="1:9" x14ac:dyDescent="0.2">
      <c r="A15" t="s">
        <v>2311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2262</v>
      </c>
      <c r="I15" t="s">
        <v>2325</v>
      </c>
    </row>
    <row r="16" spans="1:9" x14ac:dyDescent="0.2">
      <c r="A16" t="s">
        <v>2292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2248</v>
      </c>
      <c r="I16" t="s">
        <v>2326</v>
      </c>
    </row>
    <row r="17" spans="1:9" x14ac:dyDescent="0.2">
      <c r="A17" t="s">
        <v>2306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2270</v>
      </c>
      <c r="I17" t="s">
        <v>2327</v>
      </c>
    </row>
    <row r="18" spans="1:9" x14ac:dyDescent="0.2">
      <c r="A18" t="s">
        <v>2312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2260</v>
      </c>
      <c r="I18" t="s">
        <v>2328</v>
      </c>
    </row>
    <row r="19" spans="1:9" x14ac:dyDescent="0.2">
      <c r="A19" t="s">
        <v>2295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2250</v>
      </c>
      <c r="I19" t="s">
        <v>2329</v>
      </c>
    </row>
    <row r="20" spans="1:9" x14ac:dyDescent="0.2">
      <c r="A20" t="s">
        <v>2308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2269</v>
      </c>
      <c r="I20" t="s">
        <v>2330</v>
      </c>
    </row>
    <row r="21" spans="1:9" x14ac:dyDescent="0.2">
      <c r="A21" t="s">
        <v>2309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2271</v>
      </c>
      <c r="I21" t="s">
        <v>2331</v>
      </c>
    </row>
    <row r="22" spans="1:9" x14ac:dyDescent="0.2">
      <c r="A22" t="s">
        <v>2300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2254</v>
      </c>
      <c r="I22" t="s">
        <v>2332</v>
      </c>
    </row>
    <row r="23" spans="1:9" x14ac:dyDescent="0.2">
      <c r="A23" t="s">
        <v>2305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2258</v>
      </c>
      <c r="I23" t="s">
        <v>2333</v>
      </c>
    </row>
    <row r="24" spans="1:9" x14ac:dyDescent="0.2">
      <c r="A24" t="s">
        <v>2301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2255</v>
      </c>
      <c r="I24" t="s">
        <v>2334</v>
      </c>
    </row>
    <row r="25" spans="1:9" x14ac:dyDescent="0.2">
      <c r="A25" t="s">
        <v>2284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2266</v>
      </c>
      <c r="I25" t="s">
        <v>2335</v>
      </c>
    </row>
    <row r="26" spans="1:9" x14ac:dyDescent="0.2">
      <c r="A26" t="s">
        <v>2287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2245</v>
      </c>
      <c r="I26" t="s">
        <v>2336</v>
      </c>
    </row>
    <row r="27" spans="1:9" x14ac:dyDescent="0.2">
      <c r="A27" t="s">
        <v>2290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2246</v>
      </c>
      <c r="I27" t="s">
        <v>2337</v>
      </c>
    </row>
    <row r="28" spans="1:9" x14ac:dyDescent="0.2">
      <c r="A28" t="s">
        <v>2291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2247</v>
      </c>
      <c r="I28" t="s">
        <v>2338</v>
      </c>
    </row>
    <row r="29" spans="1:9" x14ac:dyDescent="0.2">
      <c r="A29" t="s">
        <v>2304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2257</v>
      </c>
      <c r="I29" t="s">
        <v>2339</v>
      </c>
    </row>
    <row r="30" spans="1:9" x14ac:dyDescent="0.2">
      <c r="A30" t="s">
        <v>2288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2263</v>
      </c>
      <c r="I30" t="s">
        <v>2340</v>
      </c>
    </row>
    <row r="31" spans="1:9" x14ac:dyDescent="0.2">
      <c r="A31" t="s">
        <v>2302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2268</v>
      </c>
      <c r="I31" t="s">
        <v>2341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2418</v>
      </c>
      <c r="B2" t="s">
        <v>2417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2423</v>
      </c>
      <c r="B3" t="s">
        <v>2437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2419</v>
      </c>
      <c r="B4" t="s">
        <v>2430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2425</v>
      </c>
      <c r="B5" t="s">
        <v>2433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2428</v>
      </c>
      <c r="B6" t="s">
        <v>2435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2420</v>
      </c>
      <c r="B7" t="s">
        <v>2431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2429</v>
      </c>
      <c r="B8" t="s">
        <v>2436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2426</v>
      </c>
      <c r="B9" t="s">
        <v>2440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2424</v>
      </c>
      <c r="B10" t="s">
        <v>2439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2421</v>
      </c>
      <c r="B11" t="s">
        <v>2432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2427</v>
      </c>
      <c r="B12" t="s">
        <v>2434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2422</v>
      </c>
      <c r="B13" t="s">
        <v>2438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I11" sqref="I11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2503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2503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2447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2494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2495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2497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2496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2498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2499</v>
      </c>
      <c r="B11" t="s">
        <v>1272</v>
      </c>
      <c r="C11">
        <v>11</v>
      </c>
      <c r="D11" t="s">
        <v>994</v>
      </c>
      <c r="E11">
        <v>3526</v>
      </c>
      <c r="F11">
        <v>-2189</v>
      </c>
      <c r="G11">
        <v>-587</v>
      </c>
      <c r="I11" t="str">
        <f t="shared" si="0"/>
        <v>{ name: "Hateno Mine", landmark: "Forge &amp; Refinery", type: "Forge Construct", region: 11, level: "Depths", x: 3526, y: -2189, z: -587, details: "" },</v>
      </c>
    </row>
    <row r="12" spans="1:9" x14ac:dyDescent="0.2">
      <c r="A12" t="s">
        <v>2500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2402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2402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2501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2502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2450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2451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2460</v>
      </c>
    </row>
    <row r="4" spans="1:9" x14ac:dyDescent="0.2">
      <c r="A4" t="s">
        <v>1310</v>
      </c>
      <c r="B4" t="s">
        <v>2452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2461</v>
      </c>
    </row>
    <row r="5" spans="1:9" x14ac:dyDescent="0.2">
      <c r="A5" t="s">
        <v>1310</v>
      </c>
      <c r="B5" t="s">
        <v>2453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2462</v>
      </c>
    </row>
    <row r="6" spans="1:9" x14ac:dyDescent="0.2">
      <c r="A6" t="s">
        <v>1456</v>
      </c>
      <c r="B6" t="s">
        <v>2454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2463</v>
      </c>
    </row>
  </sheetData>
  <autoFilter ref="A1:I2" xr:uid="{A095D5C8-FF81-DA46-ADE3-61DE071C213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O22" sqref="O22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2390</v>
      </c>
      <c r="B2" t="s">
        <v>847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"Rito Village",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410</v>
      </c>
      <c r="F3">
        <v>2172</v>
      </c>
      <c r="G3">
        <v>154</v>
      </c>
      <c r="I3" t="str">
        <f t="shared" si="0"/>
        <v>{ name: "Korok Forest", landmark: "Inn", type: "Inn", region: 6, level: "Surface", x: 410, y: 2172,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2388</v>
      </c>
      <c r="B6" t="s">
        <v>1730</v>
      </c>
      <c r="C6">
        <v>9</v>
      </c>
      <c r="D6" t="s">
        <v>785</v>
      </c>
      <c r="E6">
        <v>3296</v>
      </c>
      <c r="F6">
        <v>488</v>
      </c>
      <c r="G6">
        <v>140</v>
      </c>
      <c r="I6" t="str">
        <f t="shared" si="0"/>
        <v>{ name: "Seabed Inn", landmark: "Inn", type: "Zora's Domain", region: 9, level: "Surface", x: 3296, y: 488, z: 140, details: "" },</v>
      </c>
    </row>
    <row r="7" spans="1:9" x14ac:dyDescent="0.2">
      <c r="A7" t="s">
        <v>2389</v>
      </c>
      <c r="B7" t="s">
        <v>999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"Kakariko Village", region: 10, level: "Surface", x: 1825, y: -1012, z: 114, details: "" },</v>
      </c>
    </row>
    <row r="8" spans="1:9" x14ac:dyDescent="0.2">
      <c r="A8" t="s">
        <v>2517</v>
      </c>
      <c r="B8" t="s">
        <v>1329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"Hateno Village",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2387</v>
      </c>
      <c r="B10" t="s">
        <v>1284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"Gerudo Town",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-3257</v>
      </c>
      <c r="F11">
        <v>-2611</v>
      </c>
      <c r="G11">
        <v>25</v>
      </c>
      <c r="I11" t="str">
        <f t="shared" si="0"/>
        <v>{ name: "Kara Kara Bazaar", landmark: "Inn", type: "Inn", region: 14, level: "Surface", x: -3257, y: -2611,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801" workbookViewId="0">
      <selection activeCell="B821" sqref="B821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3156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3155</v>
      </c>
      <c r="C2" t="s">
        <v>2824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 t="shared" ref="J2:J65" si="0"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3408</v>
      </c>
      <c r="C3" t="s">
        <v>2826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 t="shared" si="0"/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3409</v>
      </c>
      <c r="C4" t="s">
        <v>2812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 t="shared" si="0"/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3410</v>
      </c>
      <c r="C5" t="s">
        <v>2802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2596</v>
      </c>
      <c r="J5" t="str">
        <f t="shared" si="0"/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3411</v>
      </c>
      <c r="C6" t="s">
        <v>2811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2731</v>
      </c>
      <c r="J6" t="str">
        <f t="shared" si="0"/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3412</v>
      </c>
      <c r="C7" t="s">
        <v>2808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 t="shared" si="0"/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3413</v>
      </c>
      <c r="C8" t="s">
        <v>2809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 t="shared" si="0"/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3414</v>
      </c>
      <c r="C9" t="s">
        <v>2808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 t="shared" si="0"/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3415</v>
      </c>
      <c r="C10" t="s">
        <v>2822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 t="shared" si="0"/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3416</v>
      </c>
      <c r="C11" t="s">
        <v>2807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 t="shared" si="0"/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3417</v>
      </c>
      <c r="C12" t="s">
        <v>2812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 t="shared" si="0"/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3418</v>
      </c>
      <c r="C13" t="s">
        <v>2807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 t="shared" si="0"/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3419</v>
      </c>
      <c r="C14" t="s">
        <v>2804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 t="shared" si="0"/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3420</v>
      </c>
      <c r="C15" t="s">
        <v>2595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 t="shared" si="0"/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3421</v>
      </c>
      <c r="C16" t="s">
        <v>2825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 t="shared" si="0"/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3422</v>
      </c>
      <c r="C17" t="s">
        <v>2810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 t="shared" si="0"/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3423</v>
      </c>
      <c r="C18" t="s">
        <v>2802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2597</v>
      </c>
      <c r="J18" t="str">
        <f t="shared" si="0"/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3176</v>
      </c>
      <c r="C19" t="s">
        <v>2827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2754</v>
      </c>
      <c r="J19" t="str">
        <f t="shared" si="0"/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3204</v>
      </c>
      <c r="C20" t="s">
        <v>2801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 t="shared" si="0"/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3206</v>
      </c>
      <c r="C21" t="s">
        <v>2812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 t="shared" si="0"/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3207</v>
      </c>
      <c r="C22" t="s">
        <v>2812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 t="shared" si="0"/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3226</v>
      </c>
      <c r="C23" t="s">
        <v>2802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2618</v>
      </c>
      <c r="J23" t="str">
        <f t="shared" si="0"/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3227</v>
      </c>
      <c r="C24" t="s">
        <v>2801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 t="shared" si="0"/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3228</v>
      </c>
      <c r="C25" t="s">
        <v>2824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 t="shared" si="0"/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3229</v>
      </c>
      <c r="C26" t="s">
        <v>2812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 t="shared" si="0"/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3230</v>
      </c>
      <c r="C27" t="s">
        <v>2804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 t="shared" si="0"/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3231</v>
      </c>
      <c r="C28" t="s">
        <v>2812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 t="shared" si="0"/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3298</v>
      </c>
      <c r="C29" t="s">
        <v>2826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 t="shared" si="0"/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3375</v>
      </c>
      <c r="C30" t="s">
        <v>2812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 t="shared" si="0"/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3376</v>
      </c>
      <c r="C31" t="s">
        <v>2595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 t="shared" si="0"/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3468</v>
      </c>
      <c r="C32" t="s">
        <v>2808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 t="shared" si="0"/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3469</v>
      </c>
      <c r="C33" t="s">
        <v>2812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 t="shared" si="0"/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3474</v>
      </c>
      <c r="C34" t="s">
        <v>2809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 t="shared" si="0"/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3475</v>
      </c>
      <c r="C35" t="s">
        <v>2812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 t="shared" si="0"/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3476</v>
      </c>
      <c r="C36" t="s">
        <v>2812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 t="shared" si="0"/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3477</v>
      </c>
      <c r="C37" t="s">
        <v>2809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 t="shared" si="0"/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3478</v>
      </c>
      <c r="C38" t="s">
        <v>2827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2750</v>
      </c>
      <c r="J38" t="str">
        <f t="shared" si="0"/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3479</v>
      </c>
      <c r="C39" t="s">
        <v>2807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 t="shared" si="0"/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3480</v>
      </c>
      <c r="C40" t="s">
        <v>2822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 t="shared" si="0"/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3481</v>
      </c>
      <c r="C41" t="s">
        <v>2808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 t="shared" si="0"/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3482</v>
      </c>
      <c r="C42" t="s">
        <v>2811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2749</v>
      </c>
      <c r="J42" t="str">
        <f t="shared" si="0"/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3483</v>
      </c>
      <c r="C43" t="s">
        <v>2821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 t="shared" si="0"/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3484</v>
      </c>
      <c r="C44" t="s">
        <v>2824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 t="shared" si="0"/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3485</v>
      </c>
      <c r="C45" t="s">
        <v>2825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 t="shared" si="0"/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3486</v>
      </c>
      <c r="C46" t="s">
        <v>2812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 t="shared" si="0"/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3487</v>
      </c>
      <c r="C47" t="s">
        <v>2807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 t="shared" si="0"/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3488</v>
      </c>
      <c r="C48" t="s">
        <v>2821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 t="shared" si="0"/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3489</v>
      </c>
      <c r="C49" t="s">
        <v>2817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2617</v>
      </c>
      <c r="J49" t="str">
        <f t="shared" si="0"/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3490</v>
      </c>
      <c r="C50" t="s">
        <v>2812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 t="shared" si="0"/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3491</v>
      </c>
      <c r="C51" t="s">
        <v>2801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 t="shared" si="0"/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3492</v>
      </c>
      <c r="C52" t="s">
        <v>2821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 t="shared" si="0"/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3493</v>
      </c>
      <c r="C53" t="s">
        <v>2825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 t="shared" si="0"/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3494</v>
      </c>
      <c r="C54" t="s">
        <v>2812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 t="shared" si="0"/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3495</v>
      </c>
      <c r="C55" t="s">
        <v>2820</v>
      </c>
      <c r="D55" s="2">
        <v>1</v>
      </c>
      <c r="E55" s="2" t="s">
        <v>785</v>
      </c>
      <c r="F55" s="2">
        <v>-254</v>
      </c>
      <c r="G55" s="2">
        <v>1067</v>
      </c>
      <c r="H55" s="2">
        <v>470</v>
      </c>
      <c r="J55" t="str">
        <f t="shared" si="0"/>
        <v>{ name: "Hyrule Castle Sanctum Korok #03", landmark: "Korok x1", type: "Ring the Bell", region: 1, level: "Surface", x: -254, y: 1067, z: 470, details: "" },</v>
      </c>
    </row>
    <row r="56" spans="1:10" x14ac:dyDescent="0.2">
      <c r="A56" s="2">
        <v>101</v>
      </c>
      <c r="B56" s="34" t="s">
        <v>3496</v>
      </c>
      <c r="C56" t="s">
        <v>2811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2748</v>
      </c>
      <c r="J56" t="str">
        <f t="shared" si="0"/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3497</v>
      </c>
      <c r="C57" t="s">
        <v>2822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 t="shared" si="0"/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3498</v>
      </c>
      <c r="C58" t="s">
        <v>2825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 t="shared" si="0"/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3499</v>
      </c>
      <c r="C59" t="s">
        <v>2801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 t="shared" si="0"/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3500</v>
      </c>
      <c r="C60" t="s">
        <v>2824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 t="shared" si="0"/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3502</v>
      </c>
      <c r="C61" t="s">
        <v>2812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 t="shared" si="0"/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3612</v>
      </c>
      <c r="C62" t="s">
        <v>2595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 t="shared" si="0"/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3613</v>
      </c>
      <c r="C63" t="s">
        <v>2801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 t="shared" si="0"/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3638</v>
      </c>
      <c r="C64" t="s">
        <v>2822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 t="shared" si="0"/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3641</v>
      </c>
      <c r="C65" t="s">
        <v>2801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 t="shared" si="0"/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3642</v>
      </c>
      <c r="C66" t="s">
        <v>2808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 t="shared" ref="J66:J129" si="1"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3655</v>
      </c>
      <c r="C67" t="s">
        <v>2826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 t="shared" si="1"/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3656</v>
      </c>
      <c r="C68" t="s">
        <v>2801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 t="shared" si="1"/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3689</v>
      </c>
      <c r="C69" t="s">
        <v>2827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2747</v>
      </c>
      <c r="J69" t="str">
        <f t="shared" si="1"/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3740</v>
      </c>
      <c r="C70" t="s">
        <v>2812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 t="shared" si="1"/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3741</v>
      </c>
      <c r="C71" t="s">
        <v>2822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 t="shared" si="1"/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3742</v>
      </c>
      <c r="C72" t="s">
        <v>2821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 t="shared" si="1"/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3762</v>
      </c>
      <c r="C73" t="s">
        <v>2824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 t="shared" si="1"/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3770</v>
      </c>
      <c r="C74" t="s">
        <v>2804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 t="shared" si="1"/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3774</v>
      </c>
      <c r="C75" t="s">
        <v>2819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 t="shared" si="1"/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3776</v>
      </c>
      <c r="C76" t="s">
        <v>2808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 t="shared" si="1"/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3777</v>
      </c>
      <c r="C77" t="s">
        <v>2816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 t="shared" si="1"/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3804</v>
      </c>
      <c r="C78" t="s">
        <v>2811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2751</v>
      </c>
      <c r="J78" t="str">
        <f t="shared" si="1"/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3817</v>
      </c>
      <c r="C79" t="s">
        <v>2807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 t="shared" si="1"/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3998</v>
      </c>
      <c r="C80" t="s">
        <v>2807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 t="shared" si="1"/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4029</v>
      </c>
      <c r="C81" t="s">
        <v>2812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 t="shared" si="1"/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3179</v>
      </c>
      <c r="C82" t="s">
        <v>2809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 t="shared" si="1"/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3213</v>
      </c>
      <c r="C83" t="s">
        <v>2812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 t="shared" si="1"/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3238</v>
      </c>
      <c r="C84" t="s">
        <v>2595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 t="shared" si="1"/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3252</v>
      </c>
      <c r="C85" t="s">
        <v>2826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 t="shared" si="1"/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3253</v>
      </c>
      <c r="C86" t="s">
        <v>2812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 t="shared" si="1"/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3254</v>
      </c>
      <c r="C87" t="s">
        <v>2811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2762</v>
      </c>
      <c r="J87" t="str">
        <f t="shared" si="1"/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3270</v>
      </c>
      <c r="C88" t="s">
        <v>2822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 t="shared" si="1"/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3271</v>
      </c>
      <c r="C89" t="s">
        <v>2816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 t="shared" si="1"/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3272</v>
      </c>
      <c r="C90" t="s">
        <v>2812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 t="shared" si="1"/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3307</v>
      </c>
      <c r="C91" t="s">
        <v>2812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 t="shared" si="1"/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3319</v>
      </c>
      <c r="C92" t="s">
        <v>2807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 t="shared" si="1"/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3345</v>
      </c>
      <c r="C93" t="s">
        <v>2821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 t="shared" si="1"/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3346</v>
      </c>
      <c r="C94" t="s">
        <v>2816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 t="shared" si="1"/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3347</v>
      </c>
      <c r="C95" t="s">
        <v>2826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 t="shared" si="1"/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3351</v>
      </c>
      <c r="C96" t="s">
        <v>2817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2627</v>
      </c>
      <c r="J96" t="str">
        <f t="shared" si="1"/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3401</v>
      </c>
      <c r="C97" t="s">
        <v>2801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 t="shared" si="1"/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3402</v>
      </c>
      <c r="C98" t="s">
        <v>2802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2626</v>
      </c>
      <c r="J98" t="str">
        <f t="shared" si="1"/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3403</v>
      </c>
      <c r="C99" t="s">
        <v>2826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 t="shared" si="1"/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3404</v>
      </c>
      <c r="C100" t="s">
        <v>2807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 t="shared" si="1"/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3405</v>
      </c>
      <c r="C101" t="s">
        <v>2814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 t="shared" si="1"/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3406</v>
      </c>
      <c r="C102" t="s">
        <v>2812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 t="shared" si="1"/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3407</v>
      </c>
      <c r="C103" t="s">
        <v>2823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 t="shared" si="1"/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3464</v>
      </c>
      <c r="C104" t="s">
        <v>2811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2755</v>
      </c>
      <c r="J104" t="str">
        <f t="shared" si="1"/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3544</v>
      </c>
      <c r="C105" t="s">
        <v>2819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 t="shared" si="1"/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3545</v>
      </c>
      <c r="C106" t="s">
        <v>2802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2633</v>
      </c>
      <c r="J106" t="str">
        <f t="shared" si="1"/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3558</v>
      </c>
      <c r="C107" t="s">
        <v>2812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 t="shared" si="1"/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3559</v>
      </c>
      <c r="C108" t="s">
        <v>2812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 t="shared" si="1"/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3560</v>
      </c>
      <c r="C109" t="s">
        <v>2808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 t="shared" si="1"/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3620</v>
      </c>
      <c r="C110" t="s">
        <v>2802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2620</v>
      </c>
      <c r="J110" t="str">
        <f t="shared" si="1"/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3621</v>
      </c>
      <c r="C111" t="s">
        <v>2801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 t="shared" si="1"/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3657</v>
      </c>
      <c r="C112" t="s">
        <v>2812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 t="shared" si="1"/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3680</v>
      </c>
      <c r="C113" t="s">
        <v>2812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 t="shared" si="1"/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3681</v>
      </c>
      <c r="C114" t="s">
        <v>2824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 t="shared" si="1"/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3722</v>
      </c>
      <c r="C115" t="s">
        <v>2821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 t="shared" si="1"/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3723</v>
      </c>
      <c r="C116" t="s">
        <v>2802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2628</v>
      </c>
      <c r="J116" t="str">
        <f t="shared" si="1"/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3724</v>
      </c>
      <c r="C117" t="s">
        <v>2819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 t="shared" si="1"/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3725</v>
      </c>
      <c r="C118" t="s">
        <v>2807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 t="shared" si="1"/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3726</v>
      </c>
      <c r="C119" t="s">
        <v>2801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 t="shared" si="1"/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3727</v>
      </c>
      <c r="C120" t="s">
        <v>2814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 t="shared" si="1"/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3728</v>
      </c>
      <c r="C121" t="s">
        <v>2802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2625</v>
      </c>
      <c r="J121" t="str">
        <f t="shared" si="1"/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3743</v>
      </c>
      <c r="C122" t="s">
        <v>2802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2621</v>
      </c>
      <c r="J122" t="str">
        <f t="shared" si="1"/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3756</v>
      </c>
      <c r="C123" t="s">
        <v>2812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 t="shared" si="1"/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3757</v>
      </c>
      <c r="C124" t="s">
        <v>2826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 t="shared" si="1"/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3778</v>
      </c>
      <c r="C125" t="s">
        <v>2812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 t="shared" si="1"/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3779</v>
      </c>
      <c r="C126" t="s">
        <v>2595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 t="shared" si="1"/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3780</v>
      </c>
      <c r="C127" t="s">
        <v>2812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 t="shared" si="1"/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3796</v>
      </c>
      <c r="C128" t="s">
        <v>2824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 t="shared" si="1"/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3797</v>
      </c>
      <c r="C129" t="s">
        <v>2802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2632</v>
      </c>
      <c r="J129" t="str">
        <f t="shared" si="1"/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3798</v>
      </c>
      <c r="C130" t="s">
        <v>2825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 t="shared" ref="J130:J193" si="2"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3810</v>
      </c>
      <c r="C131" t="s">
        <v>2811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2760</v>
      </c>
      <c r="J131" t="str">
        <f t="shared" si="2"/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3811</v>
      </c>
      <c r="C132" t="s">
        <v>2812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 t="shared" si="2"/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3815</v>
      </c>
      <c r="C133" t="s">
        <v>2824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 t="shared" si="2"/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3816</v>
      </c>
      <c r="C134" t="s">
        <v>2814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 t="shared" si="2"/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3826</v>
      </c>
      <c r="C135" t="s">
        <v>2825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 t="shared" si="2"/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3835</v>
      </c>
      <c r="C136" t="s">
        <v>2802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2637</v>
      </c>
      <c r="J136" t="str">
        <f t="shared" si="2"/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3836</v>
      </c>
      <c r="C137" t="s">
        <v>2812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 t="shared" si="2"/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3837</v>
      </c>
      <c r="C138" t="s">
        <v>2801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 t="shared" si="2"/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3838</v>
      </c>
      <c r="C139" t="s">
        <v>2808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 t="shared" si="2"/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3839</v>
      </c>
      <c r="C140" t="s">
        <v>2827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2761</v>
      </c>
      <c r="J140" t="str">
        <f t="shared" si="2"/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3840</v>
      </c>
      <c r="C141" t="s">
        <v>2812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 t="shared" si="2"/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3841</v>
      </c>
      <c r="C142" t="s">
        <v>2815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 t="shared" si="2"/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3842</v>
      </c>
      <c r="C143" t="s">
        <v>2826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 t="shared" si="2"/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3843</v>
      </c>
      <c r="C144" t="s">
        <v>2812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 t="shared" si="2"/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3844</v>
      </c>
      <c r="C145" t="s">
        <v>2815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 t="shared" si="2"/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3845</v>
      </c>
      <c r="C146" t="s">
        <v>2811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2757</v>
      </c>
      <c r="J146" t="str">
        <f t="shared" si="2"/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3865</v>
      </c>
      <c r="C147" t="s">
        <v>2828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 t="shared" si="2"/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3866</v>
      </c>
      <c r="C148" t="s">
        <v>2804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 t="shared" si="2"/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3937</v>
      </c>
      <c r="C149" t="s">
        <v>2827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2756</v>
      </c>
      <c r="J149" t="str">
        <f t="shared" si="2"/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3938</v>
      </c>
      <c r="C150" t="s">
        <v>2812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 t="shared" si="2"/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3939</v>
      </c>
      <c r="C151" t="s">
        <v>2822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 t="shared" si="2"/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3940</v>
      </c>
      <c r="C152" t="s">
        <v>2825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 t="shared" si="2"/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4023</v>
      </c>
      <c r="C153" t="s">
        <v>2824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 t="shared" si="2"/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4027</v>
      </c>
      <c r="C154" t="s">
        <v>2824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 t="shared" si="2"/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4028</v>
      </c>
      <c r="C155" t="s">
        <v>2802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2629</v>
      </c>
      <c r="J155" t="str">
        <f t="shared" si="2"/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4030</v>
      </c>
      <c r="C156" t="s">
        <v>2801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 t="shared" si="2"/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4031</v>
      </c>
      <c r="C157" t="s">
        <v>2812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 t="shared" si="2"/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4032</v>
      </c>
      <c r="C158" t="s">
        <v>2595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 t="shared" si="2"/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3174</v>
      </c>
      <c r="C159" t="s">
        <v>2807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 t="shared" si="2"/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3175</v>
      </c>
      <c r="C160" t="s">
        <v>2811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2783</v>
      </c>
      <c r="J160" t="str">
        <f t="shared" si="2"/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3209</v>
      </c>
      <c r="C161" t="s">
        <v>2801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 t="shared" si="2"/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3242</v>
      </c>
      <c r="C162" t="s">
        <v>2806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 t="shared" si="2"/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3251</v>
      </c>
      <c r="C163" t="s">
        <v>2827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2780</v>
      </c>
      <c r="J163" t="str">
        <f t="shared" si="2"/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3348</v>
      </c>
      <c r="C164" t="s">
        <v>2812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 t="shared" si="2"/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3349</v>
      </c>
      <c r="C165" t="s">
        <v>2812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 t="shared" si="2"/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3377</v>
      </c>
      <c r="C166" t="s">
        <v>2823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 t="shared" si="2"/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3378</v>
      </c>
      <c r="C167" t="s">
        <v>2815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 t="shared" si="2"/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3506</v>
      </c>
      <c r="C168" t="s">
        <v>2802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2690</v>
      </c>
      <c r="J168" t="str">
        <f t="shared" si="2"/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3507</v>
      </c>
      <c r="C169" t="s">
        <v>2812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 t="shared" si="2"/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3509</v>
      </c>
      <c r="C170" t="s">
        <v>2814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 t="shared" si="2"/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3514</v>
      </c>
      <c r="C171" t="s">
        <v>2812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 t="shared" si="2"/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3536</v>
      </c>
      <c r="C172" t="s">
        <v>2801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 t="shared" si="2"/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3568</v>
      </c>
      <c r="C173" t="s">
        <v>2811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2781</v>
      </c>
      <c r="J173" t="str">
        <f t="shared" si="2"/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3593</v>
      </c>
      <c r="C174" t="s">
        <v>2827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2736</v>
      </c>
      <c r="J174" t="str">
        <f t="shared" si="2"/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3594</v>
      </c>
      <c r="C175" t="s">
        <v>2806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 t="shared" si="2"/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3595</v>
      </c>
      <c r="C176" t="s">
        <v>2801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 t="shared" si="2"/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3596</v>
      </c>
      <c r="C177" t="s">
        <v>2825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 t="shared" si="2"/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3597</v>
      </c>
      <c r="C178" t="s">
        <v>2826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 t="shared" si="2"/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3608</v>
      </c>
      <c r="C179" t="s">
        <v>2825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 t="shared" si="2"/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3609</v>
      </c>
      <c r="C180" t="s">
        <v>2824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 t="shared" si="2"/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3610</v>
      </c>
      <c r="C181" t="s">
        <v>2802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2636</v>
      </c>
      <c r="J181" t="str">
        <f t="shared" si="2"/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3643</v>
      </c>
      <c r="C182" t="s">
        <v>2802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2612</v>
      </c>
      <c r="J182" t="str">
        <f t="shared" si="2"/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3661</v>
      </c>
      <c r="C183" t="s">
        <v>2809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 t="shared" si="2"/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3662</v>
      </c>
      <c r="C184" t="s">
        <v>2808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 t="shared" si="2"/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3675</v>
      </c>
      <c r="C185" t="s">
        <v>2826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 t="shared" si="2"/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3676</v>
      </c>
      <c r="C186" t="s">
        <v>2802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2687</v>
      </c>
      <c r="J186" t="str">
        <f t="shared" si="2"/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3690</v>
      </c>
      <c r="C187" t="s">
        <v>2812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 t="shared" si="2"/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3691</v>
      </c>
      <c r="C188" t="s">
        <v>2815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 t="shared" si="2"/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3700</v>
      </c>
      <c r="C189" t="s">
        <v>2811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2784</v>
      </c>
      <c r="J189" t="str">
        <f t="shared" si="2"/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3704</v>
      </c>
      <c r="C190" t="s">
        <v>2817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2616</v>
      </c>
      <c r="J190" t="str">
        <f t="shared" si="2"/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3748</v>
      </c>
      <c r="C191" t="s">
        <v>2824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 t="shared" si="2"/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3749</v>
      </c>
      <c r="C192" t="s">
        <v>2826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 t="shared" si="2"/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3750</v>
      </c>
      <c r="C193" t="s">
        <v>2595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 t="shared" si="2"/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3751</v>
      </c>
      <c r="C194" t="s">
        <v>2804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 t="shared" ref="J194:J257" si="3"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3752</v>
      </c>
      <c r="C195" t="s">
        <v>2822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 t="shared" si="3"/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3772</v>
      </c>
      <c r="C196" t="s">
        <v>2814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 t="shared" si="3"/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3773</v>
      </c>
      <c r="C197" t="s">
        <v>2827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2782</v>
      </c>
      <c r="J197" t="str">
        <f t="shared" si="3"/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3781</v>
      </c>
      <c r="C198" t="s">
        <v>2801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 t="shared" si="3"/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3822</v>
      </c>
      <c r="C199" t="s">
        <v>2823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 t="shared" si="3"/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3848</v>
      </c>
      <c r="C200" t="s">
        <v>2804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 t="shared" si="3"/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3849</v>
      </c>
      <c r="C201" t="s">
        <v>2823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 t="shared" si="3"/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3896</v>
      </c>
      <c r="C202" t="s">
        <v>2816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 t="shared" si="3"/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3897</v>
      </c>
      <c r="C203" t="s">
        <v>2807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 t="shared" si="3"/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3898</v>
      </c>
      <c r="C204" t="s">
        <v>2812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 t="shared" si="3"/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3903</v>
      </c>
      <c r="C205" t="s">
        <v>2811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2758</v>
      </c>
      <c r="J205" t="str">
        <f t="shared" si="3"/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3904</v>
      </c>
      <c r="C206" t="s">
        <v>2802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2635</v>
      </c>
      <c r="J206" t="str">
        <f t="shared" si="3"/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3905</v>
      </c>
      <c r="C207" t="s">
        <v>2822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 t="shared" si="3"/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3906</v>
      </c>
      <c r="C208" t="s">
        <v>2812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 t="shared" si="3"/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3907</v>
      </c>
      <c r="C209" t="s">
        <v>2801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 t="shared" si="3"/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3908</v>
      </c>
      <c r="C210" t="s">
        <v>2825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 t="shared" si="3"/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3912</v>
      </c>
      <c r="C211" t="s">
        <v>2827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2735</v>
      </c>
      <c r="J211" t="str">
        <f t="shared" si="3"/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3913</v>
      </c>
      <c r="C212" t="s">
        <v>2801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 t="shared" si="3"/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3922</v>
      </c>
      <c r="C213" t="s">
        <v>2807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 t="shared" si="3"/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3923</v>
      </c>
      <c r="C214" t="s">
        <v>2812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 t="shared" si="3"/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3924</v>
      </c>
      <c r="C215" t="s">
        <v>2812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 t="shared" si="3"/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3925</v>
      </c>
      <c r="C216" t="s">
        <v>2817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2689</v>
      </c>
      <c r="J216" t="str">
        <f t="shared" si="3"/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3948</v>
      </c>
      <c r="C217" t="s">
        <v>2804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 t="shared" si="3"/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3980</v>
      </c>
      <c r="C218" t="s">
        <v>2817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2634</v>
      </c>
      <c r="J218" t="str">
        <f t="shared" si="3"/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3981</v>
      </c>
      <c r="C219" t="s">
        <v>2807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 t="shared" si="3"/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3997</v>
      </c>
      <c r="C220" t="s">
        <v>2807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 t="shared" si="3"/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4008</v>
      </c>
      <c r="C221" t="s">
        <v>2825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 t="shared" si="3"/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4009</v>
      </c>
      <c r="C222" t="s">
        <v>2824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 t="shared" si="3"/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4010</v>
      </c>
      <c r="C223" t="s">
        <v>2823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 t="shared" si="3"/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4011</v>
      </c>
      <c r="C224" t="s">
        <v>2821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 t="shared" si="3"/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3193</v>
      </c>
      <c r="C225" t="s">
        <v>2803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 t="shared" si="3"/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3194</v>
      </c>
      <c r="C226" t="s">
        <v>2812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 t="shared" si="3"/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3195</v>
      </c>
      <c r="C227" t="s">
        <v>2826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 t="shared" si="3"/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3196</v>
      </c>
      <c r="C228" t="s">
        <v>2811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2776</v>
      </c>
      <c r="J228" t="str">
        <f t="shared" si="3"/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3197</v>
      </c>
      <c r="C229" t="s">
        <v>2825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 t="shared" si="3"/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3198</v>
      </c>
      <c r="C230" t="s">
        <v>2807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 t="shared" si="3"/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3199</v>
      </c>
      <c r="C231" t="s">
        <v>2803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 t="shared" si="3"/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3237</v>
      </c>
      <c r="C232" t="s">
        <v>2808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 t="shared" si="3"/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3241</v>
      </c>
      <c r="C233" t="s">
        <v>2817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2683</v>
      </c>
      <c r="J233" t="str">
        <f t="shared" si="3"/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3273</v>
      </c>
      <c r="C234" t="s">
        <v>2811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2779</v>
      </c>
      <c r="J234" t="str">
        <f t="shared" si="3"/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3274</v>
      </c>
      <c r="C235" t="s">
        <v>2812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 t="shared" si="3"/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3310</v>
      </c>
      <c r="C236" t="s">
        <v>2802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2679</v>
      </c>
      <c r="J236" t="str">
        <f t="shared" si="3"/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3338</v>
      </c>
      <c r="C237" t="s">
        <v>2811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2777</v>
      </c>
      <c r="J237" t="str">
        <f t="shared" si="3"/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3379</v>
      </c>
      <c r="C238" t="s">
        <v>2821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 t="shared" si="3"/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3380</v>
      </c>
      <c r="C239" t="s">
        <v>2825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 t="shared" si="3"/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3436</v>
      </c>
      <c r="C240" t="s">
        <v>2802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2684</v>
      </c>
      <c r="J240" t="str">
        <f t="shared" si="3"/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3437</v>
      </c>
      <c r="C241" t="s">
        <v>2807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 t="shared" si="3"/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3441</v>
      </c>
      <c r="C242" t="s">
        <v>2822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 t="shared" si="3"/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3442</v>
      </c>
      <c r="C243" t="s">
        <v>2822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 t="shared" si="3"/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3443</v>
      </c>
      <c r="C244" t="s">
        <v>2824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 t="shared" si="3"/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3444</v>
      </c>
      <c r="C245" t="s">
        <v>2817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2678</v>
      </c>
      <c r="J245" t="str">
        <f t="shared" si="3"/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3445</v>
      </c>
      <c r="C246" t="s">
        <v>2813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 t="shared" si="3"/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3446</v>
      </c>
      <c r="C247" t="s">
        <v>2807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 t="shared" si="3"/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3447</v>
      </c>
      <c r="C248" t="s">
        <v>2812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 t="shared" si="3"/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3448</v>
      </c>
      <c r="C249" t="s">
        <v>2808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 t="shared" si="3"/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3449</v>
      </c>
      <c r="C250" t="s">
        <v>2825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 t="shared" si="3"/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3450</v>
      </c>
      <c r="C251" t="s">
        <v>2802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2677</v>
      </c>
      <c r="J251" t="str">
        <f t="shared" si="3"/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3451</v>
      </c>
      <c r="C252" t="s">
        <v>2813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 t="shared" si="3"/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3452</v>
      </c>
      <c r="C253" t="s">
        <v>2812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 t="shared" si="3"/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3453</v>
      </c>
      <c r="C254" t="s">
        <v>2817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2676</v>
      </c>
      <c r="J254" t="str">
        <f t="shared" si="3"/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3454</v>
      </c>
      <c r="C255" t="s">
        <v>2821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 t="shared" si="3"/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3455</v>
      </c>
      <c r="C256" t="s">
        <v>2816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 t="shared" si="3"/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3504</v>
      </c>
      <c r="C257" t="s">
        <v>2827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2775</v>
      </c>
      <c r="J257" t="str">
        <f t="shared" si="3"/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3505</v>
      </c>
      <c r="C258" t="s">
        <v>2813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 t="shared" ref="J258:J321" si="4"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3553</v>
      </c>
      <c r="C259" t="s">
        <v>2813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 t="shared" si="4"/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3554</v>
      </c>
      <c r="C260" t="s">
        <v>2812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 t="shared" si="4"/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3555</v>
      </c>
      <c r="C261" t="s">
        <v>2808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 t="shared" si="4"/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3556</v>
      </c>
      <c r="C262" t="s">
        <v>2802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2682</v>
      </c>
      <c r="J262" t="str">
        <f t="shared" si="4"/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3557</v>
      </c>
      <c r="C263" t="s">
        <v>2803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 t="shared" si="4"/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3569</v>
      </c>
      <c r="C264" t="s">
        <v>2826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 t="shared" si="4"/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3570</v>
      </c>
      <c r="C265" t="s">
        <v>2807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 t="shared" si="4"/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3571</v>
      </c>
      <c r="C266" t="s">
        <v>2812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 t="shared" si="4"/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3572</v>
      </c>
      <c r="C267" t="s">
        <v>2807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 t="shared" si="4"/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3573</v>
      </c>
      <c r="C268" t="s">
        <v>2812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 t="shared" si="4"/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3574</v>
      </c>
      <c r="C269" t="s">
        <v>2811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 t="shared" si="4"/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3575</v>
      </c>
      <c r="C270" t="s">
        <v>2812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 t="shared" si="4"/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3699</v>
      </c>
      <c r="C271" t="s">
        <v>2808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 t="shared" si="4"/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3739</v>
      </c>
      <c r="C272" t="s">
        <v>2808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 t="shared" si="4"/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3785</v>
      </c>
      <c r="C273" t="s">
        <v>2812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 t="shared" si="4"/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3786</v>
      </c>
      <c r="C274" t="s">
        <v>2817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2598</v>
      </c>
      <c r="J274" t="str">
        <f t="shared" si="4"/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3793</v>
      </c>
      <c r="C275" t="s">
        <v>2812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 t="shared" si="4"/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3794</v>
      </c>
      <c r="C276" t="s">
        <v>2812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 t="shared" si="4"/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3795</v>
      </c>
      <c r="C277" t="s">
        <v>2821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 t="shared" si="4"/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3805</v>
      </c>
      <c r="C278" t="s">
        <v>2805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 t="shared" si="4"/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3847</v>
      </c>
      <c r="C279" t="s">
        <v>2826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 t="shared" si="4"/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3853</v>
      </c>
      <c r="C280" t="s">
        <v>2595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 t="shared" si="4"/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3864</v>
      </c>
      <c r="C281" t="s">
        <v>2827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2734</v>
      </c>
      <c r="J281" t="str">
        <f t="shared" si="4"/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3899</v>
      </c>
      <c r="C282" t="s">
        <v>2819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 t="shared" si="4"/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3917</v>
      </c>
      <c r="C283" t="s">
        <v>2825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 t="shared" si="4"/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3918</v>
      </c>
      <c r="C284" t="s">
        <v>2808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 t="shared" si="4"/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3995</v>
      </c>
      <c r="C285" t="s">
        <v>2826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 t="shared" si="4"/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3996</v>
      </c>
      <c r="C286" t="s">
        <v>2812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 t="shared" si="4"/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4007</v>
      </c>
      <c r="C287" t="s">
        <v>2828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 t="shared" si="4"/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4020</v>
      </c>
      <c r="C288" t="s">
        <v>2823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 t="shared" si="4"/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4047</v>
      </c>
      <c r="C289" t="s">
        <v>2807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 t="shared" si="4"/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3304</v>
      </c>
      <c r="C290" t="s">
        <v>2811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2733</v>
      </c>
      <c r="J290" t="str">
        <f t="shared" si="4"/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3305</v>
      </c>
      <c r="C291" t="s">
        <v>2828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 t="shared" si="4"/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3438</v>
      </c>
      <c r="C292" t="s">
        <v>2802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2686</v>
      </c>
      <c r="J292" t="str">
        <f t="shared" si="4"/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3439</v>
      </c>
      <c r="C293" t="s">
        <v>2801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 t="shared" si="4"/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3440</v>
      </c>
      <c r="C294" t="s">
        <v>2807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 t="shared" si="4"/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3644</v>
      </c>
      <c r="C295" t="s">
        <v>2808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 t="shared" si="4"/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3645</v>
      </c>
      <c r="C296" t="s">
        <v>2815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 t="shared" si="4"/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3646</v>
      </c>
      <c r="C297" t="s">
        <v>2826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 t="shared" si="4"/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3693</v>
      </c>
      <c r="C298" t="s">
        <v>2806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 t="shared" si="4"/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3694</v>
      </c>
      <c r="C299" t="s">
        <v>2807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 t="shared" si="4"/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3695</v>
      </c>
      <c r="C300" t="s">
        <v>2821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 t="shared" si="4"/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3696</v>
      </c>
      <c r="C301" t="s">
        <v>2801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 t="shared" si="4"/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3703</v>
      </c>
      <c r="C302" t="s">
        <v>2821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 t="shared" si="4"/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3706</v>
      </c>
      <c r="C303" t="s">
        <v>2812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 t="shared" si="4"/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3707</v>
      </c>
      <c r="C304" t="s">
        <v>2824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 t="shared" si="4"/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3708</v>
      </c>
      <c r="C305" t="s">
        <v>2812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 t="shared" si="4"/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3709</v>
      </c>
      <c r="C306" t="s">
        <v>2802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2681</v>
      </c>
      <c r="J306" t="str">
        <f t="shared" si="4"/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3746</v>
      </c>
      <c r="C307" t="s">
        <v>2802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2680</v>
      </c>
      <c r="J307" t="str">
        <f t="shared" si="4"/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3747</v>
      </c>
      <c r="C308" t="s">
        <v>2827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2778</v>
      </c>
      <c r="J308" t="str">
        <f t="shared" si="4"/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3857</v>
      </c>
      <c r="C309" t="s">
        <v>2826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 t="shared" si="4"/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3875</v>
      </c>
      <c r="C310" t="s">
        <v>2802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2685</v>
      </c>
      <c r="J310" t="str">
        <f t="shared" si="4"/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3876</v>
      </c>
      <c r="C311" t="s">
        <v>2808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 t="shared" si="4"/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3877</v>
      </c>
      <c r="C312" t="s">
        <v>2814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 t="shared" si="4"/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3878</v>
      </c>
      <c r="C313" t="s">
        <v>2812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 t="shared" si="4"/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3879</v>
      </c>
      <c r="C314" t="s">
        <v>2801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 t="shared" si="4"/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3909</v>
      </c>
      <c r="C315" t="s">
        <v>2815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 t="shared" si="4"/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3910</v>
      </c>
      <c r="C316" t="s">
        <v>2821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 t="shared" si="4"/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3911</v>
      </c>
      <c r="C317" t="s">
        <v>2803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 t="shared" si="4"/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3926</v>
      </c>
      <c r="C318" t="s">
        <v>2807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 t="shared" si="4"/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3927</v>
      </c>
      <c r="C319" t="s">
        <v>2815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 t="shared" si="4"/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3928</v>
      </c>
      <c r="C320" t="s">
        <v>2821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 t="shared" si="4"/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3173</v>
      </c>
      <c r="C321" t="s">
        <v>2814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 t="shared" si="4"/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3208</v>
      </c>
      <c r="C322" t="s">
        <v>2806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 t="shared" ref="J322:J385" si="5"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3256</v>
      </c>
      <c r="C323" t="s">
        <v>2802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2639</v>
      </c>
      <c r="J323" t="str">
        <f t="shared" si="5"/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3277</v>
      </c>
      <c r="C324" t="s">
        <v>2808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 t="shared" si="5"/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3278</v>
      </c>
      <c r="C325" t="s">
        <v>2802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2610</v>
      </c>
      <c r="J325" t="str">
        <f t="shared" si="5"/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3299</v>
      </c>
      <c r="C326" t="s">
        <v>2802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2651</v>
      </c>
      <c r="J326" t="str">
        <f t="shared" si="5"/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3323</v>
      </c>
      <c r="C327" t="s">
        <v>2825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 t="shared" si="5"/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3325</v>
      </c>
      <c r="C328" t="s">
        <v>2825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 t="shared" si="5"/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3501</v>
      </c>
      <c r="C329" t="s">
        <v>2802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2615</v>
      </c>
      <c r="J329" t="str">
        <f t="shared" si="5"/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3510</v>
      </c>
      <c r="C330" t="s">
        <v>2801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 t="shared" si="5"/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3561</v>
      </c>
      <c r="C331" t="s">
        <v>2809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 t="shared" si="5"/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3647</v>
      </c>
      <c r="C332" t="s">
        <v>2816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 t="shared" si="5"/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3692</v>
      </c>
      <c r="C333" t="s">
        <v>2828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 t="shared" si="5"/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3771</v>
      </c>
      <c r="C334" t="s">
        <v>2801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 t="shared" si="5"/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3823</v>
      </c>
      <c r="C335" t="s">
        <v>2802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2614</v>
      </c>
      <c r="J335" t="str">
        <f t="shared" si="5"/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3949</v>
      </c>
      <c r="C336" t="s">
        <v>2812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 t="shared" si="5"/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3950</v>
      </c>
      <c r="C337" t="s">
        <v>2827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2746</v>
      </c>
      <c r="J337" t="str">
        <f t="shared" si="5"/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3951</v>
      </c>
      <c r="C338" t="s">
        <v>2812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 t="shared" si="5"/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3952</v>
      </c>
      <c r="C339" t="s">
        <v>2812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 t="shared" si="5"/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3953</v>
      </c>
      <c r="C340" t="s">
        <v>2807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 t="shared" si="5"/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3954</v>
      </c>
      <c r="C341" t="s">
        <v>2802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2611</v>
      </c>
      <c r="J341" t="str">
        <f t="shared" si="5"/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3955</v>
      </c>
      <c r="C342" t="s">
        <v>2812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 t="shared" si="5"/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4002</v>
      </c>
      <c r="C343" t="s">
        <v>2802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2650</v>
      </c>
      <c r="J343" t="str">
        <f t="shared" si="5"/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3166</v>
      </c>
      <c r="C344" t="s">
        <v>2816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 t="shared" si="5"/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3169</v>
      </c>
      <c r="C345" t="s">
        <v>2802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2605</v>
      </c>
      <c r="J345" t="str">
        <f t="shared" si="5"/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3170</v>
      </c>
      <c r="C346" t="s">
        <v>2821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 t="shared" si="5"/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3189</v>
      </c>
      <c r="C347" t="s">
        <v>2825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 t="shared" si="5"/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3212</v>
      </c>
      <c r="C348" t="s">
        <v>2811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2763</v>
      </c>
      <c r="J348" t="str">
        <f t="shared" si="5"/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3217</v>
      </c>
      <c r="C349" t="s">
        <v>2808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 t="shared" si="5"/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3232</v>
      </c>
      <c r="C350" t="s">
        <v>2817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2648</v>
      </c>
      <c r="J350" t="str">
        <f t="shared" si="5"/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3257</v>
      </c>
      <c r="C351" t="s">
        <v>2801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 t="shared" si="5"/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3258</v>
      </c>
      <c r="C352" t="s">
        <v>2808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 t="shared" si="5"/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3262</v>
      </c>
      <c r="C353" t="s">
        <v>2822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 t="shared" si="5"/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3263</v>
      </c>
      <c r="C354" t="s">
        <v>2824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 t="shared" si="5"/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3264</v>
      </c>
      <c r="C355" t="s">
        <v>2802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2643</v>
      </c>
      <c r="J355" t="str">
        <f t="shared" si="5"/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3265</v>
      </c>
      <c r="C356" t="s">
        <v>2807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 t="shared" si="5"/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3324</v>
      </c>
      <c r="C357" t="s">
        <v>2807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 t="shared" si="5"/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3342</v>
      </c>
      <c r="C358" t="s">
        <v>2824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 t="shared" si="5"/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3343</v>
      </c>
      <c r="C359" t="s">
        <v>2807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 t="shared" si="5"/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3352</v>
      </c>
      <c r="C360" t="s">
        <v>2816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 t="shared" si="5"/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3381</v>
      </c>
      <c r="C361" t="s">
        <v>2809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 t="shared" si="5"/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3383</v>
      </c>
      <c r="C362" t="s">
        <v>2815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 t="shared" si="5"/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3384</v>
      </c>
      <c r="C363" t="s">
        <v>2802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2642</v>
      </c>
      <c r="J363" t="str">
        <f t="shared" si="5"/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3385</v>
      </c>
      <c r="C364" t="s">
        <v>2814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 t="shared" si="5"/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3386</v>
      </c>
      <c r="C365" t="s">
        <v>2802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2641</v>
      </c>
      <c r="J365" t="str">
        <f t="shared" si="5"/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3387</v>
      </c>
      <c r="C366" t="s">
        <v>2807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 t="shared" si="5"/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3388</v>
      </c>
      <c r="C367" t="s">
        <v>2802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2640</v>
      </c>
      <c r="J367" t="str">
        <f t="shared" si="5"/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3389</v>
      </c>
      <c r="C368" t="s">
        <v>2812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 t="shared" si="5"/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3390</v>
      </c>
      <c r="C369" t="s">
        <v>2822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 t="shared" si="5"/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3391</v>
      </c>
      <c r="C370" t="s">
        <v>2822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 t="shared" si="5"/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3392</v>
      </c>
      <c r="C371" t="s">
        <v>2809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 t="shared" si="5"/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3393</v>
      </c>
      <c r="C372" t="s">
        <v>2827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2764</v>
      </c>
      <c r="J372" t="str">
        <f t="shared" si="5"/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3394</v>
      </c>
      <c r="C373" t="s">
        <v>2802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2644</v>
      </c>
      <c r="J373" t="str">
        <f t="shared" si="5"/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3395</v>
      </c>
      <c r="C374" t="s">
        <v>2826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 t="shared" si="5"/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3396</v>
      </c>
      <c r="C375" t="s">
        <v>2802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2645</v>
      </c>
      <c r="J375" t="str">
        <f t="shared" si="5"/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3397</v>
      </c>
      <c r="C376" t="s">
        <v>2815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 t="shared" si="5"/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3427</v>
      </c>
      <c r="C377" t="s">
        <v>2823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 t="shared" si="5"/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3538</v>
      </c>
      <c r="C378" t="s">
        <v>2826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 t="shared" si="5"/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3539</v>
      </c>
      <c r="C379" t="s">
        <v>2817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2638</v>
      </c>
      <c r="J379" t="str">
        <f t="shared" si="5"/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3540</v>
      </c>
      <c r="C380" t="s">
        <v>2595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 t="shared" si="5"/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3541</v>
      </c>
      <c r="C381" t="s">
        <v>2801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 t="shared" si="5"/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3542</v>
      </c>
      <c r="C382" t="s">
        <v>2812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 t="shared" si="5"/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3552</v>
      </c>
      <c r="C383" t="s">
        <v>2802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2646</v>
      </c>
      <c r="J383" t="str">
        <f t="shared" si="5"/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3626</v>
      </c>
      <c r="C384" t="s">
        <v>2595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 t="shared" si="5"/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3627</v>
      </c>
      <c r="C385" t="s">
        <v>2826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 t="shared" si="5"/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3629</v>
      </c>
      <c r="C386" t="s">
        <v>2811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2765</v>
      </c>
      <c r="J386" t="str">
        <f t="shared" ref="J386:J449" si="6"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3631</v>
      </c>
      <c r="C387" t="s">
        <v>2817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2613</v>
      </c>
      <c r="J387" t="str">
        <f t="shared" si="6"/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3632</v>
      </c>
      <c r="C388" t="s">
        <v>2801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 t="shared" si="6"/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3633</v>
      </c>
      <c r="C389" t="s">
        <v>2812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 t="shared" si="6"/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3637</v>
      </c>
      <c r="C390" t="s">
        <v>2821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 t="shared" si="6"/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3702</v>
      </c>
      <c r="C391" t="s">
        <v>2801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 t="shared" si="6"/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3802</v>
      </c>
      <c r="C392" t="s">
        <v>2807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 t="shared" si="6"/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3850</v>
      </c>
      <c r="C393" t="s">
        <v>2819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 t="shared" si="6"/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3862</v>
      </c>
      <c r="C394" t="s">
        <v>2801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 t="shared" si="6"/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3863</v>
      </c>
      <c r="C395" t="s">
        <v>2828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 t="shared" si="6"/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3880</v>
      </c>
      <c r="C396" t="s">
        <v>2812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 t="shared" si="6"/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3946</v>
      </c>
      <c r="C397" t="s">
        <v>2812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 t="shared" si="6"/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3960</v>
      </c>
      <c r="C398" t="s">
        <v>2801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 t="shared" si="6"/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3961</v>
      </c>
      <c r="C399" t="s">
        <v>2814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 t="shared" si="6"/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3962</v>
      </c>
      <c r="C400" t="s">
        <v>2808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 t="shared" si="6"/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4015</v>
      </c>
      <c r="C401" t="s">
        <v>2807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 t="shared" si="6"/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4016</v>
      </c>
      <c r="C402" t="s">
        <v>2808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 t="shared" si="6"/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4017</v>
      </c>
      <c r="C403" t="s">
        <v>2815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 t="shared" si="6"/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4018</v>
      </c>
      <c r="C404" t="s">
        <v>2823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 t="shared" si="6"/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4035</v>
      </c>
      <c r="C405" t="s">
        <v>2825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 t="shared" si="6"/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4055</v>
      </c>
      <c r="C406" t="s">
        <v>2812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 t="shared" si="6"/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3159</v>
      </c>
      <c r="C407" t="s">
        <v>2811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2745</v>
      </c>
      <c r="J407" t="str">
        <f t="shared" si="6"/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3160</v>
      </c>
      <c r="C408" t="s">
        <v>2814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 t="shared" si="6"/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3161</v>
      </c>
      <c r="C409" t="s">
        <v>2825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 t="shared" si="6"/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3163</v>
      </c>
      <c r="C410" t="s">
        <v>2825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 t="shared" si="6"/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3164</v>
      </c>
      <c r="C411" t="s">
        <v>2812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 t="shared" si="6"/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3165</v>
      </c>
      <c r="C412" t="s">
        <v>2807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 t="shared" si="6"/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3167</v>
      </c>
      <c r="C413" t="s">
        <v>2824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 t="shared" si="6"/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3171</v>
      </c>
      <c r="C414" t="s">
        <v>2821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 t="shared" si="6"/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3172</v>
      </c>
      <c r="C415" t="s">
        <v>2815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 t="shared" si="6"/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3200</v>
      </c>
      <c r="C416" t="s">
        <v>2809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 t="shared" si="6"/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3293</v>
      </c>
      <c r="C417" t="s">
        <v>2802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2600</v>
      </c>
      <c r="J417" t="str">
        <f t="shared" si="6"/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3294</v>
      </c>
      <c r="C418" t="s">
        <v>2802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2608</v>
      </c>
      <c r="J418" t="str">
        <f t="shared" si="6"/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3312</v>
      </c>
      <c r="C419" t="s">
        <v>2823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 t="shared" si="6"/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3515</v>
      </c>
      <c r="C420" t="s">
        <v>2802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2602</v>
      </c>
      <c r="J420" t="str">
        <f t="shared" si="6"/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3525</v>
      </c>
      <c r="C421" t="s">
        <v>2812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 t="shared" si="6"/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3598</v>
      </c>
      <c r="C422" t="s">
        <v>2819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 t="shared" si="6"/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3599</v>
      </c>
      <c r="C423" t="s">
        <v>2824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 t="shared" si="6"/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3600</v>
      </c>
      <c r="C424" t="s">
        <v>2823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 t="shared" si="6"/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3605</v>
      </c>
      <c r="C425" t="s">
        <v>2821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 t="shared" si="6"/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3606</v>
      </c>
      <c r="C426" t="s">
        <v>2806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 t="shared" si="6"/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3618</v>
      </c>
      <c r="C427" t="s">
        <v>2802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2607</v>
      </c>
      <c r="J427" t="str">
        <f t="shared" si="6"/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3619</v>
      </c>
      <c r="C428" t="s">
        <v>2804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 t="shared" si="6"/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3683</v>
      </c>
      <c r="C429" t="s">
        <v>2802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2609</v>
      </c>
      <c r="J429" t="str">
        <f t="shared" si="6"/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3684</v>
      </c>
      <c r="C430" t="s">
        <v>2804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 t="shared" si="6"/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3685</v>
      </c>
      <c r="C431" t="s">
        <v>2807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 t="shared" si="6"/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3686</v>
      </c>
      <c r="C432" t="s">
        <v>2827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2744</v>
      </c>
      <c r="J432" t="str">
        <f t="shared" si="6"/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3713</v>
      </c>
      <c r="C433" t="s">
        <v>2804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 t="shared" si="6"/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3714</v>
      </c>
      <c r="C434" t="s">
        <v>2807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 t="shared" si="6"/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3792</v>
      </c>
      <c r="C435" t="s">
        <v>2812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 t="shared" si="6"/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3803</v>
      </c>
      <c r="C436" t="s">
        <v>2814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 t="shared" si="6"/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3851</v>
      </c>
      <c r="C437" t="s">
        <v>2823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 t="shared" si="6"/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3854</v>
      </c>
      <c r="C438" t="s">
        <v>2827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2743</v>
      </c>
      <c r="J438" t="str">
        <f t="shared" si="6"/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3855</v>
      </c>
      <c r="C439" t="s">
        <v>2812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 t="shared" si="6"/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3856</v>
      </c>
      <c r="C440" t="s">
        <v>2827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2730</v>
      </c>
      <c r="J440" t="str">
        <f t="shared" si="6"/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3859</v>
      </c>
      <c r="C441" t="s">
        <v>2806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 t="shared" si="6"/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3861</v>
      </c>
      <c r="C442" t="s">
        <v>2802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2601</v>
      </c>
      <c r="J442" t="str">
        <f t="shared" si="6"/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3889</v>
      </c>
      <c r="C443" t="s">
        <v>2824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 t="shared" si="6"/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3933</v>
      </c>
      <c r="C444" t="s">
        <v>2820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 t="shared" si="6"/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3934</v>
      </c>
      <c r="C445" t="s">
        <v>2812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 t="shared" si="6"/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3935</v>
      </c>
      <c r="C446" t="s">
        <v>2812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 t="shared" si="6"/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3958</v>
      </c>
      <c r="C447" t="s">
        <v>2811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2740</v>
      </c>
      <c r="J447" t="str">
        <f t="shared" si="6"/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3966</v>
      </c>
      <c r="C448" t="s">
        <v>2801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 t="shared" si="6"/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3967</v>
      </c>
      <c r="C449" t="s">
        <v>2802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2606</v>
      </c>
      <c r="J449" t="str">
        <f t="shared" si="6"/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3968</v>
      </c>
      <c r="C450" t="s">
        <v>2812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 t="shared" ref="J450:J513" si="7"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3162</v>
      </c>
      <c r="C451" t="s">
        <v>2804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 t="shared" si="7"/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3168</v>
      </c>
      <c r="C452" t="s">
        <v>2823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 t="shared" si="7"/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3178</v>
      </c>
      <c r="C453" t="s">
        <v>2817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2604</v>
      </c>
      <c r="J453" t="str">
        <f t="shared" si="7"/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3201</v>
      </c>
      <c r="C454" t="s">
        <v>2807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 t="shared" si="7"/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3202</v>
      </c>
      <c r="C455" t="s">
        <v>2809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 t="shared" si="7"/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3203</v>
      </c>
      <c r="C456" t="s">
        <v>2801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 t="shared" si="7"/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3220</v>
      </c>
      <c r="C457" t="s">
        <v>2808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 t="shared" si="7"/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3261</v>
      </c>
      <c r="C458" t="s">
        <v>2827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2742</v>
      </c>
      <c r="J458" t="str">
        <f t="shared" si="7"/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3313</v>
      </c>
      <c r="C459" t="s">
        <v>2823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 t="shared" si="7"/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3314</v>
      </c>
      <c r="C460" t="s">
        <v>2821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 t="shared" si="7"/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3315</v>
      </c>
      <c r="C461" t="s">
        <v>2822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 t="shared" si="7"/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3316</v>
      </c>
      <c r="C462" t="s">
        <v>2811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2786</v>
      </c>
      <c r="J462" t="str">
        <f t="shared" si="7"/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3317</v>
      </c>
      <c r="C463" t="s">
        <v>2821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 t="shared" si="7"/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3318</v>
      </c>
      <c r="C464" t="s">
        <v>2816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 t="shared" si="7"/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3344</v>
      </c>
      <c r="C465" t="s">
        <v>2802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2647</v>
      </c>
      <c r="J465" t="str">
        <f t="shared" si="7"/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3424</v>
      </c>
      <c r="C466" t="s">
        <v>2812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 t="shared" si="7"/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3508</v>
      </c>
      <c r="C467" t="s">
        <v>2821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 t="shared" si="7"/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3511</v>
      </c>
      <c r="C468" t="s">
        <v>2812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 t="shared" si="7"/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3512</v>
      </c>
      <c r="C469" t="s">
        <v>2807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 t="shared" si="7"/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3513</v>
      </c>
      <c r="C470" t="s">
        <v>2802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2701</v>
      </c>
      <c r="J470" t="str">
        <f t="shared" si="7"/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3516</v>
      </c>
      <c r="C471" t="s">
        <v>2811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2741</v>
      </c>
      <c r="J471" t="str">
        <f t="shared" si="7"/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3577</v>
      </c>
      <c r="C472" t="s">
        <v>2802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2700</v>
      </c>
      <c r="J472" t="str">
        <f t="shared" si="7"/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3578</v>
      </c>
      <c r="C473" t="s">
        <v>2811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 t="shared" si="7"/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3579</v>
      </c>
      <c r="C474" t="s">
        <v>2823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 t="shared" si="7"/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3580</v>
      </c>
      <c r="C475" t="s">
        <v>2817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2702</v>
      </c>
      <c r="J475" t="str">
        <f t="shared" si="7"/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3587</v>
      </c>
      <c r="C476" t="s">
        <v>2806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 t="shared" si="7"/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3602</v>
      </c>
      <c r="C477" t="s">
        <v>2807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 t="shared" si="7"/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3603</v>
      </c>
      <c r="C478" t="s">
        <v>2826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 t="shared" si="7"/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3705</v>
      </c>
      <c r="C479" t="s">
        <v>2825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 t="shared" si="7"/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3715</v>
      </c>
      <c r="C480" t="s">
        <v>2812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 t="shared" si="7"/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3768</v>
      </c>
      <c r="C481" t="s">
        <v>2801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 t="shared" si="7"/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3769</v>
      </c>
      <c r="C482" t="s">
        <v>2817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2695</v>
      </c>
      <c r="J482" t="str">
        <f t="shared" si="7"/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3806</v>
      </c>
      <c r="C483" t="s">
        <v>2802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2697</v>
      </c>
      <c r="J483" t="str">
        <f t="shared" si="7"/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3807</v>
      </c>
      <c r="C484" t="s">
        <v>2808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 t="shared" si="7"/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3808</v>
      </c>
      <c r="C485" t="s">
        <v>2811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2787</v>
      </c>
      <c r="J485" t="str">
        <f t="shared" si="7"/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3809</v>
      </c>
      <c r="C486" t="s">
        <v>2809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 t="shared" si="7"/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3812</v>
      </c>
      <c r="C487" t="s">
        <v>2825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 t="shared" si="7"/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3813</v>
      </c>
      <c r="C488" t="s">
        <v>2827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2788</v>
      </c>
      <c r="J488" t="str">
        <f t="shared" si="7"/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3814</v>
      </c>
      <c r="C489" t="s">
        <v>2821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 t="shared" si="7"/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3824</v>
      </c>
      <c r="C490" t="s">
        <v>2814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 t="shared" si="7"/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3825</v>
      </c>
      <c r="C491" t="s">
        <v>2812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 t="shared" si="7"/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3852</v>
      </c>
      <c r="C492" t="s">
        <v>2802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2698</v>
      </c>
      <c r="J492" t="str">
        <f t="shared" si="7"/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3886</v>
      </c>
      <c r="C493" t="s">
        <v>2807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 t="shared" si="7"/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3887</v>
      </c>
      <c r="C494" t="s">
        <v>2807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 t="shared" si="7"/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3901</v>
      </c>
      <c r="C495" t="s">
        <v>2812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 t="shared" si="7"/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3902</v>
      </c>
      <c r="C496" t="s">
        <v>2811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2785</v>
      </c>
      <c r="J496" t="str">
        <f t="shared" si="7"/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3914</v>
      </c>
      <c r="C497" t="s">
        <v>2812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 t="shared" si="7"/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3915</v>
      </c>
      <c r="C498" t="s">
        <v>2815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 t="shared" si="7"/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3916</v>
      </c>
      <c r="C499" t="s">
        <v>2812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 t="shared" si="7"/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3919</v>
      </c>
      <c r="C500" t="s">
        <v>2595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 t="shared" si="7"/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3920</v>
      </c>
      <c r="C501" t="s">
        <v>2812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 t="shared" si="7"/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3945</v>
      </c>
      <c r="C502" t="s">
        <v>2802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2649</v>
      </c>
      <c r="J502" t="str">
        <f t="shared" si="7"/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3956</v>
      </c>
      <c r="C503" t="s">
        <v>2823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 t="shared" si="7"/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3959</v>
      </c>
      <c r="C504" t="s">
        <v>2808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 t="shared" si="7"/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3963</v>
      </c>
      <c r="C505" t="s">
        <v>2824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 t="shared" si="7"/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3973</v>
      </c>
      <c r="C506" t="s">
        <v>2808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 t="shared" si="7"/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3974</v>
      </c>
      <c r="C507" t="s">
        <v>2802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2603</v>
      </c>
      <c r="J507" t="str">
        <f t="shared" si="7"/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3975</v>
      </c>
      <c r="C508" t="s">
        <v>2826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 t="shared" si="7"/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3976</v>
      </c>
      <c r="C509" t="s">
        <v>2816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 t="shared" si="7"/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3977</v>
      </c>
      <c r="C510" t="s">
        <v>2821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 t="shared" si="7"/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3978</v>
      </c>
      <c r="C511" t="s">
        <v>2808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 t="shared" si="7"/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3979</v>
      </c>
      <c r="C512" t="s">
        <v>2825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 t="shared" si="7"/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3982</v>
      </c>
      <c r="C513" t="s">
        <v>2812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 t="shared" si="7"/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3983</v>
      </c>
      <c r="C514" t="s">
        <v>2807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 t="shared" ref="J514:J577" si="8"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3984</v>
      </c>
      <c r="C515" t="s">
        <v>2817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2693</v>
      </c>
      <c r="J515" t="str">
        <f t="shared" si="8"/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3993</v>
      </c>
      <c r="C516" t="s">
        <v>2817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2696</v>
      </c>
      <c r="J516" t="str">
        <f t="shared" si="8"/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3999</v>
      </c>
      <c r="C517" t="s">
        <v>2821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 t="shared" si="8"/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4000</v>
      </c>
      <c r="C518" t="s">
        <v>2824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 t="shared" si="8"/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4042</v>
      </c>
      <c r="C519" t="s">
        <v>2826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 t="shared" si="8"/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4048</v>
      </c>
      <c r="C520" t="s">
        <v>2802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2692</v>
      </c>
      <c r="J520" t="str">
        <f t="shared" si="8"/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4049</v>
      </c>
      <c r="C521" t="s">
        <v>2802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2694</v>
      </c>
      <c r="J521" t="str">
        <f t="shared" si="8"/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4050</v>
      </c>
      <c r="C522" t="s">
        <v>2816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 t="shared" si="8"/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4051</v>
      </c>
      <c r="C523" t="s">
        <v>2808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 t="shared" si="8"/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4052</v>
      </c>
      <c r="C524" t="s">
        <v>2825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 t="shared" si="8"/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4053</v>
      </c>
      <c r="C525" t="s">
        <v>2812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 t="shared" si="8"/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4054</v>
      </c>
      <c r="C526" t="s">
        <v>2809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 t="shared" si="8"/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3205</v>
      </c>
      <c r="C527" t="s">
        <v>2812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 t="shared" si="8"/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3244</v>
      </c>
      <c r="C528" t="s">
        <v>2824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 t="shared" si="8"/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3245</v>
      </c>
      <c r="C529" t="s">
        <v>2595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 t="shared" si="8"/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3246</v>
      </c>
      <c r="C530" t="s">
        <v>2811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2752</v>
      </c>
      <c r="J530" t="str">
        <f t="shared" si="8"/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3247</v>
      </c>
      <c r="C531" t="s">
        <v>2811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2753</v>
      </c>
      <c r="J531" t="str">
        <f t="shared" si="8"/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3248</v>
      </c>
      <c r="C532" t="s">
        <v>2826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 t="shared" si="8"/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3249</v>
      </c>
      <c r="C533" t="s">
        <v>2595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 t="shared" si="8"/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3250</v>
      </c>
      <c r="C534" t="s">
        <v>2804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 t="shared" si="8"/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3279</v>
      </c>
      <c r="C535" t="s">
        <v>2821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 t="shared" si="8"/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3280</v>
      </c>
      <c r="C536" t="s">
        <v>2822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 t="shared" si="8"/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3281</v>
      </c>
      <c r="C537" t="s">
        <v>2807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 t="shared" si="8"/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3282</v>
      </c>
      <c r="C538" t="s">
        <v>2821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 t="shared" si="8"/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3283</v>
      </c>
      <c r="C539" t="s">
        <v>2595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 t="shared" si="8"/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3284</v>
      </c>
      <c r="C540" t="s">
        <v>2802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2723</v>
      </c>
      <c r="J540" t="str">
        <f t="shared" si="8"/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3285</v>
      </c>
      <c r="C541" t="s">
        <v>2827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2796</v>
      </c>
      <c r="J541" t="str">
        <f t="shared" si="8"/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3286</v>
      </c>
      <c r="C542" t="s">
        <v>2816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 t="shared" si="8"/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3287</v>
      </c>
      <c r="C543" t="s">
        <v>2823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 t="shared" si="8"/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3289</v>
      </c>
      <c r="C544" t="s">
        <v>2816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 t="shared" si="8"/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3290</v>
      </c>
      <c r="C545" t="s">
        <v>2802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2724</v>
      </c>
      <c r="J545" t="str">
        <f t="shared" si="8"/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3306</v>
      </c>
      <c r="C546" t="s">
        <v>2802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2721</v>
      </c>
      <c r="J546" t="str">
        <f t="shared" si="8"/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3350</v>
      </c>
      <c r="C547" t="s">
        <v>2812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 t="shared" si="8"/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3382</v>
      </c>
      <c r="C548" t="s">
        <v>2802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2704</v>
      </c>
      <c r="J548" t="str">
        <f t="shared" si="8"/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3470</v>
      </c>
      <c r="C549" t="s">
        <v>2812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 t="shared" si="8"/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3471</v>
      </c>
      <c r="C550" t="s">
        <v>2822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 t="shared" si="8"/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3472</v>
      </c>
      <c r="C551" t="s">
        <v>2802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2623</v>
      </c>
      <c r="J551" t="str">
        <f t="shared" si="8"/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3517</v>
      </c>
      <c r="C552" t="s">
        <v>2804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 t="shared" si="8"/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3518</v>
      </c>
      <c r="C553" t="s">
        <v>2812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 t="shared" si="8"/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3519</v>
      </c>
      <c r="C554" t="s">
        <v>2825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 t="shared" si="8"/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3520</v>
      </c>
      <c r="C555" t="s">
        <v>2824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 t="shared" si="8"/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3521</v>
      </c>
      <c r="C556" t="s">
        <v>2801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 t="shared" si="8"/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3522</v>
      </c>
      <c r="C557" t="s">
        <v>2801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 t="shared" si="8"/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3534</v>
      </c>
      <c r="C558" t="s">
        <v>2812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 t="shared" si="8"/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3562</v>
      </c>
      <c r="C559" t="s">
        <v>2822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 t="shared" si="8"/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3563</v>
      </c>
      <c r="C560" t="s">
        <v>2812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 t="shared" si="8"/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3564</v>
      </c>
      <c r="C561" t="s">
        <v>2811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2797</v>
      </c>
      <c r="J561" t="str">
        <f t="shared" si="8"/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3565</v>
      </c>
      <c r="C562" t="s">
        <v>2812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 t="shared" si="8"/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3566</v>
      </c>
      <c r="C563" t="s">
        <v>2824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 t="shared" si="8"/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3582</v>
      </c>
      <c r="C564" t="s">
        <v>2815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 t="shared" si="8"/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3583</v>
      </c>
      <c r="C565" t="s">
        <v>2801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 t="shared" si="8"/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3584</v>
      </c>
      <c r="C566" t="s">
        <v>2811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2791</v>
      </c>
      <c r="J566" t="str">
        <f t="shared" si="8"/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3585</v>
      </c>
      <c r="C567" t="s">
        <v>2812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 t="shared" si="8"/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3586</v>
      </c>
      <c r="C568" t="s">
        <v>2814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 t="shared" si="8"/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3601</v>
      </c>
      <c r="C569" t="s">
        <v>2825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 t="shared" si="8"/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3614</v>
      </c>
      <c r="C570" t="s">
        <v>2801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 t="shared" si="8"/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3634</v>
      </c>
      <c r="C571" t="s">
        <v>2809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 t="shared" si="8"/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3635</v>
      </c>
      <c r="C572" t="s">
        <v>2595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 t="shared" si="8"/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3636</v>
      </c>
      <c r="C573" t="s">
        <v>2812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 t="shared" si="8"/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3639</v>
      </c>
      <c r="C574" t="s">
        <v>2804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 t="shared" si="8"/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3640</v>
      </c>
      <c r="C575" t="s">
        <v>2821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 t="shared" si="8"/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3697</v>
      </c>
      <c r="C576" t="s">
        <v>2806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 t="shared" si="8"/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3698</v>
      </c>
      <c r="C577" t="s">
        <v>2815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 t="shared" si="8"/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3716</v>
      </c>
      <c r="C578" t="s">
        <v>2802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2619</v>
      </c>
      <c r="J578" t="str">
        <f t="shared" ref="J578:J641" si="9"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3717</v>
      </c>
      <c r="C579" t="s">
        <v>2809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 t="shared" si="9"/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3745</v>
      </c>
      <c r="C580" t="s">
        <v>2808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 t="shared" si="9"/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3753</v>
      </c>
      <c r="C581" t="s">
        <v>2802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2728</v>
      </c>
      <c r="J581" t="str">
        <f t="shared" si="9"/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3763</v>
      </c>
      <c r="C582" t="s">
        <v>2822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 t="shared" si="9"/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3765</v>
      </c>
      <c r="C583" t="s">
        <v>2812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 t="shared" si="9"/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3766</v>
      </c>
      <c r="C584" t="s">
        <v>2801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 t="shared" si="9"/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3767</v>
      </c>
      <c r="C585" t="s">
        <v>2802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2699</v>
      </c>
      <c r="J585" t="str">
        <f t="shared" si="9"/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3775</v>
      </c>
      <c r="C586" t="s">
        <v>2817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2624</v>
      </c>
      <c r="J586" t="str">
        <f t="shared" si="9"/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3800</v>
      </c>
      <c r="C587" t="s">
        <v>2826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 t="shared" si="9"/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3818</v>
      </c>
      <c r="C588" t="s">
        <v>2801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 t="shared" si="9"/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3819</v>
      </c>
      <c r="C589" t="s">
        <v>2812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 t="shared" si="9"/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3820</v>
      </c>
      <c r="C590" t="s">
        <v>2811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2794</v>
      </c>
      <c r="J590" t="str">
        <f t="shared" si="9"/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3821</v>
      </c>
      <c r="C591" t="s">
        <v>2595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 t="shared" si="9"/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3936</v>
      </c>
      <c r="C592" t="s">
        <v>2812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 t="shared" si="9"/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3964</v>
      </c>
      <c r="C593" t="s">
        <v>2808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 t="shared" si="9"/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4012</v>
      </c>
      <c r="C594" t="s">
        <v>2808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 t="shared" si="9"/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4013</v>
      </c>
      <c r="C595" t="s">
        <v>2827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2739</v>
      </c>
      <c r="J595" t="str">
        <f t="shared" si="9"/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4024</v>
      </c>
      <c r="C596" t="s">
        <v>2823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 t="shared" si="9"/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4025</v>
      </c>
      <c r="C597" t="s">
        <v>2808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 t="shared" si="9"/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4026</v>
      </c>
      <c r="C598" t="s">
        <v>2802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2703</v>
      </c>
      <c r="J598" t="str">
        <f t="shared" si="9"/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4037</v>
      </c>
      <c r="C599" t="s">
        <v>2802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2691</v>
      </c>
      <c r="J599" t="str">
        <f t="shared" si="9"/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4038</v>
      </c>
      <c r="C600" t="s">
        <v>2801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 t="shared" si="9"/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4043</v>
      </c>
      <c r="C601" t="s">
        <v>2808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 t="shared" si="9"/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4044</v>
      </c>
      <c r="C602" t="s">
        <v>2812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 t="shared" si="9"/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4045</v>
      </c>
      <c r="C603" t="s">
        <v>2817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2599</v>
      </c>
      <c r="J603" t="str">
        <f t="shared" si="9"/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4046</v>
      </c>
      <c r="C604" t="s">
        <v>2811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2738</v>
      </c>
      <c r="J604" t="str">
        <f t="shared" si="9"/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s">
        <v>4634</v>
      </c>
      <c r="C605" t="s">
        <v>2815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str">
        <f t="shared" si="9"/>
        <v>{ name: "Afromsia Coast Korok #01", landmark: "Korok x1", type: "Place the Boulder", region: 11, level: "Surface", x: 4396, y: -1458, z: 71, details: "" },</v>
      </c>
    </row>
    <row r="606" spans="1:10" x14ac:dyDescent="0.2">
      <c r="A606" s="2">
        <v>618</v>
      </c>
      <c r="B606" s="34" t="s">
        <v>3158</v>
      </c>
      <c r="C606" t="s">
        <v>2811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2790</v>
      </c>
      <c r="J606" t="str">
        <f t="shared" si="9"/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3222</v>
      </c>
      <c r="C607" t="s">
        <v>2827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2792</v>
      </c>
      <c r="J607" t="str">
        <f t="shared" si="9"/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3235</v>
      </c>
      <c r="C608" t="s">
        <v>2816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 t="shared" si="9"/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3236</v>
      </c>
      <c r="C609" t="s">
        <v>2822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 t="shared" si="9"/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3266</v>
      </c>
      <c r="C610" t="s">
        <v>2807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 t="shared" si="9"/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3321</v>
      </c>
      <c r="C611" t="s">
        <v>2821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 t="shared" si="9"/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3322</v>
      </c>
      <c r="C612" t="s">
        <v>2807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 t="shared" si="9"/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3335</v>
      </c>
      <c r="C613" t="s">
        <v>2809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 t="shared" si="9"/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3337</v>
      </c>
      <c r="C614" t="s">
        <v>2812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 t="shared" si="9"/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3428</v>
      </c>
      <c r="C615" t="s">
        <v>2825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 t="shared" si="9"/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3429</v>
      </c>
      <c r="C616" t="s">
        <v>2823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 t="shared" si="9"/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3430</v>
      </c>
      <c r="C617" t="s">
        <v>2823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 t="shared" si="9"/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3431</v>
      </c>
      <c r="C618" t="s">
        <v>2595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 t="shared" si="9"/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3432</v>
      </c>
      <c r="C619" t="s">
        <v>2820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 t="shared" si="9"/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3433</v>
      </c>
      <c r="C620" t="s">
        <v>2825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 t="shared" si="9"/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3434</v>
      </c>
      <c r="C621" t="s">
        <v>2812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 t="shared" si="9"/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3435</v>
      </c>
      <c r="C622" t="s">
        <v>2802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2712</v>
      </c>
      <c r="J622" t="str">
        <f t="shared" si="9"/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3535</v>
      </c>
      <c r="C623" t="s">
        <v>2812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 t="shared" si="9"/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3567</v>
      </c>
      <c r="C624" t="s">
        <v>2824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 t="shared" si="9"/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3581</v>
      </c>
      <c r="C625" t="s">
        <v>2809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 t="shared" si="9"/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3604</v>
      </c>
      <c r="C626" t="s">
        <v>2811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2789</v>
      </c>
      <c r="J626" t="str">
        <f t="shared" si="9"/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3615</v>
      </c>
      <c r="C627" t="s">
        <v>2825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 t="shared" si="9"/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3616</v>
      </c>
      <c r="C628" t="s">
        <v>2825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 t="shared" si="9"/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3617</v>
      </c>
      <c r="C629" t="s">
        <v>2825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 t="shared" si="9"/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3622</v>
      </c>
      <c r="C630" t="s">
        <v>2816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 t="shared" si="9"/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3658</v>
      </c>
      <c r="C631" t="s">
        <v>2825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 t="shared" si="9"/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3659</v>
      </c>
      <c r="C632" t="s">
        <v>2595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 t="shared" si="9"/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3660</v>
      </c>
      <c r="C633" t="s">
        <v>2816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 t="shared" si="9"/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3670</v>
      </c>
      <c r="C634" t="s">
        <v>2802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2705</v>
      </c>
      <c r="J634" t="str">
        <f t="shared" si="9"/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3682</v>
      </c>
      <c r="C635" t="s">
        <v>2808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 t="shared" si="9"/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3711</v>
      </c>
      <c r="C636" t="s">
        <v>2802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2709</v>
      </c>
      <c r="J636" t="str">
        <f t="shared" si="9"/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3712</v>
      </c>
      <c r="C637" t="s">
        <v>2812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 t="shared" si="9"/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3729</v>
      </c>
      <c r="C638" t="s">
        <v>2825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 t="shared" si="9"/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3730</v>
      </c>
      <c r="C639" t="s">
        <v>2824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 t="shared" si="9"/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3731</v>
      </c>
      <c r="C640" t="s">
        <v>2802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2710</v>
      </c>
      <c r="J640" t="str">
        <f t="shared" si="9"/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3744</v>
      </c>
      <c r="C641" t="s">
        <v>2816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 t="shared" si="9"/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3761</v>
      </c>
      <c r="C642" t="s">
        <v>2807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 t="shared" ref="J642:J705" si="10"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3782</v>
      </c>
      <c r="C643" t="s">
        <v>2821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 t="shared" si="10"/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3860</v>
      </c>
      <c r="C644" t="s">
        <v>2812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 t="shared" si="10"/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3867</v>
      </c>
      <c r="C645" t="s">
        <v>2821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 t="shared" si="10"/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3868</v>
      </c>
      <c r="C646" t="s">
        <v>2806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 t="shared" si="10"/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3890</v>
      </c>
      <c r="C647" t="s">
        <v>2802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2706</v>
      </c>
      <c r="J647" t="str">
        <f t="shared" si="10"/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3943</v>
      </c>
      <c r="C648" t="s">
        <v>2825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 t="shared" si="10"/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3944</v>
      </c>
      <c r="C649" t="s">
        <v>2816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 t="shared" si="10"/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3986</v>
      </c>
      <c r="C650" t="s">
        <v>2806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 t="shared" si="10"/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3994</v>
      </c>
      <c r="C651" t="s">
        <v>2808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 t="shared" si="10"/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4033</v>
      </c>
      <c r="C652" t="s">
        <v>2824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 t="shared" si="10"/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4036</v>
      </c>
      <c r="C653" t="s">
        <v>2802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2711</v>
      </c>
      <c r="J653" t="str">
        <f t="shared" si="10"/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3177</v>
      </c>
      <c r="C654" t="s">
        <v>2825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 t="shared" si="10"/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3180</v>
      </c>
      <c r="C655" t="s">
        <v>2817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2719</v>
      </c>
      <c r="J655" t="str">
        <f t="shared" si="10"/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3181</v>
      </c>
      <c r="C656" t="s">
        <v>2823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 t="shared" si="10"/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3183</v>
      </c>
      <c r="C657" t="s">
        <v>2802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2715</v>
      </c>
      <c r="J657" t="str">
        <f t="shared" si="10"/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3182</v>
      </c>
      <c r="C658" t="s">
        <v>2827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2793</v>
      </c>
      <c r="J658" t="str">
        <f t="shared" si="10"/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3210</v>
      </c>
      <c r="C659" t="s">
        <v>2814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 t="shared" si="10"/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3211</v>
      </c>
      <c r="C660" t="s">
        <v>2821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 t="shared" si="10"/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3221</v>
      </c>
      <c r="C661" t="s">
        <v>2595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 t="shared" si="10"/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3223</v>
      </c>
      <c r="C662" t="s">
        <v>2801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 t="shared" si="10"/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3224</v>
      </c>
      <c r="C663" t="s">
        <v>2812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 t="shared" si="10"/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3225</v>
      </c>
      <c r="C664" t="s">
        <v>2802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2718</v>
      </c>
      <c r="J664" t="str">
        <f t="shared" si="10"/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3234</v>
      </c>
      <c r="C665" t="s">
        <v>2802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2720</v>
      </c>
      <c r="J665" t="str">
        <f t="shared" si="10"/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3243</v>
      </c>
      <c r="C666" t="s">
        <v>2824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 t="shared" si="10"/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3291</v>
      </c>
      <c r="C667" t="s">
        <v>2808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 t="shared" si="10"/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3326</v>
      </c>
      <c r="C668" t="s">
        <v>2821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 t="shared" si="10"/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3327</v>
      </c>
      <c r="C669" t="s">
        <v>2812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 t="shared" si="10"/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3328</v>
      </c>
      <c r="C670" t="s">
        <v>2825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 t="shared" si="10"/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3329</v>
      </c>
      <c r="C671" t="s">
        <v>2824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 t="shared" si="10"/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3336</v>
      </c>
      <c r="C672" t="s">
        <v>2809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 t="shared" si="10"/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3457</v>
      </c>
      <c r="C673" t="s">
        <v>2811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2799</v>
      </c>
      <c r="J673" t="str">
        <f t="shared" si="10"/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3458</v>
      </c>
      <c r="C674" t="s">
        <v>2816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 t="shared" si="10"/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3611</v>
      </c>
      <c r="C675" t="s">
        <v>2817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2716</v>
      </c>
      <c r="J675" t="str">
        <f t="shared" si="10"/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3623</v>
      </c>
      <c r="C676" t="s">
        <v>2812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 t="shared" si="10"/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3628</v>
      </c>
      <c r="C677" t="s">
        <v>2807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 t="shared" si="10"/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3650</v>
      </c>
      <c r="C678" t="s">
        <v>2821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 t="shared" si="10"/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3651</v>
      </c>
      <c r="C679" t="s">
        <v>2801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 t="shared" si="10"/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3652</v>
      </c>
      <c r="C680" t="s">
        <v>2812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 t="shared" si="10"/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3663</v>
      </c>
      <c r="C681" t="s">
        <v>2822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 t="shared" si="10"/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3664</v>
      </c>
      <c r="C682" t="s">
        <v>2808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 t="shared" si="10"/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3665</v>
      </c>
      <c r="C683" t="s">
        <v>2817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2707</v>
      </c>
      <c r="J683" t="str">
        <f t="shared" si="10"/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3671</v>
      </c>
      <c r="C684" t="s">
        <v>2812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 t="shared" si="10"/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3672</v>
      </c>
      <c r="C685" t="s">
        <v>2828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 t="shared" si="10"/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3701</v>
      </c>
      <c r="C686" t="s">
        <v>2814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 t="shared" si="10"/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3733</v>
      </c>
      <c r="C687" t="s">
        <v>2802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2717</v>
      </c>
      <c r="J687" t="str">
        <f t="shared" si="10"/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3734</v>
      </c>
      <c r="C688" t="s">
        <v>2823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 t="shared" si="10"/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3764</v>
      </c>
      <c r="C689" t="s">
        <v>2802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2708</v>
      </c>
      <c r="J689" t="str">
        <f t="shared" si="10"/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3783</v>
      </c>
      <c r="C690" t="s">
        <v>2804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 t="shared" si="10"/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3858</v>
      </c>
      <c r="C691" t="s">
        <v>2825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 t="shared" si="10"/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3891</v>
      </c>
      <c r="C692" t="s">
        <v>2801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 t="shared" si="10"/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3892</v>
      </c>
      <c r="C693" t="s">
        <v>2809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 t="shared" si="10"/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3895</v>
      </c>
      <c r="C694" t="s">
        <v>2816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 t="shared" si="10"/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3932</v>
      </c>
      <c r="C695" t="s">
        <v>2825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 t="shared" si="10"/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3941</v>
      </c>
      <c r="C696" t="s">
        <v>2817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2714</v>
      </c>
      <c r="J696" t="str">
        <f t="shared" si="10"/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3942</v>
      </c>
      <c r="C697" t="s">
        <v>2808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 t="shared" si="10"/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3965</v>
      </c>
      <c r="C698" t="s">
        <v>2821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 t="shared" si="10"/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3985</v>
      </c>
      <c r="C699" t="s">
        <v>2823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 t="shared" si="10"/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3184</v>
      </c>
      <c r="C700" t="s">
        <v>2815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 t="shared" si="10"/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3185</v>
      </c>
      <c r="C701" t="s">
        <v>2812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 t="shared" si="10"/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3186</v>
      </c>
      <c r="C702" t="s">
        <v>2595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 t="shared" si="10"/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3187</v>
      </c>
      <c r="C703" t="s">
        <v>2807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 t="shared" si="10"/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3188</v>
      </c>
      <c r="C704" t="s">
        <v>2801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 t="shared" si="10"/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3214</v>
      </c>
      <c r="C705" t="s">
        <v>2801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 t="shared" si="10"/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3215</v>
      </c>
      <c r="C706" t="s">
        <v>2823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 t="shared" ref="J706:J769" si="11"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3216</v>
      </c>
      <c r="C707" t="s">
        <v>2817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2725</v>
      </c>
      <c r="J707" t="str">
        <f t="shared" si="11"/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3218</v>
      </c>
      <c r="C708" t="s">
        <v>2812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 t="shared" si="11"/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3219</v>
      </c>
      <c r="C709" t="s">
        <v>2811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2800</v>
      </c>
      <c r="J709" t="str">
        <f t="shared" si="11"/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3239</v>
      </c>
      <c r="C710" t="s">
        <v>2811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2766</v>
      </c>
      <c r="J710" t="str">
        <f t="shared" si="11"/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3240</v>
      </c>
      <c r="C711" t="s">
        <v>2812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 t="shared" si="11"/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3255</v>
      </c>
      <c r="C712" t="s">
        <v>2809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 t="shared" si="11"/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3267</v>
      </c>
      <c r="C713" t="s">
        <v>2802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2727</v>
      </c>
      <c r="J713" t="str">
        <f t="shared" si="11"/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3268</v>
      </c>
      <c r="C714" t="s">
        <v>2804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 t="shared" si="11"/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3269</v>
      </c>
      <c r="C715" t="s">
        <v>2824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 t="shared" si="11"/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3276</v>
      </c>
      <c r="C716" t="s">
        <v>2809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 t="shared" si="11"/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3288</v>
      </c>
      <c r="C717" t="s">
        <v>2817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2726</v>
      </c>
      <c r="J717" t="str">
        <f t="shared" si="11"/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3311</v>
      </c>
      <c r="C718" t="s">
        <v>2815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 t="shared" si="11"/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3320</v>
      </c>
      <c r="C719" t="s">
        <v>2814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 t="shared" si="11"/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3330</v>
      </c>
      <c r="C720" t="s">
        <v>2812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 t="shared" si="11"/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3331</v>
      </c>
      <c r="C721" t="s">
        <v>2815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 t="shared" si="11"/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3332</v>
      </c>
      <c r="C722" t="s">
        <v>2812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 t="shared" si="11"/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3333</v>
      </c>
      <c r="C723" t="s">
        <v>2815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 t="shared" si="11"/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3334</v>
      </c>
      <c r="C724" t="s">
        <v>2815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 t="shared" si="11"/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3339</v>
      </c>
      <c r="C725" t="s">
        <v>2812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 t="shared" si="11"/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3340</v>
      </c>
      <c r="C726" t="s">
        <v>2807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 t="shared" si="11"/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3341</v>
      </c>
      <c r="C727" t="s">
        <v>2807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 t="shared" si="11"/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3425</v>
      </c>
      <c r="C728" t="s">
        <v>2821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 t="shared" si="11"/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3426</v>
      </c>
      <c r="C729" t="s">
        <v>2823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 t="shared" si="11"/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3459</v>
      </c>
      <c r="C730" t="s">
        <v>2802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2657</v>
      </c>
      <c r="J730" t="str">
        <f t="shared" si="11"/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3460</v>
      </c>
      <c r="C731" t="s">
        <v>2595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 t="shared" si="11"/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3461</v>
      </c>
      <c r="C732" t="s">
        <v>2811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2795</v>
      </c>
      <c r="J732" t="str">
        <f t="shared" si="11"/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3462</v>
      </c>
      <c r="C733" t="s">
        <v>2814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 t="shared" si="11"/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3463</v>
      </c>
      <c r="C734" t="s">
        <v>2811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2798</v>
      </c>
      <c r="J734" t="str">
        <f t="shared" si="11"/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3465</v>
      </c>
      <c r="C735" t="s">
        <v>2809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 t="shared" si="11"/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3466</v>
      </c>
      <c r="C736" t="s">
        <v>2802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2622</v>
      </c>
      <c r="J736" t="str">
        <f t="shared" si="11"/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3467</v>
      </c>
      <c r="C737" t="s">
        <v>2825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 t="shared" si="11"/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3473</v>
      </c>
      <c r="C738" t="s">
        <v>2819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 t="shared" si="11"/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3503</v>
      </c>
      <c r="C739" t="s">
        <v>2811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2767</v>
      </c>
      <c r="J739" t="str">
        <f t="shared" si="11"/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3523</v>
      </c>
      <c r="C740" t="s">
        <v>2808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 t="shared" si="11"/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3524</v>
      </c>
      <c r="C741" t="s">
        <v>2595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 t="shared" si="11"/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3537</v>
      </c>
      <c r="C742" t="s">
        <v>2807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 t="shared" si="11"/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3543</v>
      </c>
      <c r="C743" t="s">
        <v>2823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 t="shared" si="11"/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3546</v>
      </c>
      <c r="C744" t="s">
        <v>2825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 t="shared" si="11"/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3547</v>
      </c>
      <c r="C745" t="s">
        <v>2807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 t="shared" si="11"/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3548</v>
      </c>
      <c r="C746" t="s">
        <v>2821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 t="shared" si="11"/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3550</v>
      </c>
      <c r="C747" t="s">
        <v>2812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 t="shared" si="11"/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3576</v>
      </c>
      <c r="C748" t="s">
        <v>2802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2729</v>
      </c>
      <c r="J748" t="str">
        <f t="shared" si="11"/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3592</v>
      </c>
      <c r="C749" t="s">
        <v>2823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 t="shared" si="11"/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3624</v>
      </c>
      <c r="C750" t="s">
        <v>2812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 t="shared" si="11"/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3625</v>
      </c>
      <c r="C751" t="s">
        <v>2802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2713</v>
      </c>
      <c r="J751" t="str">
        <f t="shared" si="11"/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3630</v>
      </c>
      <c r="C752" t="s">
        <v>2809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 t="shared" si="11"/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3648</v>
      </c>
      <c r="C753" t="s">
        <v>2808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 t="shared" si="11"/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3653</v>
      </c>
      <c r="C754" t="s">
        <v>2804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 t="shared" si="11"/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3668</v>
      </c>
      <c r="C755" t="s">
        <v>2809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 t="shared" si="11"/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3669</v>
      </c>
      <c r="C756" t="s">
        <v>2817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2722</v>
      </c>
      <c r="J756" t="str">
        <f t="shared" si="11"/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3677</v>
      </c>
      <c r="C757" t="s">
        <v>2802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2656</v>
      </c>
      <c r="J757" t="str">
        <f t="shared" si="11"/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3678</v>
      </c>
      <c r="C758" t="s">
        <v>2815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 t="shared" si="11"/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3679</v>
      </c>
      <c r="C759" t="s">
        <v>2815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 t="shared" si="11"/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3718</v>
      </c>
      <c r="C760" t="s">
        <v>2801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 t="shared" si="11"/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3736</v>
      </c>
      <c r="C761" t="s">
        <v>2824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 t="shared" si="11"/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3737</v>
      </c>
      <c r="C762" t="s">
        <v>2802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2654</v>
      </c>
      <c r="J762" t="str">
        <f t="shared" si="11"/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3738</v>
      </c>
      <c r="C763" t="s">
        <v>2812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 t="shared" si="11"/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3754</v>
      </c>
      <c r="C764" t="s">
        <v>2815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 t="shared" si="11"/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3755</v>
      </c>
      <c r="C765" t="s">
        <v>2814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 t="shared" si="11"/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3758</v>
      </c>
      <c r="C766" t="s">
        <v>2802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2655</v>
      </c>
      <c r="J766" t="str">
        <f t="shared" si="11"/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3759</v>
      </c>
      <c r="C767" t="s">
        <v>2816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 t="shared" si="11"/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3760</v>
      </c>
      <c r="C768" t="s">
        <v>2801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 t="shared" si="11"/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3784</v>
      </c>
      <c r="C769" t="s">
        <v>2818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 t="shared" si="11"/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3799</v>
      </c>
      <c r="C770" t="s">
        <v>2802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2631</v>
      </c>
      <c r="J770" t="str">
        <f t="shared" ref="J770:J833" si="12"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3801</v>
      </c>
      <c r="C771" t="s">
        <v>2809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 t="shared" si="12"/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3831</v>
      </c>
      <c r="C772" t="s">
        <v>2822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 t="shared" si="12"/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3832</v>
      </c>
      <c r="C773" t="s">
        <v>2826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 t="shared" si="12"/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3833</v>
      </c>
      <c r="C774" t="s">
        <v>2595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 t="shared" si="12"/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3834</v>
      </c>
      <c r="C775" t="s">
        <v>2807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 t="shared" si="12"/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3846</v>
      </c>
      <c r="C776" t="s">
        <v>2802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2630</v>
      </c>
      <c r="J776" t="str">
        <f t="shared" si="12"/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3871</v>
      </c>
      <c r="C777" t="s">
        <v>2801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 t="shared" si="12"/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3872</v>
      </c>
      <c r="C778" t="s">
        <v>2815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 t="shared" si="12"/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3888</v>
      </c>
      <c r="C779" t="s">
        <v>2817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2653</v>
      </c>
      <c r="J779" t="str">
        <f t="shared" si="12"/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3947</v>
      </c>
      <c r="C780" t="s">
        <v>2812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 t="shared" si="12"/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3957</v>
      </c>
      <c r="C781" t="s">
        <v>2826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 t="shared" si="12"/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3969</v>
      </c>
      <c r="C782" t="s">
        <v>2824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 t="shared" si="12"/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3970</v>
      </c>
      <c r="C783" t="s">
        <v>2595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 t="shared" si="12"/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3971</v>
      </c>
      <c r="C784" t="s">
        <v>2824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 t="shared" si="12"/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3972</v>
      </c>
      <c r="C785" t="s">
        <v>2809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 t="shared" si="12"/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4019</v>
      </c>
      <c r="C786" t="s">
        <v>2812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 t="shared" si="12"/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4021</v>
      </c>
      <c r="C787" t="s">
        <v>2812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 t="shared" si="12"/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3233</v>
      </c>
      <c r="C788" t="s">
        <v>2812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 t="shared" si="12"/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3259</v>
      </c>
      <c r="C789" t="s">
        <v>2807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 t="shared" si="12"/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3260</v>
      </c>
      <c r="C790" t="s">
        <v>2808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 t="shared" si="12"/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3275</v>
      </c>
      <c r="C791" t="s">
        <v>2802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2661</v>
      </c>
      <c r="J791" t="str">
        <f t="shared" si="12"/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3295</v>
      </c>
      <c r="C792" t="s">
        <v>2595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 t="shared" si="12"/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3296</v>
      </c>
      <c r="C793" t="s">
        <v>2802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2663</v>
      </c>
      <c r="J793" t="str">
        <f t="shared" si="12"/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3297</v>
      </c>
      <c r="C794" t="s">
        <v>2824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 t="shared" si="12"/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3300</v>
      </c>
      <c r="C795" t="s">
        <v>2816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 t="shared" si="12"/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3301</v>
      </c>
      <c r="C796" t="s">
        <v>2826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 t="shared" si="12"/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3302</v>
      </c>
      <c r="C797" t="s">
        <v>2817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2660</v>
      </c>
      <c r="J797" t="str">
        <f t="shared" si="12"/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3303</v>
      </c>
      <c r="C798" t="s">
        <v>2827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2732</v>
      </c>
      <c r="J798" t="str">
        <f t="shared" si="12"/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3308</v>
      </c>
      <c r="C799" t="s">
        <v>2595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 t="shared" si="12"/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3309</v>
      </c>
      <c r="C800" t="s">
        <v>2811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2770</v>
      </c>
      <c r="J800" t="str">
        <f t="shared" si="12"/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3353</v>
      </c>
      <c r="C801" t="s">
        <v>2801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 t="shared" si="12"/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3354</v>
      </c>
      <c r="C802" t="s">
        <v>2812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 t="shared" si="12"/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3355</v>
      </c>
      <c r="C803" t="s">
        <v>2812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 t="shared" si="12"/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3356</v>
      </c>
      <c r="C804" t="s">
        <v>2801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 t="shared" si="12"/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3357</v>
      </c>
      <c r="C805" t="s">
        <v>2823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 t="shared" si="12"/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3358</v>
      </c>
      <c r="C806" t="s">
        <v>2812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 t="shared" si="12"/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3359</v>
      </c>
      <c r="C807" t="s">
        <v>2802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2673</v>
      </c>
      <c r="J807" t="str">
        <f t="shared" si="12"/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3360</v>
      </c>
      <c r="C808" t="s">
        <v>2808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 t="shared" si="12"/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3361</v>
      </c>
      <c r="C809" t="s">
        <v>2802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2674</v>
      </c>
      <c r="J809" t="str">
        <f t="shared" si="12"/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3362</v>
      </c>
      <c r="C810" t="s">
        <v>2802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2659</v>
      </c>
      <c r="J810" t="str">
        <f t="shared" si="12"/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3364</v>
      </c>
      <c r="C811" t="s">
        <v>2804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 t="shared" si="12"/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3371</v>
      </c>
      <c r="C812" t="s">
        <v>2817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2658</v>
      </c>
      <c r="J812" t="str">
        <f t="shared" si="12"/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3372</v>
      </c>
      <c r="C813" t="s">
        <v>2825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 t="shared" si="12"/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3373</v>
      </c>
      <c r="C814" t="s">
        <v>2826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 t="shared" si="12"/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3374</v>
      </c>
      <c r="C815" t="s">
        <v>2802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2662</v>
      </c>
      <c r="J815" t="str">
        <f t="shared" si="12"/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3526</v>
      </c>
      <c r="C816" t="s">
        <v>2825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 t="shared" si="12"/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3607</v>
      </c>
      <c r="C817" t="s">
        <v>2827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2771</v>
      </c>
      <c r="J817" t="str">
        <f t="shared" si="12"/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3649</v>
      </c>
      <c r="C818" t="s">
        <v>2802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2652</v>
      </c>
      <c r="J818" t="str">
        <f t="shared" si="12"/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3654</v>
      </c>
      <c r="C819" t="s">
        <v>2812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 t="shared" si="12"/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3687</v>
      </c>
      <c r="C820" t="s">
        <v>2826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 t="shared" si="12"/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3710</v>
      </c>
      <c r="C821" t="s">
        <v>2812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 t="shared" si="12"/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3719</v>
      </c>
      <c r="C822" t="s">
        <v>2823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 t="shared" si="12"/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3720</v>
      </c>
      <c r="C823" t="s">
        <v>2807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 t="shared" si="12"/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3721</v>
      </c>
      <c r="C824" t="s">
        <v>2811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2774</v>
      </c>
      <c r="J824" t="str">
        <f t="shared" si="12"/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3735</v>
      </c>
      <c r="C825" t="s">
        <v>2802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2675</v>
      </c>
      <c r="J825" t="str">
        <f t="shared" si="12"/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3869</v>
      </c>
      <c r="C826" t="s">
        <v>2806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 t="shared" si="12"/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3870</v>
      </c>
      <c r="C827" t="s">
        <v>2821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 t="shared" si="12"/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3881</v>
      </c>
      <c r="C828" t="s">
        <v>2802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2671</v>
      </c>
      <c r="J828" t="str">
        <f t="shared" si="12"/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3882</v>
      </c>
      <c r="C829" t="s">
        <v>2804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 t="shared" si="12"/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3883</v>
      </c>
      <c r="C830" t="s">
        <v>2817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2672</v>
      </c>
      <c r="J830" t="str">
        <f t="shared" si="12"/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3884</v>
      </c>
      <c r="C831" t="s">
        <v>2815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 t="shared" si="12"/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3885</v>
      </c>
      <c r="C832" t="s">
        <v>2801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 t="shared" si="12"/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3893</v>
      </c>
      <c r="C833" t="s">
        <v>2808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 t="shared" si="12"/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4001</v>
      </c>
      <c r="C834" t="s">
        <v>2826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 t="shared" ref="J834:J897" si="13"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4003</v>
      </c>
      <c r="C835" t="s">
        <v>2821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 t="shared" si="13"/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4004</v>
      </c>
      <c r="C836" t="s">
        <v>2595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 t="shared" si="13"/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4005</v>
      </c>
      <c r="C837" t="s">
        <v>2827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2768</v>
      </c>
      <c r="J837" t="str">
        <f t="shared" si="13"/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4006</v>
      </c>
      <c r="C838" t="s">
        <v>2811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2769</v>
      </c>
      <c r="J838" t="str">
        <f t="shared" si="13"/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4022</v>
      </c>
      <c r="C839" t="s">
        <v>2824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 t="shared" si="13"/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4034</v>
      </c>
      <c r="C840" t="s">
        <v>2807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 t="shared" si="13"/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3190</v>
      </c>
      <c r="C841" t="s">
        <v>2816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 t="shared" si="13"/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3191</v>
      </c>
      <c r="C842" t="s">
        <v>2801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 t="shared" si="13"/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3192</v>
      </c>
      <c r="C843" t="s">
        <v>2821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 t="shared" si="13"/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3363</v>
      </c>
      <c r="C844" t="s">
        <v>2811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2773</v>
      </c>
      <c r="J844" t="str">
        <f t="shared" si="13"/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3365</v>
      </c>
      <c r="C845" t="s">
        <v>2812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 t="shared" si="13"/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3366</v>
      </c>
      <c r="C846" t="s">
        <v>2824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 t="shared" si="13"/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3367</v>
      </c>
      <c r="C847" t="s">
        <v>2813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 t="shared" si="13"/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3368</v>
      </c>
      <c r="C848" t="s">
        <v>2817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2664</v>
      </c>
      <c r="J848" t="str">
        <f t="shared" si="13"/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3369</v>
      </c>
      <c r="C849" t="s">
        <v>2808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 t="shared" si="13"/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3370</v>
      </c>
      <c r="C850" t="s">
        <v>2825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 t="shared" si="13"/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3398</v>
      </c>
      <c r="C851" t="s">
        <v>2808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 t="shared" si="13"/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3399</v>
      </c>
      <c r="C852" t="s">
        <v>2824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 t="shared" si="13"/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3400</v>
      </c>
      <c r="C853" t="s">
        <v>2807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 t="shared" si="13"/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3527</v>
      </c>
      <c r="C854" t="s">
        <v>2807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 t="shared" si="13"/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3528</v>
      </c>
      <c r="C855" t="s">
        <v>2801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 t="shared" si="13"/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3529</v>
      </c>
      <c r="C856" t="s">
        <v>2812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 t="shared" si="13"/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3530</v>
      </c>
      <c r="C857" t="s">
        <v>2814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 t="shared" si="13"/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3531</v>
      </c>
      <c r="C858" t="s">
        <v>2807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 t="shared" si="13"/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3532</v>
      </c>
      <c r="C859" t="s">
        <v>2817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2668</v>
      </c>
      <c r="J859" t="str">
        <f t="shared" si="13"/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3533</v>
      </c>
      <c r="C860" t="s">
        <v>2802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2670</v>
      </c>
      <c r="J860" t="str">
        <f t="shared" si="13"/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3551</v>
      </c>
      <c r="C861" t="s">
        <v>2819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 t="shared" si="13"/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3588</v>
      </c>
      <c r="C862" t="s">
        <v>2803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 t="shared" si="13"/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3589</v>
      </c>
      <c r="C863" t="s">
        <v>2816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 t="shared" si="13"/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3590</v>
      </c>
      <c r="C864" t="s">
        <v>2825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 t="shared" si="13"/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3591</v>
      </c>
      <c r="C865" t="s">
        <v>2826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 t="shared" si="13"/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3666</v>
      </c>
      <c r="C866" t="s">
        <v>2803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 t="shared" si="13"/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3667</v>
      </c>
      <c r="C867" t="s">
        <v>2817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2665</v>
      </c>
      <c r="J867" t="str">
        <f t="shared" si="13"/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3673</v>
      </c>
      <c r="C868" t="s">
        <v>2812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 t="shared" si="13"/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3674</v>
      </c>
      <c r="C869" t="s">
        <v>2821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 t="shared" si="13"/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3688</v>
      </c>
      <c r="C870" t="s">
        <v>2827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2737</v>
      </c>
      <c r="J870" t="str">
        <f t="shared" si="13"/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3787</v>
      </c>
      <c r="C871" t="s">
        <v>2815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 t="shared" si="13"/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3788</v>
      </c>
      <c r="C872" t="s">
        <v>2822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 t="shared" si="13"/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3789</v>
      </c>
      <c r="C873" t="s">
        <v>2823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 t="shared" si="13"/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3790</v>
      </c>
      <c r="C874" t="s">
        <v>2802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2667</v>
      </c>
      <c r="J874" t="str">
        <f t="shared" si="13"/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3791</v>
      </c>
      <c r="C875" t="s">
        <v>2808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 t="shared" si="13"/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3827</v>
      </c>
      <c r="C876" t="s">
        <v>2815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 t="shared" si="13"/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3828</v>
      </c>
      <c r="C877" t="s">
        <v>2808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 t="shared" si="13"/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3829</v>
      </c>
      <c r="C878" t="s">
        <v>2813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 t="shared" si="13"/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3830</v>
      </c>
      <c r="C879" t="s">
        <v>2813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 t="shared" si="13"/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3873</v>
      </c>
      <c r="C880" t="s">
        <v>2807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 t="shared" si="13"/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3874</v>
      </c>
      <c r="C881" t="s">
        <v>2801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 t="shared" si="13"/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3894</v>
      </c>
      <c r="C882" t="s">
        <v>2812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 t="shared" si="13"/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3900</v>
      </c>
      <c r="C883" t="s">
        <v>2816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 t="shared" si="13"/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3921</v>
      </c>
      <c r="C884" t="s">
        <v>2827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2759</v>
      </c>
      <c r="J884" t="str">
        <f t="shared" si="13"/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3929</v>
      </c>
      <c r="C885" t="s">
        <v>2807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 t="shared" si="13"/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3930</v>
      </c>
      <c r="C886" t="s">
        <v>2826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 t="shared" si="13"/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3931</v>
      </c>
      <c r="C887" t="s">
        <v>2802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2688</v>
      </c>
      <c r="J887" t="str">
        <f t="shared" si="13"/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3987</v>
      </c>
      <c r="C888" t="s">
        <v>2821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 t="shared" si="13"/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3988</v>
      </c>
      <c r="C889" t="s">
        <v>2812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 t="shared" si="13"/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3989</v>
      </c>
      <c r="C890" t="s">
        <v>2802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2666</v>
      </c>
      <c r="J890" t="str">
        <f t="shared" si="13"/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3990</v>
      </c>
      <c r="C891" t="s">
        <v>2807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 t="shared" si="13"/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3991</v>
      </c>
      <c r="C892" t="s">
        <v>2811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2772</v>
      </c>
      <c r="J892" t="str">
        <f t="shared" si="13"/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3992</v>
      </c>
      <c r="C893" t="s">
        <v>2826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 t="shared" si="13"/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4014</v>
      </c>
      <c r="C894" t="s">
        <v>2595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 t="shared" si="13"/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4039</v>
      </c>
      <c r="C895" t="s">
        <v>2817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2669</v>
      </c>
      <c r="J895" t="str">
        <f t="shared" si="13"/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4040</v>
      </c>
      <c r="C896" t="s">
        <v>2808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 t="shared" si="13"/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4041</v>
      </c>
      <c r="C897" t="s">
        <v>2803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 t="shared" si="13"/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3456</v>
      </c>
      <c r="C898" t="s">
        <v>2801</v>
      </c>
      <c r="D898" s="2" t="s">
        <v>2547</v>
      </c>
      <c r="E898" s="2" t="s">
        <v>785</v>
      </c>
      <c r="F898" s="2">
        <v>399</v>
      </c>
      <c r="G898" s="2">
        <v>1174</v>
      </c>
      <c r="H898" s="2">
        <v>10</v>
      </c>
      <c r="J898" t="str">
        <f t="shared" ref="J898:J961" si="14"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3292</v>
      </c>
      <c r="C899" t="s">
        <v>2816</v>
      </c>
      <c r="D899" s="2" t="s">
        <v>2551</v>
      </c>
      <c r="E899" s="2" t="s">
        <v>785</v>
      </c>
      <c r="F899" s="2">
        <v>959</v>
      </c>
      <c r="G899" s="2">
        <v>-944</v>
      </c>
      <c r="H899" s="2">
        <v>11</v>
      </c>
      <c r="J899" t="str">
        <f t="shared" si="14"/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3549</v>
      </c>
      <c r="C900" t="s">
        <v>2809</v>
      </c>
      <c r="D900" s="2" t="s">
        <v>2550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 t="shared" si="14"/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3732</v>
      </c>
      <c r="C901" t="s">
        <v>2812</v>
      </c>
      <c r="D901" s="2" t="s">
        <v>2550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 t="shared" si="14"/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workbookViewId="0">
      <selection activeCell="H5" sqref="H5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2088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2089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2090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2091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2092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2093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2094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2095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2096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2097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2098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2099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2100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2101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2102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2103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2104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2105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2106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2107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2108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2109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2110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2111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2112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2113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2114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2115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2116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2117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2118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2119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2120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2121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2122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2123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2124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2125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2126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2127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2128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2129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2130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2131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2132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2133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2134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2135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2136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2137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2138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2139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2140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2141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2142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2143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2144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2145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2146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2147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2148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2149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2150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2151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2152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2153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2154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2155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2156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2157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2158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2159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2160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2161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2162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2163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2164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2165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2166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2167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2168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2169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2170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2171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2172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2173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2174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2175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2176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2177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2178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2179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2180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2181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2182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2183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2184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2185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2186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2187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2188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2189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2190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2191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2192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2193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2194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2195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2196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2197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2198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2199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2200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2201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2202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2203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2204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2205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2206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opLeftCell="A148" workbookViewId="0">
      <selection activeCell="A168" sqref="A168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2830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2556</v>
      </c>
      <c r="I2" s="2" t="s">
        <v>2519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2556</v>
      </c>
      <c r="I3" s="2" t="s">
        <v>2519</v>
      </c>
      <c r="J3" s="2">
        <v>2</v>
      </c>
      <c r="L3" t="str">
        <f t="shared" ref="L3:L65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2556</v>
      </c>
      <c r="I4" s="2" t="s">
        <v>2519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2556</v>
      </c>
      <c r="I5" s="2" t="s">
        <v>2519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2561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2556</v>
      </c>
      <c r="I6" s="2" t="s">
        <v>2545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2543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2546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2542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2832</v>
      </c>
      <c r="I8" s="2" t="s">
        <v>2546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2543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2546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2545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2519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2519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2519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2519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2519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2519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2519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2519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2519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2556</v>
      </c>
      <c r="I20" s="2" t="s">
        <v>2519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2556</v>
      </c>
      <c r="I21" s="26" t="s">
        <v>2519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2556</v>
      </c>
      <c r="I22" s="2" t="s">
        <v>2519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2556</v>
      </c>
      <c r="I23" s="26" t="s">
        <v>2519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2556</v>
      </c>
      <c r="I24" s="2" t="s">
        <v>2519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2556</v>
      </c>
      <c r="I25" s="2" t="s">
        <v>2519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2556</v>
      </c>
      <c r="I26" s="26" t="s">
        <v>2519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2556</v>
      </c>
      <c r="I27" s="2" t="s">
        <v>2519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2556</v>
      </c>
      <c r="I28" s="26" t="s">
        <v>2519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2556</v>
      </c>
      <c r="I29" s="26" t="s">
        <v>2519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2556</v>
      </c>
      <c r="I30" s="26" t="s">
        <v>2545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2556</v>
      </c>
      <c r="I31" s="26" t="s">
        <v>2519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2556</v>
      </c>
      <c r="I32" s="26" t="s">
        <v>2519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2556</v>
      </c>
      <c r="I33" s="2" t="s">
        <v>2519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2556</v>
      </c>
      <c r="I34" s="2" t="s">
        <v>2545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2556</v>
      </c>
      <c r="I35" s="26" t="s">
        <v>2545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2556</v>
      </c>
      <c r="I36" s="26" t="s">
        <v>2519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658</v>
      </c>
      <c r="G37" s="2">
        <v>21</v>
      </c>
      <c r="H37" s="2" t="s">
        <v>2556</v>
      </c>
      <c r="I37" s="2" t="s">
        <v>2519</v>
      </c>
      <c r="J37" s="2">
        <v>1</v>
      </c>
      <c r="L37" t="str">
        <f t="shared" si="0"/>
        <v>{ name: "Moat Bridge", landmark: "Named Location", type: "", region: 1, level: "Surface", x: -612, y: 658,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2556</v>
      </c>
      <c r="I38" s="26" t="s">
        <v>2546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2556</v>
      </c>
      <c r="I39" s="26" t="s">
        <v>2546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2556</v>
      </c>
      <c r="I40" s="26" t="s">
        <v>2545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2556</v>
      </c>
      <c r="I41" s="2" t="s">
        <v>2519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2556</v>
      </c>
      <c r="I42" s="26" t="s">
        <v>2519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2556</v>
      </c>
      <c r="I43" s="26" t="s">
        <v>2519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2556</v>
      </c>
      <c r="I44" s="26" t="s">
        <v>2545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2556</v>
      </c>
      <c r="I45" s="2" t="s">
        <v>2519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2556</v>
      </c>
      <c r="I46" s="2" t="s">
        <v>2519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2556</v>
      </c>
      <c r="I47" s="2" t="s">
        <v>2519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2556</v>
      </c>
      <c r="I48" s="2" t="s">
        <v>2519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2556</v>
      </c>
      <c r="I49" s="26" t="s">
        <v>2519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2559</v>
      </c>
      <c r="I50" s="2" t="s">
        <v>2545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2556</v>
      </c>
      <c r="I51" s="2" t="s">
        <v>2545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2556</v>
      </c>
      <c r="I52" s="2" t="s">
        <v>2519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2556</v>
      </c>
      <c r="I53" s="2" t="s">
        <v>2519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2556</v>
      </c>
      <c r="I54" s="2" t="s">
        <v>2519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2556</v>
      </c>
      <c r="I55" s="2" t="s">
        <v>2519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2556</v>
      </c>
      <c r="I56" s="2" t="s">
        <v>2519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2556</v>
      </c>
      <c r="I57" s="2" t="s">
        <v>2519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2542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2832</v>
      </c>
      <c r="I58" s="2" t="s">
        <v>2546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2542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2832</v>
      </c>
      <c r="I59" s="2" t="s">
        <v>2546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2556</v>
      </c>
      <c r="I60" s="26" t="s">
        <v>2519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2556</v>
      </c>
      <c r="I61" s="2" t="s">
        <v>2545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2556</v>
      </c>
      <c r="I62" s="2" t="s">
        <v>2519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2556</v>
      </c>
      <c r="I63" s="2" t="s">
        <v>2519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2556</v>
      </c>
      <c r="I64" s="2" t="s">
        <v>2519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2556</v>
      </c>
      <c r="I65" s="2" t="s">
        <v>2519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2556</v>
      </c>
      <c r="I66" s="26" t="s">
        <v>2519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2556</v>
      </c>
      <c r="I67" s="26" t="s">
        <v>2519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2556</v>
      </c>
      <c r="I68" s="26" t="s">
        <v>2519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2556</v>
      </c>
      <c r="I69" s="26" t="s">
        <v>2519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2556</v>
      </c>
      <c r="I70" s="2" t="s">
        <v>2519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2556</v>
      </c>
      <c r="I71" s="2" t="s">
        <v>2519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2556</v>
      </c>
      <c r="I72" s="26" t="s">
        <v>2519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2556</v>
      </c>
      <c r="I73" s="26" t="s">
        <v>2519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2556</v>
      </c>
      <c r="I74" s="2" t="s">
        <v>2519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2556</v>
      </c>
      <c r="I75" s="2" t="s">
        <v>2519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2556</v>
      </c>
      <c r="I76" s="26" t="s">
        <v>2519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2556</v>
      </c>
      <c r="I77" s="2" t="s">
        <v>2519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2556</v>
      </c>
      <c r="I78" s="26" t="s">
        <v>2546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2556</v>
      </c>
      <c r="I79" s="2" t="s">
        <v>2545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2556</v>
      </c>
      <c r="I80" s="2" t="s">
        <v>2519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2556</v>
      </c>
      <c r="I81" s="26" t="s">
        <v>2519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2556</v>
      </c>
      <c r="I82" s="2" t="s">
        <v>2519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2556</v>
      </c>
      <c r="I83" s="2" t="s">
        <v>2546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2556</v>
      </c>
      <c r="I84" s="2" t="s">
        <v>2519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2556</v>
      </c>
      <c r="I85" s="2" t="s">
        <v>2546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2556</v>
      </c>
      <c r="I86" s="26" t="s">
        <v>2546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2556</v>
      </c>
      <c r="I87" s="2" t="s">
        <v>2519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2556</v>
      </c>
      <c r="I88" s="26" t="s">
        <v>2546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2556</v>
      </c>
      <c r="I89" s="26" t="s">
        <v>2545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2556</v>
      </c>
      <c r="I90" s="2" t="s">
        <v>2519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2556</v>
      </c>
      <c r="I91" s="2" t="s">
        <v>2519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2556</v>
      </c>
      <c r="I92" s="2" t="s">
        <v>2519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2542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2832</v>
      </c>
      <c r="I93" s="2" t="s">
        <v>2546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2542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2832</v>
      </c>
      <c r="I94" s="2" t="s">
        <v>2546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2556</v>
      </c>
      <c r="I95" s="2" t="s">
        <v>2545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2556</v>
      </c>
      <c r="I96" s="2" t="s">
        <v>2545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2546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2545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2556</v>
      </c>
      <c r="I99" s="2" t="s">
        <v>2519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2556</v>
      </c>
      <c r="I100" s="2" t="s">
        <v>2545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2556</v>
      </c>
      <c r="I101" s="2" t="s">
        <v>2546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2556</v>
      </c>
      <c r="I102" s="2" t="s">
        <v>2545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2556</v>
      </c>
      <c r="I103" s="2" t="s">
        <v>2545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2556</v>
      </c>
      <c r="I104" s="2" t="s">
        <v>2545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2556</v>
      </c>
      <c r="I105" s="2" t="s">
        <v>2519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2556</v>
      </c>
      <c r="I106" s="2" t="s">
        <v>2546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2556</v>
      </c>
      <c r="I107" s="2" t="s">
        <v>2545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2556</v>
      </c>
      <c r="I108" s="2" t="s">
        <v>2519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2556</v>
      </c>
      <c r="I109" s="2" t="s">
        <v>2546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2556</v>
      </c>
      <c r="I110" s="2" t="s">
        <v>2546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2556</v>
      </c>
      <c r="I111" s="2" t="s">
        <v>2545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2556</v>
      </c>
      <c r="I112" s="2" t="s">
        <v>2546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2556</v>
      </c>
      <c r="I113" s="2" t="s">
        <v>2545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2556</v>
      </c>
      <c r="I114" s="2" t="s">
        <v>2545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2556</v>
      </c>
      <c r="I115" s="2" t="s">
        <v>2545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2556</v>
      </c>
      <c r="I116" s="2" t="s">
        <v>2546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2556</v>
      </c>
      <c r="I117" s="2" t="s">
        <v>2545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2556</v>
      </c>
      <c r="I118" s="2" t="s">
        <v>2545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2556</v>
      </c>
      <c r="I119" s="2" t="s">
        <v>2519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2556</v>
      </c>
      <c r="I120" s="2" t="s">
        <v>2519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2556</v>
      </c>
      <c r="I121" s="2" t="s">
        <v>2546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2556</v>
      </c>
      <c r="I122" s="2" t="s">
        <v>2519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2556</v>
      </c>
      <c r="I123" s="2" t="s">
        <v>2519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2556</v>
      </c>
      <c r="I124" s="2" t="s">
        <v>2545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2556</v>
      </c>
      <c r="I125" s="2" t="s">
        <v>2545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2556</v>
      </c>
      <c r="I126" s="2" t="s">
        <v>2546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2556</v>
      </c>
      <c r="I127" s="2" t="s">
        <v>2546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2556</v>
      </c>
      <c r="I128" s="2" t="s">
        <v>2545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2559</v>
      </c>
      <c r="I129" s="2" t="s">
        <v>2545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2556</v>
      </c>
      <c r="I130" s="2" t="s">
        <v>2519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2556</v>
      </c>
      <c r="I131" s="2" t="s">
        <v>2546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-2738</v>
      </c>
      <c r="F132" s="2">
        <v>2902</v>
      </c>
      <c r="G132" s="2">
        <v>-1100</v>
      </c>
      <c r="H132" s="2" t="s">
        <v>2556</v>
      </c>
      <c r="I132" s="2" t="s">
        <v>2519</v>
      </c>
      <c r="J132" s="2">
        <v>2</v>
      </c>
      <c r="L132" t="str">
        <f t="shared" si="2"/>
        <v>{ name: "Hebra Canyon Mine", landmark: "Named Location", type: "", region: 4, level: "Depths", x: -2738, y: 2902,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2556</v>
      </c>
      <c r="I133" s="2" t="s">
        <v>2545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2556</v>
      </c>
      <c r="I134" s="2" t="s">
        <v>2546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2556</v>
      </c>
      <c r="I135" s="2" t="s">
        <v>2546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2543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2546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2351</v>
      </c>
      <c r="B137" t="s">
        <v>2542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2832</v>
      </c>
      <c r="I137" s="2" t="s">
        <v>2546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2542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2832</v>
      </c>
      <c r="I138" s="2" t="s">
        <v>2546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2542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2832</v>
      </c>
      <c r="I139" s="2" t="s">
        <v>2546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2543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2546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2546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2556</v>
      </c>
      <c r="I142" s="2" t="s">
        <v>2545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2556</v>
      </c>
      <c r="I143" s="2" t="s">
        <v>2545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2556</v>
      </c>
      <c r="I144" s="2" t="s">
        <v>2546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2556</v>
      </c>
      <c r="I145" s="2" t="s">
        <v>2519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2556</v>
      </c>
      <c r="I146" s="2" t="s">
        <v>2546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2556</v>
      </c>
      <c r="I147" s="2" t="s">
        <v>2519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2556</v>
      </c>
      <c r="I148" s="2" t="s">
        <v>2546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2556</v>
      </c>
      <c r="I149" s="2" t="s">
        <v>2546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2556</v>
      </c>
      <c r="I150" s="2" t="s">
        <v>2546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2556</v>
      </c>
      <c r="I151" s="2" t="s">
        <v>2546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2556</v>
      </c>
      <c r="I152" s="2" t="s">
        <v>2519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2556</v>
      </c>
      <c r="I153" s="2" t="s">
        <v>2546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2556</v>
      </c>
      <c r="I154" s="2" t="s">
        <v>2519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2556</v>
      </c>
      <c r="I155" s="2" t="s">
        <v>2545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2556</v>
      </c>
      <c r="I156" s="2" t="s">
        <v>2546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2556</v>
      </c>
      <c r="I157" s="2" t="s">
        <v>2546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2556</v>
      </c>
      <c r="I158" s="2" t="s">
        <v>2519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2556</v>
      </c>
      <c r="I159" s="2" t="s">
        <v>2519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2556</v>
      </c>
      <c r="I160" s="2" t="s">
        <v>2546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2556</v>
      </c>
      <c r="I161" s="2" t="s">
        <v>2546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2556</v>
      </c>
      <c r="I162" s="2" t="s">
        <v>2519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2556</v>
      </c>
      <c r="I163" s="2" t="s">
        <v>2519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2556</v>
      </c>
      <c r="I164" s="2" t="s">
        <v>2545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2556</v>
      </c>
      <c r="I165" s="2" t="s">
        <v>2519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2556</v>
      </c>
      <c r="I166" s="2" t="s">
        <v>2546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2562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2556</v>
      </c>
      <c r="I167" s="2" t="s">
        <v>2545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2556</v>
      </c>
      <c r="I168" s="2" t="s">
        <v>2519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2542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2832</v>
      </c>
      <c r="I169" s="2" t="s">
        <v>2546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2556</v>
      </c>
      <c r="I170" s="2" t="s">
        <v>2546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2545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2556</v>
      </c>
      <c r="I172" s="2" t="s">
        <v>2519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2556</v>
      </c>
      <c r="I173" s="2" t="s">
        <v>2519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2556</v>
      </c>
      <c r="I174" s="2" t="s">
        <v>2545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2556</v>
      </c>
      <c r="I175" s="2" t="s">
        <v>2519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2556</v>
      </c>
      <c r="I176" s="2" t="s">
        <v>2545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2556</v>
      </c>
      <c r="I177" s="2" t="s">
        <v>2545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2556</v>
      </c>
      <c r="I178" s="2" t="s">
        <v>2545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2556</v>
      </c>
      <c r="I179" s="2" t="s">
        <v>2519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2556</v>
      </c>
      <c r="I180" s="2" t="s">
        <v>2545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2556</v>
      </c>
      <c r="I181" s="2" t="s">
        <v>2519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2556</v>
      </c>
      <c r="I182" s="2" t="s">
        <v>2519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2556</v>
      </c>
      <c r="I183" s="2" t="s">
        <v>2519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2542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2832</v>
      </c>
      <c r="I184" s="2" t="s">
        <v>2546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2556</v>
      </c>
      <c r="I185" s="2" t="s">
        <v>2545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2519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2556</v>
      </c>
      <c r="I187" s="2" t="s">
        <v>2545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2556</v>
      </c>
      <c r="I188" s="2" t="s">
        <v>2546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2556</v>
      </c>
      <c r="I189" s="2" t="s">
        <v>2546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2556</v>
      </c>
      <c r="I190" s="2" t="s">
        <v>2546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2556</v>
      </c>
      <c r="I191" s="2" t="s">
        <v>2545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2556</v>
      </c>
      <c r="I192" s="2" t="s">
        <v>2546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2556</v>
      </c>
      <c r="I193" s="2" t="s">
        <v>2519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2556</v>
      </c>
      <c r="I194" s="2" t="s">
        <v>2519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2396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2556</v>
      </c>
      <c r="I195" s="2" t="s">
        <v>2519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2556</v>
      </c>
      <c r="I196" s="2" t="s">
        <v>2545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2556</v>
      </c>
      <c r="I197" s="2" t="s">
        <v>2519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2556</v>
      </c>
      <c r="I198" s="2" t="s">
        <v>2545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2556</v>
      </c>
      <c r="I199" s="2" t="s">
        <v>2546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2556</v>
      </c>
      <c r="I200" s="2" t="s">
        <v>2519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2556</v>
      </c>
      <c r="I201" s="2" t="s">
        <v>2545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2556</v>
      </c>
      <c r="I202" s="2" t="s">
        <v>2546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2559</v>
      </c>
      <c r="I203" s="2" t="s">
        <v>2545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2556</v>
      </c>
      <c r="I204" s="2" t="s">
        <v>2519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2556</v>
      </c>
      <c r="I205" s="2" t="s">
        <v>2519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2543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2546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2542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2832</v>
      </c>
      <c r="I207" s="2" t="s">
        <v>2546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2542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2832</v>
      </c>
      <c r="I208" s="2" t="s">
        <v>2546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2543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2546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2546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2545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2546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2556</v>
      </c>
      <c r="I213" s="2" t="s">
        <v>2519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2556</v>
      </c>
      <c r="I214" s="2" t="s">
        <v>2519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2556</v>
      </c>
      <c r="I215" s="2" t="s">
        <v>2545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2556</v>
      </c>
      <c r="I216" s="2" t="s">
        <v>2519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2556</v>
      </c>
      <c r="I217" s="2" t="s">
        <v>2519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2556</v>
      </c>
      <c r="I218" s="2" t="s">
        <v>2519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2556</v>
      </c>
      <c r="I219" s="2" t="s">
        <v>2546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2556</v>
      </c>
      <c r="I220" s="2" t="s">
        <v>2519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2556</v>
      </c>
      <c r="I221" s="2" t="s">
        <v>2545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2556</v>
      </c>
      <c r="I222" s="2" t="s">
        <v>2519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2556</v>
      </c>
      <c r="I223" s="2" t="s">
        <v>2519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2556</v>
      </c>
      <c r="I224" s="2" t="s">
        <v>2519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2556</v>
      </c>
      <c r="I225" s="2" t="s">
        <v>2546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2556</v>
      </c>
      <c r="I226" s="2" t="s">
        <v>2519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2556</v>
      </c>
      <c r="I227" s="2" t="s">
        <v>2546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2556</v>
      </c>
      <c r="I228" s="2" t="s">
        <v>2519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2556</v>
      </c>
      <c r="I229" s="2" t="s">
        <v>2519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2556</v>
      </c>
      <c r="I230" s="2" t="s">
        <v>2545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2556</v>
      </c>
      <c r="I231" s="2" t="s">
        <v>2546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2556</v>
      </c>
      <c r="I232" s="2" t="s">
        <v>2545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2556</v>
      </c>
      <c r="I233" s="2" t="s">
        <v>2519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2556</v>
      </c>
      <c r="I234" s="2" t="s">
        <v>2519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2556</v>
      </c>
      <c r="I235" s="2" t="s">
        <v>2519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2556</v>
      </c>
      <c r="I236" s="2" t="s">
        <v>2546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2556</v>
      </c>
      <c r="I237" s="2" t="s">
        <v>2519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2556</v>
      </c>
      <c r="I238" s="2" t="s">
        <v>2519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2556</v>
      </c>
      <c r="I239" s="2" t="s">
        <v>2519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2556</v>
      </c>
      <c r="I240" s="2" t="s">
        <v>2519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2556</v>
      </c>
      <c r="I241" s="2" t="s">
        <v>2519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2556</v>
      </c>
      <c r="I242" s="2" t="s">
        <v>2519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2556</v>
      </c>
      <c r="I243" s="2" t="s">
        <v>2545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2556</v>
      </c>
      <c r="I244" s="2" t="s">
        <v>2519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2559</v>
      </c>
      <c r="I245" s="2" t="s">
        <v>2545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2556</v>
      </c>
      <c r="I246" s="2" t="s">
        <v>2545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2556</v>
      </c>
      <c r="I247" s="2" t="s">
        <v>2519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2556</v>
      </c>
      <c r="I248" s="2" t="s">
        <v>2519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2556</v>
      </c>
      <c r="I249" s="2" t="s">
        <v>2519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2556</v>
      </c>
      <c r="I250" s="2" t="s">
        <v>2519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2556</v>
      </c>
      <c r="I251" s="2" t="s">
        <v>2519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2556</v>
      </c>
      <c r="I252" s="2" t="s">
        <v>2519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2543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2546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2542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2832</v>
      </c>
      <c r="I254" s="2" t="s">
        <v>2546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2542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2832</v>
      </c>
      <c r="I255" s="2" t="s">
        <v>2546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2556</v>
      </c>
      <c r="I256" s="2" t="s">
        <v>2546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2556</v>
      </c>
      <c r="I257" s="2" t="s">
        <v>2545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2543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2546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2546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2519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2545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2556</v>
      </c>
      <c r="I262" s="2" t="s">
        <v>2519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2556</v>
      </c>
      <c r="I263" s="2" t="s">
        <v>2519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2556</v>
      </c>
      <c r="I264" s="2" t="s">
        <v>2545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2556</v>
      </c>
      <c r="I265" s="2" t="s">
        <v>2519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2556</v>
      </c>
      <c r="I266" s="2" t="s">
        <v>2519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2556</v>
      </c>
      <c r="I267" s="2" t="s">
        <v>2545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2556</v>
      </c>
      <c r="I268" s="2" t="s">
        <v>2546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2556</v>
      </c>
      <c r="I269" s="2" t="s">
        <v>2519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2556</v>
      </c>
      <c r="I270" s="2" t="s">
        <v>2519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2556</v>
      </c>
      <c r="I271" s="2" t="s">
        <v>2519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2556</v>
      </c>
      <c r="I272" s="2" t="s">
        <v>2519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2556</v>
      </c>
      <c r="I273" s="2" t="s">
        <v>2546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2556</v>
      </c>
      <c r="I274" s="2" t="s">
        <v>2545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2556</v>
      </c>
      <c r="I275" s="2" t="s">
        <v>2546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2556</v>
      </c>
      <c r="I276" s="2" t="s">
        <v>2545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2556</v>
      </c>
      <c r="I277" s="2" t="s">
        <v>2545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2556</v>
      </c>
      <c r="I278" s="2" t="s">
        <v>2519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2556</v>
      </c>
      <c r="I279" s="2" t="s">
        <v>2546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2556</v>
      </c>
      <c r="I280" s="2" t="s">
        <v>2519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2556</v>
      </c>
      <c r="I281" s="2" t="s">
        <v>2519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2556</v>
      </c>
      <c r="I282" s="2" t="s">
        <v>2545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2556</v>
      </c>
      <c r="I283" s="2" t="s">
        <v>2545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2556</v>
      </c>
      <c r="I284" s="2" t="s">
        <v>2545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2556</v>
      </c>
      <c r="I285" s="2" t="s">
        <v>2546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2559</v>
      </c>
      <c r="I286" s="2" t="s">
        <v>2545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2556</v>
      </c>
      <c r="I287" s="2" t="s">
        <v>2519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2556</v>
      </c>
      <c r="I288" s="2" t="s">
        <v>2519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2556</v>
      </c>
      <c r="I289" s="2" t="s">
        <v>2519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2543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2546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2542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2832</v>
      </c>
      <c r="I291" s="2" t="s">
        <v>2546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2542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2556</v>
      </c>
      <c r="I292" s="2" t="s">
        <v>2546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2556</v>
      </c>
      <c r="I293" s="2" t="s">
        <v>2546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2543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2546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2519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2519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2556</v>
      </c>
      <c r="I297" s="2" t="s">
        <v>2519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2556</v>
      </c>
      <c r="I298" s="2" t="s">
        <v>2519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2556</v>
      </c>
      <c r="I299" s="2" t="s">
        <v>2519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2556</v>
      </c>
      <c r="I300" s="2" t="s">
        <v>2545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2556</v>
      </c>
      <c r="I301" s="2" t="s">
        <v>2519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2556</v>
      </c>
      <c r="I302" s="2" t="s">
        <v>2546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2556</v>
      </c>
      <c r="I303" s="2" t="s">
        <v>2545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2556</v>
      </c>
      <c r="I304" s="2" t="s">
        <v>2545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2556</v>
      </c>
      <c r="I305" s="2" t="s">
        <v>2519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2556</v>
      </c>
      <c r="I306" s="2" t="s">
        <v>2519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2556</v>
      </c>
      <c r="I307" s="2" t="s">
        <v>2519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2556</v>
      </c>
      <c r="I308" s="2" t="s">
        <v>2519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2556</v>
      </c>
      <c r="I309" s="2" t="s">
        <v>2545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2556</v>
      </c>
      <c r="I310" s="2" t="s">
        <v>2546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2556</v>
      </c>
      <c r="I311" s="2" t="s">
        <v>2545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2556</v>
      </c>
      <c r="I312" s="2" t="s">
        <v>2545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2556</v>
      </c>
      <c r="I313" s="2" t="s">
        <v>2519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2556</v>
      </c>
      <c r="I314" s="2" t="s">
        <v>2519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2556</v>
      </c>
      <c r="I315" s="2" t="s">
        <v>2519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2556</v>
      </c>
      <c r="I316" s="2" t="s">
        <v>2545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2556</v>
      </c>
      <c r="I317" s="2" t="s">
        <v>2519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2556</v>
      </c>
      <c r="I318" s="2" t="s">
        <v>2546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2556</v>
      </c>
      <c r="I319" s="2" t="s">
        <v>2519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2556</v>
      </c>
      <c r="I320" s="2" t="s">
        <v>2519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2556</v>
      </c>
      <c r="I321" s="2" t="s">
        <v>2519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2556</v>
      </c>
      <c r="I322" s="2" t="s">
        <v>2519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2556</v>
      </c>
      <c r="I323" s="2" t="s">
        <v>2546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2556</v>
      </c>
      <c r="I324" s="2" t="s">
        <v>2545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2556</v>
      </c>
      <c r="I325" s="2" t="s">
        <v>2545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2556</v>
      </c>
      <c r="I326" s="2" t="s">
        <v>2519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2556</v>
      </c>
      <c r="I327" s="2" t="s">
        <v>2519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2556</v>
      </c>
      <c r="I328" s="2" t="s">
        <v>2545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2556</v>
      </c>
      <c r="I329" s="2" t="s">
        <v>2519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2556</v>
      </c>
      <c r="I330" s="2" t="s">
        <v>2519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2556</v>
      </c>
      <c r="I331" s="2" t="s">
        <v>2519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2556</v>
      </c>
      <c r="I332" s="2" t="s">
        <v>2545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2556</v>
      </c>
      <c r="I333" s="2" t="s">
        <v>2546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2556</v>
      </c>
      <c r="I334" s="2" t="s">
        <v>2546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2556</v>
      </c>
      <c r="I335" s="2" t="s">
        <v>2545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2556</v>
      </c>
      <c r="I336" s="2" t="s">
        <v>2519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2556</v>
      </c>
      <c r="I337" s="2" t="s">
        <v>2545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2556</v>
      </c>
      <c r="I338" s="2" t="s">
        <v>2545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2556</v>
      </c>
      <c r="I339" s="2" t="s">
        <v>2545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2556</v>
      </c>
      <c r="I340" s="2" t="s">
        <v>2545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2556</v>
      </c>
      <c r="I341" s="2" t="s">
        <v>2519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2556</v>
      </c>
      <c r="I342" s="2" t="s">
        <v>2519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2556</v>
      </c>
      <c r="I343" s="2" t="s">
        <v>2546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2556</v>
      </c>
      <c r="I344" s="2" t="s">
        <v>2519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2559</v>
      </c>
      <c r="I345" s="2" t="s">
        <v>2545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2556</v>
      </c>
      <c r="I346" s="2" t="s">
        <v>2519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2556</v>
      </c>
      <c r="I347" s="2" t="s">
        <v>2519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2556</v>
      </c>
      <c r="I348" s="2" t="s">
        <v>2519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2542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2832</v>
      </c>
      <c r="I349" s="2" t="s">
        <v>2546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2542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2832</v>
      </c>
      <c r="I350" s="2" t="s">
        <v>2546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2556</v>
      </c>
      <c r="I351" s="2" t="s">
        <v>2546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2543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2546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2545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2545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2556</v>
      </c>
      <c r="I355" s="2" t="s">
        <v>2545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2556</v>
      </c>
      <c r="I356" s="2" t="s">
        <v>2519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2556</v>
      </c>
      <c r="I357" s="2" t="s">
        <v>2519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2556</v>
      </c>
      <c r="I358" s="2" t="s">
        <v>2546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2556</v>
      </c>
      <c r="I359" s="2" t="s">
        <v>2546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2556</v>
      </c>
      <c r="I360" s="2" t="s">
        <v>2546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2556</v>
      </c>
      <c r="I361" s="2" t="s">
        <v>2546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2556</v>
      </c>
      <c r="I362" s="2" t="s">
        <v>2546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2556</v>
      </c>
      <c r="I363" s="2" t="s">
        <v>2519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2556</v>
      </c>
      <c r="I364" s="2" t="s">
        <v>2519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2556</v>
      </c>
      <c r="I365" s="2" t="s">
        <v>2545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2556</v>
      </c>
      <c r="I366" s="2" t="s">
        <v>2519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2556</v>
      </c>
      <c r="I367" s="2" t="s">
        <v>2519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2556</v>
      </c>
      <c r="I368" s="2" t="s">
        <v>2545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2556</v>
      </c>
      <c r="I369" s="2" t="s">
        <v>2519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2556</v>
      </c>
      <c r="I370" s="2" t="s">
        <v>2545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2556</v>
      </c>
      <c r="I371" s="2" t="s">
        <v>2519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2556</v>
      </c>
      <c r="I372" s="2" t="s">
        <v>2519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2556</v>
      </c>
      <c r="I373" s="2" t="s">
        <v>2519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2556</v>
      </c>
      <c r="I374" s="2" t="s">
        <v>2545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2556</v>
      </c>
      <c r="I375" s="2" t="s">
        <v>2546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2556</v>
      </c>
      <c r="I376" s="2" t="s">
        <v>2545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2556</v>
      </c>
      <c r="I377" s="2" t="s">
        <v>2545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2556</v>
      </c>
      <c r="I378" s="2" t="s">
        <v>2545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2556</v>
      </c>
      <c r="I379" s="2" t="s">
        <v>2519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2556</v>
      </c>
      <c r="I380" s="2" t="s">
        <v>2545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2556</v>
      </c>
      <c r="I381" s="2" t="s">
        <v>2546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2556</v>
      </c>
      <c r="I382" s="2" t="s">
        <v>2546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2556</v>
      </c>
      <c r="I383" s="2" t="s">
        <v>2545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2556</v>
      </c>
      <c r="I384" s="2" t="s">
        <v>2545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2556</v>
      </c>
      <c r="I385" s="2" t="s">
        <v>2519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2556</v>
      </c>
      <c r="I386" s="2" t="s">
        <v>2545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2556</v>
      </c>
      <c r="I387" s="2" t="s">
        <v>2519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2556</v>
      </c>
      <c r="I388" s="2" t="s">
        <v>2545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2556</v>
      </c>
      <c r="I389" s="2" t="s">
        <v>2545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2556</v>
      </c>
      <c r="I390" s="2" t="s">
        <v>2519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2556</v>
      </c>
      <c r="I391" s="2" t="s">
        <v>2545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2556</v>
      </c>
      <c r="I392" s="2" t="s">
        <v>2545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2556</v>
      </c>
      <c r="I393" s="2" t="s">
        <v>2545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2559</v>
      </c>
      <c r="I394" s="2" t="s">
        <v>2545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2556</v>
      </c>
      <c r="I395" s="2" t="s">
        <v>2519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2556</v>
      </c>
      <c r="I396" s="2" t="s">
        <v>2519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2556</v>
      </c>
      <c r="I397" s="2" t="s">
        <v>2519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2556</v>
      </c>
      <c r="I398" s="2" t="s">
        <v>2519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2556</v>
      </c>
      <c r="I399" s="2" t="s">
        <v>2519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2556</v>
      </c>
      <c r="I400" s="2" t="s">
        <v>2519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2556</v>
      </c>
      <c r="I401" s="2" t="s">
        <v>2519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2556</v>
      </c>
      <c r="I402" s="2" t="s">
        <v>2519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2556</v>
      </c>
      <c r="I403" s="2" t="s">
        <v>2519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2543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2546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2542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2832</v>
      </c>
      <c r="I405" s="2" t="s">
        <v>2546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2556</v>
      </c>
      <c r="I406" s="2" t="s">
        <v>2545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2546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2519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2519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2556</v>
      </c>
      <c r="I410" s="2" t="s">
        <v>2519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2556</v>
      </c>
      <c r="I411" s="2" t="s">
        <v>2519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2556</v>
      </c>
      <c r="I412" s="2" t="s">
        <v>2546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2556</v>
      </c>
      <c r="I413" s="2" t="s">
        <v>2519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2556</v>
      </c>
      <c r="I414" s="2" t="s">
        <v>2546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2556</v>
      </c>
      <c r="I415" s="2" t="s">
        <v>2519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2556</v>
      </c>
      <c r="I416" s="2" t="s">
        <v>2519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2556</v>
      </c>
      <c r="I417" s="2" t="s">
        <v>2519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2556</v>
      </c>
      <c r="I418" s="2" t="s">
        <v>2519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2556</v>
      </c>
      <c r="I419" s="2" t="s">
        <v>2545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2556</v>
      </c>
      <c r="I420" s="2" t="s">
        <v>2519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2556</v>
      </c>
      <c r="I421" s="2" t="s">
        <v>2519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2556</v>
      </c>
      <c r="I422" s="2" t="s">
        <v>2519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2556</v>
      </c>
      <c r="I423" s="2" t="s">
        <v>2546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2556</v>
      </c>
      <c r="I424" s="2" t="s">
        <v>2546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2556</v>
      </c>
      <c r="I425" s="2" t="s">
        <v>2519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2556</v>
      </c>
      <c r="I426" s="2" t="s">
        <v>2519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2556</v>
      </c>
      <c r="I427" s="2" t="s">
        <v>2546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2556</v>
      </c>
      <c r="I428" s="2" t="s">
        <v>2545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2556</v>
      </c>
      <c r="I429" s="2" t="s">
        <v>2519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2556</v>
      </c>
      <c r="I430" s="2" t="s">
        <v>2545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2556</v>
      </c>
      <c r="I431" s="2" t="s">
        <v>2519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2556</v>
      </c>
      <c r="I432" s="2" t="s">
        <v>2546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2556</v>
      </c>
      <c r="I433" s="2" t="s">
        <v>2519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2556</v>
      </c>
      <c r="I434" s="2" t="s">
        <v>2545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2556</v>
      </c>
      <c r="I435" s="2" t="s">
        <v>2546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2556</v>
      </c>
      <c r="I436" s="2" t="s">
        <v>2519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2556</v>
      </c>
      <c r="I437" s="2" t="s">
        <v>2519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2556</v>
      </c>
      <c r="I438" s="2" t="s">
        <v>2545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2556</v>
      </c>
      <c r="I439" s="2" t="s">
        <v>2546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2556</v>
      </c>
      <c r="I440" s="2" t="s">
        <v>2519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2556</v>
      </c>
      <c r="I441" s="2" t="s">
        <v>2519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2556</v>
      </c>
      <c r="I442" s="2" t="s">
        <v>2545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2556</v>
      </c>
      <c r="I443" s="2" t="s">
        <v>2546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2556</v>
      </c>
      <c r="I444" s="2" t="s">
        <v>2545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2556</v>
      </c>
      <c r="I445" s="2" t="s">
        <v>2519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2559</v>
      </c>
      <c r="I446" s="2" t="s">
        <v>2545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2556</v>
      </c>
      <c r="I447" s="2" t="s">
        <v>2519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2556</v>
      </c>
      <c r="I448" s="2" t="s">
        <v>2519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2556</v>
      </c>
      <c r="I449" s="2" t="s">
        <v>2519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2556</v>
      </c>
      <c r="I450" s="2" t="s">
        <v>2519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2556</v>
      </c>
      <c r="I451" s="2" t="s">
        <v>2519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2556</v>
      </c>
      <c r="I452" s="2" t="s">
        <v>2519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2556</v>
      </c>
      <c r="I453" s="2" t="s">
        <v>2519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2556</v>
      </c>
      <c r="I454" s="2" t="s">
        <v>2519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2556</v>
      </c>
      <c r="I455" s="2" t="s">
        <v>2546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2556</v>
      </c>
      <c r="I456" s="2" t="s">
        <v>2519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2556</v>
      </c>
      <c r="I457" s="2" t="s">
        <v>2519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2556</v>
      </c>
      <c r="I458" s="2" t="s">
        <v>2519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2556</v>
      </c>
      <c r="I459" s="2" t="s">
        <v>2519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2542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2832</v>
      </c>
      <c r="I460" s="2" t="s">
        <v>2546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2542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2832</v>
      </c>
      <c r="I461" s="2" t="s">
        <v>2546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2545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2545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2556</v>
      </c>
      <c r="I464" s="26" t="s">
        <v>2519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2556</v>
      </c>
      <c r="I465" s="2" t="s">
        <v>2519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2556</v>
      </c>
      <c r="I466" s="26" t="s">
        <v>2545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2556</v>
      </c>
      <c r="I467" s="2" t="s">
        <v>2545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2556</v>
      </c>
      <c r="I468" s="26" t="s">
        <v>2546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2556</v>
      </c>
      <c r="I469" s="2" t="s">
        <v>2519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2556</v>
      </c>
      <c r="I470" s="26" t="s">
        <v>2519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2556</v>
      </c>
      <c r="I471" s="26" t="s">
        <v>2545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2556</v>
      </c>
      <c r="I472" s="26" t="s">
        <v>2545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2556</v>
      </c>
      <c r="I473" s="26" t="s">
        <v>2545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2556</v>
      </c>
      <c r="I474" s="26" t="s">
        <v>2546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2556</v>
      </c>
      <c r="I475" s="2" t="s">
        <v>2545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2556</v>
      </c>
      <c r="I476" s="2" t="s">
        <v>2545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2556</v>
      </c>
      <c r="I477" s="2" t="s">
        <v>2519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2556</v>
      </c>
      <c r="I478" s="26" t="s">
        <v>2519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2556</v>
      </c>
      <c r="I479" s="26" t="s">
        <v>2519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2556</v>
      </c>
      <c r="I480" s="26" t="s">
        <v>2519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2556</v>
      </c>
      <c r="I481" s="26" t="s">
        <v>2545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2556</v>
      </c>
      <c r="I482" s="26" t="s">
        <v>2545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2556</v>
      </c>
      <c r="I483" s="26" t="s">
        <v>2519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2556</v>
      </c>
      <c r="I484" s="2" t="s">
        <v>2545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2556</v>
      </c>
      <c r="I485" s="2" t="s">
        <v>2546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2556</v>
      </c>
      <c r="I486" s="26" t="s">
        <v>2546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2556</v>
      </c>
      <c r="I487" s="26" t="s">
        <v>2546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2556</v>
      </c>
      <c r="I488" s="2" t="s">
        <v>2546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2556</v>
      </c>
      <c r="I489" s="26" t="s">
        <v>2546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2556</v>
      </c>
      <c r="I490" s="26" t="s">
        <v>2545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2556</v>
      </c>
      <c r="I491" s="2" t="s">
        <v>2519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2556</v>
      </c>
      <c r="I492" s="26" t="s">
        <v>2545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2556</v>
      </c>
      <c r="I493" s="26" t="s">
        <v>2545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2556</v>
      </c>
      <c r="I494" s="26" t="s">
        <v>2519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2556</v>
      </c>
      <c r="I495" s="2" t="s">
        <v>2545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2556</v>
      </c>
      <c r="I496" s="2" t="s">
        <v>2546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2556</v>
      </c>
      <c r="I497" s="26" t="s">
        <v>2546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2556</v>
      </c>
      <c r="I498" s="26" t="s">
        <v>2545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2556</v>
      </c>
      <c r="I499" s="26" t="s">
        <v>2546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2556</v>
      </c>
      <c r="I500" s="26" t="s">
        <v>2519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2556</v>
      </c>
      <c r="I501" s="26" t="s">
        <v>2519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2556</v>
      </c>
      <c r="I502" s="2" t="s">
        <v>2519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2556</v>
      </c>
      <c r="I503" s="2" t="s">
        <v>2519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2556</v>
      </c>
      <c r="I504" s="2" t="s">
        <v>2519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2556</v>
      </c>
      <c r="I505" s="2" t="s">
        <v>2519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2556</v>
      </c>
      <c r="I506" s="2" t="s">
        <v>2519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2560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2556</v>
      </c>
      <c r="I507" s="2" t="s">
        <v>2519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2556</v>
      </c>
      <c r="I508" s="2" t="s">
        <v>2519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2556</v>
      </c>
      <c r="I509" s="2" t="s">
        <v>2519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2543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2546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2542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2832</v>
      </c>
      <c r="I511" s="2" t="s">
        <v>2546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2542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2832</v>
      </c>
      <c r="I512" s="2" t="s">
        <v>2546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2556</v>
      </c>
      <c r="I513" s="2" t="s">
        <v>2546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2543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2546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2545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2519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2519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2556</v>
      </c>
      <c r="I518" s="2" t="s">
        <v>2545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2556</v>
      </c>
      <c r="I519" s="26" t="s">
        <v>2545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2556</v>
      </c>
      <c r="I520" s="26" t="s">
        <v>2519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2556</v>
      </c>
      <c r="I521" s="2" t="s">
        <v>2519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2556</v>
      </c>
      <c r="I522" s="2" t="s">
        <v>2545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2556</v>
      </c>
      <c r="I523" s="26" t="s">
        <v>2519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2556</v>
      </c>
      <c r="I524" s="26" t="s">
        <v>2519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2556</v>
      </c>
      <c r="I525" s="26" t="s">
        <v>2519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2556</v>
      </c>
      <c r="I526" s="26" t="s">
        <v>2519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2556</v>
      </c>
      <c r="I527" s="26" t="s">
        <v>2545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2556</v>
      </c>
      <c r="I528" s="26" t="s">
        <v>2519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2556</v>
      </c>
      <c r="I529" s="26" t="s">
        <v>2519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2556</v>
      </c>
      <c r="I530" s="26" t="s">
        <v>2519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2556</v>
      </c>
      <c r="I531" s="26" t="s">
        <v>2519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2556</v>
      </c>
      <c r="I532" s="26" t="s">
        <v>2519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2556</v>
      </c>
      <c r="I533" s="2" t="s">
        <v>2519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2556</v>
      </c>
      <c r="I534" s="26" t="s">
        <v>2545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2556</v>
      </c>
      <c r="I535" s="26" t="s">
        <v>2519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2556</v>
      </c>
      <c r="I536" s="2" t="s">
        <v>2519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2556</v>
      </c>
      <c r="I537" s="26" t="s">
        <v>2519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2556</v>
      </c>
      <c r="I538" s="26" t="s">
        <v>2519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2556</v>
      </c>
      <c r="I539" s="26" t="s">
        <v>2545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2556</v>
      </c>
      <c r="I540" s="26" t="s">
        <v>2545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2556</v>
      </c>
      <c r="I541" s="26" t="s">
        <v>2545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2556</v>
      </c>
      <c r="I542" s="2" t="s">
        <v>2545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2556</v>
      </c>
      <c r="I543" s="26" t="s">
        <v>2519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2556</v>
      </c>
      <c r="I544" s="26" t="s">
        <v>2545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2556</v>
      </c>
      <c r="I545" s="26" t="s">
        <v>2519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2556</v>
      </c>
      <c r="I546" s="26" t="s">
        <v>2519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2556</v>
      </c>
      <c r="I547" s="26" t="s">
        <v>2546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2556</v>
      </c>
      <c r="I548" s="2" t="s">
        <v>2519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2556</v>
      </c>
      <c r="I549" s="26" t="s">
        <v>2545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2556</v>
      </c>
      <c r="I550" s="26" t="s">
        <v>2546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2556</v>
      </c>
      <c r="I551" s="26" t="s">
        <v>2546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2556</v>
      </c>
      <c r="I552" s="2" t="s">
        <v>2545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2556</v>
      </c>
      <c r="I553" s="2" t="s">
        <v>2545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2556</v>
      </c>
      <c r="I554" s="26" t="s">
        <v>2545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2556</v>
      </c>
      <c r="I555" s="26" t="s">
        <v>2519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2556</v>
      </c>
      <c r="I556" s="26" t="s">
        <v>2519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2556</v>
      </c>
      <c r="I557" s="26" t="s">
        <v>2545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2556</v>
      </c>
      <c r="I558" s="26" t="s">
        <v>2545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2556</v>
      </c>
      <c r="I559" s="26" t="s">
        <v>2519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2556</v>
      </c>
      <c r="I560" s="26" t="s">
        <v>2546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2556</v>
      </c>
      <c r="I561" s="26" t="s">
        <v>2545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2556</v>
      </c>
      <c r="I562" s="26" t="s">
        <v>2545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2556</v>
      </c>
      <c r="I563" s="26" t="s">
        <v>2545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2556</v>
      </c>
      <c r="I564" s="26" t="s">
        <v>2519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2556</v>
      </c>
      <c r="I565" s="2" t="s">
        <v>2519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2556</v>
      </c>
      <c r="I566" s="26" t="s">
        <v>2545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2556</v>
      </c>
      <c r="I567" s="26" t="s">
        <v>2546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2556</v>
      </c>
      <c r="I568" s="26" t="s">
        <v>2519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2556</v>
      </c>
      <c r="I569" s="26" t="s">
        <v>2519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2556</v>
      </c>
      <c r="I570" s="2" t="s">
        <v>2519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2556</v>
      </c>
      <c r="I571" s="26" t="s">
        <v>2519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2556</v>
      </c>
      <c r="I572" s="2" t="s">
        <v>2519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2556</v>
      </c>
      <c r="I573" s="26" t="s">
        <v>2519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2556</v>
      </c>
      <c r="I574" s="2" t="s">
        <v>2519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2556</v>
      </c>
      <c r="I575" s="2" t="s">
        <v>2519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2556</v>
      </c>
      <c r="I576" s="26" t="s">
        <v>2519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2556</v>
      </c>
      <c r="I577" s="26" t="s">
        <v>2545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2556</v>
      </c>
      <c r="I578" s="2" t="s">
        <v>2545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2556</v>
      </c>
      <c r="I579" s="26" t="s">
        <v>2545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2556</v>
      </c>
      <c r="I580" s="26" t="s">
        <v>2546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2556</v>
      </c>
      <c r="I581" s="2" t="s">
        <v>2519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2559</v>
      </c>
      <c r="I582" s="2" t="s">
        <v>2545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2559</v>
      </c>
      <c r="I583" s="2" t="s">
        <v>2545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2556</v>
      </c>
      <c r="I584" s="2" t="s">
        <v>2519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2556</v>
      </c>
      <c r="I585" s="2" t="s">
        <v>2519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2556</v>
      </c>
      <c r="I586" s="2" t="s">
        <v>2545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2556</v>
      </c>
      <c r="I587" s="2" t="s">
        <v>2519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2556</v>
      </c>
      <c r="I588" s="2" t="s">
        <v>2519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2556</v>
      </c>
      <c r="I589" s="2" t="s">
        <v>2519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2556</v>
      </c>
      <c r="I590" s="2" t="s">
        <v>2519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2543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2546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2542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2832</v>
      </c>
      <c r="I592" s="2" t="s">
        <v>2546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2556</v>
      </c>
      <c r="I593" s="2" t="s">
        <v>2546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2543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2546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2545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2556</v>
      </c>
      <c r="I596" s="2" t="s">
        <v>2519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2556</v>
      </c>
      <c r="I597" s="2" t="s">
        <v>2519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2556</v>
      </c>
      <c r="I598" s="2" t="s">
        <v>2546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2556</v>
      </c>
      <c r="I599" s="2" t="s">
        <v>2545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2556</v>
      </c>
      <c r="I600" s="2" t="s">
        <v>2545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2556</v>
      </c>
      <c r="I601" s="2" t="s">
        <v>2545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2556</v>
      </c>
      <c r="I602" s="2" t="s">
        <v>2545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2556</v>
      </c>
      <c r="I603" s="2" t="s">
        <v>2519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2556</v>
      </c>
      <c r="I604" s="2" t="s">
        <v>2546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2556</v>
      </c>
      <c r="I605" s="2" t="s">
        <v>2546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2556</v>
      </c>
      <c r="I606" s="2" t="s">
        <v>2545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2556</v>
      </c>
      <c r="I607" s="2" t="s">
        <v>2545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2556</v>
      </c>
      <c r="I608" s="2" t="s">
        <v>2546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2556</v>
      </c>
      <c r="I609" s="2" t="s">
        <v>2546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2556</v>
      </c>
      <c r="I610" s="2" t="s">
        <v>2519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-2300</v>
      </c>
      <c r="G611" s="2">
        <v>26</v>
      </c>
      <c r="H611" s="2" t="s">
        <v>2556</v>
      </c>
      <c r="I611" s="2" t="s">
        <v>2519</v>
      </c>
      <c r="J611" s="2">
        <v>1</v>
      </c>
      <c r="L611" t="str">
        <f t="shared" si="9"/>
        <v>{ name: "Northern Icehouse", landmark: "Named Location", type: "", region: 14, level: "Surface", x: -3749, y: -2300,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2556</v>
      </c>
      <c r="I612" s="2" t="s">
        <v>2545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2556</v>
      </c>
      <c r="I613" s="2" t="s">
        <v>2519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2556</v>
      </c>
      <c r="I614" s="2" t="s">
        <v>2519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2556</v>
      </c>
      <c r="I615" s="2" t="s">
        <v>2545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2556</v>
      </c>
      <c r="I616" s="2" t="s">
        <v>2545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2556</v>
      </c>
      <c r="I617" s="2" t="s">
        <v>2545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2556</v>
      </c>
      <c r="I618" s="2" t="s">
        <v>2546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2556</v>
      </c>
      <c r="I619" s="2" t="s">
        <v>2545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2556</v>
      </c>
      <c r="I620" s="2" t="s">
        <v>2519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2556</v>
      </c>
      <c r="I621" s="2" t="s">
        <v>2545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2556</v>
      </c>
      <c r="I622" s="2" t="s">
        <v>2519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2556</v>
      </c>
      <c r="I623" s="2" t="s">
        <v>2519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2542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2832</v>
      </c>
      <c r="I624" s="2" t="s">
        <v>2546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2556</v>
      </c>
      <c r="I625" s="2" t="s">
        <v>2545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2546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2556</v>
      </c>
      <c r="I627" s="2" t="s">
        <v>2546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2556</v>
      </c>
      <c r="I628" s="2" t="s">
        <v>2546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2556</v>
      </c>
      <c r="I629" s="2" t="s">
        <v>2546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2556</v>
      </c>
      <c r="I630" s="2" t="s">
        <v>2545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2556</v>
      </c>
      <c r="I631" s="2" t="s">
        <v>2546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2556</v>
      </c>
      <c r="I632" s="2" t="s">
        <v>2545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2556</v>
      </c>
      <c r="I633" s="2" t="s">
        <v>2519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2556</v>
      </c>
      <c r="I634" s="2" t="s">
        <v>2545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2556</v>
      </c>
      <c r="I635" s="2" t="s">
        <v>2545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2556</v>
      </c>
      <c r="I636" s="2" t="s">
        <v>2546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2556</v>
      </c>
      <c r="I637" s="2" t="s">
        <v>2545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2556</v>
      </c>
      <c r="I638" s="2" t="s">
        <v>2546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2556</v>
      </c>
      <c r="I639" s="2" t="s">
        <v>2545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2556</v>
      </c>
      <c r="I640" s="2" t="s">
        <v>2546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2556</v>
      </c>
      <c r="I641" s="2" t="s">
        <v>2545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2556</v>
      </c>
      <c r="I642" s="2" t="s">
        <v>2519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2556</v>
      </c>
      <c r="I643" s="2" t="s">
        <v>2546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2556</v>
      </c>
      <c r="I644" s="2" t="s">
        <v>2545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2556</v>
      </c>
      <c r="I645" s="2" t="s">
        <v>2545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2988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2556</v>
      </c>
      <c r="I646" s="2" t="s">
        <v>2519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2542</v>
      </c>
      <c r="C647" s="2" t="s">
        <v>2987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2832</v>
      </c>
      <c r="I647" s="2" t="s">
        <v>2546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2553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2556</v>
      </c>
      <c r="I648" s="2" t="s">
        <v>2519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2553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2556</v>
      </c>
      <c r="I649" s="2" t="s">
        <v>2519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2549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2556</v>
      </c>
      <c r="I650" s="26" t="s">
        <v>2519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2549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2556</v>
      </c>
      <c r="I651" s="2" t="s">
        <v>2519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2547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2556</v>
      </c>
      <c r="I652" s="2" t="s">
        <v>2519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2835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2556</v>
      </c>
      <c r="I653" s="2" t="s">
        <v>2519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2551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2556</v>
      </c>
      <c r="I654" s="2" t="s">
        <v>2519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2551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2556</v>
      </c>
      <c r="I655" s="2" t="s">
        <v>2519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2550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2556</v>
      </c>
      <c r="I656" s="26" t="s">
        <v>2519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2550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2556</v>
      </c>
      <c r="I657" s="26" t="s">
        <v>2519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2550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2556</v>
      </c>
      <c r="I658" s="2" t="s">
        <v>2519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2548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2556</v>
      </c>
      <c r="I659" s="2" t="s">
        <v>2519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2548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2556</v>
      </c>
      <c r="I660" s="2" t="s">
        <v>2519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2836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2556</v>
      </c>
      <c r="I661" s="2" t="s">
        <v>2519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2554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2556</v>
      </c>
      <c r="I662" s="2" t="s">
        <v>2519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2834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2556</v>
      </c>
      <c r="I663" s="2" t="s">
        <v>2519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I24" sqref="I24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60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2504</v>
      </c>
      <c r="I2" t="str">
        <f>"{ name: "&amp;CHAR(34)&amp;A2&amp;CHAR(34)&amp;", landmark: "&amp;CHAR(34)&amp;IF(OR(B2="Armor Shop",B2="Other Shop"),B2,"General Shop")&amp;CHAR(34)&amp;",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2482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2470</v>
      </c>
      <c r="I3" t="str">
        <f t="shared" ref="I3:I38" si="0">"{ name: "&amp;CHAR(34)&amp;A3&amp;CHAR(34)&amp;", landmark: "&amp;CHAR(34)&amp;IF(OR(B3="Armor Shop",B3="Other Shop"),B3,"General Shop")&amp;CHAR(34)&amp;", type: "&amp;CHAR(34)&amp;B3&amp;CHAR(34)&amp;", region: "&amp;C3&amp;", level: "&amp;CHAR(34)&amp;D3&amp;CHAR(34)&amp;", x: "&amp;E3&amp;", y: "&amp;F3&amp;", z: "&amp;G3&amp;", details: "&amp;CHAR(34)&amp;H3&amp;CHAR(34)&amp;" },"</f>
        <v>{ name: "Lookout Landing", landmark: "General Shop", type: "General Shop", region: 1, level: "Surface", x: -206, y: 75, z: 19, details: "arrow, apple, shroom" },</v>
      </c>
    </row>
    <row r="4" spans="1:9" x14ac:dyDescent="0.2">
      <c r="A4" t="s">
        <v>2381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2513</v>
      </c>
      <c r="I4" t="str">
        <f t="shared" si="0"/>
        <v>{ name: "Brazen Beak", landmark: "Armor Shop", type: "Armor Shop", region: 4, level: "Surface", x: -3630, y: 1787, z: 186, details: "snowquill1, snowquill2, snowquill3" },</v>
      </c>
    </row>
    <row r="5" spans="1:9" x14ac:dyDescent="0.2">
      <c r="A5" t="s">
        <v>2386</v>
      </c>
      <c r="B5" t="s">
        <v>2482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2512</v>
      </c>
      <c r="I5" t="str">
        <f t="shared" si="0"/>
        <v>{ name: "The Slippery Falcon", landmark: "General Shop", type: "General Shop", region: 4, level: "Surface", x: -3639, y: 1818, z: 184, details: "wheat, sugar, butter, oil, arrow, sunshroom" },</v>
      </c>
    </row>
    <row r="6" spans="1:9" x14ac:dyDescent="0.2">
      <c r="A6" t="s">
        <v>1399</v>
      </c>
      <c r="B6" t="s">
        <v>2482</v>
      </c>
      <c r="C6" s="2">
        <v>6</v>
      </c>
      <c r="D6" s="2" t="s">
        <v>785</v>
      </c>
      <c r="E6" s="2">
        <v>422</v>
      </c>
      <c r="F6" s="2">
        <v>2172</v>
      </c>
      <c r="G6" s="2">
        <v>153</v>
      </c>
      <c r="H6" t="s">
        <v>2472</v>
      </c>
      <c r="I6" t="str">
        <f t="shared" si="0"/>
        <v>{ name: "Korok Forest", landmark: "General Shop", type: "General Shop", region: 6, level: "Surface", x: 422, y: 2172, z: 153, details: "wheat, apple, rice, sugar, arrow, seed" },</v>
      </c>
    </row>
    <row r="7" spans="1:9" x14ac:dyDescent="0.2">
      <c r="A7" t="s">
        <v>1399</v>
      </c>
      <c r="B7" t="s">
        <v>2475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2510</v>
      </c>
      <c r="I7" t="str">
        <f t="shared" si="0"/>
        <v>{ name: "Korok Forest", landmark: "General Shop", type: "Mushroom Shop", region: 6, level: "Surface", x: 435, y: 2174, z: 153, details: "brightcap, razorshroom, ironshroom, rushroom, stamella" },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2514</v>
      </c>
      <c r="I8" t="str">
        <f t="shared" si="0"/>
        <v>{ name: "Goron City", landmark: "Armor Shop", type: "Armor Shop", region: 7, level: "Surface", x: 1643, y: 2411, z: 384, details: "flamebreaker1, flamebreaker2, flamebreaker3" },</v>
      </c>
    </row>
    <row r="9" spans="1:9" x14ac:dyDescent="0.2">
      <c r="A9" t="s">
        <v>1302</v>
      </c>
      <c r="B9" t="s">
        <v>2482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2489</v>
      </c>
      <c r="I9" t="str">
        <f t="shared" si="0"/>
        <v>{ name: "Goron City", landmark: "General Shop", type: "General Shop", region: 7, level: "Surface", x: 1683, y: 2462, z: 385, details: "salt, spice, sugar, firefruit, arrow" },</v>
      </c>
    </row>
    <row r="10" spans="1:9" x14ac:dyDescent="0.2">
      <c r="A10" t="s">
        <v>1664</v>
      </c>
      <c r="B10" t="s">
        <v>2482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2507</v>
      </c>
      <c r="I10" t="str">
        <f t="shared" si="0"/>
        <v>{ name: "Tarrey Town", landmark: "General Shop", type: "General Shop", region: 8, level: "Surface", x: 4006, y: 1631, z: 128, details: "arrow, bomb, dazzlefruit, monsterextract" },</v>
      </c>
    </row>
    <row r="11" spans="1:9" x14ac:dyDescent="0.2">
      <c r="A11" t="s">
        <v>1146</v>
      </c>
      <c r="B11" t="s">
        <v>2484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tr">
        <f t="shared" si="0"/>
        <v>{ name: "Break-a-Part Shop", landmark: "Other Shop", type: "Other Shop", region: 8, level: "Surface", x: 3995, y: 1637, z: 130, details: "" },</v>
      </c>
    </row>
    <row r="12" spans="1:9" x14ac:dyDescent="0.2">
      <c r="A12" t="s">
        <v>2488</v>
      </c>
      <c r="B12" t="s">
        <v>2482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2511</v>
      </c>
      <c r="I12" t="str">
        <f t="shared" si="0"/>
        <v>{ name: "The Coral Reef", landmark: "General Shop", type: "General Shop", region: 9, level: "Surface", x: 3319, y: 479, z: 139, details: "arrow, rice, violet, splashfruit, tomato, salmon, mightycarp, armoredcarp" },</v>
      </c>
    </row>
    <row r="13" spans="1:9" x14ac:dyDescent="0.2">
      <c r="A13" t="s">
        <v>2382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2516</v>
      </c>
      <c r="I13" t="str">
        <f t="shared" si="0"/>
        <v>{ name: "Enchanted", landmark: "Armor Shop", type: "Armor Shop", region: 10, level: "Surface", x: 1855, y: -982, z: 119, details: "radiant1, radiant2, radiant3, stealth1, stealth2, stealth3" },</v>
      </c>
    </row>
    <row r="14" spans="1:9" x14ac:dyDescent="0.2">
      <c r="A14" t="s">
        <v>2384</v>
      </c>
      <c r="B14" t="s">
        <v>2482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2471</v>
      </c>
      <c r="I14" t="str">
        <f t="shared" si="0"/>
        <v>{ name: "High Spirits Produce", landmark: "General Shop", type: "General Shop", region: 10, level: "Surface", x: 1793, y: -1030, z: 115, details: "arrow, shroom, acorn, egg" },</v>
      </c>
    </row>
    <row r="15" spans="1:9" x14ac:dyDescent="0.2">
      <c r="A15" t="s">
        <v>2385</v>
      </c>
      <c r="B15" t="s">
        <v>2482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2490</v>
      </c>
      <c r="I15" t="str">
        <f t="shared" si="0"/>
        <v>{ name: "The Curious Quiver", landmark: "General Shop", type: "General Shop", region: 10, level: "Surface", x: 1829, y: -1043, z: 116, details: "arrow, aerocudaeye, aerocudawing " },</v>
      </c>
    </row>
    <row r="16" spans="1:9" x14ac:dyDescent="0.2">
      <c r="A16" t="s">
        <v>1729</v>
      </c>
      <c r="B16" t="s">
        <v>2484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tr">
        <f t="shared" si="0"/>
        <v>{ name: "Zonai Survey Team Base", landmark: "Other Shop", type: "Other Shop", region: 10, level: "Surface", x: 1829, y: -956, z: 116, details: "" },</v>
      </c>
    </row>
    <row r="17" spans="1:9" x14ac:dyDescent="0.2">
      <c r="A17" t="s">
        <v>2383</v>
      </c>
      <c r="B17" t="s">
        <v>1126</v>
      </c>
      <c r="C17" s="2">
        <v>11</v>
      </c>
      <c r="D17" s="2" t="s">
        <v>785</v>
      </c>
      <c r="E17" s="2">
        <v>3359</v>
      </c>
      <c r="F17" s="2">
        <v>-2128</v>
      </c>
      <c r="G17" s="2">
        <v>121</v>
      </c>
      <c r="H17" t="s">
        <v>4633</v>
      </c>
      <c r="I17" t="str">
        <f t="shared" si="0"/>
        <v>{ name: "Ventest Clothing Boutique", landmark: "Armor Shop", type: "Armor Shop", region: 11, level: "Surface", x: 3359, y: -2128, z: 121, details: "hylian1, hylian2, hylian3, royalguard1, royalguard2, royalguard3, cecehat" },</v>
      </c>
    </row>
    <row r="18" spans="1:9" x14ac:dyDescent="0.2">
      <c r="A18" t="s">
        <v>2485</v>
      </c>
      <c r="B18" t="s">
        <v>2482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2486</v>
      </c>
      <c r="I18" t="str">
        <f t="shared" si="0"/>
        <v>{ name: "East Wind General Goods", landmark: "General Shop", type: "General Shop", region: 11, level: "Surface", x: 3357, y: -2164, z: 120, details: "milk, pumpkin, shroom, butter, rice, carrot, tomato, egg, arrow" },</v>
      </c>
    </row>
    <row r="19" spans="1:9" x14ac:dyDescent="0.2">
      <c r="A19" t="s">
        <v>2401</v>
      </c>
      <c r="B19" t="s">
        <v>2484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tr">
        <f t="shared" si="0"/>
        <v>{ name: "Kochi Dye Shop", landmark: "Other Shop", type: "Other Shop", region: 11, level: "Surface", x: 3404, y: -2152, z: 133, details: "" },</v>
      </c>
    </row>
    <row r="20" spans="1:9" x14ac:dyDescent="0.2">
      <c r="A20" t="s">
        <v>1327</v>
      </c>
      <c r="B20" t="s">
        <v>2484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2555</v>
      </c>
      <c r="I20" t="str">
        <f t="shared" si="0"/>
        <v>{ name: "Hateno Pasture", landmark: "Other Shop", type: "Other Shop", region: 11, level: "Surface", x: 3619, y: -2095, z: 178, details: "cheese" },</v>
      </c>
    </row>
    <row r="21" spans="1:9" x14ac:dyDescent="0.2">
      <c r="A21" t="s">
        <v>1447</v>
      </c>
      <c r="B21" t="s">
        <v>2482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2508</v>
      </c>
      <c r="I21" t="str">
        <f t="shared" si="0"/>
        <v>{ name: "Lurelin Village", landmark: "General Shop", type: "General Shop", region: 12, level: "Surface", x: 2957, y: -3493, z: 1, details: "octoballoon, octoeye, ironshellcrab, mightyporgy" },</v>
      </c>
    </row>
    <row r="22" spans="1:9" x14ac:dyDescent="0.2">
      <c r="A22" t="s">
        <v>2399</v>
      </c>
      <c r="B22" t="s">
        <v>2484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tr">
        <f t="shared" si="0"/>
        <v>{ name: "Azure Bay Restaurant", landmark: "Other Shop", type: "Other Shop", region: 12, level: "Surface", x: 2885, y: -3406, z: 2, details: "" },</v>
      </c>
    </row>
    <row r="23" spans="1:9" x14ac:dyDescent="0.2">
      <c r="A23" t="s">
        <v>1445</v>
      </c>
      <c r="B23" t="s">
        <v>2484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tr">
        <f t="shared" si="0"/>
        <v>{ name: "Lucky Treasure Shop", landmark: "Other Shop", type: "Other Shop", region: 12, level: "Surface", x: 2970, y: -3378, z: 30, details: "" },</v>
      </c>
    </row>
    <row r="24" spans="1:9" x14ac:dyDescent="0.2">
      <c r="A24" t="s">
        <v>2400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4635</v>
      </c>
      <c r="I24" t="str">
        <f t="shared" si="0"/>
        <v>{ name: "Gerudo Secret Club", landmark: "Armor Shop", type: "Armor Shop", region: 14, level: "Surface", x: -3791, y: -2919, z: 43, details: "boots1, boots2, desertvoe2, desertvoe3" },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2487</v>
      </c>
      <c r="I25" t="str">
        <f t="shared" si="0"/>
        <v>{ name: "Kara Kara Bazaar", landmark: "Armor Shop", type: "Armor Shop", region: 14, level: "Surface", x: -3273, y: -2551, z: 23, details: "desertvoe1" },</v>
      </c>
    </row>
    <row r="26" spans="1:9" x14ac:dyDescent="0.2">
      <c r="A26" t="s">
        <v>1284</v>
      </c>
      <c r="B26" t="s">
        <v>2473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2481</v>
      </c>
      <c r="I26" t="str">
        <f t="shared" si="0"/>
        <v>{ name: "Gerudo Town", landmark: "General Shop", type: "Arrow Shop", region: 14, level: "Surface", x: -3857, y: -2916, z: 43, details: "arrow, chuchu, redchuchu, yellowchuchu, whitechuchu, bomb" },</v>
      </c>
    </row>
    <row r="27" spans="1:9" x14ac:dyDescent="0.2">
      <c r="A27" t="s">
        <v>1385</v>
      </c>
      <c r="B27" t="s">
        <v>2473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2474</v>
      </c>
      <c r="I27" t="str">
        <f t="shared" si="0"/>
        <v>{ name: "Kara Kara Bazaar", landmark: "General Shop", type: "Arrow Shop", region: 14, level: "Surface", x: -3261, y: -2601, z: 26, details: "arrow, chuchu, redchuchu, yellowchuchu, whitechuchu" },</v>
      </c>
    </row>
    <row r="28" spans="1:9" x14ac:dyDescent="0.2">
      <c r="A28" t="s">
        <v>1284</v>
      </c>
      <c r="B28" t="s">
        <v>2476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2477</v>
      </c>
      <c r="I28" t="str">
        <f t="shared" si="0"/>
        <v>{ name: "Gerudo Town", landmark: "General Shop", type: "Cooking Shop", region: 14, level: "Surface", x: -3824, y: -2936, z: 43, details: "salt, rice, wheat" },</v>
      </c>
    </row>
    <row r="29" spans="1:9" x14ac:dyDescent="0.2">
      <c r="A29" t="s">
        <v>1284</v>
      </c>
      <c r="B29" t="s">
        <v>2478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2509</v>
      </c>
      <c r="I29" t="str">
        <f t="shared" si="0"/>
        <v>{ name: "Gerudo Town", landmark: "General Shop", type: "Fruit Shop", region: 14, level: "Surface", x: -3824, y: -2878, z: 43, details: "voltfruit, hydromelon, palmfruit" },</v>
      </c>
    </row>
    <row r="30" spans="1:9" x14ac:dyDescent="0.2">
      <c r="A30" t="s">
        <v>1385</v>
      </c>
      <c r="B30" t="s">
        <v>2482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2505</v>
      </c>
      <c r="I30" t="str">
        <f t="shared" si="0"/>
        <v>{ name: "Kara Kara Bazaar", landmark: "General Shop", type: "General Shop", region: 14, level: "Surface", x: -3273, y: -2564, z: 23, details: "electricsafflina, hydromelon, oil" },</v>
      </c>
    </row>
    <row r="31" spans="1:9" x14ac:dyDescent="0.2">
      <c r="A31" t="s">
        <v>2469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2515</v>
      </c>
      <c r="I31" t="str">
        <f t="shared" si="0"/>
        <v>{ name: "Starlight Memories", landmark: "General Shop", type: "Jewelry Shop", region: 14, level: "Surface", x: -3834, y: -2876, z: 43, details: "earrings1, earrings2, earrings3, circlet1, circlet2, circlet3" },</v>
      </c>
    </row>
    <row r="32" spans="1:9" x14ac:dyDescent="0.2">
      <c r="A32" t="s">
        <v>1284</v>
      </c>
      <c r="B32" t="s">
        <v>2479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2480</v>
      </c>
      <c r="I32" t="str">
        <f t="shared" si="0"/>
        <v>{ name: "Gerudo Town", landmark: "General Shop", type: "Meat Shop", region: 14, level: "Surface", x: -3849, y: -2904, z: 43, details: "steak, primesteak, gourmetsteak" },</v>
      </c>
    </row>
    <row r="33" spans="1:9" x14ac:dyDescent="0.2">
      <c r="A33" t="s">
        <v>1385</v>
      </c>
      <c r="B33" t="s">
        <v>2479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2483</v>
      </c>
      <c r="I33" t="str">
        <f t="shared" si="0"/>
        <v>{ name: "Kara Kara Bazaar", landmark: "General Shop", type: "Meat Shop", region: 14, level: "Surface", x: -3271, y: -2538, z: 23, details: "bass, steak, lizalfostail" },</v>
      </c>
    </row>
    <row r="34" spans="1:9" x14ac:dyDescent="0.2">
      <c r="A34" t="s">
        <v>1284</v>
      </c>
      <c r="B34" t="s">
        <v>2475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2506</v>
      </c>
      <c r="I34" t="str">
        <f t="shared" si="0"/>
        <v>{ name: "Gerudo Town", landmark: "General Shop", type: "Mushroom Shop", region: 14, level: "Surface", x: -3821, y: -2926, z: 43, details: "ironshroom, razorshroom, sunshroom, zapshroom, chillshroom" },</v>
      </c>
    </row>
    <row r="35" spans="1:9" x14ac:dyDescent="0.2">
      <c r="A35" t="s">
        <v>2491</v>
      </c>
      <c r="B35" t="s">
        <v>2484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tr">
        <f t="shared" si="0"/>
        <v>{ name: "Sand-Seal Rental Shop #1", landmark: "Other Shop", type: "Other Shop", region: 14, level: "Surface", x: -2994, y: -2326, z: 25, details: "" },</v>
      </c>
    </row>
    <row r="36" spans="1:9" x14ac:dyDescent="0.2">
      <c r="A36" t="s">
        <v>2492</v>
      </c>
      <c r="B36" t="s">
        <v>2484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tr">
        <f t="shared" si="0"/>
        <v>{ name: "Sand-Seal Rental Shop #2", landmark: "Other Shop", type: "Other Shop", region: 14, level: "Surface", x: -3902, y: -2883, z: 95, details: "" },</v>
      </c>
    </row>
    <row r="37" spans="1:9" x14ac:dyDescent="0.2">
      <c r="A37" t="s">
        <v>2493</v>
      </c>
      <c r="B37" t="s">
        <v>2484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tr">
        <f t="shared" si="0"/>
        <v>{ name: "Sand-Seal Rental Shop #3", landmark: "Other Shop", type: "Other Shop", region: 14, level: "Surface", x: -3771, y: -2926, z: 35, details: "" },</v>
      </c>
    </row>
    <row r="38" spans="1:9" x14ac:dyDescent="0.2">
      <c r="A38" t="s">
        <v>2403</v>
      </c>
      <c r="B38" t="s">
        <v>2484</v>
      </c>
      <c r="C38" s="2">
        <v>14</v>
      </c>
      <c r="D38" s="2" t="s">
        <v>785</v>
      </c>
      <c r="E38" s="2">
        <v>-3853</v>
      </c>
      <c r="F38" s="2">
        <v>-2854</v>
      </c>
      <c r="G38" s="2">
        <v>95</v>
      </c>
      <c r="I38" t="str">
        <f t="shared" si="0"/>
        <v>{ name: "The Noble Canteen", landmark: "Other Shop", type: "Other Shop", region: 14, level: "Surface", x: -3853, y: -2854, z: 95, details: "" },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L154"/>
  <sheetViews>
    <sheetView workbookViewId="0">
      <selection activeCell="G15" sqref="G15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45.33203125" style="7" customWidth="1"/>
    <col min="10" max="10" width="89.5" style="16" bestFit="1" customWidth="1"/>
    <col min="11" max="11" width="18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2" t="s">
        <v>2081</v>
      </c>
      <c r="J1" s="17" t="s">
        <v>2075</v>
      </c>
      <c r="K1" s="10"/>
      <c r="L1" s="10"/>
    </row>
    <row r="2" spans="1:12" x14ac:dyDescent="0.2">
      <c r="A2" s="1" t="s">
        <v>1941</v>
      </c>
      <c r="B2" s="1" t="s">
        <v>2087</v>
      </c>
      <c r="C2" s="2" t="s">
        <v>2065</v>
      </c>
      <c r="D2" s="2" t="s">
        <v>4676</v>
      </c>
      <c r="E2" t="s">
        <v>783</v>
      </c>
      <c r="F2" s="2">
        <v>27</v>
      </c>
      <c r="G2" s="2">
        <v>-1506</v>
      </c>
      <c r="H2" s="2">
        <v>1408</v>
      </c>
      <c r="J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`"&amp;I2&amp;"` },"</f>
        <v>{ name: "In-isa Shrine", landmark: "Shrine", type: "Puzzle Trial", region: [0,2], level: "Sky", x: 27, y: -1506, z: 1408, details: `` },</v>
      </c>
    </row>
    <row r="3" spans="1:12" x14ac:dyDescent="0.2">
      <c r="A3" s="1" t="s">
        <v>1957</v>
      </c>
      <c r="B3" s="1" t="s">
        <v>2087</v>
      </c>
      <c r="C3" s="2" t="s">
        <v>2065</v>
      </c>
      <c r="D3" s="2" t="s">
        <v>4676</v>
      </c>
      <c r="E3" t="s">
        <v>783</v>
      </c>
      <c r="F3" s="2">
        <v>275</v>
      </c>
      <c r="G3" s="2">
        <v>-910</v>
      </c>
      <c r="H3" s="2">
        <v>1474</v>
      </c>
      <c r="J3" s="16" t="str">
        <f>"{ name: "&amp;CHAR(34)&amp;A3&amp;CHAR(34)&amp;", landmark: "&amp;CHAR(34)&amp;"Shrine"&amp;CHAR(34)&amp;", type: "&amp;CHAR(34)&amp;B3&amp;CHAR(34)&amp;", region: "&amp;D3&amp;", level: "&amp;CHAR(34)&amp;E3&amp;CHAR(34)&amp;", x: "&amp;F3&amp;", y: "&amp;G3&amp;", z: "&amp;H3&amp;", details: `"&amp;I3&amp;"` },"</f>
        <v>{ name: "Ukouh Shrine", landmark: "Shrine", type: "Puzzle Trial", region: [0,2], level: "Sky", x: 275, y: -910, z: 1474, details: `` },</v>
      </c>
    </row>
    <row r="4" spans="1:12" x14ac:dyDescent="0.2">
      <c r="A4" s="1" t="s">
        <v>1954</v>
      </c>
      <c r="B4" s="1" t="s">
        <v>2087</v>
      </c>
      <c r="C4" s="2" t="s">
        <v>794</v>
      </c>
      <c r="D4" s="2" t="s">
        <v>2503</v>
      </c>
      <c r="E4" t="s">
        <v>783</v>
      </c>
      <c r="F4" s="2">
        <v>709</v>
      </c>
      <c r="G4" s="2">
        <v>-1381</v>
      </c>
      <c r="H4" s="2">
        <v>1584</v>
      </c>
      <c r="J4" s="16" t="str">
        <f>"{ name: "&amp;CHAR(34)&amp;A4&amp;CHAR(34)&amp;", landmark: "&amp;CHAR(34)&amp;"Shrine"&amp;CHAR(34)&amp;", type: "&amp;CHAR(34)&amp;B4&amp;CHAR(34)&amp;", region: "&amp;D4&amp;", level: "&amp;CHAR(34)&amp;E4&amp;CHAR(34)&amp;", x: "&amp;F4&amp;", y: "&amp;G4&amp;", z: "&amp;H4&amp;", details: `"&amp;I4&amp;"` },"</f>
        <v>{ name: "Gutanbac Shrine", landmark: "Shrine", type: "Puzzle Trial", region: [0,13], level: "Sky", x: 709, y: -1381, z: 1584, details: `` },</v>
      </c>
      <c r="K4" s="11"/>
      <c r="L4" s="11"/>
    </row>
    <row r="5" spans="1:12" x14ac:dyDescent="0.2">
      <c r="A5" s="1" t="s">
        <v>1951</v>
      </c>
      <c r="B5" s="1" t="s">
        <v>2087</v>
      </c>
      <c r="C5" s="2" t="s">
        <v>794</v>
      </c>
      <c r="D5" s="2" t="s">
        <v>2503</v>
      </c>
      <c r="E5" t="s">
        <v>783</v>
      </c>
      <c r="F5" s="2">
        <v>390</v>
      </c>
      <c r="G5" s="2">
        <v>-1660</v>
      </c>
      <c r="H5" s="2">
        <v>2299</v>
      </c>
      <c r="J5" s="16" t="str">
        <f>"{ name: "&amp;CHAR(34)&amp;A5&amp;CHAR(34)&amp;", landmark: "&amp;CHAR(34)&amp;"Shrine"&amp;CHAR(34)&amp;", type: "&amp;CHAR(34)&amp;B5&amp;CHAR(34)&amp;", region: "&amp;D5&amp;", level: "&amp;CHAR(34)&amp;E5&amp;CHAR(34)&amp;", x: "&amp;F5&amp;", y: "&amp;G5&amp;", z: "&amp;H5&amp;", details: `"&amp;I5&amp;"` },"</f>
        <v>{ name: "Nachoyah Shrine", landmark: "Shrine", type: "Puzzle Trial", region: [0,13], level: "Sky", x: 390, y: -1660, z: 2299, details: `` },</v>
      </c>
      <c r="K5" s="11"/>
      <c r="L5" s="11"/>
    </row>
    <row r="6" spans="1:12" x14ac:dyDescent="0.2">
      <c r="A6" s="1" t="s">
        <v>1960</v>
      </c>
      <c r="B6" s="1" t="s">
        <v>2087</v>
      </c>
      <c r="C6" s="2" t="s">
        <v>2064</v>
      </c>
      <c r="D6" s="2">
        <v>1</v>
      </c>
      <c r="E6" t="s">
        <v>785</v>
      </c>
      <c r="F6" s="2">
        <v>-885</v>
      </c>
      <c r="G6" s="2">
        <v>418</v>
      </c>
      <c r="H6" s="2">
        <v>49</v>
      </c>
      <c r="J6" s="16" t="str">
        <f>"{ name: "&amp;CHAR(34)&amp;A6&amp;CHAR(34)&amp;", landmark: "&amp;CHAR(34)&amp;"Shrine"&amp;CHAR(34)&amp;", type: "&amp;CHAR(34)&amp;B6&amp;CHAR(34)&amp;", region: "&amp;D6&amp;", level: "&amp;CHAR(34)&amp;E6&amp;CHAR(34)&amp;", x: "&amp;F6&amp;", y: "&amp;G6&amp;", z: "&amp;H6&amp;", details: `"&amp;I6&amp;"` },"</f>
        <v>{ name: "Ishodag Shrine", landmark: "Shrine", type: "Puzzle Trial", region: 1, level: "Surface", x: -885, y: 418, z: 49, details: `` },</v>
      </c>
      <c r="K6" s="19"/>
    </row>
    <row r="7" spans="1:12" x14ac:dyDescent="0.2">
      <c r="A7" s="1" t="s">
        <v>1959</v>
      </c>
      <c r="B7" s="1" t="s">
        <v>2087</v>
      </c>
      <c r="C7" s="2" t="s">
        <v>2064</v>
      </c>
      <c r="D7" s="2">
        <v>1</v>
      </c>
      <c r="E7" t="s">
        <v>785</v>
      </c>
      <c r="F7" s="2">
        <v>-240</v>
      </c>
      <c r="G7" s="2">
        <v>-374</v>
      </c>
      <c r="H7" s="2">
        <v>27</v>
      </c>
      <c r="J7" s="16" t="str">
        <f t="shared" ref="J7:J68" si="0">"{ name: "&amp;CHAR(34)&amp;A7&amp;CHAR(34)&amp;", landmark: "&amp;CHAR(34)&amp;"Shrine"&amp;CHAR(34)&amp;", type: "&amp;CHAR(34)&amp;B7&amp;CHAR(34)&amp;", region: "&amp;D7&amp;", level: "&amp;CHAR(34)&amp;E7&amp;CHAR(34)&amp;", x: "&amp;F7&amp;", y: "&amp;G7&amp;", z: "&amp;H7&amp;", details: `"&amp;I7&amp;"` },"</f>
        <v>{ name: "Jiosin Shrine", landmark: "Shrine", type: "Puzzle Trial", region: 1, level: "Surface", x: -240, y: -374, z: 27, details: `` },</v>
      </c>
    </row>
    <row r="8" spans="1:12" x14ac:dyDescent="0.2">
      <c r="A8" s="1" t="s">
        <v>1971</v>
      </c>
      <c r="B8" s="1" t="s">
        <v>2086</v>
      </c>
      <c r="C8" s="2" t="s">
        <v>2064</v>
      </c>
      <c r="D8" s="2">
        <v>1</v>
      </c>
      <c r="E8" t="s">
        <v>785</v>
      </c>
      <c r="F8" s="2">
        <v>-205</v>
      </c>
      <c r="G8" s="2">
        <v>451</v>
      </c>
      <c r="H8" s="2">
        <v>21</v>
      </c>
      <c r="J8" s="16" t="str">
        <f t="shared" si="0"/>
        <v>{ name: "Kyononis Shrine", landmark: "Shrine", type: "Combat Training", region: 1, level: "Surface", x: -205, y: 451, z: 21, details: `` },</v>
      </c>
    </row>
    <row r="9" spans="1:12" x14ac:dyDescent="0.2">
      <c r="A9" s="1" t="s">
        <v>1985</v>
      </c>
      <c r="B9" s="1" t="s">
        <v>2087</v>
      </c>
      <c r="C9" s="2" t="s">
        <v>2064</v>
      </c>
      <c r="D9" s="2">
        <v>1</v>
      </c>
      <c r="E9" t="s">
        <v>785</v>
      </c>
      <c r="F9" s="2">
        <v>219</v>
      </c>
      <c r="G9" s="2">
        <v>1082</v>
      </c>
      <c r="H9" s="2">
        <v>26</v>
      </c>
      <c r="J9" s="16" t="str">
        <f t="shared" si="0"/>
        <v>{ name: "Sepapa Shrine", landmark: "Shrine", type: "Puzzle Trial", region: 1, level: "Surface", x: 219, y: 1082, z: 26, details: `` },</v>
      </c>
    </row>
    <row r="10" spans="1:12" x14ac:dyDescent="0.2">
      <c r="A10" s="1" t="s">
        <v>1982</v>
      </c>
      <c r="B10" s="1" t="s">
        <v>2087</v>
      </c>
      <c r="C10" s="2" t="s">
        <v>2064</v>
      </c>
      <c r="D10" s="2">
        <v>1</v>
      </c>
      <c r="E10" t="s">
        <v>785</v>
      </c>
      <c r="F10" s="2">
        <v>-180</v>
      </c>
      <c r="G10" s="2">
        <v>1170</v>
      </c>
      <c r="H10" s="2">
        <v>280</v>
      </c>
      <c r="J10" s="16" t="str">
        <f t="shared" si="0"/>
        <v>{ name: "Serutabomac Shrine", landmark: "Shrine", type: "Puzzle Trial", region: 1, level: "Surface", x: -180, y: 1170, z: 280, details: `` },</v>
      </c>
    </row>
    <row r="11" spans="1:12" x14ac:dyDescent="0.2">
      <c r="A11" s="1" t="s">
        <v>1946</v>
      </c>
      <c r="B11" s="1" t="s">
        <v>2087</v>
      </c>
      <c r="C11" s="2" t="s">
        <v>2064</v>
      </c>
      <c r="D11" s="2">
        <v>1</v>
      </c>
      <c r="E11" t="s">
        <v>785</v>
      </c>
      <c r="F11" s="2">
        <v>-785</v>
      </c>
      <c r="G11" s="2">
        <v>-433</v>
      </c>
      <c r="H11" s="2">
        <v>18</v>
      </c>
      <c r="J11" s="16" t="str">
        <f t="shared" si="0"/>
        <v>{ name: "Susuyai Shrine", landmark: "Shrine", type: "Puzzle Trial", region: 1, level: "Surface", x: -785, y: -433, z: 18, details: `` },</v>
      </c>
    </row>
    <row r="12" spans="1:12" x14ac:dyDescent="0.2">
      <c r="A12" s="1" t="s">
        <v>1978</v>
      </c>
      <c r="B12" s="1" t="s">
        <v>2086</v>
      </c>
      <c r="C12" s="2" t="s">
        <v>2064</v>
      </c>
      <c r="D12" s="2">
        <v>1</v>
      </c>
      <c r="E12" t="s">
        <v>785</v>
      </c>
      <c r="F12" s="2">
        <v>333</v>
      </c>
      <c r="G12" s="2">
        <v>468</v>
      </c>
      <c r="H12" s="2">
        <v>29</v>
      </c>
      <c r="J12" s="16" t="str">
        <f t="shared" si="0"/>
        <v>{ name: "Yamiyo Shrine", landmark: "Shrine", type: "Combat Training", region: 1, level: "Surface", x: 333, y: 468, z: 29, details: `` },</v>
      </c>
    </row>
    <row r="13" spans="1:12" x14ac:dyDescent="0.2">
      <c r="A13" s="1" t="s">
        <v>1923</v>
      </c>
      <c r="B13" s="1" t="s">
        <v>2085</v>
      </c>
      <c r="C13" s="2" t="s">
        <v>2065</v>
      </c>
      <c r="D13" s="2">
        <v>2</v>
      </c>
      <c r="E13" t="s">
        <v>783</v>
      </c>
      <c r="F13" s="2">
        <v>-1257</v>
      </c>
      <c r="G13" s="2">
        <v>-1487</v>
      </c>
      <c r="H13" s="2">
        <v>1008</v>
      </c>
      <c r="I13" s="7" t="s">
        <v>4537</v>
      </c>
      <c r="J13" s="16" t="str">
        <f t="shared" si="0"/>
        <v>{ name: "Jinodok Shrine", landmark: "Shrine", type: "Rauru's Blessing", region: 2, level: "Sky", x: -1257, y: -1487, z: 1008, details: `&lt;strong&gt;First:&lt;/strong&gt; Complete &lt;img src="icons/shrine-quest.png" style="height: 20px; width: 20px; vertical-align: middle; margin-right: 5px;"&gt;&lt;span style="color: #7cc9c2; font-weight: bold;"&gt;The South Hyrule Sky Crystal&lt;/span&gt; shrine quest` },</v>
      </c>
    </row>
    <row r="14" spans="1:12" x14ac:dyDescent="0.2">
      <c r="A14" s="1" t="s">
        <v>1935</v>
      </c>
      <c r="B14" s="1" t="s">
        <v>2084</v>
      </c>
      <c r="C14" s="2" t="s">
        <v>2065</v>
      </c>
      <c r="D14" s="2">
        <v>2</v>
      </c>
      <c r="E14" t="s">
        <v>785</v>
      </c>
      <c r="F14" s="2">
        <v>-176</v>
      </c>
      <c r="G14" s="2">
        <v>-1557</v>
      </c>
      <c r="H14" s="2">
        <v>23</v>
      </c>
      <c r="J14" s="16" t="str">
        <f t="shared" si="0"/>
        <v>{ name: "Kamizun Shrine", landmark: "Shrine", type: "Proving Grounds", region: 2, level: "Surface", x: -176, y: -1557, z: 23, details: `` },</v>
      </c>
    </row>
    <row r="15" spans="1:12" x14ac:dyDescent="0.2">
      <c r="A15" s="1" t="s">
        <v>1929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-710</v>
      </c>
      <c r="G15" s="2">
        <v>-1550</v>
      </c>
      <c r="H15" s="2">
        <v>6</v>
      </c>
      <c r="J15" s="16" t="str">
        <f t="shared" si="0"/>
        <v>{ name: "Kyokugon Shrine", landmark: "Shrine", type: "Puzzle Trial", region: 2, level: "Surface", x: -710, y: -1550, z: 6, details: `` },</v>
      </c>
    </row>
    <row r="16" spans="1:12" x14ac:dyDescent="0.2">
      <c r="A16" s="1" t="s">
        <v>1940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-705</v>
      </c>
      <c r="G16" s="2">
        <v>-866</v>
      </c>
      <c r="H16" s="2">
        <v>31</v>
      </c>
      <c r="J16" s="16" t="str">
        <f t="shared" si="0"/>
        <v>{ name: "Mayachin Shrine", landmark: "Shrine", type: "Puzzle Trial", region: 2, level: "Surface", x: -705, y: -866, z: 31, details: `` },</v>
      </c>
    </row>
    <row r="17" spans="1:12" x14ac:dyDescent="0.2">
      <c r="A17" s="1" t="s">
        <v>1918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-1443</v>
      </c>
      <c r="G17" s="2">
        <v>-1616</v>
      </c>
      <c r="H17" s="2">
        <v>89</v>
      </c>
      <c r="J17" s="16" t="str">
        <f t="shared" si="0"/>
        <v>{ name: "Riogok Shrine", landmark: "Shrine", type: "Puzzle Trial", region: 2, level: "Surface", x: -1443, y: -1616, z: 89, details: `` },</v>
      </c>
    </row>
    <row r="18" spans="1:12" x14ac:dyDescent="0.2">
      <c r="A18" s="1" t="s">
        <v>1927</v>
      </c>
      <c r="B18" s="1" t="s">
        <v>2087</v>
      </c>
      <c r="C18" s="2" t="s">
        <v>2065</v>
      </c>
      <c r="D18" s="2">
        <v>2</v>
      </c>
      <c r="E18" t="s">
        <v>785</v>
      </c>
      <c r="F18" s="2">
        <v>-1921</v>
      </c>
      <c r="G18" s="2">
        <v>-356</v>
      </c>
      <c r="H18" s="2">
        <v>228</v>
      </c>
      <c r="J18" s="16" t="str">
        <f t="shared" si="0"/>
        <v>{ name: "Sonapan Shrine", landmark: "Shrine", type: "Puzzle Trial", region: 2, level: "Surface", x: -1921, y: -356, z: 228, details: `` },</v>
      </c>
    </row>
    <row r="19" spans="1:12" x14ac:dyDescent="0.2">
      <c r="A19" s="1" t="s">
        <v>1917</v>
      </c>
      <c r="B19" s="1" t="s">
        <v>2087</v>
      </c>
      <c r="C19" s="2" t="s">
        <v>2065</v>
      </c>
      <c r="D19" s="2">
        <v>2</v>
      </c>
      <c r="E19" t="s">
        <v>785</v>
      </c>
      <c r="F19" s="2">
        <v>-1082</v>
      </c>
      <c r="G19" s="2">
        <v>-2187</v>
      </c>
      <c r="H19" s="2">
        <v>128</v>
      </c>
      <c r="J19" s="16" t="str">
        <f t="shared" si="0"/>
        <v>{ name: "Tadarok Shrine", landmark: "Shrine", type: "Puzzle Trial", region: 2, level: "Surface", x: -1082, y: -2187, z: 128, details: `` },</v>
      </c>
      <c r="K19" s="11"/>
      <c r="L19" s="11"/>
    </row>
    <row r="20" spans="1:12" x14ac:dyDescent="0.2">
      <c r="A20" s="1" t="s">
        <v>1955</v>
      </c>
      <c r="B20" s="1" t="s">
        <v>2087</v>
      </c>
      <c r="C20" s="2" t="s">
        <v>2065</v>
      </c>
      <c r="D20" s="2">
        <v>2</v>
      </c>
      <c r="E20" t="s">
        <v>785</v>
      </c>
      <c r="F20" s="2">
        <v>344</v>
      </c>
      <c r="G20" s="2">
        <v>-1007</v>
      </c>
      <c r="H20" s="2">
        <v>16</v>
      </c>
      <c r="J20" s="16" t="str">
        <f t="shared" si="0"/>
        <v>{ name: "Tajikats Shrine", landmark: "Shrine", type: "Puzzle Trial", region: 2, level: "Surface", x: 344, y: -1007, z: 16, details: `` },</v>
      </c>
      <c r="K20" s="11"/>
      <c r="L20" s="11"/>
    </row>
    <row r="21" spans="1:12" x14ac:dyDescent="0.2">
      <c r="A21" s="1" t="s">
        <v>1947</v>
      </c>
      <c r="B21" s="1" t="s">
        <v>2086</v>
      </c>
      <c r="C21" s="2" t="s">
        <v>2065</v>
      </c>
      <c r="D21" s="2">
        <v>2</v>
      </c>
      <c r="E21" t="s">
        <v>785</v>
      </c>
      <c r="F21" s="2">
        <v>-73</v>
      </c>
      <c r="G21" s="2">
        <v>-1115</v>
      </c>
      <c r="H21" s="2">
        <v>21</v>
      </c>
      <c r="J21" s="16" t="str">
        <f t="shared" si="0"/>
        <v>{ name: "Teniten Shrine", landmark: "Shrine", type: "Combat Training", region: 2, level: "Surface", x: -73, y: -1115, z: 21, details: `` },</v>
      </c>
      <c r="K21" s="11"/>
      <c r="L21" s="11"/>
    </row>
    <row r="22" spans="1:12" x14ac:dyDescent="0.2">
      <c r="A22" s="1" t="s">
        <v>1922</v>
      </c>
      <c r="B22" s="1" t="s">
        <v>2087</v>
      </c>
      <c r="C22" s="2" t="s">
        <v>2065</v>
      </c>
      <c r="D22" s="2">
        <v>2</v>
      </c>
      <c r="E22" t="s">
        <v>785</v>
      </c>
      <c r="F22" s="2">
        <v>-1422</v>
      </c>
      <c r="G22" s="2">
        <v>-1350</v>
      </c>
      <c r="H22" s="2">
        <v>68</v>
      </c>
      <c r="J22" s="16" t="str">
        <f t="shared" si="0"/>
        <v>{ name: "Tsutsu-um Shrine", landmark: "Shrine", type: "Puzzle Trial", region: 2, level: "Surface", x: -1422, y: -1350, z: 68, details: `` },</v>
      </c>
      <c r="K22" s="11"/>
      <c r="L22" s="11"/>
    </row>
    <row r="23" spans="1:12" x14ac:dyDescent="0.2">
      <c r="A23" s="1" t="s">
        <v>1919</v>
      </c>
      <c r="B23" s="1" t="s">
        <v>2085</v>
      </c>
      <c r="C23" s="2" t="s">
        <v>2065</v>
      </c>
      <c r="D23" s="2">
        <v>2</v>
      </c>
      <c r="E23" t="s">
        <v>785</v>
      </c>
      <c r="F23" s="2">
        <v>-2140</v>
      </c>
      <c r="G23" s="2">
        <v>-873</v>
      </c>
      <c r="H23" s="2">
        <v>93</v>
      </c>
      <c r="I23" s="7" t="s">
        <v>4538</v>
      </c>
      <c r="J23" s="16" t="str">
        <f t="shared" si="0"/>
        <v>{ name: "Usazum Shrine", landmark: "Shrine", type: "Rauru's Blessing", region: 2, level: "Surface", x: -2140, y: -873, z: 93, details: `&lt;strong&gt;First:&lt;/strong&gt; Complete &lt;img src="icons/shrine-quest.png" style="height: 20px; width: 20px; vertical-align: middle; margin-right: 5px;"&gt;&lt;span style="color: #7cc9c2; font-weight: bold;"&gt;The Satori Mountain Crystal&lt;/span&gt; shrine quest` },</v>
      </c>
      <c r="K23" s="11"/>
      <c r="L23" s="11"/>
    </row>
    <row r="24" spans="1:12" x14ac:dyDescent="0.2">
      <c r="A24" s="1" t="s">
        <v>2068</v>
      </c>
      <c r="B24" s="1" t="s">
        <v>2085</v>
      </c>
      <c r="C24" s="2" t="s">
        <v>787</v>
      </c>
      <c r="D24" s="2">
        <v>3</v>
      </c>
      <c r="E24" t="s">
        <v>783</v>
      </c>
      <c r="F24" s="2">
        <v>-3596</v>
      </c>
      <c r="G24" s="2">
        <v>962</v>
      </c>
      <c r="H24" s="2">
        <v>1699</v>
      </c>
      <c r="J24" s="16" t="str">
        <f t="shared" si="0"/>
        <v>{ name: "Ga-ahisas Shrine", landmark: "Shrine", type: "Rauru's Blessing", region: 3, level: "Sky", x: -3596, y: 962, z: 1699, details: `` },</v>
      </c>
      <c r="K24" s="11"/>
      <c r="L24" s="11"/>
    </row>
    <row r="25" spans="1:12" x14ac:dyDescent="0.2">
      <c r="A25" s="1" t="s">
        <v>1920</v>
      </c>
      <c r="B25" s="1" t="s">
        <v>2085</v>
      </c>
      <c r="C25" s="2" t="s">
        <v>787</v>
      </c>
      <c r="D25" s="2">
        <v>3</v>
      </c>
      <c r="E25" t="s">
        <v>783</v>
      </c>
      <c r="F25" s="2">
        <v>-3366</v>
      </c>
      <c r="G25" s="2">
        <v>469</v>
      </c>
      <c r="H25" s="2">
        <v>1695</v>
      </c>
      <c r="I25" s="7" t="s">
        <v>4539</v>
      </c>
      <c r="J25" s="16" t="str">
        <f t="shared" si="0"/>
        <v>{ name: "Ganos Shrine", landmark: "Shrine", type: "Rauru's Blessing", region: 3, level: "Sky", x: -3366, y: 469, z: 1695, details: `&lt;strong&gt;First:&lt;/strong&gt; Complete &lt;img src="icons/shrine-quest.png" style="height: 20px; width: 20px; vertical-align: middle; margin-right: 5px;"&gt;&lt;span style="color: #7cc9c2; font-weight: bold;"&gt;The Tabantha Sky Crystal&lt;/span&gt; shrine quest` },</v>
      </c>
      <c r="K25" s="11"/>
      <c r="L25" s="11"/>
    </row>
    <row r="26" spans="1:12" x14ac:dyDescent="0.2">
      <c r="A26" s="1" t="s">
        <v>1939</v>
      </c>
      <c r="B26" s="1" t="s">
        <v>2086</v>
      </c>
      <c r="C26" s="2" t="s">
        <v>787</v>
      </c>
      <c r="D26" s="2">
        <v>3</v>
      </c>
      <c r="E26" t="s">
        <v>783</v>
      </c>
      <c r="F26" s="2">
        <v>-2400</v>
      </c>
      <c r="G26" s="2">
        <v>824</v>
      </c>
      <c r="H26" s="2">
        <v>615</v>
      </c>
      <c r="J26" s="16" t="str">
        <f t="shared" si="0"/>
        <v>{ name: "Taunhiy Shrine", landmark: "Shrine", type: "Combat Training", region: 3, level: "Sky", x: -2400, y: 824, z: 615, details: `` },</v>
      </c>
      <c r="K26" s="11"/>
      <c r="L26" s="11"/>
    </row>
    <row r="27" spans="1:12" x14ac:dyDescent="0.2">
      <c r="A27" s="1" t="s">
        <v>1921</v>
      </c>
      <c r="B27" s="1" t="s">
        <v>2085</v>
      </c>
      <c r="C27" s="2" t="s">
        <v>787</v>
      </c>
      <c r="D27" s="2">
        <v>3</v>
      </c>
      <c r="E27" t="s">
        <v>785</v>
      </c>
      <c r="F27" s="2">
        <v>-3950</v>
      </c>
      <c r="G27" s="2">
        <v>1138</v>
      </c>
      <c r="H27" s="2">
        <v>111</v>
      </c>
      <c r="I27" s="7" t="s">
        <v>4540</v>
      </c>
      <c r="J27" s="16" t="str">
        <f t="shared" si="0"/>
        <v>{ name: "Ikatak Shrine", landmark: "Shrine", type: "Rauru's Blessing", region: 3, level: "Surface", x: -3950, y: 1138, z: 111, details: `&lt;strong&gt;First:&lt;/strong&gt; Complete &lt;img src="icons/shrine-quest.png" style="height: 20px; width: 20px; vertical-align: middle; margin-right: 5px;"&gt;&lt;span style="color: #7cc9c2; font-weight: bold;"&gt;The Gisa Crater Crystal&lt;/span&gt; shrine quest` },</v>
      </c>
      <c r="K27" s="11"/>
      <c r="L27" s="11"/>
    </row>
    <row r="28" spans="1:12" x14ac:dyDescent="0.2">
      <c r="A28" s="1" t="s">
        <v>1925</v>
      </c>
      <c r="B28" s="1" t="s">
        <v>2087</v>
      </c>
      <c r="C28" s="2" t="s">
        <v>787</v>
      </c>
      <c r="D28" s="2">
        <v>3</v>
      </c>
      <c r="E28" t="s">
        <v>785</v>
      </c>
      <c r="F28" s="2">
        <v>-3538</v>
      </c>
      <c r="G28" s="2">
        <v>853</v>
      </c>
      <c r="H28" s="2">
        <v>-133</v>
      </c>
      <c r="J28" s="16" t="str">
        <f t="shared" si="0"/>
        <v>{ name: "Iun-orok Shrine", landmark: "Shrine", type: "Puzzle Trial", region: 3, level: "Surface", x: -3538, y: 853, z: -133, details: `` },</v>
      </c>
      <c r="K28" s="11"/>
      <c r="L28" s="11"/>
    </row>
    <row r="29" spans="1:12" x14ac:dyDescent="0.2">
      <c r="A29" s="1" t="s">
        <v>1981</v>
      </c>
      <c r="B29" s="1" t="s">
        <v>2087</v>
      </c>
      <c r="C29" s="2" t="s">
        <v>787</v>
      </c>
      <c r="D29" s="2">
        <v>3</v>
      </c>
      <c r="E29" t="s">
        <v>785</v>
      </c>
      <c r="F29" s="2">
        <v>-1106</v>
      </c>
      <c r="G29" s="2">
        <v>2086</v>
      </c>
      <c r="H29" s="2">
        <v>104</v>
      </c>
      <c r="J29" s="16" t="str">
        <f t="shared" si="0"/>
        <v>{ name: "Kiuyoyou Shrine", landmark: "Shrine", type: "Puzzle Trial", region: 3, level: "Surface", x: -1106, y: 2086, z: 104, details: `` },</v>
      </c>
      <c r="K29" s="11"/>
      <c r="L29" s="11"/>
    </row>
    <row r="30" spans="1:12" x14ac:dyDescent="0.2">
      <c r="A30" s="1" t="s">
        <v>1930</v>
      </c>
      <c r="B30" s="1" t="s">
        <v>2086</v>
      </c>
      <c r="C30" s="2" t="s">
        <v>787</v>
      </c>
      <c r="D30" s="2">
        <v>3</v>
      </c>
      <c r="E30" t="s">
        <v>785</v>
      </c>
      <c r="F30" s="2">
        <v>-2848</v>
      </c>
      <c r="G30" s="2">
        <v>629</v>
      </c>
      <c r="H30" s="2">
        <v>233</v>
      </c>
      <c r="J30" s="16" t="str">
        <f t="shared" si="0"/>
        <v>{ name: "Makurukis Shrine", landmark: "Shrine", type: "Combat Training", region: 3, level: "Surface", x: -2848, y: 629, z: 233, details: `` },</v>
      </c>
      <c r="K30" s="11"/>
      <c r="L30" s="11"/>
    </row>
    <row r="31" spans="1:12" x14ac:dyDescent="0.2">
      <c r="A31" s="1" t="s">
        <v>1942</v>
      </c>
      <c r="B31" s="1" t="s">
        <v>2087</v>
      </c>
      <c r="C31" s="2" t="s">
        <v>787</v>
      </c>
      <c r="D31" s="2">
        <v>3</v>
      </c>
      <c r="E31" t="s">
        <v>785</v>
      </c>
      <c r="F31" s="2">
        <v>-3079</v>
      </c>
      <c r="G31" s="2">
        <v>1618</v>
      </c>
      <c r="H31" s="2">
        <v>-241</v>
      </c>
      <c r="J31" s="16" t="str">
        <f t="shared" si="0"/>
        <v>{ name: "Oromuwak Shrine", landmark: "Shrine", type: "Puzzle Trial", region: 3, level: "Surface", x: -3079, y: 1618, z: -241, details: `` },</v>
      </c>
      <c r="K31" s="11"/>
      <c r="L31" s="11"/>
    </row>
    <row r="32" spans="1:12" x14ac:dyDescent="0.2">
      <c r="A32" s="1" t="s">
        <v>1944</v>
      </c>
      <c r="B32" s="1" t="s">
        <v>2087</v>
      </c>
      <c r="C32" s="2" t="s">
        <v>787</v>
      </c>
      <c r="D32" s="2">
        <v>3</v>
      </c>
      <c r="E32" t="s">
        <v>785</v>
      </c>
      <c r="F32" s="2">
        <v>-2534</v>
      </c>
      <c r="G32" s="2">
        <v>1167</v>
      </c>
      <c r="H32" s="2">
        <v>177</v>
      </c>
      <c r="J32" s="16" t="str">
        <f t="shared" si="0"/>
        <v>{ name: "Runakit Shrine", landmark: "Shrine", type: "Puzzle Trial", region: 3, level: "Surface", x: -2534, y: 1167, z: 177, details: `` },</v>
      </c>
      <c r="K32" s="11"/>
      <c r="L32" s="11"/>
    </row>
    <row r="33" spans="1:12" x14ac:dyDescent="0.2">
      <c r="A33" s="1" t="s">
        <v>1956</v>
      </c>
      <c r="B33" s="1" t="s">
        <v>2087</v>
      </c>
      <c r="C33" s="2" t="s">
        <v>787</v>
      </c>
      <c r="D33" s="2">
        <v>3</v>
      </c>
      <c r="E33" t="s">
        <v>785</v>
      </c>
      <c r="F33" s="2">
        <v>-1413</v>
      </c>
      <c r="G33" s="2">
        <v>757</v>
      </c>
      <c r="H33" s="2">
        <v>89</v>
      </c>
      <c r="J33" s="16" t="str">
        <f t="shared" si="0"/>
        <v>{ name: "Sinakawak Shrine", landmark: "Shrine", type: "Puzzle Trial", region: 3, level: "Surface", x: -1413, y: 757, z: 89, details: `` },</v>
      </c>
      <c r="K33" s="11"/>
      <c r="L33" s="11"/>
    </row>
    <row r="34" spans="1:12" x14ac:dyDescent="0.2">
      <c r="A34" s="1" t="s">
        <v>1958</v>
      </c>
      <c r="B34" s="1" t="s">
        <v>2085</v>
      </c>
      <c r="C34" s="2" t="s">
        <v>787</v>
      </c>
      <c r="D34" s="2">
        <v>3</v>
      </c>
      <c r="E34" t="s">
        <v>785</v>
      </c>
      <c r="F34" s="2">
        <v>-1828</v>
      </c>
      <c r="G34" s="2">
        <v>1196</v>
      </c>
      <c r="H34" s="2">
        <v>147</v>
      </c>
      <c r="J34" s="16" t="str">
        <f t="shared" si="0"/>
        <v>{ name: "Taki-ihaban Shrine", landmark: "Shrine", type: "Rauru's Blessing", region: 3, level: "Surface", x: -1828, y: 1196, z: 147, details: `` },</v>
      </c>
      <c r="K34" s="11"/>
      <c r="L34" s="11"/>
    </row>
    <row r="35" spans="1:12" x14ac:dyDescent="0.2">
      <c r="A35" s="1" t="s">
        <v>1948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-3863</v>
      </c>
      <c r="G35" s="2">
        <v>2684</v>
      </c>
      <c r="H35" s="2">
        <v>702</v>
      </c>
      <c r="J35" s="16" t="str">
        <f t="shared" si="0"/>
        <v>{ name: "Ijo-o Shrine", landmark: "Shrine", type: "Puzzle Trial", region: 4, level: "Sky", x: -3863, y: 2684, z: 702, details: `` },</v>
      </c>
      <c r="K35" s="11"/>
      <c r="L35" s="11"/>
    </row>
    <row r="36" spans="1:12" x14ac:dyDescent="0.2">
      <c r="A36" s="1" t="s">
        <v>1970</v>
      </c>
      <c r="B36" s="1" t="s">
        <v>2085</v>
      </c>
      <c r="C36" s="2" t="s">
        <v>800</v>
      </c>
      <c r="D36" s="2">
        <v>4</v>
      </c>
      <c r="E36" t="s">
        <v>783</v>
      </c>
      <c r="F36" s="2">
        <v>-3294</v>
      </c>
      <c r="G36" s="2">
        <v>3430</v>
      </c>
      <c r="H36" s="2">
        <v>1347</v>
      </c>
      <c r="J36" s="16" t="str">
        <f t="shared" si="0"/>
        <v>{ name: "Kahatanaum Shrine", landmark: "Shrine", type: "Rauru's Blessing", region: 4, level: "Sky", x: -3294, y: 3430, z: 1347, details: `` },</v>
      </c>
      <c r="K36" s="11"/>
      <c r="L36" s="11"/>
    </row>
    <row r="37" spans="1:12" x14ac:dyDescent="0.2">
      <c r="A37" s="1" t="s">
        <v>1968</v>
      </c>
      <c r="B37" s="1" t="s">
        <v>2087</v>
      </c>
      <c r="C37" s="2" t="s">
        <v>800</v>
      </c>
      <c r="D37" s="2">
        <v>4</v>
      </c>
      <c r="E37" t="s">
        <v>783</v>
      </c>
      <c r="F37" s="2">
        <v>-2947</v>
      </c>
      <c r="G37" s="2">
        <v>3051</v>
      </c>
      <c r="H37" s="2">
        <v>897</v>
      </c>
      <c r="J37" s="16" t="str">
        <f t="shared" si="0"/>
        <v>{ name: "Mayaumekis Shrine", landmark: "Shrine", type: "Puzzle Trial", region: 4, level: "Sky", x: -2947, y: 3051, z: 897, details: `` },</v>
      </c>
      <c r="K37" s="11"/>
      <c r="L37" s="11"/>
    </row>
    <row r="38" spans="1:12" x14ac:dyDescent="0.2">
      <c r="A38" s="1" t="s">
        <v>1967</v>
      </c>
      <c r="B38" s="1" t="s">
        <v>2084</v>
      </c>
      <c r="C38" s="2" t="s">
        <v>800</v>
      </c>
      <c r="D38" s="2">
        <v>4</v>
      </c>
      <c r="E38" t="s">
        <v>785</v>
      </c>
      <c r="F38" s="2">
        <v>-3506</v>
      </c>
      <c r="G38" s="2">
        <v>3570</v>
      </c>
      <c r="H38" s="2">
        <v>387</v>
      </c>
      <c r="J38" s="16" t="str">
        <f t="shared" si="0"/>
        <v>{ name: "Eutoum Shrine", landmark: "Shrine", type: "Proving Grounds", region: 4, level: "Surface", x: -3506, y: 3570, z: 387, details: `` },</v>
      </c>
      <c r="K38" s="11"/>
      <c r="L38" s="11"/>
    </row>
    <row r="39" spans="1:12" x14ac:dyDescent="0.2">
      <c r="A39" s="1" t="s">
        <v>1934</v>
      </c>
      <c r="B39" s="1" t="s">
        <v>2087</v>
      </c>
      <c r="C39" s="2" t="s">
        <v>800</v>
      </c>
      <c r="D39" s="2">
        <v>4</v>
      </c>
      <c r="E39" t="s">
        <v>785</v>
      </c>
      <c r="F39" s="2">
        <v>-3650</v>
      </c>
      <c r="G39" s="2">
        <v>1805</v>
      </c>
      <c r="H39" s="2">
        <v>168</v>
      </c>
      <c r="J39" s="16" t="str">
        <f t="shared" si="0"/>
        <v>{ name: "Gatakis Shrine", landmark: "Shrine", type: "Puzzle Trial", region: 4, level: "Surface", x: -3650, y: 1805, z: 168, details: `` },</v>
      </c>
      <c r="K39" s="11"/>
      <c r="L39" s="11"/>
    </row>
    <row r="40" spans="1:12" x14ac:dyDescent="0.2">
      <c r="A40" s="1" t="s">
        <v>1953</v>
      </c>
      <c r="B40" s="1" t="s">
        <v>2084</v>
      </c>
      <c r="C40" s="2" t="s">
        <v>800</v>
      </c>
      <c r="D40" s="2">
        <v>4</v>
      </c>
      <c r="E40" t="s">
        <v>785</v>
      </c>
      <c r="F40" s="2">
        <v>-4391</v>
      </c>
      <c r="G40" s="2">
        <v>3714</v>
      </c>
      <c r="H40" s="2">
        <v>212</v>
      </c>
      <c r="J40" s="16" t="str">
        <f t="shared" si="0"/>
        <v>{ name: "Otak Shrine", landmark: "Shrine", type: "Proving Grounds", region: 4, level: "Surface", x: -4391, y: 3714, z: 212, details: `` },</v>
      </c>
      <c r="K40" s="11"/>
      <c r="L40" s="11"/>
    </row>
    <row r="41" spans="1:12" x14ac:dyDescent="0.2">
      <c r="A41" s="1" t="s">
        <v>1969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-2996</v>
      </c>
      <c r="G41" s="2">
        <v>3102</v>
      </c>
      <c r="H41" s="2">
        <v>529</v>
      </c>
      <c r="I41" s="7" t="s">
        <v>4541</v>
      </c>
      <c r="J41" s="16" t="str">
        <f t="shared" si="0"/>
        <v>{ name: "Rutafu-um Shrine", landmark: "Shrine", type: "Rauru's Blessing", region: 4, level: "Surface", x: -2996, y: 3102, z: 529, details: `&lt;strong&gt;First:&lt;/strong&gt; Complete &lt;img src="icons/shrine-quest.png" style="height: 20px; width: 20px; vertical-align: middle; margin-right: 5px;"&gt;&lt;span style="color: #7cc9c2; font-weight: bold;"&gt;The Northwest Hebra Cave Crystal&lt;/span&gt; shrine quest` },</v>
      </c>
      <c r="K41" s="11"/>
      <c r="L41" s="11"/>
    </row>
    <row r="42" spans="1:12" x14ac:dyDescent="0.2">
      <c r="A42" s="1" t="s">
        <v>1950</v>
      </c>
      <c r="B42" s="1" t="s">
        <v>2087</v>
      </c>
      <c r="C42" s="2" t="s">
        <v>800</v>
      </c>
      <c r="D42" s="2">
        <v>4</v>
      </c>
      <c r="E42" t="s">
        <v>785</v>
      </c>
      <c r="F42" s="2">
        <v>-3355</v>
      </c>
      <c r="G42" s="2">
        <v>2387</v>
      </c>
      <c r="H42" s="2">
        <v>361</v>
      </c>
      <c r="J42" s="16" t="str">
        <f t="shared" si="0"/>
        <v>{ name: "Sahirow Shrine", landmark: "Shrine", type: "Puzzle Trial", region: 4, level: "Surface", x: -3355, y: 2387, z: 361, details: `` },</v>
      </c>
      <c r="K42" s="11"/>
      <c r="L42" s="11"/>
    </row>
    <row r="43" spans="1:12" x14ac:dyDescent="0.2">
      <c r="A43" s="1" t="s">
        <v>1977</v>
      </c>
      <c r="B43" s="1" t="s">
        <v>2085</v>
      </c>
      <c r="C43" s="2" t="s">
        <v>800</v>
      </c>
      <c r="D43" s="2">
        <v>4</v>
      </c>
      <c r="E43" t="s">
        <v>785</v>
      </c>
      <c r="F43" s="2">
        <v>-2559</v>
      </c>
      <c r="G43" s="2">
        <v>3353</v>
      </c>
      <c r="H43" s="2">
        <v>245</v>
      </c>
      <c r="I43" s="7" t="s">
        <v>4542</v>
      </c>
      <c r="J43" s="16" t="str">
        <f t="shared" si="0"/>
        <v>{ name: "Sisuran Shrine", landmark: "Shrine", type: "Rauru's Blessing", region: 4, level: "Surface", x: -2559, y: 3353, z: 245, details: `&lt;strong&gt;First:&lt;/strong&gt; Complete &lt;img src="icons/shrine-quest.png" style="height: 20px; width: 20px; vertical-align: middle; margin-right: 5px;"&gt;&lt;span style="color: #7cc9c2; font-weight: bold;"&gt;The North Hebra Mountains Crystal&lt;/span&gt; shrine quest` },</v>
      </c>
      <c r="K43" s="11"/>
      <c r="L43" s="11"/>
    </row>
    <row r="44" spans="1:12" x14ac:dyDescent="0.2">
      <c r="A44" s="1" t="s">
        <v>1938</v>
      </c>
      <c r="B44" s="1" t="s">
        <v>2087</v>
      </c>
      <c r="C44" s="2" t="s">
        <v>800</v>
      </c>
      <c r="D44" s="2">
        <v>4</v>
      </c>
      <c r="E44" t="s">
        <v>785</v>
      </c>
      <c r="F44" s="2">
        <v>-4539</v>
      </c>
      <c r="G44" s="2">
        <v>2881</v>
      </c>
      <c r="H44" s="2">
        <v>262</v>
      </c>
      <c r="J44" s="16" t="str">
        <f t="shared" si="0"/>
        <v>{ name: "Tauyosipun Shrine", landmark: "Shrine", type: "Puzzle Trial", region: 4, level: "Surface", x: -4539, y: 2881, z: 262, details: `` },</v>
      </c>
      <c r="K44" s="11"/>
      <c r="L44" s="11"/>
    </row>
    <row r="45" spans="1:12" x14ac:dyDescent="0.2">
      <c r="A45" s="1" t="s">
        <v>1931</v>
      </c>
      <c r="B45" s="1" t="s">
        <v>2087</v>
      </c>
      <c r="C45" s="2" t="s">
        <v>800</v>
      </c>
      <c r="D45" s="2">
        <v>4</v>
      </c>
      <c r="E45" t="s">
        <v>785</v>
      </c>
      <c r="F45" s="2">
        <v>-4059</v>
      </c>
      <c r="G45" s="2">
        <v>1991</v>
      </c>
      <c r="H45" s="2">
        <v>183</v>
      </c>
      <c r="I45" s="7" t="s">
        <v>4543</v>
      </c>
      <c r="J45" s="16" t="str">
        <f t="shared" si="0"/>
        <v>{ name: "Wao-os Shrine", landmark: "Shrine", type: "Puzzle Trial", region: 4, level: "Surface", x: -4059, y: 1991, z: 183, details: `&lt;strong&gt;First:&lt;/strong&gt; Complete &lt;img src="icons/shrine-quest.png" style="height: 20px; width: 20px; vertical-align: middle; margin-right: 5px;"&gt;&lt;span style="color: #7cc9c2; font-weight: bold;"&gt;The White Bird's Guidance&lt;/span&gt; shrine quest` },</v>
      </c>
      <c r="K45" s="11"/>
      <c r="L45" s="11"/>
    </row>
    <row r="46" spans="1:12" x14ac:dyDescent="0.2">
      <c r="A46" s="1" t="s">
        <v>1989</v>
      </c>
      <c r="B46" s="1" t="s">
        <v>2085</v>
      </c>
      <c r="C46" s="2" t="s">
        <v>1653</v>
      </c>
      <c r="D46" s="2">
        <v>5</v>
      </c>
      <c r="E46" t="s">
        <v>783</v>
      </c>
      <c r="F46" s="2">
        <v>-1800</v>
      </c>
      <c r="G46" s="2">
        <v>3406</v>
      </c>
      <c r="H46" s="2">
        <v>949</v>
      </c>
      <c r="J46" s="16" t="str">
        <f t="shared" si="0"/>
        <v>{ name: "Taninoud Shrine", landmark: "Shrine", type: "Rauru's Blessing", region: 5, level: "Sky", x: -1800, y: 3406, z: 949, details: `` },</v>
      </c>
      <c r="K46" s="11"/>
      <c r="L46" s="11"/>
    </row>
    <row r="47" spans="1:12" x14ac:dyDescent="0.2">
      <c r="A47" s="1" t="s">
        <v>2013</v>
      </c>
      <c r="B47" s="1" t="s">
        <v>2087</v>
      </c>
      <c r="C47" s="2" t="s">
        <v>1653</v>
      </c>
      <c r="D47" s="2">
        <v>5</v>
      </c>
      <c r="E47" t="s">
        <v>783</v>
      </c>
      <c r="F47" s="2">
        <v>-970</v>
      </c>
      <c r="G47" s="2">
        <v>3536</v>
      </c>
      <c r="H47" s="2">
        <v>1011</v>
      </c>
      <c r="J47" s="16" t="str">
        <f t="shared" si="0"/>
        <v>{ name: "Tenbez Shrine", landmark: "Shrine", type: "Puzzle Trial", region: 5, level: "Sky", x: -970, y: 3536, z: 1011, details: `` },</v>
      </c>
      <c r="K47" s="11"/>
      <c r="L47" s="11"/>
    </row>
    <row r="48" spans="1:12" x14ac:dyDescent="0.2">
      <c r="A48" s="1" t="s">
        <v>2006</v>
      </c>
      <c r="B48" s="1" t="s">
        <v>2085</v>
      </c>
      <c r="C48" s="2" t="s">
        <v>1653</v>
      </c>
      <c r="D48" s="2">
        <v>5</v>
      </c>
      <c r="E48" t="s">
        <v>785</v>
      </c>
      <c r="F48" s="2">
        <v>-823</v>
      </c>
      <c r="G48" s="2">
        <v>3535</v>
      </c>
      <c r="H48" s="2">
        <v>235</v>
      </c>
      <c r="J48" s="16" t="str">
        <f t="shared" si="0"/>
        <v>{ name: "Mayaotaki Shrine", landmark: "Shrine", type: "Rauru's Blessing", region: 5, level: "Surface", x: -823, y: 3535, z: 235, details: `` },</v>
      </c>
      <c r="K48" s="11"/>
      <c r="L48" s="11"/>
    </row>
    <row r="49" spans="1:12" x14ac:dyDescent="0.2">
      <c r="A49" s="1" t="s">
        <v>1986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-1165</v>
      </c>
      <c r="G49" s="2">
        <v>2602</v>
      </c>
      <c r="H49" s="2">
        <v>86</v>
      </c>
      <c r="J49" s="16" t="str">
        <f t="shared" si="0"/>
        <v>{ name: "Mayausiy Shrine", landmark: "Shrine", type: "Puzzle Trial", region: 5, level: "Surface", x: -1165, y: 2602, z: 86, details: `` },</v>
      </c>
      <c r="K49" s="11"/>
      <c r="L49" s="11"/>
    </row>
    <row r="50" spans="1:12" x14ac:dyDescent="0.2">
      <c r="A50" s="1" t="s">
        <v>1963</v>
      </c>
      <c r="B50" s="1" t="s">
        <v>2084</v>
      </c>
      <c r="C50" s="2" t="s">
        <v>1653</v>
      </c>
      <c r="D50" s="2">
        <v>5</v>
      </c>
      <c r="E50" t="s">
        <v>785</v>
      </c>
      <c r="F50" s="2">
        <v>-2319</v>
      </c>
      <c r="G50" s="2">
        <v>2201</v>
      </c>
      <c r="H50" s="2">
        <v>173</v>
      </c>
      <c r="J50" s="16" t="str">
        <f t="shared" si="0"/>
        <v>{ name: "Nouda Shrine", landmark: "Shrine", type: "Proving Grounds", region: 5, level: "Surface", x: -2319, y: 2201, z: 173, details: `` },</v>
      </c>
      <c r="K50" s="11"/>
      <c r="L50" s="11"/>
    </row>
    <row r="51" spans="1:12" x14ac:dyDescent="0.2">
      <c r="A51" s="1" t="s">
        <v>1983</v>
      </c>
      <c r="B51" s="1" t="s">
        <v>2087</v>
      </c>
      <c r="C51" s="2" t="s">
        <v>1653</v>
      </c>
      <c r="D51" s="2">
        <v>5</v>
      </c>
      <c r="E51" t="s">
        <v>785</v>
      </c>
      <c r="F51" s="2">
        <v>-1638</v>
      </c>
      <c r="G51" s="2">
        <v>2643</v>
      </c>
      <c r="H51" s="2">
        <v>238</v>
      </c>
      <c r="J51" s="16" t="str">
        <f t="shared" si="0"/>
        <v>{ name: "Orochium Shrine", landmark: "Shrine", type: "Puzzle Trial", region: 5, level: "Surface", x: -1638, y: 2643, z: 238, details: `` },</v>
      </c>
      <c r="K51" s="11"/>
      <c r="L51" s="11"/>
    </row>
    <row r="52" spans="1:12" x14ac:dyDescent="0.2">
      <c r="A52" s="1" t="s">
        <v>1999</v>
      </c>
      <c r="B52" s="1" t="s">
        <v>2087</v>
      </c>
      <c r="C52" s="2" t="s">
        <v>1653</v>
      </c>
      <c r="D52" s="2">
        <v>5</v>
      </c>
      <c r="E52" t="s">
        <v>785</v>
      </c>
      <c r="F52" s="2">
        <v>-1404</v>
      </c>
      <c r="G52" s="2">
        <v>3677</v>
      </c>
      <c r="H52" s="2">
        <v>288</v>
      </c>
      <c r="J52" s="16" t="str">
        <f t="shared" si="0"/>
        <v>{ name: "Oshozan-u Shrine", landmark: "Shrine", type: "Puzzle Trial", region: 5, level: "Surface", x: -1404, y: 3677, z: 288, details: `` },</v>
      </c>
      <c r="K52" s="11"/>
      <c r="L52" s="11"/>
    </row>
    <row r="53" spans="1:12" x14ac:dyDescent="0.2">
      <c r="A53" s="1" t="s">
        <v>2009</v>
      </c>
      <c r="B53" s="1" t="s">
        <v>2085</v>
      </c>
      <c r="C53" s="2" t="s">
        <v>789</v>
      </c>
      <c r="D53" s="2">
        <v>6</v>
      </c>
      <c r="E53" t="s">
        <v>783</v>
      </c>
      <c r="F53" s="2">
        <v>341</v>
      </c>
      <c r="G53" s="2">
        <v>2814</v>
      </c>
      <c r="H53" s="2">
        <v>1821</v>
      </c>
      <c r="I53" s="7" t="s">
        <v>4544</v>
      </c>
      <c r="J53" s="16" t="str">
        <f t="shared" si="0"/>
        <v>{ name: "Mayam Shrine", landmark: "Shrine", type: "Rauru's Blessing", region: 6, level: "Sky", x: 341, y: 2814, z: 1821, details: `&lt;strong&gt;First:&lt;/strong&gt; Complete &lt;img src="icons/shrine-quest.png" style="height: 20px; width: 20px; vertical-align: middle; margin-right: 5px;"&gt;&lt;span style="color: #7cc9c2; font-weight: bold;"&gt;The North Hyrule Sky Crystal&lt;/span&gt; shrine quest` },</v>
      </c>
      <c r="K53" s="11"/>
      <c r="L53" s="11"/>
    </row>
    <row r="54" spans="1:12" x14ac:dyDescent="0.2">
      <c r="A54" s="1" t="s">
        <v>1996</v>
      </c>
      <c r="B54" s="1" t="s">
        <v>2084</v>
      </c>
      <c r="C54" s="2" t="s">
        <v>789</v>
      </c>
      <c r="D54" s="2">
        <v>6</v>
      </c>
      <c r="E54" t="s">
        <v>783</v>
      </c>
      <c r="F54" s="2">
        <v>163</v>
      </c>
      <c r="G54" s="2">
        <v>1973</v>
      </c>
      <c r="H54" s="2">
        <v>759</v>
      </c>
      <c r="J54" s="16" t="str">
        <f t="shared" si="0"/>
        <v>{ name: "Simosiwak Shrine", landmark: "Shrine", type: "Proving Grounds", region: 6, level: "Sky", x: 163, y: 1973, z: 759, details: `` },</v>
      </c>
      <c r="K54" s="11"/>
      <c r="L54" s="11"/>
    </row>
    <row r="55" spans="1:12" x14ac:dyDescent="0.2">
      <c r="A55" s="1" t="s">
        <v>2001</v>
      </c>
      <c r="B55" s="1" t="s">
        <v>2087</v>
      </c>
      <c r="C55" s="2" t="s">
        <v>789</v>
      </c>
      <c r="D55" s="2">
        <v>6</v>
      </c>
      <c r="E55" t="s">
        <v>785</v>
      </c>
      <c r="F55" s="2">
        <v>-395</v>
      </c>
      <c r="G55" s="2">
        <v>2736</v>
      </c>
      <c r="H55" s="2">
        <v>287</v>
      </c>
      <c r="J55" s="16" t="str">
        <f t="shared" si="0"/>
        <v>{ name: "Kikakin Shrine", landmark: "Shrine", type: "Puzzle Trial", region: 6, level: "Surface", x: -395, y: 2736, z: 287, details: `` },</v>
      </c>
      <c r="K55" s="11"/>
      <c r="L55" s="11"/>
    </row>
    <row r="56" spans="1:12" x14ac:dyDescent="0.2">
      <c r="A56" s="1" t="s">
        <v>2030</v>
      </c>
      <c r="B56" s="1" t="s">
        <v>2087</v>
      </c>
      <c r="C56" s="2" t="s">
        <v>789</v>
      </c>
      <c r="D56" s="2">
        <v>6</v>
      </c>
      <c r="E56" t="s">
        <v>785</v>
      </c>
      <c r="F56" s="2">
        <v>1270</v>
      </c>
      <c r="G56" s="2">
        <v>3733</v>
      </c>
      <c r="H56" s="2">
        <v>106</v>
      </c>
      <c r="J56" s="16" t="str">
        <f t="shared" si="0"/>
        <v>{ name: "Mayak Shrine", landmark: "Shrine", type: "Puzzle Trial", region: 6, level: "Surface", x: 1270, y: 3733, z: 106, details: `` },</v>
      </c>
      <c r="K56" s="11"/>
      <c r="L56" s="11"/>
    </row>
    <row r="57" spans="1:12" x14ac:dyDescent="0.2">
      <c r="A57" s="1" t="s">
        <v>2021</v>
      </c>
      <c r="B57" s="1" t="s">
        <v>2085</v>
      </c>
      <c r="C57" s="2" t="s">
        <v>789</v>
      </c>
      <c r="D57" s="2">
        <v>6</v>
      </c>
      <c r="E57" t="s">
        <v>785</v>
      </c>
      <c r="F57" s="2">
        <v>393</v>
      </c>
      <c r="G57" s="2">
        <v>3485</v>
      </c>
      <c r="H57" s="2">
        <v>68</v>
      </c>
      <c r="J57" s="16" t="str">
        <f t="shared" si="0"/>
        <v>{ name: "Minetak Shrine", landmark: "Shrine", type: "Rauru's Blessing", region: 6, level: "Surface", x: 393, y: 3485, z: 68, details: `` },</v>
      </c>
      <c r="K57" s="11"/>
      <c r="L57" s="11"/>
    </row>
    <row r="58" spans="1:12" x14ac:dyDescent="0.2">
      <c r="A58" s="1" t="s">
        <v>2004</v>
      </c>
      <c r="B58" s="1" t="s">
        <v>2087</v>
      </c>
      <c r="C58" s="2" t="s">
        <v>789</v>
      </c>
      <c r="D58" s="2">
        <v>6</v>
      </c>
      <c r="E58" t="s">
        <v>785</v>
      </c>
      <c r="F58" s="2">
        <v>408</v>
      </c>
      <c r="G58" s="2">
        <v>2133</v>
      </c>
      <c r="H58" s="2">
        <v>143</v>
      </c>
      <c r="J58" s="16" t="str">
        <f t="shared" si="0"/>
        <v>{ name: "Musanokir Shrine", landmark: "Shrine", type: "Puzzle Trial", region: 6, level: "Surface", x: 408, y: 2133, z: 143, details: `` },</v>
      </c>
      <c r="K58" s="11"/>
      <c r="L58" s="11"/>
    </row>
    <row r="59" spans="1:12" x14ac:dyDescent="0.2">
      <c r="A59" s="1" t="s">
        <v>1998</v>
      </c>
      <c r="B59" s="1" t="s">
        <v>2085</v>
      </c>
      <c r="C59" s="2" t="s">
        <v>789</v>
      </c>
      <c r="D59" s="2">
        <v>6</v>
      </c>
      <c r="E59" t="s">
        <v>785</v>
      </c>
      <c r="F59" s="2">
        <v>353</v>
      </c>
      <c r="G59" s="2">
        <v>1890</v>
      </c>
      <c r="H59" s="2">
        <v>178</v>
      </c>
      <c r="I59" s="7" t="s">
        <v>4545</v>
      </c>
      <c r="J59" s="16" t="str">
        <f t="shared" si="0"/>
        <v>{ name: "Ninjis Shrine", landmark: "Shrine", type: "Rauru's Blessing", region: 6, level: "Surface", x: 353, y: 1890, z: 178, details: `&lt;strong&gt;First:&lt;/strong&gt; Complete &lt;img src="icons/shrine-quest.png" style="height: 20px; width: 20px; vertical-align: middle; margin-right: 5px;"&gt;&lt;span style="color: #7cc9c2; font-weight: bold;"&gt;Maca's Special Place&lt;/span&gt; shrine quest` },</v>
      </c>
      <c r="K59" s="11"/>
      <c r="L59" s="11"/>
    </row>
    <row r="60" spans="1:12" x14ac:dyDescent="0.2">
      <c r="A60" s="1" t="s">
        <v>2007</v>
      </c>
      <c r="B60" s="1" t="s">
        <v>2085</v>
      </c>
      <c r="C60" s="2" t="s">
        <v>789</v>
      </c>
      <c r="D60" s="2">
        <v>6</v>
      </c>
      <c r="E60" t="s">
        <v>785</v>
      </c>
      <c r="F60" s="2">
        <v>619</v>
      </c>
      <c r="G60" s="2">
        <v>2211</v>
      </c>
      <c r="H60" s="2">
        <v>164</v>
      </c>
      <c r="I60" s="7" t="s">
        <v>4546</v>
      </c>
      <c r="J60" s="16" t="str">
        <f t="shared" si="0"/>
        <v>{ name: "Pupunke Shrine", landmark: "Shrine", type: "Rauru's Blessing", region: 6, level: "Surface", x: 619, y: 2211, z: 164, details: `&lt;strong&gt;First:&lt;/strong&gt;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quest` },</v>
      </c>
      <c r="K60" s="11"/>
      <c r="L60" s="11"/>
    </row>
    <row r="61" spans="1:12" x14ac:dyDescent="0.2">
      <c r="A61" s="1" t="s">
        <v>2003</v>
      </c>
      <c r="B61" s="1" t="s">
        <v>2085</v>
      </c>
      <c r="C61" s="2" t="s">
        <v>789</v>
      </c>
      <c r="D61" s="2">
        <v>6</v>
      </c>
      <c r="E61" t="s">
        <v>785</v>
      </c>
      <c r="F61" s="2">
        <v>166</v>
      </c>
      <c r="G61" s="2">
        <v>2319</v>
      </c>
      <c r="H61" s="2">
        <v>178</v>
      </c>
      <c r="I61" s="7" t="s">
        <v>4547</v>
      </c>
      <c r="J61" s="16" t="str">
        <f t="shared" si="0"/>
        <v>{ name: "Sakunbomar Shrine", landmark: "Shrine", type: "Rauru's Blessing", region: 6, level: "Surface", x: 166, y: 2319, z: 178, details: `&lt;strong&gt;First:&lt;/strong&gt; Complete &lt;img src="icons/shrine-quest.png" style="height: 20px; width: 20px; vertical-align: middle; margin-right: 5px;"&gt;&lt;span style="color: #7cc9c2; font-weight: bold;"&gt;None Shall Pass&lt;/span&gt; shrine quest` },</v>
      </c>
      <c r="K61" s="11"/>
      <c r="L61" s="11"/>
    </row>
    <row r="62" spans="1:12" x14ac:dyDescent="0.2">
      <c r="A62" s="1" t="s">
        <v>2014</v>
      </c>
      <c r="B62" s="1" t="s">
        <v>2087</v>
      </c>
      <c r="C62" s="2" t="s">
        <v>789</v>
      </c>
      <c r="D62" s="2">
        <v>6</v>
      </c>
      <c r="E62" t="s">
        <v>785</v>
      </c>
      <c r="F62" s="2">
        <v>700</v>
      </c>
      <c r="G62" s="2">
        <v>2793</v>
      </c>
      <c r="H62" s="2">
        <v>225</v>
      </c>
      <c r="J62" s="16" t="str">
        <f t="shared" si="0"/>
        <v>{ name: "Sikukuu Shrine", landmark: "Shrine", type: "Puzzle Trial", region: 6, level: "Surface", x: 700, y: 2793, z: 225, details: `` },</v>
      </c>
      <c r="K62" s="11"/>
      <c r="L62" s="11"/>
    </row>
    <row r="63" spans="1:12" x14ac:dyDescent="0.2">
      <c r="A63" s="1" t="s">
        <v>1980</v>
      </c>
      <c r="B63" s="1" t="s">
        <v>2085</v>
      </c>
      <c r="C63" s="2" t="s">
        <v>789</v>
      </c>
      <c r="D63" s="2">
        <v>6</v>
      </c>
      <c r="E63" t="s">
        <v>785</v>
      </c>
      <c r="F63" s="2">
        <v>-594</v>
      </c>
      <c r="G63" s="2">
        <v>1551</v>
      </c>
      <c r="H63" s="2">
        <v>-14</v>
      </c>
      <c r="J63" s="16" t="str">
        <f t="shared" si="0"/>
        <v>{ name: "Tenmaten Shrine", landmark: "Shrine", type: "Rauru's Blessing", region: 6, level: "Surface", x: -594, y: 1551, z: -14, details: `` },</v>
      </c>
      <c r="K63" s="11"/>
      <c r="L63" s="11"/>
    </row>
    <row r="64" spans="1:12" x14ac:dyDescent="0.2">
      <c r="A64" s="1" t="s">
        <v>2008</v>
      </c>
      <c r="B64" s="1" t="s">
        <v>2087</v>
      </c>
      <c r="C64" s="2" t="s">
        <v>1239</v>
      </c>
      <c r="D64" s="2">
        <v>7</v>
      </c>
      <c r="E64" t="s">
        <v>783</v>
      </c>
      <c r="F64" s="2">
        <v>1883</v>
      </c>
      <c r="G64" s="2">
        <v>1202</v>
      </c>
      <c r="H64" s="2">
        <v>1251</v>
      </c>
      <c r="J64" s="16" t="str">
        <f t="shared" si="0"/>
        <v>{ name: "Kadaunar Shrine", landmark: "Shrine", type: "Puzzle Trial", region: 7, level: "Sky", x: 1883, y: 1202, z: 1251, details: `` },</v>
      </c>
      <c r="K64" s="11"/>
      <c r="L64" s="11"/>
    </row>
    <row r="65" spans="1:12" x14ac:dyDescent="0.2">
      <c r="A65" s="1" t="s">
        <v>2000</v>
      </c>
      <c r="B65" s="1" t="s">
        <v>2087</v>
      </c>
      <c r="C65" s="2" t="s">
        <v>1239</v>
      </c>
      <c r="D65" s="2">
        <v>7</v>
      </c>
      <c r="E65" t="s">
        <v>785</v>
      </c>
      <c r="F65" s="2">
        <v>1059</v>
      </c>
      <c r="G65" s="2">
        <v>1276</v>
      </c>
      <c r="H65" s="2">
        <v>45</v>
      </c>
      <c r="J65" s="16" t="str">
        <f t="shared" si="0"/>
        <v>{ name: "Ekochiu Shrine", landmark: "Shrine", type: "Puzzle Trial", region: 7, level: "Surface", x: 1059, y: 1276, z: 45, details: `` },</v>
      </c>
      <c r="K65" s="11"/>
      <c r="L65" s="11"/>
    </row>
    <row r="66" spans="1:12" x14ac:dyDescent="0.2">
      <c r="A66" s="1" t="s">
        <v>2026</v>
      </c>
      <c r="B66" s="1" t="s">
        <v>2084</v>
      </c>
      <c r="C66" s="2" t="s">
        <v>1239</v>
      </c>
      <c r="D66" s="2">
        <v>7</v>
      </c>
      <c r="E66" t="s">
        <v>785</v>
      </c>
      <c r="F66" s="2">
        <v>1842</v>
      </c>
      <c r="G66" s="2">
        <v>2841</v>
      </c>
      <c r="H66" s="2">
        <v>363</v>
      </c>
      <c r="J66" s="16" t="str">
        <f t="shared" si="0"/>
        <v>{ name: "Isisim Shrine", landmark: "Shrine", type: "Proving Grounds", region: 7, level: "Surface", x: 1842, y: 2841, z: 363, details: `` },</v>
      </c>
      <c r="K66" s="11"/>
      <c r="L66" s="11"/>
    </row>
    <row r="67" spans="1:12" x14ac:dyDescent="0.2">
      <c r="A67" s="1" t="s">
        <v>2031</v>
      </c>
      <c r="B67" s="1" t="s">
        <v>2085</v>
      </c>
      <c r="C67" s="2" t="s">
        <v>1239</v>
      </c>
      <c r="D67" s="2">
        <v>7</v>
      </c>
      <c r="E67" t="s">
        <v>785</v>
      </c>
      <c r="F67" s="2">
        <v>1833</v>
      </c>
      <c r="G67" s="2">
        <v>3179</v>
      </c>
      <c r="H67" s="2">
        <v>257</v>
      </c>
      <c r="J67" s="16" t="str">
        <f t="shared" si="0"/>
        <v>{ name: "Jiotak Shrine", landmark: "Shrine", type: "Rauru's Blessing", region: 7, level: "Surface", x: 1833, y: 3179, z: 257, details: `` },</v>
      </c>
      <c r="K67" s="11"/>
      <c r="L67" s="11"/>
    </row>
    <row r="68" spans="1:12" x14ac:dyDescent="0.2">
      <c r="A68" s="1" t="s">
        <v>2039</v>
      </c>
      <c r="B68" s="1" t="s">
        <v>2084</v>
      </c>
      <c r="C68" s="2" t="s">
        <v>1239</v>
      </c>
      <c r="D68" s="2">
        <v>7</v>
      </c>
      <c r="E68" t="s">
        <v>785</v>
      </c>
      <c r="F68" s="2">
        <v>2863</v>
      </c>
      <c r="G68" s="2">
        <v>3637</v>
      </c>
      <c r="H68" s="2">
        <v>239</v>
      </c>
      <c r="J68" s="16" t="str">
        <f t="shared" si="0"/>
        <v>{ name: "Kimayat Shrine", landmark: "Shrine", type: "Proving Grounds", region: 7, level: "Surface", x: 2863, y: 3637, z: 239, details: `` },</v>
      </c>
      <c r="K68" s="11"/>
      <c r="L68" s="11"/>
    </row>
    <row r="69" spans="1:12" x14ac:dyDescent="0.2">
      <c r="A69" s="1" t="s">
        <v>2020</v>
      </c>
      <c r="B69" s="1" t="s">
        <v>2087</v>
      </c>
      <c r="C69" s="2" t="s">
        <v>1239</v>
      </c>
      <c r="D69" s="2">
        <v>7</v>
      </c>
      <c r="E69" t="s">
        <v>785</v>
      </c>
      <c r="F69" s="2">
        <v>2567</v>
      </c>
      <c r="G69" s="2">
        <v>1245</v>
      </c>
      <c r="H69" s="2">
        <v>173</v>
      </c>
      <c r="J69" s="16" t="str">
        <f t="shared" ref="J69:J130" si="1">"{ name: "&amp;CHAR(34)&amp;A69&amp;CHAR(34)&amp;", landmark: "&amp;CHAR(34)&amp;"Shrine"&amp;CHAR(34)&amp;", type: "&amp;CHAR(34)&amp;B69&amp;CHAR(34)&amp;", region: "&amp;D69&amp;", level: "&amp;CHAR(34)&amp;E69&amp;CHAR(34)&amp;", x: "&amp;F69&amp;", y: "&amp;G69&amp;", z: "&amp;H69&amp;", details: `"&amp;I69&amp;"` },"</f>
        <v>{ name: "Kisinona Shrine", landmark: "Shrine", type: "Puzzle Trial", region: 7, level: "Surface", x: 2567, y: 1245, z: 173, details: `` },</v>
      </c>
      <c r="K69" s="11"/>
      <c r="L69" s="11"/>
    </row>
    <row r="70" spans="1:12" x14ac:dyDescent="0.2">
      <c r="A70" s="1" t="s">
        <v>2023</v>
      </c>
      <c r="B70" s="1" t="s">
        <v>2087</v>
      </c>
      <c r="C70" s="2" t="s">
        <v>1239</v>
      </c>
      <c r="D70" s="2">
        <v>7</v>
      </c>
      <c r="E70" t="s">
        <v>785</v>
      </c>
      <c r="F70" s="2">
        <v>1761</v>
      </c>
      <c r="G70" s="2">
        <v>2508</v>
      </c>
      <c r="H70" s="2">
        <v>437</v>
      </c>
      <c r="J70" s="16" t="str">
        <f t="shared" si="1"/>
        <v>{ name: "Marakuguc Shrine", landmark: "Shrine", type: "Puzzle Trial", region: 7, level: "Surface", x: 1761, y: 2508, z: 437, details: `` },</v>
      </c>
      <c r="K70" s="11"/>
      <c r="L70" s="11"/>
    </row>
    <row r="71" spans="1:12" x14ac:dyDescent="0.2">
      <c r="A71" s="1" t="s">
        <v>2037</v>
      </c>
      <c r="B71" s="1" t="s">
        <v>2085</v>
      </c>
      <c r="C71" s="2" t="s">
        <v>1239</v>
      </c>
      <c r="D71" s="2">
        <v>7</v>
      </c>
      <c r="E71" t="s">
        <v>785</v>
      </c>
      <c r="F71" s="2">
        <v>2959</v>
      </c>
      <c r="G71" s="2">
        <v>2758</v>
      </c>
      <c r="H71" s="2">
        <v>524</v>
      </c>
      <c r="I71" s="7" t="s">
        <v>4548</v>
      </c>
      <c r="J71" s="16" t="str">
        <f t="shared" si="1"/>
        <v>{ name: "Momosik Shrine", landmark: "Shrine", type: "Rauru's Blessing", region: 7, level: "Surface", x: 2959, y: 2758, z: 524, details: `&lt;strong&gt;First:&lt;/strong&gt; Complete &lt;img src="icons/shrine-quest.png" style="height: 20px; width: 20px; vertical-align: middle; margin-right: 5px;"&gt;&lt;span style="color: #7cc9c2; font-weight: bold;"&gt;The Death Caldera Crystal&lt;/span&gt; shrine quest` },</v>
      </c>
      <c r="K71" s="11"/>
      <c r="L71" s="11"/>
    </row>
    <row r="72" spans="1:12" x14ac:dyDescent="0.2">
      <c r="A72" s="1" t="s">
        <v>2025</v>
      </c>
      <c r="B72" s="1" t="s">
        <v>2085</v>
      </c>
      <c r="C72" s="2" t="s">
        <v>1239</v>
      </c>
      <c r="D72" s="2">
        <v>7</v>
      </c>
      <c r="E72" t="s">
        <v>785</v>
      </c>
      <c r="F72" s="2">
        <v>2678</v>
      </c>
      <c r="G72" s="2">
        <v>1905</v>
      </c>
      <c r="H72" s="2">
        <v>131</v>
      </c>
      <c r="I72" s="7" t="s">
        <v>4549</v>
      </c>
      <c r="J72" s="16" t="str">
        <f t="shared" si="1"/>
        <v>{ name: "Moshapin Shrine", landmark: "Shrine", type: "Rauru's Blessing", region: 7, level: "Surface", x: 2678, y: 1905, z: 131, details: `&lt;strong&gt;First:&lt;/strong&gt; Complete &lt;img src="icons/shrine-quest.png" style="height: 20px; width: 20px; vertical-align: middle; margin-right: 5px;"&gt;&lt;span style="color: #7cc9c2; font-weight: bold;"&gt;The Lake Intenoch Cave Crystal&lt;/span&gt; shrine quest` },</v>
      </c>
      <c r="K72" s="11"/>
      <c r="L72" s="11"/>
    </row>
    <row r="73" spans="1:12" x14ac:dyDescent="0.2">
      <c r="A73" s="1" t="s">
        <v>2036</v>
      </c>
      <c r="B73" s="1" t="s">
        <v>2087</v>
      </c>
      <c r="C73" s="2" t="s">
        <v>1239</v>
      </c>
      <c r="D73" s="2">
        <v>7</v>
      </c>
      <c r="E73" t="s">
        <v>785</v>
      </c>
      <c r="F73" s="2">
        <v>2401</v>
      </c>
      <c r="G73" s="2">
        <v>3273</v>
      </c>
      <c r="H73" s="2">
        <v>402</v>
      </c>
      <c r="J73" s="16" t="str">
        <f t="shared" si="1"/>
        <v>{ name: "Sibajitak Shrine", landmark: "Shrine", type: "Puzzle Trial", region: 7, level: "Surface", x: 2401, y: 3273, z: 402, details: `` },</v>
      </c>
      <c r="K73" s="11"/>
      <c r="L73" s="11"/>
    </row>
    <row r="74" spans="1:12" x14ac:dyDescent="0.2">
      <c r="A74" s="1" t="s">
        <v>2029</v>
      </c>
      <c r="B74" s="1" t="s">
        <v>2087</v>
      </c>
      <c r="C74" s="2" t="s">
        <v>1239</v>
      </c>
      <c r="D74" s="2">
        <v>7</v>
      </c>
      <c r="E74" t="s">
        <v>785</v>
      </c>
      <c r="F74" s="2">
        <v>2367</v>
      </c>
      <c r="G74" s="2">
        <v>2598</v>
      </c>
      <c r="H74" s="2">
        <v>790</v>
      </c>
      <c r="J74" s="16" t="str">
        <f t="shared" si="1"/>
        <v>{ name: "Sitsum Shrine", landmark: "Shrine", type: "Puzzle Trial", region: 7, level: "Surface", x: 2367, y: 2598, z: 790, details: `` },</v>
      </c>
      <c r="K74" s="11"/>
      <c r="L74" s="11"/>
    </row>
    <row r="75" spans="1:12" x14ac:dyDescent="0.2">
      <c r="A75" s="1" t="s">
        <v>2011</v>
      </c>
      <c r="B75" s="1" t="s">
        <v>2087</v>
      </c>
      <c r="C75" s="2" t="s">
        <v>1239</v>
      </c>
      <c r="D75" s="2">
        <v>7</v>
      </c>
      <c r="E75" t="s">
        <v>785</v>
      </c>
      <c r="F75" s="2">
        <v>1798</v>
      </c>
      <c r="G75" s="2">
        <v>1639</v>
      </c>
      <c r="H75" s="2">
        <v>311</v>
      </c>
      <c r="J75" s="16" t="str">
        <f t="shared" si="1"/>
        <v>{ name: "Timawak Shrine", landmark: "Shrine", type: "Puzzle Trial", region: 7, level: "Surface", x: 1798, y: 1639, z: 311, details: `` },</v>
      </c>
      <c r="K75" s="11"/>
      <c r="L75" s="11"/>
    </row>
    <row r="76" spans="1:12" x14ac:dyDescent="0.2">
      <c r="A76" s="1" t="s">
        <v>2041</v>
      </c>
      <c r="B76" s="1" t="s">
        <v>2085</v>
      </c>
      <c r="C76" s="2" t="s">
        <v>1103</v>
      </c>
      <c r="D76" s="2">
        <v>8</v>
      </c>
      <c r="E76" t="s">
        <v>783</v>
      </c>
      <c r="F76" s="2">
        <v>4506</v>
      </c>
      <c r="G76" s="2">
        <v>2164</v>
      </c>
      <c r="H76" s="2">
        <v>1155</v>
      </c>
      <c r="I76" s="7" t="s">
        <v>4550</v>
      </c>
      <c r="J76" s="16" t="str">
        <f t="shared" si="1"/>
        <v>{ name: "Gikaku Shrine", landmark: "Shrine", type: "Rauru's Blessing", region: 8, level: "Sky", x: 4506, y: 2164, z: 1155, details: `&lt;strong&gt;First:&lt;/strong&gt; Complete &lt;img src="icons/shrine-quest.png" style="height: 20px; width: 20px; vertical-align: middle; margin-right: 5px;"&gt;&lt;span style="color: #7cc9c2; font-weight: bold;"&gt;The Sky Mine Crystal&lt;/span&gt; shrine quest` },</v>
      </c>
      <c r="K76" s="11"/>
      <c r="L76" s="11"/>
    </row>
    <row r="77" spans="1:12" x14ac:dyDescent="0.2">
      <c r="A77" s="1" t="s">
        <v>2043</v>
      </c>
      <c r="B77" s="1" t="s">
        <v>2087</v>
      </c>
      <c r="C77" s="2" t="s">
        <v>1103</v>
      </c>
      <c r="D77" s="2">
        <v>8</v>
      </c>
      <c r="E77" t="s">
        <v>783</v>
      </c>
      <c r="F77" s="2">
        <v>4655</v>
      </c>
      <c r="G77" s="2">
        <v>3501</v>
      </c>
      <c r="H77" s="2">
        <v>1010</v>
      </c>
      <c r="J77" s="16" t="str">
        <f t="shared" si="1"/>
        <v>{ name: "Mogisari Shrine", landmark: "Shrine", type: "Puzzle Trial", region: 8, level: "Sky", x: 4655, y: 3501, z: 1010, details: `` },</v>
      </c>
      <c r="K77" s="11"/>
      <c r="L77" s="11"/>
    </row>
    <row r="78" spans="1:12" x14ac:dyDescent="0.2">
      <c r="A78" s="1" t="s">
        <v>2033</v>
      </c>
      <c r="B78" s="1" t="s">
        <v>2085</v>
      </c>
      <c r="C78" s="2" t="s">
        <v>1103</v>
      </c>
      <c r="D78" s="2">
        <v>8</v>
      </c>
      <c r="E78" t="s">
        <v>783</v>
      </c>
      <c r="F78" s="2">
        <v>3669</v>
      </c>
      <c r="G78" s="2">
        <v>1488</v>
      </c>
      <c r="H78" s="2">
        <v>1157</v>
      </c>
      <c r="I78" s="7" t="s">
        <v>4551</v>
      </c>
      <c r="J78" s="16" t="str">
        <f t="shared" si="1"/>
        <v>{ name: "Natak Shrine", landmark: "Shrine", type: "Rauru's Blessing", region: 8, level: "Sky", x: 3669, y: 1488, z: 1157, details: `&lt;strong&gt;First:&lt;/strong&gt; Complete &lt;img src="icons/shrine-quest.png" style="height: 20px; width: 20px; vertical-align: middle; margin-right: 5px;"&gt;&lt;span style="color: #7cc9c2; font-weight: bold;"&gt;The Sokkala Sky Crystal&lt;/span&gt; shrine quest` },</v>
      </c>
      <c r="K78" s="11"/>
      <c r="L78" s="11"/>
    </row>
    <row r="79" spans="1:12" x14ac:dyDescent="0.2">
      <c r="A79" s="1" t="s">
        <v>2027</v>
      </c>
      <c r="B79" s="1" t="s">
        <v>2087</v>
      </c>
      <c r="C79" s="2" t="s">
        <v>1103</v>
      </c>
      <c r="D79" s="2">
        <v>8</v>
      </c>
      <c r="E79" t="s">
        <v>785</v>
      </c>
      <c r="F79" s="2">
        <v>3305</v>
      </c>
      <c r="G79" s="2">
        <v>1443</v>
      </c>
      <c r="H79" s="2">
        <v>426</v>
      </c>
      <c r="J79" s="16" t="str">
        <f t="shared" si="1"/>
        <v>{ name: "Domizuin Shrine", landmark: "Shrine", type: "Puzzle Trial", region: 8, level: "Surface", x: 3305, y: 1443, z: 426, details: `` },</v>
      </c>
      <c r="K79" s="11"/>
      <c r="L79" s="11"/>
    </row>
    <row r="80" spans="1:12" x14ac:dyDescent="0.2">
      <c r="A80" s="1" t="s">
        <v>2040</v>
      </c>
      <c r="B80" s="1" t="s">
        <v>2087</v>
      </c>
      <c r="C80" s="2" t="s">
        <v>1103</v>
      </c>
      <c r="D80" s="2">
        <v>8</v>
      </c>
      <c r="E80" t="s">
        <v>785</v>
      </c>
      <c r="F80" s="2">
        <v>4513</v>
      </c>
      <c r="G80" s="2">
        <v>2116</v>
      </c>
      <c r="H80" s="2">
        <v>1</v>
      </c>
      <c r="J80" s="16" t="str">
        <f t="shared" si="1"/>
        <v>{ name: "Gemimik Shrine", landmark: "Shrine", type: "Puzzle Trial", region: 8, level: "Surface", x: 4513, y: 2116, z: 1, details: `` },</v>
      </c>
      <c r="K80" s="11"/>
      <c r="L80" s="11"/>
    </row>
    <row r="81" spans="1:12" x14ac:dyDescent="0.2">
      <c r="A81" s="1" t="s">
        <v>2046</v>
      </c>
      <c r="B81" s="1" t="s">
        <v>2085</v>
      </c>
      <c r="C81" s="2" t="s">
        <v>1103</v>
      </c>
      <c r="D81" s="2">
        <v>8</v>
      </c>
      <c r="E81" t="s">
        <v>785</v>
      </c>
      <c r="F81" s="2">
        <v>4653</v>
      </c>
      <c r="G81" s="2">
        <v>3702</v>
      </c>
      <c r="H81" s="2">
        <v>131</v>
      </c>
      <c r="J81" s="16" t="str">
        <f t="shared" si="1"/>
        <v>{ name: "Igashuk Shrine", landmark: "Shrine", type: "Rauru's Blessing", region: 8, level: "Surface", x: 4653, y: 3702, z: 131, details: `` },</v>
      </c>
      <c r="K81" s="11"/>
      <c r="L81" s="11"/>
    </row>
    <row r="82" spans="1:12" x14ac:dyDescent="0.2">
      <c r="A82" s="1" t="s">
        <v>2032</v>
      </c>
      <c r="B82" s="1" t="s">
        <v>2085</v>
      </c>
      <c r="C82" s="2" t="s">
        <v>1103</v>
      </c>
      <c r="D82" s="2">
        <v>8</v>
      </c>
      <c r="E82" t="s">
        <v>785</v>
      </c>
      <c r="F82" s="2">
        <v>3809</v>
      </c>
      <c r="G82" s="2">
        <v>1219</v>
      </c>
      <c r="H82" s="2">
        <v>90</v>
      </c>
      <c r="I82" s="7" t="s">
        <v>4552</v>
      </c>
      <c r="J82" s="16" t="str">
        <f t="shared" si="1"/>
        <v>{ name: "Jochi-ihiga Shrine", landmark: "Shrine", type: "Rauru's Blessing", region: 8, level: "Surface", x: 3809, y: 1219, z: 90, details: `&lt;strong&gt;First:&lt;/strong&gt; Complete &lt;img src="icons/shrine-quest.png" style="height: 20px; width: 20px; vertical-align: middle; margin-right: 5px;"&gt;&lt;span style="color: #7cc9c2; font-weight: bold;"&gt;Rock for Sale&lt;/span&gt; shrine quest` },</v>
      </c>
      <c r="K82" s="11"/>
      <c r="L82" s="11"/>
    </row>
    <row r="83" spans="1:12" x14ac:dyDescent="0.2">
      <c r="A83" s="1" t="s">
        <v>2044</v>
      </c>
      <c r="B83" s="1" t="s">
        <v>2087</v>
      </c>
      <c r="C83" s="2" t="s">
        <v>1103</v>
      </c>
      <c r="D83" s="2">
        <v>8</v>
      </c>
      <c r="E83" t="s">
        <v>785</v>
      </c>
      <c r="F83" s="2">
        <v>4346</v>
      </c>
      <c r="G83" s="2">
        <v>2875</v>
      </c>
      <c r="H83" s="2">
        <v>164</v>
      </c>
      <c r="J83" s="16" t="str">
        <f t="shared" si="1"/>
        <v>{ name: "Jochi-iu Shrine", landmark: "Shrine", type: "Puzzle Trial", region: 8, level: "Surface", x: 4346, y: 2875, z: 164, details: `` },</v>
      </c>
      <c r="K83" s="11"/>
      <c r="L83" s="11"/>
    </row>
    <row r="84" spans="1:12" x14ac:dyDescent="0.2">
      <c r="A84" s="1" t="s">
        <v>2042</v>
      </c>
      <c r="B84" s="1" t="s">
        <v>2087</v>
      </c>
      <c r="C84" s="2" t="s">
        <v>1103</v>
      </c>
      <c r="D84" s="2">
        <v>8</v>
      </c>
      <c r="E84" t="s">
        <v>785</v>
      </c>
      <c r="F84" s="2">
        <v>3431</v>
      </c>
      <c r="G84" s="2">
        <v>3355</v>
      </c>
      <c r="H84" s="2">
        <v>70</v>
      </c>
      <c r="J84" s="16" t="str">
        <f t="shared" si="1"/>
        <v>{ name: "Kamatukis Shrine", landmark: "Shrine", type: "Puzzle Trial", region: 8, level: "Surface", x: 3431, y: 3355, z: 70, details: `` },</v>
      </c>
      <c r="K84" s="11"/>
      <c r="L84" s="11"/>
    </row>
    <row r="85" spans="1:12" x14ac:dyDescent="0.2">
      <c r="A85" s="1" t="s">
        <v>2028</v>
      </c>
      <c r="B85" s="1" t="s">
        <v>2084</v>
      </c>
      <c r="C85" s="2" t="s">
        <v>1103</v>
      </c>
      <c r="D85" s="2">
        <v>8</v>
      </c>
      <c r="E85" t="s">
        <v>785</v>
      </c>
      <c r="F85" s="2">
        <v>3061</v>
      </c>
      <c r="G85" s="2">
        <v>1823</v>
      </c>
      <c r="H85" s="2">
        <v>216</v>
      </c>
      <c r="J85" s="16" t="str">
        <f t="shared" si="1"/>
        <v>{ name: "Mayachideg Shrine", landmark: "Shrine", type: "Proving Grounds", region: 8, level: "Surface", x: 3061, y: 1823, z: 216, details: `` },</v>
      </c>
      <c r="K85" s="11"/>
      <c r="L85" s="11"/>
    </row>
    <row r="86" spans="1:12" x14ac:dyDescent="0.2">
      <c r="A86" s="1" t="s">
        <v>2045</v>
      </c>
      <c r="B86" s="1" t="s">
        <v>2087</v>
      </c>
      <c r="C86" s="2" t="s">
        <v>1103</v>
      </c>
      <c r="D86" s="2">
        <v>8</v>
      </c>
      <c r="E86" t="s">
        <v>785</v>
      </c>
      <c r="F86" s="2">
        <v>4664</v>
      </c>
      <c r="G86" s="2">
        <v>3262</v>
      </c>
      <c r="H86" s="2">
        <v>2</v>
      </c>
      <c r="J86" s="16" t="str">
        <f t="shared" si="1"/>
        <v>{ name: "Rasiwak Shrine", landmark: "Shrine", type: "Puzzle Trial", region: 8, level: "Surface", x: 4664, y: 3262, z: 2, details: `` },</v>
      </c>
      <c r="K86" s="11"/>
      <c r="L86" s="11"/>
    </row>
    <row r="87" spans="1:12" x14ac:dyDescent="0.2">
      <c r="A87" s="1" t="s">
        <v>2038</v>
      </c>
      <c r="B87" s="1" t="s">
        <v>2086</v>
      </c>
      <c r="C87" s="2" t="s">
        <v>1103</v>
      </c>
      <c r="D87" s="2">
        <v>8</v>
      </c>
      <c r="E87" t="s">
        <v>785</v>
      </c>
      <c r="F87" s="2">
        <v>3839</v>
      </c>
      <c r="G87" s="2">
        <v>2301</v>
      </c>
      <c r="H87" s="2">
        <v>48</v>
      </c>
      <c r="J87" s="16" t="str">
        <f t="shared" si="1"/>
        <v>{ name: "Sinatanika Shrine", landmark: "Shrine", type: "Combat Training", region: 8, level: "Surface", x: 3839, y: 2301, z: 48, details: `` },</v>
      </c>
      <c r="K87" s="11"/>
      <c r="L87" s="11"/>
    </row>
    <row r="88" spans="1:12" x14ac:dyDescent="0.2">
      <c r="A88" s="1" t="s">
        <v>2022</v>
      </c>
      <c r="B88" s="1" t="s">
        <v>2087</v>
      </c>
      <c r="C88" s="2" t="s">
        <v>801</v>
      </c>
      <c r="D88" s="2">
        <v>9</v>
      </c>
      <c r="E88" t="s">
        <v>783</v>
      </c>
      <c r="F88" s="2">
        <v>3480</v>
      </c>
      <c r="G88" s="2">
        <v>664</v>
      </c>
      <c r="H88" s="2">
        <v>1325</v>
      </c>
      <c r="J88" s="16" t="str">
        <f t="shared" si="1"/>
        <v>{ name: "Igoshon Shrine", landmark: "Shrine", type: "Puzzle Trial", region: 9, level: "Sky", x: 3480, y: 664, z: 1325, details: `` },</v>
      </c>
      <c r="K88" s="11"/>
      <c r="L88" s="11"/>
    </row>
    <row r="89" spans="1:12" x14ac:dyDescent="0.2">
      <c r="A89" s="1" t="s">
        <v>2012</v>
      </c>
      <c r="B89" s="1" t="s">
        <v>2087</v>
      </c>
      <c r="C89" s="2" t="s">
        <v>801</v>
      </c>
      <c r="D89" s="2">
        <v>9</v>
      </c>
      <c r="E89" t="s">
        <v>783</v>
      </c>
      <c r="F89" s="2">
        <v>2916</v>
      </c>
      <c r="G89" s="2">
        <v>533</v>
      </c>
      <c r="H89" s="2">
        <v>951</v>
      </c>
      <c r="J89" s="16" t="str">
        <f t="shared" si="1"/>
        <v>{ name: "Jirutagumac Shrine", landmark: "Shrine", type: "Puzzle Trial", region: 9, level: "Sky", x: 2916, y: 533, z: 951, details: `` },</v>
      </c>
      <c r="K89" s="11"/>
      <c r="L89" s="11"/>
    </row>
    <row r="90" spans="1:12" x14ac:dyDescent="0.2">
      <c r="A90" s="1" t="s">
        <v>2017</v>
      </c>
      <c r="B90" s="1" t="s">
        <v>2087</v>
      </c>
      <c r="C90" s="2" t="s">
        <v>801</v>
      </c>
      <c r="D90" s="2">
        <v>9</v>
      </c>
      <c r="E90" t="s">
        <v>785</v>
      </c>
      <c r="F90" s="2">
        <v>3887</v>
      </c>
      <c r="G90" s="2">
        <v>-217</v>
      </c>
      <c r="H90" s="2">
        <v>163</v>
      </c>
      <c r="J90" s="16" t="str">
        <f t="shared" si="1"/>
        <v>{ name: "Apogek Shrine", landmark: "Shrine", type: "Puzzle Trial", region: 9, level: "Surface", x: 3887, y: -217, z: 163, details: `` },</v>
      </c>
      <c r="K90" s="11"/>
      <c r="L90" s="11"/>
    </row>
    <row r="91" spans="1:12" x14ac:dyDescent="0.2">
      <c r="A91" s="1" t="s">
        <v>2034</v>
      </c>
      <c r="B91" s="1" t="s">
        <v>2087</v>
      </c>
      <c r="C91" s="2" t="s">
        <v>801</v>
      </c>
      <c r="D91" s="2">
        <v>9</v>
      </c>
      <c r="E91" t="s">
        <v>785</v>
      </c>
      <c r="F91" s="2">
        <v>4498</v>
      </c>
      <c r="G91" s="2">
        <v>825</v>
      </c>
      <c r="H91" s="2">
        <v>95</v>
      </c>
      <c r="J91" s="16" t="str">
        <f t="shared" si="1"/>
        <v>{ name: "Gatanisis Shrine", landmark: "Shrine", type: "Puzzle Trial", region: 9, level: "Surface", x: 4498, y: 825, z: 95, details: `` },</v>
      </c>
      <c r="K91" s="11"/>
      <c r="L91" s="11"/>
    </row>
    <row r="92" spans="1:12" x14ac:dyDescent="0.2">
      <c r="A92" s="1" t="s">
        <v>2024</v>
      </c>
      <c r="B92" s="1" t="s">
        <v>2087</v>
      </c>
      <c r="C92" s="2" t="s">
        <v>801</v>
      </c>
      <c r="D92" s="2">
        <v>9</v>
      </c>
      <c r="E92" t="s">
        <v>785</v>
      </c>
      <c r="F92" s="2">
        <v>3784</v>
      </c>
      <c r="G92" s="2">
        <v>579</v>
      </c>
      <c r="H92" s="2">
        <v>486</v>
      </c>
      <c r="J92" s="16" t="str">
        <f t="shared" si="1"/>
        <v>{ name: "Ihen-a Shrine", landmark: "Shrine", type: "Puzzle Trial", region: 9, level: "Surface", x: 3784, y: 579, z: 486, details: `` },</v>
      </c>
      <c r="K92" s="11"/>
      <c r="L92" s="11"/>
    </row>
    <row r="93" spans="1:12" x14ac:dyDescent="0.2">
      <c r="A93" s="1" t="s">
        <v>2010</v>
      </c>
      <c r="B93" s="1" t="s">
        <v>2085</v>
      </c>
      <c r="C93" s="2" t="s">
        <v>801</v>
      </c>
      <c r="D93" s="2">
        <v>9</v>
      </c>
      <c r="E93" t="s">
        <v>785</v>
      </c>
      <c r="F93" s="2">
        <v>2918</v>
      </c>
      <c r="G93" s="2">
        <v>505</v>
      </c>
      <c r="H93" s="2">
        <v>155</v>
      </c>
      <c r="I93" s="7" t="s">
        <v>4553</v>
      </c>
      <c r="J93" s="16" t="str">
        <f t="shared" si="1"/>
        <v>{ name: "Joniu Shrine", landmark: "Shrine", type: "Rauru's Blessing", region: 9, level: "Surface", x: 2918, y: 505, z: 155, details: `&lt;strong&gt;First:&lt;/strong&gt; Complete &lt;img src="icons/shrine-quest.png" style="height: 20px; width: 20px; vertical-align: middle; margin-right: 5px;"&gt;&lt;span style="color: #7cc9c2; font-weight: bold;"&gt;The Ralis Channel Crystal&lt;/span&gt; shrine quest` },</v>
      </c>
      <c r="K93" s="11"/>
      <c r="L93" s="11"/>
    </row>
    <row r="94" spans="1:12" x14ac:dyDescent="0.2">
      <c r="A94" s="1" t="s">
        <v>2002</v>
      </c>
      <c r="B94" s="1" t="s">
        <v>2085</v>
      </c>
      <c r="C94" s="2" t="s">
        <v>801</v>
      </c>
      <c r="D94" s="2">
        <v>9</v>
      </c>
      <c r="E94" t="s">
        <v>785</v>
      </c>
      <c r="F94" s="2">
        <v>2277</v>
      </c>
      <c r="G94" s="2">
        <v>150</v>
      </c>
      <c r="H94" s="2">
        <v>79</v>
      </c>
      <c r="J94" s="16" t="str">
        <f t="shared" si="1"/>
        <v>{ name: "Maoikes Shrine", landmark: "Shrine", type: "Rauru's Blessing", region: 9, level: "Surface", x: 2277, y: 150, z: 79, details: `` },</v>
      </c>
      <c r="K94" s="11"/>
      <c r="L94" s="11"/>
    </row>
    <row r="95" spans="1:12" x14ac:dyDescent="0.2">
      <c r="A95" s="1" t="s">
        <v>2018</v>
      </c>
      <c r="B95" s="1" t="s">
        <v>2087</v>
      </c>
      <c r="C95" s="2" t="s">
        <v>801</v>
      </c>
      <c r="D95" s="2">
        <v>9</v>
      </c>
      <c r="E95" t="s">
        <v>785</v>
      </c>
      <c r="F95" s="2">
        <v>3298</v>
      </c>
      <c r="G95" s="2">
        <v>424</v>
      </c>
      <c r="H95" s="2">
        <v>112</v>
      </c>
      <c r="J95" s="16" t="str">
        <f t="shared" si="1"/>
        <v>{ name: "Mogawak Shrine", landmark: "Shrine", type: "Puzzle Trial", region: 9, level: "Surface", x: 3298, y: 424, z: 112, details: `` },</v>
      </c>
      <c r="K95" s="11"/>
      <c r="L95" s="11"/>
    </row>
    <row r="96" spans="1:12" x14ac:dyDescent="0.2">
      <c r="A96" s="1" t="s">
        <v>2035</v>
      </c>
      <c r="B96" s="1" t="s">
        <v>2084</v>
      </c>
      <c r="C96" s="2" t="s">
        <v>801</v>
      </c>
      <c r="D96" s="2">
        <v>9</v>
      </c>
      <c r="E96" t="s">
        <v>785</v>
      </c>
      <c r="F96" s="2">
        <v>4166</v>
      </c>
      <c r="G96" s="2">
        <v>1323</v>
      </c>
      <c r="H96" s="2">
        <v>229</v>
      </c>
      <c r="J96" s="16" t="str">
        <f t="shared" si="1"/>
        <v>{ name: "Rasitakiwak Shrine", landmark: "Shrine", type: "Proving Grounds", region: 9, level: "Surface", x: 4166, y: 1323, z: 229, details: `` },</v>
      </c>
      <c r="K96" s="11"/>
      <c r="L96" s="11"/>
    </row>
    <row r="97" spans="1:12" x14ac:dyDescent="0.2">
      <c r="A97" s="1" t="s">
        <v>2019</v>
      </c>
      <c r="B97" s="1" t="s">
        <v>2085</v>
      </c>
      <c r="C97" s="2" t="s">
        <v>801</v>
      </c>
      <c r="D97" s="2">
        <v>9</v>
      </c>
      <c r="E97" t="s">
        <v>785</v>
      </c>
      <c r="F97" s="2">
        <v>4412</v>
      </c>
      <c r="G97" s="2">
        <v>-610</v>
      </c>
      <c r="H97" s="2">
        <v>34</v>
      </c>
      <c r="J97" s="16" t="str">
        <f t="shared" si="1"/>
        <v>{ name: "Yomizuk Shrine", landmark: "Shrine", type: "Rauru's Blessing", region: 9, level: "Surface", x: 4412, y: -610, z: 34, details: `` },</v>
      </c>
      <c r="K97" s="11"/>
      <c r="L97" s="11"/>
    </row>
    <row r="98" spans="1:12" x14ac:dyDescent="0.2">
      <c r="A98" s="1" t="s">
        <v>1973</v>
      </c>
      <c r="B98" s="1" t="s">
        <v>2085</v>
      </c>
      <c r="C98" s="2" t="s">
        <v>803</v>
      </c>
      <c r="D98" s="2">
        <v>10</v>
      </c>
      <c r="E98" t="s">
        <v>783</v>
      </c>
      <c r="F98" s="2">
        <v>1759</v>
      </c>
      <c r="G98" s="2">
        <v>-1208</v>
      </c>
      <c r="H98" s="2">
        <v>924</v>
      </c>
      <c r="I98" s="7" t="s">
        <v>4554</v>
      </c>
      <c r="J98" s="16" t="str">
        <f t="shared" si="1"/>
        <v>{ name: "Josiu Shrine", landmark: "Shrine", type: "Rauru's Blessing", region: 10, level: "Sky", x: 1759, y: -1208, z: 924, details: `&lt;strong&gt;First:&lt;/strong&gt; Complete &lt;img src="icons/shrine-quest.png" style="height: 20px; width: 20px; vertical-align: middle; margin-right: 5px;"&gt;&lt;span style="color: #7cc9c2; font-weight: bold;"&gt;The North Necluda Sky Crystal&lt;/span&gt; shrine quest` },</v>
      </c>
      <c r="K98" s="11"/>
      <c r="L98" s="11"/>
    </row>
    <row r="99" spans="1:12" x14ac:dyDescent="0.2">
      <c r="A99" s="1" t="s">
        <v>1952</v>
      </c>
      <c r="B99" s="1" t="s">
        <v>2085</v>
      </c>
      <c r="C99" s="2" t="s">
        <v>803</v>
      </c>
      <c r="D99" s="2">
        <v>10</v>
      </c>
      <c r="E99" t="s">
        <v>783</v>
      </c>
      <c r="F99" s="2">
        <v>1470</v>
      </c>
      <c r="G99" s="2">
        <v>-2170</v>
      </c>
      <c r="H99" s="2">
        <v>585</v>
      </c>
      <c r="I99" s="7" t="s">
        <v>4555</v>
      </c>
      <c r="J99" s="16" t="str">
        <f t="shared" si="1"/>
        <v>{ name: "Ukoojisi Shrine", landmark: "Shrine", type: "Rauru's Blessing", region: 10, level: "Sky", x: 1470, y: -2170, z: 585, details: `&lt;strong&gt;First:&lt;/strong&gt; Complete &lt;img src="icons/shrine-quest.png" style="height: 20px; width: 20px; vertical-align: middle; margin-right: 5px;"&gt;&lt;span style="color: #7cc9c2; font-weight: bold;"&gt;The West Necluda Sky Crystal&lt;/span&gt; shrine quest` },</v>
      </c>
      <c r="K99" s="11"/>
      <c r="L99" s="11"/>
    </row>
    <row r="100" spans="1:12" x14ac:dyDescent="0.2">
      <c r="A100" s="1" t="s">
        <v>1974</v>
      </c>
      <c r="B100" s="1" t="s">
        <v>2084</v>
      </c>
      <c r="C100" s="2" t="s">
        <v>803</v>
      </c>
      <c r="D100" s="2">
        <v>10</v>
      </c>
      <c r="E100" t="s">
        <v>783</v>
      </c>
      <c r="F100" s="2">
        <v>2349</v>
      </c>
      <c r="G100" s="2">
        <v>-1782</v>
      </c>
      <c r="H100" s="2">
        <v>1475</v>
      </c>
      <c r="J100" s="16" t="str">
        <f t="shared" si="1"/>
        <v>{ name: "Yansamin Shrine", landmark: "Shrine", type: "Proving Grounds", region: 10, level: "Sky", x: 2349, y: -1782, z: 1475, details: `` },</v>
      </c>
      <c r="K100" s="11"/>
      <c r="L100" s="11"/>
    </row>
    <row r="101" spans="1:12" x14ac:dyDescent="0.2">
      <c r="A101" s="1" t="s">
        <v>1962</v>
      </c>
      <c r="B101" s="1" t="s">
        <v>2086</v>
      </c>
      <c r="C101" s="2" t="s">
        <v>803</v>
      </c>
      <c r="D101" s="2">
        <v>10</v>
      </c>
      <c r="E101" t="s">
        <v>785</v>
      </c>
      <c r="F101" s="2">
        <v>1564</v>
      </c>
      <c r="G101" s="2">
        <v>-1945</v>
      </c>
      <c r="H101" s="2">
        <v>157</v>
      </c>
      <c r="J101" s="16" t="str">
        <f t="shared" si="1"/>
        <v>{ name: "Eshos Shrine", landmark: "Shrine", type: "Combat Training", region: 10, level: "Surface", x: 1564, y: -1945, z: 157, details: `` },</v>
      </c>
      <c r="K101" s="11"/>
      <c r="L101" s="11"/>
    </row>
    <row r="102" spans="1:12" x14ac:dyDescent="0.2">
      <c r="A102" s="1" t="s">
        <v>1987</v>
      </c>
      <c r="B102" s="1" t="s">
        <v>2084</v>
      </c>
      <c r="C102" s="2" t="s">
        <v>803</v>
      </c>
      <c r="D102" s="2">
        <v>10</v>
      </c>
      <c r="E102" t="s">
        <v>785</v>
      </c>
      <c r="F102" s="2">
        <v>1202</v>
      </c>
      <c r="G102" s="2">
        <v>329</v>
      </c>
      <c r="H102" s="2">
        <v>29</v>
      </c>
      <c r="J102" s="16" t="str">
        <f t="shared" si="1"/>
        <v>{ name: "Jojon Shrine", landmark: "Shrine", type: "Proving Grounds", region: 10, level: "Surface", x: 1202, y: 329, z: 29, details: `` },</v>
      </c>
      <c r="K102" s="11"/>
      <c r="L102" s="11"/>
    </row>
    <row r="103" spans="1:12" x14ac:dyDescent="0.2">
      <c r="A103" s="1" t="s">
        <v>1992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1743</v>
      </c>
      <c r="G103" s="2">
        <v>18</v>
      </c>
      <c r="H103" s="2">
        <v>25</v>
      </c>
      <c r="J103" s="16" t="str">
        <f t="shared" si="1"/>
        <v>{ name: "Jonsau Shrine", landmark: "Shrine", type: "Puzzle Trial", region: 10, level: "Surface", x: 1743, y: 18, z: 25, details: `` },</v>
      </c>
      <c r="K103" s="11"/>
      <c r="L103" s="11"/>
    </row>
    <row r="104" spans="1:12" x14ac:dyDescent="0.2">
      <c r="A104" s="1" t="s">
        <v>1993</v>
      </c>
      <c r="B104" s="1" t="s">
        <v>2085</v>
      </c>
      <c r="C104" s="2" t="s">
        <v>803</v>
      </c>
      <c r="D104" s="2">
        <v>10</v>
      </c>
      <c r="E104" t="s">
        <v>785</v>
      </c>
      <c r="F104" s="2">
        <v>2362</v>
      </c>
      <c r="G104" s="2">
        <v>-511</v>
      </c>
      <c r="H104" s="2">
        <v>155</v>
      </c>
      <c r="I104" s="7" t="s">
        <v>4556</v>
      </c>
      <c r="J104" s="16" t="str">
        <f t="shared" si="1"/>
        <v>{ name: "Kurakat Shrine", landmark: "Shrine", type: "Rauru's Blessing", region: 10, level: "Surface", x: 2362, y: -511, z: 155, details: `&lt;strong&gt;First:&lt;/strong&gt; Complete &lt;img src="icons/shrine-quest.png" style="height: 20px; width: 20px; vertical-align: middle; margin-right: 5px;"&gt;&lt;span style="color: #7cc9c2; font-weight: bold;"&gt;Dyeing to Find It&lt;/span&gt; shrine quest` },</v>
      </c>
      <c r="K104" s="11"/>
      <c r="L104" s="11"/>
    </row>
    <row r="105" spans="1:12" x14ac:dyDescent="0.2">
      <c r="A105" s="1" t="s">
        <v>1976</v>
      </c>
      <c r="B105" s="1" t="s">
        <v>2087</v>
      </c>
      <c r="C105" s="2" t="s">
        <v>803</v>
      </c>
      <c r="D105" s="2">
        <v>10</v>
      </c>
      <c r="E105" t="s">
        <v>785</v>
      </c>
      <c r="F105" s="2">
        <v>1770</v>
      </c>
      <c r="G105" s="2">
        <v>-1050</v>
      </c>
      <c r="H105" s="2">
        <v>166</v>
      </c>
      <c r="J105" s="16" t="str">
        <f t="shared" si="1"/>
        <v>{ name: "Makasura Shrine", landmark: "Shrine", type: "Puzzle Trial", region: 10, level: "Surface", x: 1770, y: -1050, z: 166, details: `` },</v>
      </c>
      <c r="K105" s="11"/>
      <c r="L105" s="11"/>
    </row>
    <row r="106" spans="1:12" x14ac:dyDescent="0.2">
      <c r="A106" s="1" t="s">
        <v>1972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1183</v>
      </c>
      <c r="G106" s="2">
        <v>-780</v>
      </c>
      <c r="H106" s="2">
        <v>133</v>
      </c>
      <c r="J106" s="16" t="str">
        <f t="shared" si="1"/>
        <v>{ name: "Morok Shrine", landmark: "Shrine", type: "Puzzle Trial", region: 10, level: "Surface", x: 1183, y: -780, z: 133, details: `` },</v>
      </c>
      <c r="K106" s="11"/>
      <c r="L106" s="11"/>
    </row>
    <row r="107" spans="1:12" x14ac:dyDescent="0.2">
      <c r="A107" s="1" t="s">
        <v>1990</v>
      </c>
      <c r="B107" s="1" t="s">
        <v>2085</v>
      </c>
      <c r="C107" s="2" t="s">
        <v>803</v>
      </c>
      <c r="D107" s="2">
        <v>10</v>
      </c>
      <c r="E107" t="s">
        <v>785</v>
      </c>
      <c r="F107" s="2">
        <v>2755</v>
      </c>
      <c r="G107" s="2">
        <v>-1089</v>
      </c>
      <c r="H107" s="2">
        <v>100</v>
      </c>
      <c r="I107" s="7" t="s">
        <v>4557</v>
      </c>
      <c r="J107" s="16" t="str">
        <f t="shared" si="1"/>
        <v>{ name: "O-ogim Shrine", landmark: "Shrine", type: "Rauru's Blessing", region: 10, level: "Surface", x: 2755, y: -1089, z: 100, details: `&lt;strong&gt;First:&lt;/strong&gt; Complete &lt;img src="icons/shrine-quest.png" style="height: 20px; width: 20px; vertical-align: middle; margin-right: 5px;"&gt;&lt;span style="color: #7cc9c2; font-weight: bold;"&gt;The Lanayru Road Crystal&lt;/span&gt; shrine quest` },</v>
      </c>
      <c r="K107" s="11"/>
      <c r="L107" s="11"/>
    </row>
    <row r="108" spans="1:12" x14ac:dyDescent="0.2">
      <c r="A108" s="1" t="s">
        <v>1988</v>
      </c>
      <c r="B108" s="1" t="s">
        <v>2087</v>
      </c>
      <c r="C108" s="2" t="s">
        <v>803</v>
      </c>
      <c r="D108" s="2">
        <v>10</v>
      </c>
      <c r="E108" t="s">
        <v>785</v>
      </c>
      <c r="F108" s="2">
        <v>756</v>
      </c>
      <c r="G108" s="2">
        <v>823</v>
      </c>
      <c r="H108" s="2">
        <v>81</v>
      </c>
      <c r="J108" s="16" t="str">
        <f t="shared" si="1"/>
        <v>{ name: "Ren-iz Shrine", landmark: "Shrine", type: "Puzzle Trial", region: 10, level: "Surface", x: 756, y: 823, z: 81, details: `` },</v>
      </c>
      <c r="K108" s="11"/>
      <c r="L108" s="11"/>
    </row>
    <row r="109" spans="1:12" x14ac:dyDescent="0.2">
      <c r="A109" s="1" t="s">
        <v>1975</v>
      </c>
      <c r="B109" s="1" t="s">
        <v>2087</v>
      </c>
      <c r="C109" s="2" t="s">
        <v>803</v>
      </c>
      <c r="D109" s="2">
        <v>10</v>
      </c>
      <c r="E109" t="s">
        <v>785</v>
      </c>
      <c r="F109" s="2">
        <v>915</v>
      </c>
      <c r="G109" s="2">
        <v>-250</v>
      </c>
      <c r="H109" s="2">
        <v>34</v>
      </c>
      <c r="J109" s="16" t="str">
        <f t="shared" si="1"/>
        <v>{ name: "Tukarok Shrine", landmark: "Shrine", type: "Puzzle Trial", region: 10, level: "Surface", x: 915, y: -250, z: 34, details: `` },</v>
      </c>
      <c r="K109" s="11"/>
      <c r="L109" s="11"/>
    </row>
    <row r="110" spans="1:12" x14ac:dyDescent="0.2">
      <c r="A110" s="1" t="s">
        <v>2015</v>
      </c>
      <c r="B110" s="1" t="s">
        <v>2087</v>
      </c>
      <c r="C110" s="2" t="s">
        <v>804</v>
      </c>
      <c r="D110" s="2">
        <v>11</v>
      </c>
      <c r="E110" t="s">
        <v>783</v>
      </c>
      <c r="F110" s="2">
        <v>4613</v>
      </c>
      <c r="G110" s="2">
        <v>-947</v>
      </c>
      <c r="H110" s="2">
        <v>1790</v>
      </c>
      <c r="I110" s="7" t="s">
        <v>4558</v>
      </c>
      <c r="J110" s="16" t="str">
        <f t="shared" si="1"/>
        <v>{ name: "Mayanas Shrine", landmark: "Shrine", type: "Puzzle Trial", region: 11, level: "Sky", x: 4613, y: -947, z: 1790, details: `&lt;strong&gt;First:&lt;/strong&gt; Complete &lt;img src="icons/shrine-quest.png" style="height: 20px; width: 20px; vertical-align: middle; margin-right: 5px;"&gt;&lt;span style="color: #7cc9c2; font-weight: bold;"&gt;The South Lanayru Sky Crystal&lt;/span&gt; shrine quest` },</v>
      </c>
      <c r="K110" s="11"/>
      <c r="L110" s="11"/>
    </row>
    <row r="111" spans="1:12" x14ac:dyDescent="0.2">
      <c r="A111" s="1" t="s">
        <v>2016</v>
      </c>
      <c r="B111" s="1" t="s">
        <v>2085</v>
      </c>
      <c r="C111" s="2" t="s">
        <v>804</v>
      </c>
      <c r="D111" s="2">
        <v>11</v>
      </c>
      <c r="E111" t="s">
        <v>783</v>
      </c>
      <c r="F111" s="2">
        <v>4545</v>
      </c>
      <c r="G111" s="2">
        <v>-845</v>
      </c>
      <c r="H111" s="2">
        <v>1121</v>
      </c>
      <c r="J111" s="16" t="str">
        <f t="shared" si="1"/>
        <v>{ name: "Sihajog Shrine", landmark: "Shrine", type: "Rauru's Blessing", region: 11, level: "Sky", x: 4545, y: -845, z: 1121, details: `` },</v>
      </c>
      <c r="K111" s="11"/>
      <c r="L111" s="11"/>
    </row>
    <row r="112" spans="1:12" x14ac:dyDescent="0.2">
      <c r="A112" s="1" t="s">
        <v>1995</v>
      </c>
      <c r="B112" s="1" t="s">
        <v>2087</v>
      </c>
      <c r="C112" s="2" t="s">
        <v>804</v>
      </c>
      <c r="D112" s="2">
        <v>11</v>
      </c>
      <c r="E112" t="s">
        <v>785</v>
      </c>
      <c r="F112" s="2">
        <v>4231</v>
      </c>
      <c r="G112" s="2">
        <v>-2178</v>
      </c>
      <c r="H112" s="2">
        <v>-7</v>
      </c>
      <c r="J112" s="16" t="str">
        <f t="shared" si="1"/>
        <v>{ name: "Anedamimik Shrine", landmark: "Shrine", type: "Puzzle Trial", region: 11, level: "Surface", x: 4231, y: -2178, z: -7, details: `` },</v>
      </c>
      <c r="K112" s="11"/>
      <c r="L112" s="11"/>
    </row>
    <row r="113" spans="1:12" x14ac:dyDescent="0.2">
      <c r="A113" s="1" t="s">
        <v>2005</v>
      </c>
      <c r="B113" s="1" t="s">
        <v>2087</v>
      </c>
      <c r="C113" s="2" t="s">
        <v>804</v>
      </c>
      <c r="D113" s="2">
        <v>11</v>
      </c>
      <c r="E113" t="s">
        <v>785</v>
      </c>
      <c r="F113" s="2">
        <v>4266</v>
      </c>
      <c r="G113" s="2">
        <v>-1674</v>
      </c>
      <c r="H113" s="2">
        <v>181</v>
      </c>
      <c r="J113" s="16" t="str">
        <f t="shared" si="1"/>
        <v>{ name: "Jikais Shrine", landmark: "Shrine", type: "Puzzle Trial", region: 11, level: "Surface", x: 4266, y: -1674, z: 181, details: `` },</v>
      </c>
      <c r="K113" s="11"/>
      <c r="L113" s="11"/>
    </row>
    <row r="114" spans="1:12" x14ac:dyDescent="0.2">
      <c r="A114" s="1" t="s">
        <v>1997</v>
      </c>
      <c r="B114" s="1" t="s">
        <v>2085</v>
      </c>
      <c r="C114" s="2" t="s">
        <v>804</v>
      </c>
      <c r="D114" s="2">
        <v>11</v>
      </c>
      <c r="E114" t="s">
        <v>785</v>
      </c>
      <c r="F114" s="2">
        <v>3346</v>
      </c>
      <c r="G114" s="2">
        <v>-1188</v>
      </c>
      <c r="H114" s="2">
        <v>57</v>
      </c>
      <c r="J114" s="16" t="str">
        <f t="shared" si="1"/>
        <v>{ name: "Jogou Shrine", landmark: "Shrine", type: "Rauru's Blessing", region: 11, level: "Surface", x: 3346, y: -1188, z: 57, details: `` },</v>
      </c>
      <c r="K114" s="11"/>
      <c r="L114" s="11"/>
    </row>
    <row r="115" spans="1:12" x14ac:dyDescent="0.2">
      <c r="A115" s="1" t="s">
        <v>1991</v>
      </c>
      <c r="B115" s="1" t="s">
        <v>2085</v>
      </c>
      <c r="C115" s="2" t="s">
        <v>804</v>
      </c>
      <c r="D115" s="2">
        <v>11</v>
      </c>
      <c r="E115" t="s">
        <v>785</v>
      </c>
      <c r="F115" s="2">
        <v>3730</v>
      </c>
      <c r="G115" s="2">
        <v>-2057</v>
      </c>
      <c r="H115" s="2">
        <v>189</v>
      </c>
      <c r="J115" s="16" t="str">
        <f t="shared" si="1"/>
        <v>{ name: "Mayahisik Shrine", landmark: "Shrine", type: "Rauru's Blessing", region: 11, level: "Surface", x: 3730, y: -2057, z: 189, details: `` },</v>
      </c>
      <c r="K115" s="11"/>
      <c r="L115" s="11"/>
    </row>
    <row r="116" spans="1:12" x14ac:dyDescent="0.2">
      <c r="A116" s="1" t="s">
        <v>1994</v>
      </c>
      <c r="B116" s="1" t="s">
        <v>2084</v>
      </c>
      <c r="C116" s="2" t="s">
        <v>804</v>
      </c>
      <c r="D116" s="2">
        <v>11</v>
      </c>
      <c r="E116" t="s">
        <v>785</v>
      </c>
      <c r="F116" s="2">
        <v>3527</v>
      </c>
      <c r="G116" s="2">
        <v>-1481</v>
      </c>
      <c r="H116" s="2">
        <v>167</v>
      </c>
      <c r="I116" s="7" t="s">
        <v>4559</v>
      </c>
      <c r="J116" s="16" t="str">
        <f t="shared" si="1"/>
        <v>{ name: "Zakusu Shrine", landmark: "Shrine", type: "Proving Grounds", region: 11, level: "Surface", x: 3527, y: -1481, z: 167, details: `&lt;strong&gt;First:&lt;/strong&gt; Complete &lt;img src="icons/shrine-quest.png" style="height: 20px; width: 20px; vertical-align: middle; margin-right: 5px;"&gt;&lt;span style="color: #7cc9c2; font-weight: bold;"&gt;The High Spring and the Light Rings&lt;/span&gt; shrine quest` },</v>
      </c>
      <c r="K116" s="11"/>
      <c r="L116" s="11"/>
    </row>
    <row r="117" spans="1:12" x14ac:dyDescent="0.2">
      <c r="A117" s="1" t="s">
        <v>1984</v>
      </c>
      <c r="B117" s="1" t="s">
        <v>2087</v>
      </c>
      <c r="C117" s="2" t="s">
        <v>804</v>
      </c>
      <c r="D117" s="2">
        <v>11</v>
      </c>
      <c r="E117" t="s">
        <v>785</v>
      </c>
      <c r="F117" s="2">
        <v>3469</v>
      </c>
      <c r="G117" s="2">
        <v>-2180</v>
      </c>
      <c r="H117" s="2">
        <v>148</v>
      </c>
      <c r="J117" s="16" t="str">
        <f t="shared" si="1"/>
        <v>{ name: "Zanmik Shrine", landmark: "Shrine", type: "Puzzle Trial", region: 11, level: "Surface", x: 3469, y: -2180, z: 148, details: `` },</v>
      </c>
      <c r="K117" s="11"/>
      <c r="L117" s="11"/>
    </row>
    <row r="118" spans="1:12" x14ac:dyDescent="0.2">
      <c r="A118" s="1" t="s">
        <v>1966</v>
      </c>
      <c r="B118" s="1" t="s">
        <v>2085</v>
      </c>
      <c r="C118" s="2" t="s">
        <v>805</v>
      </c>
      <c r="D118" s="2">
        <v>12</v>
      </c>
      <c r="E118" t="s">
        <v>783</v>
      </c>
      <c r="F118" s="2">
        <v>2856</v>
      </c>
      <c r="G118" s="2">
        <v>-2857</v>
      </c>
      <c r="H118" s="2">
        <v>1212</v>
      </c>
      <c r="I118" s="7" t="s">
        <v>4560</v>
      </c>
      <c r="J118" s="16" t="str">
        <f t="shared" si="1"/>
        <v>{ name: "Kumamayn Shrine", landmark: "Shrine", type: "Rauru's Blessing", region: 12, level: "Sky", x: 2856, y: -2857, z: 1212, details: `&lt;strong&gt;First:&lt;/strong&gt; Complete &lt;img src="icons/shrine-quest.png" style="height: 20px; width: 20px; vertical-align: middle; margin-right: 5px;"&gt;&lt;span style="color: #7cc9c2; font-weight: bold;"&gt;The Necluda Sky Crystal&lt;/span&gt; shrine quest` },</v>
      </c>
      <c r="K118" s="11"/>
      <c r="L118" s="11"/>
    </row>
    <row r="119" spans="1:12" x14ac:dyDescent="0.2">
      <c r="A119" s="1" t="s">
        <v>1964</v>
      </c>
      <c r="B119" s="1" t="s">
        <v>2085</v>
      </c>
      <c r="C119" s="2" t="s">
        <v>805</v>
      </c>
      <c r="D119" s="2">
        <v>12</v>
      </c>
      <c r="E119" t="s">
        <v>785</v>
      </c>
      <c r="F119" s="2">
        <v>3094</v>
      </c>
      <c r="G119" s="2">
        <v>-3209</v>
      </c>
      <c r="H119" s="2">
        <v>81</v>
      </c>
      <c r="J119" s="16" t="str">
        <f t="shared" si="1"/>
        <v>{ name: "Bamitok Shrine", landmark: "Shrine", type: "Rauru's Blessing", region: 12, level: "Surface", x: 3094, y: -3209, z: 81, details: `` },</v>
      </c>
      <c r="K119" s="11"/>
      <c r="L119" s="11"/>
    </row>
    <row r="120" spans="1:12" x14ac:dyDescent="0.2">
      <c r="A120" s="1" t="s">
        <v>1979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4632</v>
      </c>
      <c r="G120" s="2">
        <v>-3712</v>
      </c>
      <c r="H120" s="2">
        <v>18</v>
      </c>
      <c r="J120" s="16" t="str">
        <f t="shared" si="1"/>
        <v>{ name: "Marari-In Shrine", landmark: "Shrine", type: "Rauru's Blessing", region: 12, level: "Surface", x: 4632, y: -3712, z: 18, details: `` },</v>
      </c>
      <c r="K120" s="11"/>
      <c r="L120" s="11"/>
    </row>
    <row r="121" spans="1:12" x14ac:dyDescent="0.2">
      <c r="A121" s="1" t="s">
        <v>1961</v>
      </c>
      <c r="B121" s="1" t="s">
        <v>2084</v>
      </c>
      <c r="C121" s="2" t="s">
        <v>805</v>
      </c>
      <c r="D121" s="2">
        <v>12</v>
      </c>
      <c r="E121" t="s">
        <v>785</v>
      </c>
      <c r="F121" s="2">
        <v>2826</v>
      </c>
      <c r="G121" s="2">
        <v>-3271</v>
      </c>
      <c r="H121" s="2">
        <v>78</v>
      </c>
      <c r="J121" s="16" t="str">
        <f t="shared" si="1"/>
        <v>{ name: "Sifumim Shrine", landmark: "Shrine", type: "Proving Grounds", region: 12, level: "Surface", x: 2826, y: -3271, z: 78, details: `` },</v>
      </c>
      <c r="K121" s="11"/>
      <c r="L121" s="11"/>
    </row>
    <row r="122" spans="1:12" x14ac:dyDescent="0.2">
      <c r="A122" s="1" t="s">
        <v>1965</v>
      </c>
      <c r="B122" s="1" t="s">
        <v>2085</v>
      </c>
      <c r="C122" s="2" t="s">
        <v>805</v>
      </c>
      <c r="D122" s="2">
        <v>12</v>
      </c>
      <c r="E122" t="s">
        <v>785</v>
      </c>
      <c r="F122" s="2">
        <v>2304</v>
      </c>
      <c r="G122" s="2">
        <v>-2377</v>
      </c>
      <c r="H122" s="2">
        <v>-28</v>
      </c>
      <c r="I122" s="7" t="s">
        <v>4561</v>
      </c>
      <c r="J122" s="16" t="str">
        <f t="shared" si="1"/>
        <v>{ name: "Tokiy Shrine", landmark: "Shrine", type: "Rauru's Blessing", region: 12, level: "Surface", x: 2304, y: -2377, z: -28, details: `&lt;strong&gt;First:&lt;/strong&gt; Complete &lt;img src="icons/shrine-quest.png" style="height: 20px; width: 20px; vertical-align: middle; margin-right: 5px;"&gt;&lt;span style="color: #7cc9c2; font-weight: bold;"&gt;The Oakle's Navel Cave Crystal&lt;/span&gt; shrine quest` },</v>
      </c>
      <c r="K122" s="11"/>
      <c r="L122" s="11"/>
    </row>
    <row r="123" spans="1:12" x14ac:dyDescent="0.2">
      <c r="A123" s="1" t="s">
        <v>1933</v>
      </c>
      <c r="B123" s="1" t="s">
        <v>2085</v>
      </c>
      <c r="C123" s="2" t="s">
        <v>794</v>
      </c>
      <c r="D123" s="2">
        <v>13</v>
      </c>
      <c r="E123" t="s">
        <v>783</v>
      </c>
      <c r="F123" s="2">
        <v>1376</v>
      </c>
      <c r="G123" s="2">
        <v>-3340</v>
      </c>
      <c r="H123" s="2">
        <v>443</v>
      </c>
      <c r="J123" s="16" t="str">
        <f t="shared" si="1"/>
        <v>{ name: "Joku-u Shrine", landmark: "Shrine", type: "Rauru's Blessing", region: 13, level: "Sky", x: 1376, y: -3340, z: 443, details: `` },</v>
      </c>
      <c r="K123" s="11"/>
      <c r="L123" s="11"/>
    </row>
    <row r="124" spans="1:12" x14ac:dyDescent="0.2">
      <c r="A124" s="1" t="s">
        <v>1928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1070</v>
      </c>
      <c r="G124" s="2">
        <v>-3347</v>
      </c>
      <c r="H124" s="2">
        <v>785</v>
      </c>
      <c r="J124" s="16" t="str">
        <f t="shared" si="1"/>
        <v>{ name: "Joku-usin Shrine", landmark: "Shrine", type: "Puzzle Trial", region: 13, level: "Sky", x: 1070, y: -3347, z: 785, details: `` },</v>
      </c>
      <c r="K124" s="11"/>
      <c r="L124" s="11"/>
    </row>
    <row r="125" spans="1:12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7" t="s">
        <v>4562</v>
      </c>
      <c r="J125" s="16" t="str">
        <f t="shared" si="1"/>
        <v>{ name: "En-oma Shrine", landmark: "Shrine", type: "Rauru's Blessing", region: 13, level: "Surface", x: 104, y: -2517, z: 88, details: `&lt;strong&gt;First:&lt;/strong&gt; Complete &lt;img src="icons/shrine-quest.png" style="height: 20px; width: 20px; vertical-align: middle; margin-right: 5px;"&gt;&lt;span style="color: #7cc9c2; font-weight: bold;"&gt;The Lake Hylia Crystal&lt;/span&gt; shrine quest` },</v>
      </c>
      <c r="K125" s="11"/>
      <c r="L125" s="11"/>
    </row>
    <row r="126" spans="1:12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7" t="s">
        <v>4563</v>
      </c>
      <c r="J126" s="16" t="str">
        <f t="shared" si="1"/>
        <v>{ name: "Ishokin Shrine", landmark: "Shrine", type: "Rauru's Blessing", region: 13, level: "Surface", x: -562, y: -3524, z: 129, details: `&lt;strong&gt;First:&lt;/strong&gt; Complete &lt;img src="icons/shrine-quest.png" style="height: 20px; width: 20px; vertical-align: middle; margin-right: 5px;"&gt;&lt;span style="color: #7cc9c2; font-weight: bold;"&gt;Ride the Giant Horse&lt;/span&gt; shrine quest` },</v>
      </c>
      <c r="K126" s="11"/>
      <c r="L126" s="11"/>
    </row>
    <row r="127" spans="1:12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J127" s="16" t="str">
        <f t="shared" si="1"/>
        <v>{ name: "Jiukoum Shrine", landmark: "Shrine", type: "Puzzle Trial", region: 13, level: "Surface", x: 867, y: -2280, z: 141, details: `` },</v>
      </c>
      <c r="K127" s="11"/>
      <c r="L127" s="11"/>
    </row>
    <row r="128" spans="1:12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7" t="s">
        <v>4564</v>
      </c>
      <c r="J128" s="16" t="str">
        <f t="shared" si="1"/>
        <v>{ name: "Jochisiu Shrine", landmark: "Shrine", type: "Rauru's Blessing", region: 13, level: "Surface", x: 931, y: -1902, z: 29, details: `&lt;strong&gt;First:&lt;/strong&gt; Complete &lt;img src="icons/shrine-quest.png" style="height: 20px; width: 20px; vertical-align: middle; margin-right: 5px;"&gt;&lt;span style="color: #7cc9c2; font-weight: bold;"&gt;Keys Born of Water&lt;/span&gt; shrine quest` },</v>
      </c>
      <c r="K128" s="11"/>
      <c r="L128" s="11"/>
    </row>
    <row r="129" spans="1:12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J129" s="16" t="str">
        <f t="shared" si="1"/>
        <v>{ name: "Joju-u-u Shrine", landmark: "Shrine", type: "Puzzle Trial", region: 13, level: "Surface", x: 1516, y: -3576, z: 142, details: `` },</v>
      </c>
      <c r="K129" s="11"/>
      <c r="L129" s="11"/>
    </row>
    <row r="130" spans="1:12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J130" s="16" t="str">
        <f t="shared" si="1"/>
        <v>{ name: "Susub Shrine", landmark: "Shrine", type: "Rauru's Blessing", region: 13, level: "Surface", x: 348, y: -2050, z: -26, details: `` },</v>
      </c>
      <c r="K130" s="11"/>
      <c r="L130" s="11"/>
    </row>
    <row r="131" spans="1:12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7" t="s">
        <v>4565</v>
      </c>
      <c r="J131" s="16" t="str">
        <f t="shared" ref="J131:J153" si="2">"{ name: "&amp;CHAR(34)&amp;A131&amp;CHAR(34)&amp;", landmark: "&amp;CHAR(34)&amp;"Shrine"&amp;CHAR(34)&amp;", type: "&amp;CHAR(34)&amp;B131&amp;CHAR(34)&amp;", region: "&amp;D131&amp;", level: "&amp;CHAR(34)&amp;E131&amp;CHAR(34)&amp;", x: "&amp;F131&amp;", y: "&amp;G131&amp;", z: "&amp;H131&amp;", details: `"&amp;I131&amp;"` },"</f>
        <v>{ name: "Utojis Shrine", landmark: "Shrine", type: "Rauru's Blessing", region: 13, level: "Surface", x: 1217, y: -2542, z: 96, details: `&lt;strong&gt;First:&lt;/strong&gt; Complete &lt;img src="icons/shrine-quest.png" style="height: 20px; width: 20px; vertical-align: middle; margin-right: 5px;"&gt;&lt;span style="color: #7cc9c2; font-weight: bold;"&gt;Legend of the Soaring Spear&lt;/span&gt; shrine quest` },</v>
      </c>
      <c r="K131" s="11"/>
      <c r="L131" s="11"/>
    </row>
    <row r="132" spans="1:12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J132" s="16" t="str">
        <f t="shared" si="2"/>
        <v>{ name: "Utsushok Shrine", landmark: "Shrine", type: "Puzzle Trial", region: 13, level: "Surface", x: 669, y: -3358, z: 72, details: `` },</v>
      </c>
      <c r="K132" s="11"/>
      <c r="L132" s="11"/>
    </row>
    <row r="133" spans="1:12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J133" s="16" t="str">
        <f t="shared" si="2"/>
        <v>{ name: "Rakashog Shrine", landmark: "Shrine", type: "Puzzle Trial", region: 14, level: "Sky", x: -1715, y: -2119, z: 1149, details: `` },</v>
      </c>
      <c r="K133" s="11"/>
      <c r="L133" s="11"/>
    </row>
    <row r="134" spans="1:12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J134" s="16" t="str">
        <f t="shared" si="2"/>
        <v>{ name: "Siyamotsus Shrine", landmark: "Shrine", type: "Rauru's Blessing", region: 14, level: "Sky", x: -1793, y: -3331, z: 1011, details: `` },</v>
      </c>
      <c r="K134" s="11"/>
      <c r="L134" s="11"/>
    </row>
    <row r="135" spans="1:12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J135" s="16" t="str">
        <f t="shared" si="2"/>
        <v>{ name: "Chichim Shrine", landmark: "Shrine", type: "Rauru's Blessing", region: 14, level: "Surface", x: -3211, y: -3007, z: -49, details: `` },</v>
      </c>
      <c r="K135" s="11"/>
      <c r="L135" s="11"/>
    </row>
    <row r="136" spans="1:12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J136" s="16" t="str">
        <f t="shared" si="2"/>
        <v>{ name: "Irasak Shrine", landmark: "Shrine", type: "Rauru's Blessing", region: 14, level: "Surface", x: -4159, y: -3824, z: 28, details: `` },</v>
      </c>
      <c r="K136" s="11"/>
      <c r="L136" s="11"/>
    </row>
    <row r="137" spans="1:12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J137" s="16" t="str">
        <f t="shared" si="2"/>
        <v>{ name: "Karahatag Shrine", landmark: "Shrine", type: "Puzzle Trial", region: 14, level: "Surface", x: -3726, y: -3625, z: 43, details: `` },</v>
      </c>
      <c r="K137" s="11"/>
      <c r="L137" s="11"/>
    </row>
    <row r="138" spans="1:12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J138" s="16" t="str">
        <f t="shared" si="2"/>
        <v>{ name: "Kitawak Shrine", landmark: "Shrine", type: "Puzzle Trial", region: 14, level: "Surface", x: -1529, y: -2928, z: 321, details: `` },</v>
      </c>
      <c r="K138" s="11"/>
      <c r="L138" s="11"/>
    </row>
    <row r="139" spans="1:12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J139" s="16" t="str">
        <f t="shared" si="2"/>
        <v>{ name: "Kudanisar Shrine", landmark: "Shrine", type: "Puzzle Trial", region: 14, level: "Surface", x: -4168, y: -2144, z: 50, details: `` },</v>
      </c>
      <c r="K139" s="11"/>
      <c r="L139" s="11"/>
    </row>
    <row r="140" spans="1:12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J140" s="16" t="str">
        <f t="shared" si="2"/>
        <v>{ name: "Mayatat Shrine", landmark: "Shrine", type: "Puzzle Trial", region: 14, level: "Surface", x: -3292, y: -2509, z: 23, details: `` },</v>
      </c>
      <c r="K140" s="11"/>
      <c r="L140" s="11"/>
    </row>
    <row r="141" spans="1:12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J141" s="16" t="str">
        <f t="shared" si="2"/>
        <v>{ name: "Miryotanog Shrine", landmark: "Shrine", type: "Proving Grounds", region: 14, level: "Surface", x: -4679, y: -3086, z: 56, details: `` },</v>
      </c>
      <c r="K141" s="11"/>
      <c r="L141" s="11"/>
    </row>
    <row r="142" spans="1:12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J142" s="16" t="str">
        <f t="shared" si="2"/>
        <v>{ name: "Motsusis Shrine", landmark: "Shrine", type: "Rauru's Blessing", region: 14, level: "Surface", x: -1795, y: -3485, z: 45, details: `` },</v>
      </c>
      <c r="K142" s="11"/>
      <c r="L142" s="11"/>
    </row>
    <row r="143" spans="1:12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7" t="s">
        <v>4566</v>
      </c>
      <c r="J143" s="16" t="str">
        <f t="shared" si="2"/>
        <v>{ name: "Rakakudaj Shrine", landmark: "Shrine", type: "Rauru's Blessing", region: 14, level: "Surface", x: -2031, y: -1847, z: 64, details: `&lt;strong&gt;First:&lt;/strong&gt; Complete &lt;img src="icons/shrine-quest.png" style="height: 20px; width: 20px; vertical-align: middle; margin-right: 5px;"&gt;&lt;span style="color: #7cc9c2; font-weight: bold;"&gt;The Gerudo Canyon Crystal&lt;/span&gt; shrine quest` },</v>
      </c>
      <c r="K143" s="11"/>
      <c r="L143" s="11"/>
    </row>
    <row r="144" spans="1:12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J144" s="16" t="str">
        <f t="shared" si="2"/>
        <v>{ name: "Siwakama Shrine", landmark: "Shrine", type: "Puzzle Trial", region: 14, level: "Surface", x: -2445, y: -3345, z: 41, details: `` },</v>
      </c>
      <c r="K144" s="11"/>
      <c r="L144" s="11"/>
    </row>
    <row r="145" spans="1:12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J145" s="16" t="str">
        <f t="shared" si="2"/>
        <v>{ name: "Soryotanog Shrine", landmark: "Shrine", type: "Puzzle Trial", region: 14, level: "Surface", x: -3883, y: -2964, z: 125, details: `` },</v>
      </c>
      <c r="K145" s="11"/>
      <c r="L145" s="11"/>
    </row>
    <row r="146" spans="1:12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J146" s="16" t="str">
        <f t="shared" si="2"/>
        <v>{ name: "Turakamik Shrine", landmark: "Shrine", type: "Puzzle Trial", region: 14, level: "Surface", x: -2658, y: -2236, z: 67, details: `` },</v>
      </c>
      <c r="K146" s="11"/>
      <c r="L146" s="11"/>
    </row>
    <row r="147" spans="1:12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J147" s="16" t="str">
        <f t="shared" si="2"/>
        <v>{ name: "Mayasiar Shrine", landmark: "Shrine", type: "Rauru's Blessing", region: 15, level: "Sky", x: -3544, y: -320, z: 1964, details: `` },</v>
      </c>
      <c r="K147" s="11"/>
      <c r="L147" s="11"/>
    </row>
    <row r="148" spans="1:12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J148" s="16" t="str">
        <f t="shared" si="2"/>
        <v>{ name: "Gasas Shrine", landmark: "Shrine", type: "Puzzle Trial", region: 15, level: "Surface", x: -4152, y: 98, z: 40, details: `` },</v>
      </c>
      <c r="K148" s="11"/>
      <c r="L148" s="11"/>
    </row>
    <row r="149" spans="1:12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J149" s="16" t="str">
        <f t="shared" si="2"/>
        <v>{ name: "Mayamats Shrine", landmark: "Shrine", type: "Puzzle Trial", region: 15, level: "Surface", x: -4637, y: -1514, z: 452, details: `` },</v>
      </c>
      <c r="K149" s="11"/>
      <c r="L149" s="11"/>
    </row>
    <row r="150" spans="1:12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J150" s="16" t="str">
        <f t="shared" si="2"/>
        <v>{ name: "Otutsum Shrine", landmark: "Shrine", type: "Rauru's Blessing", region: 15, level: "Surface", x: -4468, y: -670, z: 509, details: `` },</v>
      </c>
      <c r="K150" s="11"/>
      <c r="L150" s="11"/>
    </row>
    <row r="151" spans="1:12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J151" s="16" t="str">
        <f t="shared" si="2"/>
        <v>{ name: "Rotsumamu Shrine", landmark: "Shrine", type: "Puzzle Trial", region: 15, level: "Surface", x: -3407, y: -1362, z: 35, details: `` },</v>
      </c>
      <c r="K151" s="11"/>
      <c r="L151" s="11"/>
    </row>
    <row r="152" spans="1:12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J152" s="16" t="str">
        <f t="shared" si="2"/>
        <v>{ name: "Suariwak Shrine", landmark: "Shrine", type: "Rauru's Blessing", region: 15, level: "Surface", x: -2523, y: -1770, z: 132, details: `` },</v>
      </c>
      <c r="K152" s="11"/>
      <c r="L152" s="11"/>
    </row>
    <row r="153" spans="1:12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J153" s="16" t="str">
        <f t="shared" si="2"/>
        <v>{ name: "Turakawak Shrine", landmark: "Shrine", type: "Puzzle Trial", region: 15, level: "Surface", x: -3496, y: -197, z: 66, details: `` },</v>
      </c>
      <c r="K153" s="11"/>
      <c r="L153" s="11"/>
    </row>
    <row r="154" spans="1:12" x14ac:dyDescent="0.2">
      <c r="A154" s="1"/>
      <c r="B154" s="1"/>
    </row>
  </sheetData>
  <autoFilter ref="A1:J154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E17" sqref="E17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2397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2391</v>
      </c>
      <c r="B3" t="s">
        <v>2398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2220</v>
      </c>
      <c r="I3" t="str">
        <f t="shared" si="0"/>
        <v>{ name: "Emergency Shelter", landmark: "Special Location", type: "Settlement", region: 1, level: "Surface", x: -254, y: 97, z: 8, details: "" },</v>
      </c>
    </row>
    <row r="4" spans="1:9" x14ac:dyDescent="0.2">
      <c r="A4" t="s">
        <v>1444</v>
      </c>
      <c r="B4" t="s">
        <v>2398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tr">
        <f t="shared" si="0"/>
        <v>{ name: "Lucky Clover Gazette", landmark: "Special Location", type: "Settlement", region: 3, level: "Surface", x: -3256, y: 1758, z: 151, details: "" },</v>
      </c>
    </row>
    <row r="5" spans="1:9" x14ac:dyDescent="0.2">
      <c r="A5" t="s">
        <v>1689</v>
      </c>
      <c r="B5" t="s">
        <v>2557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tr">
        <f t="shared" si="0"/>
        <v>{ name: "Ultra Ball Haul Check-In", landmark: "Special Location", type: "Mini-Game", region: 3, level: "Surface", x: -3126, y: 612, z: 81, details: "" },</v>
      </c>
    </row>
    <row r="6" spans="1:9" x14ac:dyDescent="0.2">
      <c r="A6" t="s">
        <v>1262</v>
      </c>
      <c r="B6" t="s">
        <v>2557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tr">
        <f t="shared" si="0"/>
        <v>{ name: "Flight Range", landmark: "Special Location", type: "Mini-Game", region: 4, level: "Surface", x: -3793, y: 2318, z: 180, details: "" },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tr">
        <f t="shared" si="0"/>
        <v>{ name: "Forgotten Temple", landmark: "Special Location", type: "", region: 5, level: "Surface", x: -1422, y: 2263, z: -106, details: "" },</v>
      </c>
    </row>
    <row r="8" spans="1:9" x14ac:dyDescent="0.2">
      <c r="A8" t="s">
        <v>1133</v>
      </c>
      <c r="B8" t="s">
        <v>2398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tr">
        <f t="shared" si="0"/>
        <v>{ name: "Bedrock Bistro", landmark: "Special Location", type: "Settlement", region: 7, level: "Surface", x: 1765, y: 1547, z: 279, details: "" },</v>
      </c>
    </row>
    <row r="9" spans="1:9" x14ac:dyDescent="0.2">
      <c r="A9" t="s">
        <v>1719</v>
      </c>
      <c r="B9" t="s">
        <v>2398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tr">
        <f t="shared" si="0"/>
        <v>{ name: "YunoboCo HQ", landmark: "Special Location", type: "Settlement", region: 7, level: "Surface", x: 1602, y: 2832, z: 412, details: "" },</v>
      </c>
    </row>
    <row r="10" spans="1:9" x14ac:dyDescent="0.2">
      <c r="A10" t="s">
        <v>998</v>
      </c>
      <c r="B10" t="s">
        <v>2398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tr">
        <f t="shared" si="0"/>
        <v>{ name: "Hudson Construction Site", landmark: "Special Location", type: "Settlement", region: 8, level: "Surface", x: 3724, y: 1612, z: 114, details: "" },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tr">
        <f t="shared" si="0"/>
        <v>{ name: "Link's House", landmark: "Special Location", type: "", region: 8, level: "Surface", x: 4208, y: 1380, z: 208, details: "" },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3962</v>
      </c>
      <c r="F12" s="2">
        <v>1653</v>
      </c>
      <c r="G12" s="2">
        <v>129</v>
      </c>
      <c r="I12" t="str">
        <f t="shared" si="0"/>
        <v>{ name: "Monster Gallery", landmark: "Special Location", type: "", region: 8, level: "Surface", x: 3962, y: 1653, z: 129, details: "" },</v>
      </c>
    </row>
    <row r="13" spans="1:9" x14ac:dyDescent="0.2">
      <c r="A13" t="s">
        <v>1665</v>
      </c>
      <c r="B13" t="s">
        <v>2557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tr">
        <f t="shared" si="0"/>
        <v>{ name: "Tarrey Town Race", landmark: "Special Location", type: "Mini-Game", region: 8, level: "Surface", x: 3744, y: 1679, z: 93, details: "" },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3776</v>
      </c>
      <c r="F14" s="2">
        <v>-2129</v>
      </c>
      <c r="G14" s="2">
        <v>230</v>
      </c>
      <c r="I14" t="str">
        <f t="shared" si="0"/>
        <v>{ name: "Hateno Ancient Tech Lab", landmark: "Special Location", type: "", region: 11, level: "Surface", x: 3776, y: -2129, z: 230, details: "" },</v>
      </c>
    </row>
    <row r="15" spans="1:9" x14ac:dyDescent="0.2">
      <c r="A15" t="s">
        <v>1449</v>
      </c>
      <c r="B15" t="s">
        <v>2557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tr">
        <f t="shared" si="0"/>
        <v>{ name: "Lurelin Water Rally", landmark: "Special Location", type: "Mini-Game", region: 12, level: "Surface", x: 2978, y: -3690, z: 2, details: "" },</v>
      </c>
    </row>
    <row r="16" spans="1:9" x14ac:dyDescent="0.2">
      <c r="A16" t="s">
        <v>2415</v>
      </c>
      <c r="B16" t="s">
        <v>2398</v>
      </c>
      <c r="C16" s="2">
        <v>14</v>
      </c>
      <c r="D16" s="2" t="s">
        <v>785</v>
      </c>
      <c r="E16" s="2">
        <v>-3889</v>
      </c>
      <c r="F16" s="2">
        <v>-2971</v>
      </c>
      <c r="G16" s="2">
        <v>33</v>
      </c>
      <c r="I16" t="str">
        <f t="shared" si="0"/>
        <v>{ name: "Gerudo Town Shelter", landmark: "Special Location", type: "Settlement", region: 14, level: "Surface", x: -3889, y: -2971, z: 33, details: "" },</v>
      </c>
    </row>
    <row r="17" spans="1:9" x14ac:dyDescent="0.2">
      <c r="A17" t="s">
        <v>840</v>
      </c>
      <c r="B17" t="s">
        <v>2398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tr">
        <f t="shared" si="0"/>
        <v>{ name: "Yiga Clan Hideout", landmark: "Special Location", type: "Settlement", region: 15, level: "Surface", x: -3686, y: -1366, z: 331, details: "" },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I8" sqref="I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2416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2526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2527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2528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2529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2530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2531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2532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2533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2534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2535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2536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2537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2538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2539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I2" sqref="I2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1100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1100, z: 386, details: "" },</v>
      </c>
    </row>
    <row r="3" spans="1:9" x14ac:dyDescent="0.2">
      <c r="A3" t="s">
        <v>2407</v>
      </c>
      <c r="B3" t="s">
        <v>2465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2404</v>
      </c>
      <c r="B4" t="s">
        <v>2466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2406</v>
      </c>
      <c r="B5" t="s">
        <v>2464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2402</v>
      </c>
      <c r="B6" t="s">
        <v>2468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2405</v>
      </c>
      <c r="B7" t="s">
        <v>2467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8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 s="2">
        <v>1</v>
      </c>
      <c r="D2" s="2" t="s">
        <v>785</v>
      </c>
      <c r="E2" s="2">
        <v>-298</v>
      </c>
      <c r="F2" s="2">
        <v>142</v>
      </c>
      <c r="G2" s="2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 s="2">
        <v>2</v>
      </c>
      <c r="D3" s="2" t="s">
        <v>785</v>
      </c>
      <c r="E3" s="2">
        <v>-761</v>
      </c>
      <c r="F3" s="2">
        <v>-1019</v>
      </c>
      <c r="G3" s="2">
        <v>64</v>
      </c>
      <c r="H3" s="7" t="s">
        <v>2207</v>
      </c>
      <c r="I3" s="11"/>
      <c r="K3" s="11"/>
    </row>
    <row r="4" spans="1:11" x14ac:dyDescent="0.2">
      <c r="A4" s="1" t="s">
        <v>1432</v>
      </c>
      <c r="B4" t="s">
        <v>787</v>
      </c>
      <c r="C4" s="2">
        <v>3</v>
      </c>
      <c r="D4" s="2" t="s">
        <v>785</v>
      </c>
      <c r="E4" s="2">
        <v>-1909</v>
      </c>
      <c r="F4" s="2">
        <v>1245</v>
      </c>
      <c r="G4" s="2">
        <v>297</v>
      </c>
      <c r="H4" s="7" t="s">
        <v>2208</v>
      </c>
      <c r="I4" s="11"/>
      <c r="K4" s="11"/>
    </row>
    <row r="5" spans="1:11" x14ac:dyDescent="0.2">
      <c r="A5" s="1" t="s">
        <v>1585</v>
      </c>
      <c r="B5" t="s">
        <v>800</v>
      </c>
      <c r="C5" s="2">
        <v>4</v>
      </c>
      <c r="D5" s="2" t="s">
        <v>785</v>
      </c>
      <c r="E5" s="2">
        <v>-3860</v>
      </c>
      <c r="F5" s="2">
        <v>2345</v>
      </c>
      <c r="G5" s="2">
        <v>233</v>
      </c>
      <c r="H5" s="7" t="s">
        <v>2209</v>
      </c>
      <c r="I5" s="11"/>
      <c r="K5" s="11"/>
    </row>
    <row r="6" spans="1:11" x14ac:dyDescent="0.2">
      <c r="A6" s="1" t="s">
        <v>1069</v>
      </c>
      <c r="B6" t="s">
        <v>1653</v>
      </c>
      <c r="C6" s="2">
        <v>5</v>
      </c>
      <c r="D6" s="2" t="s">
        <v>785</v>
      </c>
      <c r="E6" s="2">
        <v>-2312</v>
      </c>
      <c r="F6" s="2">
        <v>3064</v>
      </c>
      <c r="G6" s="2">
        <v>536</v>
      </c>
      <c r="H6" s="7" t="s">
        <v>2210</v>
      </c>
      <c r="I6" s="11"/>
      <c r="K6" s="11"/>
    </row>
    <row r="7" spans="1:11" x14ac:dyDescent="0.2">
      <c r="A7" s="1" t="s">
        <v>2066</v>
      </c>
      <c r="B7" t="s">
        <v>789</v>
      </c>
      <c r="C7" s="2">
        <v>6</v>
      </c>
      <c r="D7" s="2" t="s">
        <v>785</v>
      </c>
      <c r="E7" s="2">
        <v>345</v>
      </c>
      <c r="F7" s="2">
        <v>3142</v>
      </c>
      <c r="G7" s="2">
        <v>180</v>
      </c>
      <c r="H7" s="7" t="s">
        <v>4442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 s="2">
        <v>7</v>
      </c>
      <c r="D8" s="2" t="s">
        <v>785</v>
      </c>
      <c r="E8" s="2">
        <v>1641</v>
      </c>
      <c r="F8" s="2">
        <v>1190</v>
      </c>
      <c r="G8" s="2">
        <v>225</v>
      </c>
      <c r="H8" s="7" t="s">
        <v>2211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 s="2">
        <v>8</v>
      </c>
      <c r="D9" s="2" t="s">
        <v>785</v>
      </c>
      <c r="E9" s="2">
        <v>3497</v>
      </c>
      <c r="F9" s="2">
        <v>2025</v>
      </c>
      <c r="G9" s="2">
        <v>188</v>
      </c>
      <c r="H9" s="7" t="s">
        <v>2212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 s="2">
        <v>9</v>
      </c>
      <c r="D10" s="2" t="s">
        <v>785</v>
      </c>
      <c r="E10" s="2">
        <v>2865</v>
      </c>
      <c r="F10" s="2">
        <v>580</v>
      </c>
      <c r="G10" s="2">
        <v>379</v>
      </c>
      <c r="H10" s="7" t="s">
        <v>2213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 s="2">
        <v>10</v>
      </c>
      <c r="D11" s="2" t="s">
        <v>785</v>
      </c>
      <c r="E11" s="2">
        <v>1341</v>
      </c>
      <c r="F11" s="2">
        <v>-1176</v>
      </c>
      <c r="G11" s="2">
        <v>166</v>
      </c>
      <c r="H11" s="7" t="s">
        <v>2214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 s="2">
        <v>11</v>
      </c>
      <c r="D12" s="2" t="s">
        <v>785</v>
      </c>
      <c r="E12" s="2">
        <v>3847</v>
      </c>
      <c r="F12" s="2">
        <v>-1313</v>
      </c>
      <c r="G12" s="2">
        <v>539</v>
      </c>
      <c r="H12" s="7" t="s">
        <v>2215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 s="2">
        <v>12</v>
      </c>
      <c r="D13" s="2" t="s">
        <v>785</v>
      </c>
      <c r="E13" s="2">
        <v>2419</v>
      </c>
      <c r="F13" s="2">
        <v>-2755</v>
      </c>
      <c r="G13" s="2">
        <v>222</v>
      </c>
      <c r="H13" s="7" t="s">
        <v>2216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 s="2">
        <v>13</v>
      </c>
      <c r="D14" s="2" t="s">
        <v>785</v>
      </c>
      <c r="E14" s="2">
        <v>607</v>
      </c>
      <c r="F14" s="2">
        <v>-2127</v>
      </c>
      <c r="G14" s="2">
        <v>98</v>
      </c>
      <c r="H14" s="7" t="s">
        <v>2217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 s="2">
        <v>14</v>
      </c>
      <c r="D15" s="2" t="s">
        <v>785</v>
      </c>
      <c r="E15" s="2">
        <v>-2438</v>
      </c>
      <c r="F15" s="2">
        <v>-2182</v>
      </c>
      <c r="G15" s="2">
        <v>307</v>
      </c>
      <c r="H15" s="7" t="s">
        <v>2218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 s="2">
        <v>15</v>
      </c>
      <c r="D16" s="2" t="s">
        <v>785</v>
      </c>
      <c r="E16" s="2">
        <v>-3959</v>
      </c>
      <c r="F16" s="2">
        <v>-1313</v>
      </c>
      <c r="G16" s="2">
        <v>422</v>
      </c>
      <c r="H16" s="7" t="s">
        <v>2219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H18" s="9"/>
      <c r="I18" s="11"/>
      <c r="J18" s="11"/>
      <c r="K18" s="11"/>
    </row>
    <row r="19" spans="1:11" x14ac:dyDescent="0.2">
      <c r="A19" s="1"/>
      <c r="H19" s="9"/>
      <c r="I19" s="11"/>
      <c r="J19" s="11"/>
      <c r="K19" s="11"/>
    </row>
    <row r="20" spans="1:11" x14ac:dyDescent="0.2">
      <c r="A20" s="1"/>
      <c r="H20" s="9"/>
      <c r="I20" s="11"/>
      <c r="J20" s="11"/>
      <c r="K20" s="11"/>
    </row>
    <row r="21" spans="1:11" x14ac:dyDescent="0.2">
      <c r="A21" s="1"/>
      <c r="H21" s="9"/>
      <c r="I21" s="11"/>
      <c r="J21" s="11"/>
      <c r="K21" s="11"/>
    </row>
    <row r="22" spans="1:11" x14ac:dyDescent="0.2">
      <c r="A22" s="1"/>
      <c r="H22" s="9"/>
      <c r="I22" s="11"/>
      <c r="J22" s="11"/>
      <c r="K22" s="11"/>
    </row>
    <row r="23" spans="1:11" x14ac:dyDescent="0.2">
      <c r="A23" s="1"/>
      <c r="H23" s="9"/>
      <c r="I23" s="11"/>
      <c r="J23" s="11"/>
      <c r="K23" s="11"/>
    </row>
    <row r="24" spans="1:11" x14ac:dyDescent="0.2">
      <c r="A24" s="1"/>
      <c r="H24" s="9"/>
      <c r="I24" s="11"/>
      <c r="J24" s="11"/>
      <c r="K24" s="11"/>
    </row>
    <row r="25" spans="1:11" x14ac:dyDescent="0.2">
      <c r="A25" s="1"/>
      <c r="H25" s="9"/>
      <c r="I25" s="11"/>
      <c r="J25" s="11"/>
      <c r="K25" s="11"/>
    </row>
    <row r="26" spans="1:11" x14ac:dyDescent="0.2">
      <c r="A26" s="1"/>
      <c r="H26" s="9"/>
      <c r="I26" s="11"/>
      <c r="J26" s="11"/>
      <c r="K26" s="11"/>
    </row>
    <row r="27" spans="1:11" x14ac:dyDescent="0.2">
      <c r="A27" s="1"/>
      <c r="H27" s="9"/>
      <c r="I27" s="11"/>
      <c r="J27" s="11"/>
      <c r="K27" s="11"/>
    </row>
    <row r="28" spans="1:11" x14ac:dyDescent="0.2">
      <c r="A28" s="1"/>
      <c r="H28" s="9"/>
      <c r="I28" s="11"/>
      <c r="J28" s="11"/>
      <c r="K28" s="11"/>
    </row>
    <row r="29" spans="1:11" x14ac:dyDescent="0.2">
      <c r="A29" s="1"/>
      <c r="H29" s="9"/>
      <c r="I29" s="11"/>
      <c r="J29" s="11"/>
      <c r="K29" s="11"/>
    </row>
    <row r="30" spans="1:11" x14ac:dyDescent="0.2">
      <c r="A30" s="1"/>
      <c r="H30" s="9"/>
      <c r="I30" s="11"/>
      <c r="J30" s="11"/>
      <c r="K30" s="11"/>
    </row>
    <row r="31" spans="1:11" x14ac:dyDescent="0.2">
      <c r="A31" s="1"/>
      <c r="H31" s="9"/>
      <c r="I31" s="11"/>
      <c r="J31" s="11"/>
      <c r="K31" s="11"/>
    </row>
    <row r="32" spans="1:11" x14ac:dyDescent="0.2">
      <c r="A32" s="1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A15" sqref="A15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2392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2393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2394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2540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2395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2563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2564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2565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2566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2583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2584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2585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2586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2587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2588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2589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2590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2582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2574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2567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2568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2569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2570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2571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2572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2573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2575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2578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2581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2579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2580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2577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2576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K7" sqref="K7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2414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2838</v>
      </c>
      <c r="I2" s="2" t="s">
        <v>2519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2414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2838</v>
      </c>
      <c r="I3" s="2" t="s">
        <v>2519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2414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2838</v>
      </c>
      <c r="I4" s="2" t="s">
        <v>2519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2414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2838</v>
      </c>
      <c r="I5" s="2" t="s">
        <v>2519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2414</v>
      </c>
      <c r="C6">
        <v>8</v>
      </c>
      <c r="D6" t="s">
        <v>785</v>
      </c>
      <c r="E6">
        <v>3966</v>
      </c>
      <c r="F6">
        <v>1560</v>
      </c>
      <c r="G6">
        <v>128</v>
      </c>
      <c r="H6" s="2" t="s">
        <v>2838</v>
      </c>
      <c r="I6" s="2" t="s">
        <v>2519</v>
      </c>
      <c r="K6" t="str">
        <f t="shared" si="0"/>
        <v>{ name: "Tarrey Town", landmark: "Village", type: "Village", region: 8, level: "Surface", x: 3966, y: 1560, z: 128, zoom: [1,2,3], size: "S", details: "" },</v>
      </c>
    </row>
    <row r="7" spans="1:11" x14ac:dyDescent="0.2">
      <c r="A7" t="s">
        <v>1730</v>
      </c>
      <c r="B7" t="s">
        <v>2414</v>
      </c>
      <c r="C7">
        <v>9</v>
      </c>
      <c r="D7" t="s">
        <v>785</v>
      </c>
      <c r="E7">
        <v>3343</v>
      </c>
      <c r="F7">
        <v>559</v>
      </c>
      <c r="G7">
        <v>137</v>
      </c>
      <c r="H7" s="2" t="s">
        <v>2838</v>
      </c>
      <c r="I7" s="2" t="s">
        <v>2519</v>
      </c>
      <c r="K7" t="str">
        <f t="shared" si="0"/>
        <v>{ name: "Zora's Domain", landmark: "Village", type: "Village", region: 9, level: "Surface", x: 3343, y: 559, z: 137, zoom: [1,2,3], size: "S", details: "" },</v>
      </c>
    </row>
    <row r="8" spans="1:11" x14ac:dyDescent="0.2">
      <c r="A8" t="s">
        <v>999</v>
      </c>
      <c r="B8" t="s">
        <v>2414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2838</v>
      </c>
      <c r="I8" s="2" t="s">
        <v>2519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2414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2838</v>
      </c>
      <c r="I9" s="2" t="s">
        <v>2519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2414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2838</v>
      </c>
      <c r="I10" s="2" t="s">
        <v>2519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2414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2838</v>
      </c>
      <c r="I11" s="2" t="s">
        <v>2519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2414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2838</v>
      </c>
      <c r="I12" s="2" t="s">
        <v>2519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A19" sqref="A19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2989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2989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2989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2989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2989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2989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2989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2989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2989</v>
      </c>
      <c r="J10" t="s">
        <v>3154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2989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2989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2989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2989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2989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2989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2989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2989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2989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2989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2989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2989</v>
      </c>
      <c r="J22" t="s">
        <v>3154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2989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2989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2989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2989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2989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2989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2989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2989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2989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2989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2989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2989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2989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2989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2989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2989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2989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2989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2989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2989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2989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2989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2989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2989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2989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2989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2989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2989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2989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2989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2989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2989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2989</v>
      </c>
      <c r="J55" t="s">
        <v>3154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2989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2989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2989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2989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Checklist</vt:lpstr>
      <vt:lpstr>New Checklist</vt:lpstr>
      <vt:lpstr>Main Quests</vt:lpstr>
      <vt:lpstr>Side Quests</vt:lpstr>
      <vt:lpstr>Shrine Quests</vt:lpstr>
      <vt:lpstr>Side Adventures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2026-09-18T15:51:23Z</dcterms:modified>
</cp:coreProperties>
</file>