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untillions/Documents/GitHub/TOTK/"/>
    </mc:Choice>
  </mc:AlternateContent>
  <xr:revisionPtr revIDLastSave="0" documentId="13_ncr:1_{F414ABCA-1AC8-2649-8422-3D39256686BD}" xr6:coauthVersionLast="47" xr6:coauthVersionMax="47" xr10:uidLastSave="{00000000-0000-0000-0000-000000000000}"/>
  <bookViews>
    <workbookView xWindow="0" yWindow="3960" windowWidth="19840" windowHeight="16940" activeTab="7" xr2:uid="{F774F2AE-DE0F-5F42-928C-9832770C6D48}"/>
  </bookViews>
  <sheets>
    <sheet name="Checklist" sheetId="11" r:id="rId1"/>
    <sheet name="100%" sheetId="17" r:id="rId2"/>
    <sheet name="Named Locations" sheetId="16" r:id="rId3"/>
    <sheet name="Wells" sheetId="24" r:id="rId4"/>
    <sheet name="Shops" sheetId="23" r:id="rId5"/>
    <sheet name="Temples" sheetId="28" r:id="rId6"/>
    <sheet name="Statues" sheetId="22" r:id="rId7"/>
    <sheet name="Ancient Tablets" sheetId="19" r:id="rId8"/>
    <sheet name="Great Fairies" sheetId="18" r:id="rId9"/>
    <sheet name="Cherry Trees" sheetId="26" r:id="rId10"/>
    <sheet name="Hudson Signs" sheetId="7" r:id="rId11"/>
    <sheet name="Old Maps" sheetId="14" r:id="rId12"/>
    <sheet name="Schematics" sheetId="9" r:id="rId13"/>
    <sheet name="Caves" sheetId="5" r:id="rId14"/>
    <sheet name="Chasms" sheetId="4" r:id="rId15"/>
    <sheet name="Dispensers" sheetId="6" r:id="rId16"/>
    <sheet name="Dragon Tears" sheetId="20" r:id="rId17"/>
    <sheet name="Forge Constructs" sheetId="21" r:id="rId18"/>
    <sheet name="Lightroots" sheetId="10" r:id="rId19"/>
    <sheet name="Shrines" sheetId="1" r:id="rId20"/>
    <sheet name="Stables" sheetId="25" r:id="rId21"/>
    <sheet name="Towers" sheetId="12" r:id="rId22"/>
    <sheet name="Villages" sheetId="27" r:id="rId23"/>
    <sheet name="TEMPLATE" sheetId="15" r:id="rId24"/>
    <sheet name="Sheet1" sheetId="3" r:id="rId25"/>
    <sheet name="Sheet2" sheetId="2" r:id="rId26"/>
    <sheet name="Sheet13" sheetId="13" r:id="rId27"/>
  </sheets>
  <definedNames>
    <definedName name="_xlnm._FilterDatabase" localSheetId="7" hidden="1">'Ancient Tablets'!$A$1:$I$2</definedName>
    <definedName name="_xlnm._FilterDatabase" localSheetId="13" hidden="1">Caves!$A$1:$I$198</definedName>
    <definedName name="_xlnm._FilterDatabase" localSheetId="14" hidden="1">Chasms!$A$1:$J$37</definedName>
    <definedName name="_xlnm._FilterDatabase" localSheetId="9" hidden="1">'Cherry Trees'!$A$1:$I$1</definedName>
    <definedName name="_xlnm._FilterDatabase" localSheetId="15" hidden="1">Dispensers!$A$1:$I$30</definedName>
    <definedName name="_xlnm._FilterDatabase" localSheetId="16" hidden="1">'Dragon Tears'!$A$1:$I$2</definedName>
    <definedName name="_xlnm._FilterDatabase" localSheetId="17" hidden="1">'Forge Constructs'!$A$1:$I$12</definedName>
    <definedName name="_xlnm._FilterDatabase" localSheetId="8" hidden="1">'Great Fairies'!$A$1:$I$2</definedName>
    <definedName name="_xlnm._FilterDatabase" localSheetId="10" hidden="1">'Hudson Signs'!$A$1:$G$82</definedName>
    <definedName name="_xlnm._FilterDatabase" localSheetId="18" hidden="1">Lightroots!$A$1:$H$121</definedName>
    <definedName name="_xlnm._FilterDatabase" localSheetId="2" hidden="1">'Named Locations'!$A$1:$J$239</definedName>
    <definedName name="_xlnm._FilterDatabase" localSheetId="11" hidden="1">'Old Maps'!$A$1:$I$32</definedName>
    <definedName name="_xlnm._FilterDatabase" localSheetId="12" hidden="1">Schematics!$A$1:$I$47</definedName>
    <definedName name="_xlnm._FilterDatabase" localSheetId="26" hidden="1">Sheet13!$B$35:$C$65</definedName>
    <definedName name="_xlnm._FilterDatabase" localSheetId="4" hidden="1">Shops!$A$1:$J$2</definedName>
    <definedName name="_xlnm._FilterDatabase" localSheetId="19" hidden="1">Shrines!$A$1:$H$153</definedName>
    <definedName name="_xlnm._FilterDatabase" localSheetId="20" hidden="1">Stables!$A$1:$I$1</definedName>
    <definedName name="_xlnm._FilterDatabase" localSheetId="6" hidden="1">Statues!$A$1:$J$2</definedName>
    <definedName name="_xlnm._FilterDatabase" localSheetId="23" hidden="1">TEMPLATE!$A$1:$J$2</definedName>
    <definedName name="_xlnm._FilterDatabase" localSheetId="5" hidden="1">Temples!$A$1:$I$2</definedName>
    <definedName name="_xlnm._FilterDatabase" localSheetId="21" hidden="1">Towers!$A$1:$G$153</definedName>
    <definedName name="_xlnm._FilterDatabase" localSheetId="22" hidden="1">Villages!$A$1:$I$1</definedName>
    <definedName name="_xlnm._FilterDatabase" localSheetId="3" hidden="1">Wells!$A$1:$I$2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4" l="1"/>
  <c r="I3" i="24"/>
  <c r="I26" i="24"/>
  <c r="I45" i="24"/>
  <c r="I46" i="24"/>
  <c r="I47" i="24"/>
  <c r="I48" i="24"/>
  <c r="I18" i="24"/>
  <c r="I43" i="24"/>
  <c r="I27" i="24"/>
  <c r="I20" i="24"/>
  <c r="I23" i="24"/>
  <c r="I56" i="24"/>
  <c r="I30" i="24"/>
  <c r="I49" i="24"/>
  <c r="I38" i="24"/>
  <c r="I39" i="24"/>
  <c r="I40" i="24"/>
  <c r="I41" i="24"/>
  <c r="I50" i="24"/>
  <c r="I51" i="24"/>
  <c r="I4" i="24"/>
  <c r="I14" i="24"/>
  <c r="I31" i="24"/>
  <c r="I57" i="24"/>
  <c r="I52" i="24"/>
  <c r="I32" i="24"/>
  <c r="I5" i="24"/>
  <c r="I44" i="24"/>
  <c r="I6" i="24"/>
  <c r="I15" i="24"/>
  <c r="I33" i="24"/>
  <c r="I10" i="24"/>
  <c r="I7" i="24"/>
  <c r="I58" i="24"/>
  <c r="I16" i="24"/>
  <c r="I11" i="24"/>
  <c r="I12" i="24"/>
  <c r="I53" i="24"/>
  <c r="I54" i="24"/>
  <c r="I21" i="24"/>
  <c r="I8" i="24"/>
  <c r="I34" i="24"/>
  <c r="I13" i="24"/>
  <c r="I22" i="24"/>
  <c r="I24" i="24"/>
  <c r="I19" i="24"/>
  <c r="I28" i="24"/>
  <c r="I55" i="24"/>
  <c r="I29" i="24"/>
  <c r="I59" i="24"/>
  <c r="I17" i="24"/>
  <c r="I35" i="24"/>
  <c r="I36" i="24"/>
  <c r="I25" i="24"/>
  <c r="I37" i="24"/>
  <c r="I42" i="24"/>
  <c r="I9" i="24"/>
  <c r="I2" i="26"/>
  <c r="I4" i="20"/>
  <c r="I7" i="20"/>
  <c r="I11" i="20"/>
  <c r="I13" i="20"/>
  <c r="I3" i="20"/>
  <c r="I10" i="20"/>
  <c r="I5" i="20"/>
  <c r="I9" i="20"/>
  <c r="I12" i="20"/>
  <c r="I6" i="20"/>
  <c r="I8" i="20"/>
  <c r="I2" i="20"/>
  <c r="I2" i="21"/>
  <c r="I2" i="5"/>
  <c r="B3" i="11"/>
  <c r="B17" i="11" s="1"/>
  <c r="I3" i="25"/>
  <c r="I4" i="25"/>
  <c r="I5" i="25"/>
  <c r="I6" i="25"/>
  <c r="I7" i="25"/>
  <c r="I8" i="25"/>
  <c r="I9" i="25"/>
  <c r="I10" i="25"/>
  <c r="I11" i="25"/>
  <c r="I12" i="25"/>
  <c r="I13" i="25"/>
  <c r="I14" i="25"/>
  <c r="I15" i="25"/>
  <c r="I16" i="25"/>
  <c r="I17" i="25"/>
  <c r="I2" i="25"/>
  <c r="I2" i="27"/>
  <c r="G2" i="28"/>
  <c r="F2" i="28"/>
  <c r="E2" i="28"/>
  <c r="D2" i="28"/>
  <c r="E3" i="17"/>
  <c r="E4" i="17"/>
  <c r="E5" i="17"/>
  <c r="E6" i="17"/>
  <c r="E7" i="17"/>
  <c r="E8" i="17"/>
  <c r="E9" i="17"/>
  <c r="E10" i="17"/>
  <c r="E11" i="17"/>
  <c r="E12" i="17"/>
  <c r="E13" i="17"/>
  <c r="E14" i="17"/>
  <c r="E15" i="17"/>
  <c r="E16" i="17"/>
  <c r="E17" i="17"/>
  <c r="E18" i="17"/>
  <c r="E19" i="17"/>
  <c r="I2" i="7"/>
  <c r="H2" i="22"/>
  <c r="G2" i="22"/>
  <c r="F2" i="22"/>
  <c r="E2" i="22"/>
  <c r="B2" i="22"/>
  <c r="E17" i="11"/>
  <c r="N35" i="4"/>
  <c r="N36" i="4"/>
  <c r="N37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2" i="4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2" i="1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2" i="11"/>
  <c r="I2" i="9"/>
  <c r="I2" i="10"/>
  <c r="I24" i="14"/>
  <c r="I28" i="14"/>
  <c r="I43" i="14"/>
  <c r="I42" i="14"/>
  <c r="I44" i="14"/>
  <c r="I56" i="14"/>
  <c r="I58" i="14"/>
  <c r="I63" i="14"/>
  <c r="I62" i="14"/>
  <c r="I35" i="14"/>
  <c r="I37" i="14"/>
  <c r="I60" i="14"/>
  <c r="I50" i="14"/>
  <c r="I51" i="14"/>
  <c r="I45" i="14"/>
  <c r="I52" i="14"/>
  <c r="I61" i="14"/>
  <c r="I53" i="14"/>
  <c r="I39" i="14"/>
  <c r="I59" i="14"/>
  <c r="I49" i="14"/>
  <c r="I40" i="14"/>
  <c r="I65" i="14"/>
  <c r="I54" i="14"/>
  <c r="I48" i="14"/>
  <c r="I55" i="14"/>
  <c r="I57" i="14"/>
  <c r="I36" i="14"/>
  <c r="I38" i="14"/>
  <c r="I64" i="14"/>
  <c r="I47" i="14"/>
  <c r="I41" i="14"/>
  <c r="I46" i="14"/>
  <c r="I21" i="14"/>
  <c r="I2" i="14"/>
  <c r="I3" i="14"/>
  <c r="I4" i="14"/>
  <c r="I5" i="14"/>
  <c r="I9" i="14"/>
  <c r="I10" i="14"/>
  <c r="I11" i="14"/>
  <c r="I12" i="14"/>
  <c r="I14" i="14"/>
  <c r="I15" i="14"/>
  <c r="I16" i="14"/>
  <c r="I17" i="14"/>
  <c r="I18" i="14"/>
  <c r="I19" i="14"/>
  <c r="I20" i="14"/>
  <c r="I26" i="14"/>
  <c r="I27" i="14"/>
  <c r="I22" i="14"/>
  <c r="I23" i="14"/>
  <c r="I25" i="14"/>
  <c r="I29" i="14"/>
  <c r="I30" i="14"/>
  <c r="I32" i="14"/>
  <c r="I31" i="14"/>
  <c r="I6" i="14"/>
  <c r="I7" i="14"/>
  <c r="I8" i="14"/>
  <c r="I13" i="14"/>
  <c r="H2" i="15"/>
  <c r="G2" i="15"/>
  <c r="F2" i="15"/>
  <c r="E2" i="15"/>
  <c r="B2" i="15"/>
  <c r="I2" i="6"/>
  <c r="J19" i="4"/>
  <c r="H2" i="12"/>
  <c r="I2" i="1"/>
  <c r="V7" i="2"/>
  <c r="T7" i="2"/>
  <c r="U7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2" i="2"/>
  <c r="AA2" i="2"/>
  <c r="AB3" i="2"/>
  <c r="AB4" i="2"/>
  <c r="AB5" i="2"/>
  <c r="AB6" i="2"/>
  <c r="AB7" i="2"/>
  <c r="AB8" i="2"/>
  <c r="AB9" i="2"/>
  <c r="AB10" i="2"/>
  <c r="AB11" i="2"/>
  <c r="AB12" i="2"/>
  <c r="AB13" i="2"/>
  <c r="AB14" i="2"/>
  <c r="AB15" i="2"/>
  <c r="AB16" i="2"/>
  <c r="AB2" i="2"/>
  <c r="Z2" i="2"/>
  <c r="AD2" i="2" s="1"/>
  <c r="AA3" i="2"/>
  <c r="AA4" i="2"/>
  <c r="AA5" i="2"/>
  <c r="AD5" i="2" s="1"/>
  <c r="AA6" i="2"/>
  <c r="AA7" i="2"/>
  <c r="AA8" i="2"/>
  <c r="AA9" i="2"/>
  <c r="AA10" i="2"/>
  <c r="AA11" i="2"/>
  <c r="AA12" i="2"/>
  <c r="AA13" i="2"/>
  <c r="AA14" i="2"/>
  <c r="AA15" i="2"/>
  <c r="AA16" i="2"/>
  <c r="Z3" i="2"/>
  <c r="AD3" i="2" s="1"/>
  <c r="Z4" i="2"/>
  <c r="AD4" i="2" s="1"/>
  <c r="Z5" i="2"/>
  <c r="Z6" i="2"/>
  <c r="Z7" i="2"/>
  <c r="Z8" i="2"/>
  <c r="Z9" i="2"/>
  <c r="Z10" i="2"/>
  <c r="Z11" i="2"/>
  <c r="AD11" i="2" s="1"/>
  <c r="Z12" i="2"/>
  <c r="Z13" i="2"/>
  <c r="Z14" i="2"/>
  <c r="AD14" i="2" s="1"/>
  <c r="Z15" i="2"/>
  <c r="Z16" i="2"/>
  <c r="W2" i="2"/>
  <c r="V2" i="2"/>
  <c r="X2" i="2" s="1"/>
  <c r="U2" i="2"/>
  <c r="T2" i="2"/>
  <c r="T6" i="2"/>
  <c r="U6" i="2"/>
  <c r="V6" i="2"/>
  <c r="W6" i="2"/>
  <c r="W7" i="2"/>
  <c r="T8" i="2"/>
  <c r="U8" i="2"/>
  <c r="V8" i="2"/>
  <c r="W8" i="2"/>
  <c r="Y8" i="2" s="1"/>
  <c r="T9" i="2"/>
  <c r="U9" i="2"/>
  <c r="V9" i="2"/>
  <c r="W9" i="2"/>
  <c r="T10" i="2"/>
  <c r="U10" i="2"/>
  <c r="V10" i="2"/>
  <c r="W10" i="2"/>
  <c r="T11" i="2"/>
  <c r="U11" i="2"/>
  <c r="V11" i="2"/>
  <c r="W11" i="2"/>
  <c r="T12" i="2"/>
  <c r="U12" i="2"/>
  <c r="V12" i="2"/>
  <c r="W12" i="2"/>
  <c r="T13" i="2"/>
  <c r="U13" i="2"/>
  <c r="V13" i="2"/>
  <c r="X13" i="2" s="1"/>
  <c r="W13" i="2"/>
  <c r="T14" i="2"/>
  <c r="X14" i="2" s="1"/>
  <c r="U14" i="2"/>
  <c r="V14" i="2"/>
  <c r="W14" i="2"/>
  <c r="Y14" i="2" s="1"/>
  <c r="T15" i="2"/>
  <c r="U15" i="2"/>
  <c r="V15" i="2"/>
  <c r="W15" i="2"/>
  <c r="T16" i="2"/>
  <c r="U16" i="2"/>
  <c r="V16" i="2"/>
  <c r="W16" i="2"/>
  <c r="T3" i="2"/>
  <c r="U3" i="2"/>
  <c r="V3" i="2"/>
  <c r="W3" i="2"/>
  <c r="T4" i="2"/>
  <c r="U4" i="2"/>
  <c r="V4" i="2"/>
  <c r="W4" i="2"/>
  <c r="H1" i="3"/>
  <c r="C1" i="3" s="1"/>
  <c r="H2" i="3"/>
  <c r="C2" i="3" s="1"/>
  <c r="H3" i="3"/>
  <c r="C3" i="3" s="1"/>
  <c r="H4" i="3"/>
  <c r="C4" i="3" s="1"/>
  <c r="H5" i="3"/>
  <c r="C5" i="3" s="1"/>
  <c r="K5" i="3"/>
  <c r="H6" i="3"/>
  <c r="C6" i="3" s="1"/>
  <c r="H7" i="3"/>
  <c r="C7" i="3" s="1"/>
  <c r="H8" i="3"/>
  <c r="C8" i="3" s="1"/>
  <c r="H9" i="3"/>
  <c r="C9" i="3" s="1"/>
  <c r="H10" i="3"/>
  <c r="C10" i="3" s="1"/>
  <c r="H11" i="3"/>
  <c r="C11" i="3" s="1"/>
  <c r="H12" i="3"/>
  <c r="C12" i="3" s="1"/>
  <c r="H13" i="3"/>
  <c r="C13" i="3" s="1"/>
  <c r="C14" i="3"/>
  <c r="H14" i="3"/>
  <c r="H15" i="3"/>
  <c r="C15" i="3" s="1"/>
  <c r="H16" i="3"/>
  <c r="C16" i="3" s="1"/>
  <c r="H17" i="3"/>
  <c r="C17" i="3" s="1"/>
  <c r="H18" i="3"/>
  <c r="C18" i="3" s="1"/>
  <c r="H19" i="3"/>
  <c r="C19" i="3" s="1"/>
  <c r="C20" i="3"/>
  <c r="H20" i="3"/>
  <c r="H21" i="3"/>
  <c r="C21" i="3" s="1"/>
  <c r="H22" i="3"/>
  <c r="C22" i="3" s="1"/>
  <c r="H23" i="3"/>
  <c r="C23" i="3" s="1"/>
  <c r="H24" i="3"/>
  <c r="C24" i="3" s="1"/>
  <c r="H25" i="3"/>
  <c r="C25" i="3" s="1"/>
  <c r="H26" i="3"/>
  <c r="C26" i="3" s="1"/>
  <c r="H27" i="3"/>
  <c r="C27" i="3" s="1"/>
  <c r="C28" i="3"/>
  <c r="H28" i="3"/>
  <c r="H29" i="3"/>
  <c r="C29" i="3" s="1"/>
  <c r="H30" i="3"/>
  <c r="C30" i="3" s="1"/>
  <c r="H31" i="3"/>
  <c r="C31" i="3" s="1"/>
  <c r="H32" i="3"/>
  <c r="C32" i="3" s="1"/>
  <c r="H33" i="3"/>
  <c r="C33" i="3" s="1"/>
  <c r="H34" i="3"/>
  <c r="C34" i="3" s="1"/>
  <c r="H35" i="3"/>
  <c r="C35" i="3" s="1"/>
  <c r="C36" i="3"/>
  <c r="H36" i="3"/>
  <c r="H37" i="3"/>
  <c r="C37" i="3" s="1"/>
  <c r="H38" i="3"/>
  <c r="C38" i="3" s="1"/>
  <c r="H39" i="3"/>
  <c r="C39" i="3" s="1"/>
  <c r="C40" i="3"/>
  <c r="H40" i="3"/>
  <c r="H41" i="3"/>
  <c r="C41" i="3" s="1"/>
  <c r="H42" i="3"/>
  <c r="C42" i="3" s="1"/>
  <c r="C43" i="3"/>
  <c r="H43" i="3"/>
  <c r="H44" i="3"/>
  <c r="C44" i="3" s="1"/>
  <c r="C45" i="3"/>
  <c r="H45" i="3"/>
  <c r="H46" i="3"/>
  <c r="C46" i="3" s="1"/>
  <c r="H47" i="3"/>
  <c r="C47" i="3" s="1"/>
  <c r="H48" i="3"/>
  <c r="C48" i="3" s="1"/>
  <c r="H49" i="3"/>
  <c r="C49" i="3" s="1"/>
  <c r="H50" i="3"/>
  <c r="C50" i="3" s="1"/>
  <c r="H51" i="3"/>
  <c r="C51" i="3" s="1"/>
  <c r="H52" i="3"/>
  <c r="C52" i="3" s="1"/>
  <c r="H53" i="3"/>
  <c r="C53" i="3" s="1"/>
  <c r="H54" i="3"/>
  <c r="C54" i="3" s="1"/>
  <c r="H55" i="3"/>
  <c r="C55" i="3" s="1"/>
  <c r="H56" i="3"/>
  <c r="C56" i="3" s="1"/>
  <c r="H57" i="3"/>
  <c r="C57" i="3" s="1"/>
  <c r="H58" i="3"/>
  <c r="C58" i="3" s="1"/>
  <c r="H59" i="3"/>
  <c r="C59" i="3" s="1"/>
  <c r="C60" i="3"/>
  <c r="H60" i="3"/>
  <c r="C61" i="3"/>
  <c r="H61" i="3"/>
  <c r="H62" i="3"/>
  <c r="C62" i="3" s="1"/>
  <c r="H63" i="3"/>
  <c r="C63" i="3" s="1"/>
  <c r="H64" i="3"/>
  <c r="C64" i="3" s="1"/>
  <c r="H65" i="3"/>
  <c r="C65" i="3" s="1"/>
  <c r="H66" i="3"/>
  <c r="C66" i="3" s="1"/>
  <c r="H67" i="3"/>
  <c r="C67" i="3" s="1"/>
  <c r="H68" i="3"/>
  <c r="C68" i="3" s="1"/>
  <c r="C69" i="3"/>
  <c r="H69" i="3"/>
  <c r="H70" i="3"/>
  <c r="C70" i="3" s="1"/>
  <c r="C71" i="3"/>
  <c r="H71" i="3"/>
  <c r="C72" i="3"/>
  <c r="H72" i="3"/>
  <c r="H73" i="3"/>
  <c r="C73" i="3" s="1"/>
  <c r="H74" i="3"/>
  <c r="C74" i="3" s="1"/>
  <c r="H75" i="3"/>
  <c r="C75" i="3" s="1"/>
  <c r="H76" i="3"/>
  <c r="C76" i="3" s="1"/>
  <c r="H77" i="3"/>
  <c r="C77" i="3" s="1"/>
  <c r="H78" i="3"/>
  <c r="C78" i="3" s="1"/>
  <c r="H79" i="3"/>
  <c r="C79" i="3" s="1"/>
  <c r="C80" i="3"/>
  <c r="H80" i="3"/>
  <c r="H81" i="3"/>
  <c r="C81" i="3" s="1"/>
  <c r="H82" i="3"/>
  <c r="C82" i="3" s="1"/>
  <c r="H83" i="3"/>
  <c r="C83" i="3" s="1"/>
  <c r="H84" i="3"/>
  <c r="C84" i="3" s="1"/>
  <c r="C85" i="3"/>
  <c r="H85" i="3"/>
  <c r="H86" i="3"/>
  <c r="C86" i="3" s="1"/>
  <c r="H87" i="3"/>
  <c r="C87" i="3" s="1"/>
  <c r="H88" i="3"/>
  <c r="C88" i="3" s="1"/>
  <c r="H89" i="3"/>
  <c r="C89" i="3" s="1"/>
  <c r="H90" i="3"/>
  <c r="C90" i="3" s="1"/>
  <c r="H91" i="3"/>
  <c r="C91" i="3" s="1"/>
  <c r="H92" i="3"/>
  <c r="C92" i="3" s="1"/>
  <c r="H93" i="3"/>
  <c r="C93" i="3" s="1"/>
  <c r="H94" i="3"/>
  <c r="C94" i="3" s="1"/>
  <c r="C95" i="3"/>
  <c r="H95" i="3"/>
  <c r="C96" i="3"/>
  <c r="H96" i="3"/>
  <c r="H97" i="3"/>
  <c r="C97" i="3" s="1"/>
  <c r="H98" i="3"/>
  <c r="C98" i="3" s="1"/>
  <c r="H99" i="3"/>
  <c r="C99" i="3" s="1"/>
  <c r="H100" i="3"/>
  <c r="C100" i="3" s="1"/>
  <c r="H101" i="3"/>
  <c r="C101" i="3" s="1"/>
  <c r="H102" i="3"/>
  <c r="C102" i="3" s="1"/>
  <c r="H103" i="3"/>
  <c r="C103" i="3" s="1"/>
  <c r="H104" i="3"/>
  <c r="C104" i="3" s="1"/>
  <c r="H105" i="3"/>
  <c r="C105" i="3" s="1"/>
  <c r="H106" i="3"/>
  <c r="C106" i="3" s="1"/>
  <c r="H107" i="3"/>
  <c r="C107" i="3" s="1"/>
  <c r="H108" i="3"/>
  <c r="C108" i="3" s="1"/>
  <c r="H109" i="3"/>
  <c r="C109" i="3" s="1"/>
  <c r="H110" i="3"/>
  <c r="C110" i="3" s="1"/>
  <c r="H111" i="3"/>
  <c r="C111" i="3" s="1"/>
  <c r="H112" i="3"/>
  <c r="C112" i="3" s="1"/>
  <c r="H113" i="3"/>
  <c r="C113" i="3" s="1"/>
  <c r="H114" i="3"/>
  <c r="C114" i="3" s="1"/>
  <c r="H115" i="3"/>
  <c r="C115" i="3" s="1"/>
  <c r="H116" i="3"/>
  <c r="C116" i="3" s="1"/>
  <c r="C117" i="3"/>
  <c r="H117" i="3"/>
  <c r="H118" i="3"/>
  <c r="C118" i="3" s="1"/>
  <c r="H119" i="3"/>
  <c r="C119" i="3" s="1"/>
  <c r="C120" i="3"/>
  <c r="H120" i="3"/>
  <c r="H121" i="3"/>
  <c r="C121" i="3" s="1"/>
  <c r="H122" i="3"/>
  <c r="C122" i="3" s="1"/>
  <c r="H123" i="3"/>
  <c r="C123" i="3" s="1"/>
  <c r="H124" i="3"/>
  <c r="C124" i="3" s="1"/>
  <c r="H125" i="3"/>
  <c r="C125" i="3" s="1"/>
  <c r="H126" i="3"/>
  <c r="C126" i="3" s="1"/>
  <c r="C127" i="3"/>
  <c r="H127" i="3"/>
  <c r="H128" i="3"/>
  <c r="C128" i="3" s="1"/>
  <c r="H129" i="3"/>
  <c r="C129" i="3" s="1"/>
  <c r="H130" i="3"/>
  <c r="C130" i="3" s="1"/>
  <c r="H131" i="3"/>
  <c r="C131" i="3" s="1"/>
  <c r="H132" i="3"/>
  <c r="C132" i="3" s="1"/>
  <c r="H133" i="3"/>
  <c r="C133" i="3" s="1"/>
  <c r="C134" i="3"/>
  <c r="H134" i="3"/>
  <c r="H135" i="3"/>
  <c r="C135" i="3" s="1"/>
  <c r="H136" i="3"/>
  <c r="C136" i="3" s="1"/>
  <c r="H137" i="3"/>
  <c r="C137" i="3" s="1"/>
  <c r="H138" i="3"/>
  <c r="C138" i="3" s="1"/>
  <c r="H139" i="3"/>
  <c r="C139" i="3" s="1"/>
  <c r="H140" i="3"/>
  <c r="C140" i="3" s="1"/>
  <c r="H141" i="3"/>
  <c r="C141" i="3" s="1"/>
  <c r="H142" i="3"/>
  <c r="C142" i="3" s="1"/>
  <c r="H143" i="3"/>
  <c r="C143" i="3" s="1"/>
  <c r="H144" i="3"/>
  <c r="C144" i="3" s="1"/>
  <c r="H145" i="3"/>
  <c r="C145" i="3" s="1"/>
  <c r="H146" i="3"/>
  <c r="C146" i="3" s="1"/>
  <c r="H147" i="3"/>
  <c r="C147" i="3" s="1"/>
  <c r="H148" i="3"/>
  <c r="C148" i="3" s="1"/>
  <c r="H149" i="3"/>
  <c r="C149" i="3" s="1"/>
  <c r="H150" i="3"/>
  <c r="C150" i="3" s="1"/>
  <c r="H151" i="3"/>
  <c r="C151" i="3" s="1"/>
  <c r="C152" i="3"/>
  <c r="H152" i="3"/>
  <c r="H153" i="3"/>
  <c r="C153" i="3" s="1"/>
  <c r="H154" i="3"/>
  <c r="C154" i="3" s="1"/>
  <c r="H155" i="3"/>
  <c r="C155" i="3" s="1"/>
  <c r="H156" i="3"/>
  <c r="C156" i="3" s="1"/>
  <c r="H157" i="3"/>
  <c r="C157" i="3" s="1"/>
  <c r="H158" i="3"/>
  <c r="C158" i="3" s="1"/>
  <c r="C159" i="3"/>
  <c r="H159" i="3"/>
  <c r="H160" i="3"/>
  <c r="C160" i="3" s="1"/>
  <c r="H161" i="3"/>
  <c r="C161" i="3" s="1"/>
  <c r="H162" i="3"/>
  <c r="C162" i="3" s="1"/>
  <c r="H163" i="3"/>
  <c r="C163" i="3" s="1"/>
  <c r="H164" i="3"/>
  <c r="C164" i="3" s="1"/>
  <c r="H165" i="3"/>
  <c r="C165" i="3" s="1"/>
  <c r="H166" i="3"/>
  <c r="C166" i="3" s="1"/>
  <c r="H167" i="3"/>
  <c r="C167" i="3" s="1"/>
  <c r="C168" i="3"/>
  <c r="H168" i="3"/>
  <c r="H169" i="3"/>
  <c r="C169" i="3" s="1"/>
  <c r="H170" i="3"/>
  <c r="C170" i="3" s="1"/>
  <c r="H171" i="3"/>
  <c r="C171" i="3" s="1"/>
  <c r="H172" i="3"/>
  <c r="C172" i="3" s="1"/>
  <c r="H173" i="3"/>
  <c r="C173" i="3" s="1"/>
  <c r="H174" i="3"/>
  <c r="C174" i="3" s="1"/>
  <c r="H175" i="3"/>
  <c r="C175" i="3" s="1"/>
  <c r="C176" i="3"/>
  <c r="H176" i="3"/>
  <c r="H177" i="3"/>
  <c r="C177" i="3" s="1"/>
  <c r="H178" i="3"/>
  <c r="C178" i="3" s="1"/>
  <c r="H179" i="3"/>
  <c r="C179" i="3" s="1"/>
  <c r="H180" i="3"/>
  <c r="C180" i="3" s="1"/>
  <c r="C181" i="3"/>
  <c r="H181" i="3"/>
  <c r="H182" i="3"/>
  <c r="C182" i="3" s="1"/>
  <c r="H183" i="3"/>
  <c r="C183" i="3" s="1"/>
  <c r="C184" i="3"/>
  <c r="H184" i="3"/>
  <c r="H185" i="3"/>
  <c r="C185" i="3" s="1"/>
  <c r="H186" i="3"/>
  <c r="C186" i="3" s="1"/>
  <c r="H187" i="3"/>
  <c r="C187" i="3" s="1"/>
  <c r="H188" i="3"/>
  <c r="C188" i="3" s="1"/>
  <c r="H189" i="3"/>
  <c r="C189" i="3" s="1"/>
  <c r="H190" i="3"/>
  <c r="C190" i="3" s="1"/>
  <c r="H191" i="3"/>
  <c r="C191" i="3" s="1"/>
  <c r="H192" i="3"/>
  <c r="C192" i="3" s="1"/>
  <c r="H193" i="3"/>
  <c r="C193" i="3" s="1"/>
  <c r="H194" i="3"/>
  <c r="C194" i="3" s="1"/>
  <c r="H195" i="3"/>
  <c r="C195" i="3" s="1"/>
  <c r="H196" i="3"/>
  <c r="C196" i="3" s="1"/>
  <c r="H197" i="3"/>
  <c r="C197" i="3" s="1"/>
  <c r="C198" i="3"/>
  <c r="H198" i="3"/>
  <c r="H199" i="3"/>
  <c r="C199" i="3" s="1"/>
  <c r="H200" i="3"/>
  <c r="C200" i="3" s="1"/>
  <c r="H201" i="3"/>
  <c r="C201" i="3" s="1"/>
  <c r="H202" i="3"/>
  <c r="C202" i="3" s="1"/>
  <c r="H203" i="3"/>
  <c r="C203" i="3" s="1"/>
  <c r="H204" i="3"/>
  <c r="C204" i="3" s="1"/>
  <c r="H205" i="3"/>
  <c r="C205" i="3" s="1"/>
  <c r="C206" i="3"/>
  <c r="H206" i="3"/>
  <c r="H207" i="3"/>
  <c r="C207" i="3" s="1"/>
  <c r="H208" i="3"/>
  <c r="C208" i="3" s="1"/>
  <c r="H209" i="3"/>
  <c r="C209" i="3" s="1"/>
  <c r="H210" i="3"/>
  <c r="C210" i="3" s="1"/>
  <c r="H211" i="3"/>
  <c r="C211" i="3" s="1"/>
  <c r="C212" i="3"/>
  <c r="H212" i="3"/>
  <c r="H213" i="3"/>
  <c r="C213" i="3" s="1"/>
  <c r="H214" i="3"/>
  <c r="C214" i="3" s="1"/>
  <c r="H215" i="3"/>
  <c r="C215" i="3" s="1"/>
  <c r="H216" i="3"/>
  <c r="C216" i="3" s="1"/>
  <c r="H217" i="3"/>
  <c r="C217" i="3" s="1"/>
  <c r="H218" i="3"/>
  <c r="C218" i="3" s="1"/>
  <c r="H219" i="3"/>
  <c r="C219" i="3" s="1"/>
  <c r="H220" i="3"/>
  <c r="C220" i="3" s="1"/>
  <c r="H221" i="3"/>
  <c r="C221" i="3" s="1"/>
  <c r="H222" i="3"/>
  <c r="C222" i="3" s="1"/>
  <c r="H223" i="3"/>
  <c r="C223" i="3" s="1"/>
  <c r="C224" i="3"/>
  <c r="H224" i="3"/>
  <c r="H225" i="3"/>
  <c r="C225" i="3" s="1"/>
  <c r="H226" i="3"/>
  <c r="C226" i="3" s="1"/>
  <c r="H227" i="3"/>
  <c r="C227" i="3" s="1"/>
  <c r="C228" i="3"/>
  <c r="H228" i="3"/>
  <c r="H229" i="3"/>
  <c r="C229" i="3" s="1"/>
  <c r="H230" i="3"/>
  <c r="C230" i="3" s="1"/>
  <c r="H231" i="3"/>
  <c r="C231" i="3" s="1"/>
  <c r="H232" i="3"/>
  <c r="C232" i="3" s="1"/>
  <c r="H233" i="3"/>
  <c r="C233" i="3" s="1"/>
  <c r="H234" i="3"/>
  <c r="C234" i="3" s="1"/>
  <c r="H235" i="3"/>
  <c r="C235" i="3" s="1"/>
  <c r="C236" i="3"/>
  <c r="H236" i="3"/>
  <c r="H237" i="3"/>
  <c r="C237" i="3" s="1"/>
  <c r="H238" i="3"/>
  <c r="C238" i="3" s="1"/>
  <c r="H239" i="3"/>
  <c r="C239" i="3" s="1"/>
  <c r="H240" i="3"/>
  <c r="C240" i="3" s="1"/>
  <c r="H241" i="3"/>
  <c r="C241" i="3" s="1"/>
  <c r="H242" i="3"/>
  <c r="C242" i="3" s="1"/>
  <c r="H243" i="3"/>
  <c r="C243" i="3" s="1"/>
  <c r="H244" i="3"/>
  <c r="C244" i="3" s="1"/>
  <c r="H245" i="3"/>
  <c r="C245" i="3" s="1"/>
  <c r="H246" i="3"/>
  <c r="C246" i="3" s="1"/>
  <c r="C247" i="3"/>
  <c r="H247" i="3"/>
  <c r="H248" i="3"/>
  <c r="C248" i="3" s="1"/>
  <c r="H249" i="3"/>
  <c r="C249" i="3" s="1"/>
  <c r="H250" i="3"/>
  <c r="C250" i="3" s="1"/>
  <c r="H251" i="3"/>
  <c r="C251" i="3" s="1"/>
  <c r="H252" i="3"/>
  <c r="C252" i="3" s="1"/>
  <c r="H253" i="3"/>
  <c r="C253" i="3" s="1"/>
  <c r="H254" i="3"/>
  <c r="C254" i="3" s="1"/>
  <c r="H255" i="3"/>
  <c r="C255" i="3" s="1"/>
  <c r="H256" i="3"/>
  <c r="C256" i="3" s="1"/>
  <c r="H257" i="3"/>
  <c r="C257" i="3" s="1"/>
  <c r="H258" i="3"/>
  <c r="C258" i="3" s="1"/>
  <c r="H259" i="3"/>
  <c r="C259" i="3" s="1"/>
  <c r="H260" i="3"/>
  <c r="C260" i="3" s="1"/>
  <c r="H261" i="3"/>
  <c r="C261" i="3" s="1"/>
  <c r="H262" i="3"/>
  <c r="C262" i="3" s="1"/>
  <c r="H263" i="3"/>
  <c r="C263" i="3" s="1"/>
  <c r="H264" i="3"/>
  <c r="C264" i="3" s="1"/>
  <c r="H265" i="3"/>
  <c r="C265" i="3" s="1"/>
  <c r="H266" i="3"/>
  <c r="C266" i="3" s="1"/>
  <c r="H267" i="3"/>
  <c r="C267" i="3" s="1"/>
  <c r="C268" i="3"/>
  <c r="H268" i="3"/>
  <c r="H269" i="3"/>
  <c r="C269" i="3" s="1"/>
  <c r="H270" i="3"/>
  <c r="C270" i="3" s="1"/>
  <c r="H271" i="3"/>
  <c r="C271" i="3" s="1"/>
  <c r="H272" i="3"/>
  <c r="C272" i="3" s="1"/>
  <c r="H273" i="3"/>
  <c r="C273" i="3" s="1"/>
  <c r="H274" i="3"/>
  <c r="C274" i="3" s="1"/>
  <c r="H275" i="3"/>
  <c r="C275" i="3" s="1"/>
  <c r="H276" i="3"/>
  <c r="C276" i="3" s="1"/>
  <c r="C277" i="3"/>
  <c r="H277" i="3"/>
  <c r="H278" i="3"/>
  <c r="C278" i="3" s="1"/>
  <c r="H279" i="3"/>
  <c r="C279" i="3" s="1"/>
  <c r="H280" i="3"/>
  <c r="C280" i="3" s="1"/>
  <c r="H281" i="3"/>
  <c r="C281" i="3" s="1"/>
  <c r="H282" i="3"/>
  <c r="C282" i="3" s="1"/>
  <c r="H283" i="3"/>
  <c r="C283" i="3" s="1"/>
  <c r="H284" i="3"/>
  <c r="C284" i="3" s="1"/>
  <c r="C285" i="3"/>
  <c r="H285" i="3"/>
  <c r="H286" i="3"/>
  <c r="C286" i="3" s="1"/>
  <c r="H287" i="3"/>
  <c r="C287" i="3" s="1"/>
  <c r="H288" i="3"/>
  <c r="C288" i="3" s="1"/>
  <c r="H289" i="3"/>
  <c r="C289" i="3" s="1"/>
  <c r="H290" i="3"/>
  <c r="C290" i="3" s="1"/>
  <c r="H291" i="3"/>
  <c r="C291" i="3" s="1"/>
  <c r="H292" i="3"/>
  <c r="C292" i="3" s="1"/>
  <c r="H293" i="3"/>
  <c r="C293" i="3" s="1"/>
  <c r="H294" i="3"/>
  <c r="C294" i="3" s="1"/>
  <c r="H295" i="3"/>
  <c r="C295" i="3" s="1"/>
  <c r="C296" i="3"/>
  <c r="H296" i="3"/>
  <c r="H297" i="3"/>
  <c r="C297" i="3" s="1"/>
  <c r="H298" i="3"/>
  <c r="C298" i="3" s="1"/>
  <c r="H299" i="3"/>
  <c r="C299" i="3" s="1"/>
  <c r="H300" i="3"/>
  <c r="C300" i="3" s="1"/>
  <c r="H301" i="3"/>
  <c r="C301" i="3" s="1"/>
  <c r="H302" i="3"/>
  <c r="C302" i="3" s="1"/>
  <c r="C303" i="3"/>
  <c r="H303" i="3"/>
  <c r="H304" i="3"/>
  <c r="C304" i="3" s="1"/>
  <c r="H305" i="3"/>
  <c r="C305" i="3" s="1"/>
  <c r="H306" i="3"/>
  <c r="C306" i="3" s="1"/>
  <c r="H307" i="3"/>
  <c r="C307" i="3" s="1"/>
  <c r="H308" i="3"/>
  <c r="C308" i="3" s="1"/>
  <c r="H309" i="3"/>
  <c r="C309" i="3" s="1"/>
  <c r="H310" i="3"/>
  <c r="C310" i="3" s="1"/>
  <c r="H311" i="3"/>
  <c r="C311" i="3" s="1"/>
  <c r="H312" i="3"/>
  <c r="C312" i="3" s="1"/>
  <c r="H313" i="3"/>
  <c r="C313" i="3" s="1"/>
  <c r="H314" i="3"/>
  <c r="C314" i="3" s="1"/>
  <c r="H315" i="3"/>
  <c r="C315" i="3" s="1"/>
  <c r="H316" i="3"/>
  <c r="C316" i="3" s="1"/>
  <c r="C317" i="3"/>
  <c r="H317" i="3"/>
  <c r="H318" i="3"/>
  <c r="C318" i="3" s="1"/>
  <c r="H319" i="3"/>
  <c r="C319" i="3" s="1"/>
  <c r="H320" i="3"/>
  <c r="C320" i="3" s="1"/>
  <c r="H321" i="3"/>
  <c r="C321" i="3" s="1"/>
  <c r="H322" i="3"/>
  <c r="C322" i="3" s="1"/>
  <c r="H323" i="3"/>
  <c r="C323" i="3" s="1"/>
  <c r="H324" i="3"/>
  <c r="C324" i="3" s="1"/>
  <c r="H325" i="3"/>
  <c r="C325" i="3" s="1"/>
  <c r="C326" i="3"/>
  <c r="H326" i="3"/>
  <c r="H327" i="3"/>
  <c r="C327" i="3" s="1"/>
  <c r="H328" i="3"/>
  <c r="C328" i="3" s="1"/>
  <c r="H329" i="3"/>
  <c r="C329" i="3" s="1"/>
  <c r="H330" i="3"/>
  <c r="C330" i="3" s="1"/>
  <c r="H331" i="3"/>
  <c r="C331" i="3" s="1"/>
  <c r="H332" i="3"/>
  <c r="C332" i="3" s="1"/>
  <c r="C333" i="3"/>
  <c r="H333" i="3"/>
  <c r="C334" i="3"/>
  <c r="H334" i="3"/>
  <c r="H335" i="3"/>
  <c r="C335" i="3" s="1"/>
  <c r="C336" i="3"/>
  <c r="H336" i="3"/>
  <c r="H337" i="3"/>
  <c r="C337" i="3" s="1"/>
  <c r="H338" i="3"/>
  <c r="C338" i="3" s="1"/>
  <c r="H339" i="3"/>
  <c r="C339" i="3" s="1"/>
  <c r="H340" i="3"/>
  <c r="C340" i="3" s="1"/>
  <c r="H341" i="3"/>
  <c r="C341" i="3" s="1"/>
  <c r="C342" i="3"/>
  <c r="H342" i="3"/>
  <c r="H343" i="3"/>
  <c r="C343" i="3" s="1"/>
  <c r="H344" i="3"/>
  <c r="C344" i="3" s="1"/>
  <c r="H345" i="3"/>
  <c r="C345" i="3" s="1"/>
  <c r="H346" i="3"/>
  <c r="C346" i="3" s="1"/>
  <c r="H347" i="3"/>
  <c r="C347" i="3" s="1"/>
  <c r="H348" i="3"/>
  <c r="C348" i="3" s="1"/>
  <c r="H349" i="3"/>
  <c r="C349" i="3" s="1"/>
  <c r="H350" i="3"/>
  <c r="C350" i="3" s="1"/>
  <c r="C351" i="3"/>
  <c r="H351" i="3"/>
  <c r="H352" i="3"/>
  <c r="C352" i="3" s="1"/>
  <c r="H353" i="3"/>
  <c r="C353" i="3" s="1"/>
  <c r="H354" i="3"/>
  <c r="C354" i="3" s="1"/>
  <c r="C355" i="3"/>
  <c r="H355" i="3"/>
  <c r="H356" i="3"/>
  <c r="C356" i="3" s="1"/>
  <c r="H357" i="3"/>
  <c r="C357" i="3" s="1"/>
  <c r="H358" i="3"/>
  <c r="C358" i="3" s="1"/>
  <c r="H359" i="3"/>
  <c r="C359" i="3" s="1"/>
  <c r="H360" i="3"/>
  <c r="C360" i="3" s="1"/>
  <c r="H361" i="3"/>
  <c r="C361" i="3" s="1"/>
  <c r="H362" i="3"/>
  <c r="C362" i="3" s="1"/>
  <c r="H363" i="3"/>
  <c r="C363" i="3" s="1"/>
  <c r="C364" i="3"/>
  <c r="H364" i="3"/>
  <c r="H365" i="3"/>
  <c r="C365" i="3" s="1"/>
  <c r="H366" i="3"/>
  <c r="C366" i="3" s="1"/>
  <c r="H367" i="3"/>
  <c r="C367" i="3" s="1"/>
  <c r="C368" i="3"/>
  <c r="H368" i="3"/>
  <c r="H369" i="3"/>
  <c r="C369" i="3" s="1"/>
  <c r="H370" i="3"/>
  <c r="C370" i="3" s="1"/>
  <c r="C371" i="3"/>
  <c r="H371" i="3"/>
  <c r="H372" i="3"/>
  <c r="C372" i="3" s="1"/>
  <c r="C373" i="3"/>
  <c r="H373" i="3"/>
  <c r="H374" i="3"/>
  <c r="C374" i="3" s="1"/>
  <c r="H375" i="3"/>
  <c r="C375" i="3" s="1"/>
  <c r="H376" i="3"/>
  <c r="C376" i="3" s="1"/>
  <c r="H377" i="3"/>
  <c r="C377" i="3" s="1"/>
  <c r="H378" i="3"/>
  <c r="C378" i="3" s="1"/>
  <c r="C379" i="3"/>
  <c r="H379" i="3"/>
  <c r="C380" i="3"/>
  <c r="H380" i="3"/>
  <c r="H381" i="3"/>
  <c r="C381" i="3" s="1"/>
  <c r="H382" i="3"/>
  <c r="C382" i="3" s="1"/>
  <c r="H383" i="3"/>
  <c r="C383" i="3" s="1"/>
  <c r="H384" i="3"/>
  <c r="C384" i="3" s="1"/>
  <c r="H385" i="3"/>
  <c r="C385" i="3" s="1"/>
  <c r="H386" i="3"/>
  <c r="C386" i="3" s="1"/>
  <c r="H387" i="3"/>
  <c r="C387" i="3" s="1"/>
  <c r="C388" i="3"/>
  <c r="H388" i="3"/>
  <c r="H389" i="3"/>
  <c r="C389" i="3" s="1"/>
  <c r="H390" i="3"/>
  <c r="C390" i="3" s="1"/>
  <c r="C391" i="3"/>
  <c r="H391" i="3"/>
  <c r="H392" i="3"/>
  <c r="C392" i="3" s="1"/>
  <c r="H393" i="3"/>
  <c r="C393" i="3" s="1"/>
  <c r="H394" i="3"/>
  <c r="C394" i="3" s="1"/>
  <c r="H395" i="3"/>
  <c r="C395" i="3" s="1"/>
  <c r="H396" i="3"/>
  <c r="C396" i="3" s="1"/>
  <c r="H397" i="3"/>
  <c r="C397" i="3" s="1"/>
  <c r="C398" i="3"/>
  <c r="H398" i="3"/>
  <c r="H399" i="3"/>
  <c r="C399" i="3" s="1"/>
  <c r="H400" i="3"/>
  <c r="C400" i="3" s="1"/>
  <c r="H401" i="3"/>
  <c r="C401" i="3" s="1"/>
  <c r="H402" i="3"/>
  <c r="C402" i="3" s="1"/>
  <c r="H403" i="3"/>
  <c r="C403" i="3" s="1"/>
  <c r="H404" i="3"/>
  <c r="C404" i="3" s="1"/>
  <c r="H405" i="3"/>
  <c r="C405" i="3" s="1"/>
  <c r="H406" i="3"/>
  <c r="C406" i="3" s="1"/>
  <c r="C407" i="3"/>
  <c r="H407" i="3"/>
  <c r="H408" i="3"/>
  <c r="C408" i="3" s="1"/>
  <c r="H409" i="3"/>
  <c r="C409" i="3" s="1"/>
  <c r="H410" i="3"/>
  <c r="C410" i="3" s="1"/>
  <c r="H411" i="3"/>
  <c r="C411" i="3" s="1"/>
  <c r="H412" i="3"/>
  <c r="C412" i="3" s="1"/>
  <c r="H413" i="3"/>
  <c r="C413" i="3" s="1"/>
  <c r="H414" i="3"/>
  <c r="C414" i="3" s="1"/>
  <c r="C415" i="3"/>
  <c r="H415" i="3"/>
  <c r="C416" i="3"/>
  <c r="H416" i="3"/>
  <c r="H417" i="3"/>
  <c r="C417" i="3" s="1"/>
  <c r="H418" i="3"/>
  <c r="C418" i="3" s="1"/>
  <c r="H419" i="3"/>
  <c r="C419" i="3" s="1"/>
  <c r="H420" i="3"/>
  <c r="C420" i="3" s="1"/>
  <c r="H421" i="3"/>
  <c r="C421" i="3" s="1"/>
  <c r="H422" i="3"/>
  <c r="C422" i="3" s="1"/>
  <c r="H423" i="3"/>
  <c r="C423" i="3" s="1"/>
  <c r="H424" i="3"/>
  <c r="C424" i="3" s="1"/>
  <c r="H425" i="3"/>
  <c r="C425" i="3" s="1"/>
  <c r="H426" i="3"/>
  <c r="C426" i="3" s="1"/>
  <c r="H427" i="3"/>
  <c r="C427" i="3" s="1"/>
  <c r="H428" i="3"/>
  <c r="C428" i="3" s="1"/>
  <c r="H429" i="3"/>
  <c r="C429" i="3" s="1"/>
  <c r="H430" i="3"/>
  <c r="C430" i="3" s="1"/>
  <c r="H431" i="3"/>
  <c r="C431" i="3" s="1"/>
  <c r="H432" i="3"/>
  <c r="C432" i="3" s="1"/>
  <c r="H433" i="3"/>
  <c r="C433" i="3" s="1"/>
  <c r="H434" i="3"/>
  <c r="C434" i="3" s="1"/>
  <c r="H435" i="3"/>
  <c r="C435" i="3" s="1"/>
  <c r="H436" i="3"/>
  <c r="C436" i="3" s="1"/>
  <c r="H437" i="3"/>
  <c r="C437" i="3" s="1"/>
  <c r="H438" i="3"/>
  <c r="C438" i="3" s="1"/>
  <c r="H439" i="3"/>
  <c r="C439" i="3" s="1"/>
  <c r="H440" i="3"/>
  <c r="C440" i="3" s="1"/>
  <c r="H441" i="3"/>
  <c r="C441" i="3" s="1"/>
  <c r="H442" i="3"/>
  <c r="C442" i="3" s="1"/>
  <c r="H443" i="3"/>
  <c r="C443" i="3" s="1"/>
  <c r="H444" i="3"/>
  <c r="C444" i="3" s="1"/>
  <c r="H445" i="3"/>
  <c r="C445" i="3" s="1"/>
  <c r="H446" i="3"/>
  <c r="C446" i="3" s="1"/>
  <c r="H447" i="3"/>
  <c r="C447" i="3" s="1"/>
  <c r="H448" i="3"/>
  <c r="C448" i="3" s="1"/>
  <c r="H449" i="3"/>
  <c r="C449" i="3" s="1"/>
  <c r="H450" i="3"/>
  <c r="C450" i="3" s="1"/>
  <c r="H451" i="3"/>
  <c r="C451" i="3" s="1"/>
  <c r="C452" i="3"/>
  <c r="H452" i="3"/>
  <c r="H453" i="3"/>
  <c r="C453" i="3" s="1"/>
  <c r="H454" i="3"/>
  <c r="C454" i="3" s="1"/>
  <c r="C455" i="3"/>
  <c r="H455" i="3"/>
  <c r="H456" i="3"/>
  <c r="C456" i="3" s="1"/>
  <c r="H457" i="3"/>
  <c r="C457" i="3" s="1"/>
  <c r="H458" i="3"/>
  <c r="C458" i="3" s="1"/>
  <c r="H459" i="3"/>
  <c r="C459" i="3" s="1"/>
  <c r="H460" i="3"/>
  <c r="C460" i="3" s="1"/>
  <c r="C461" i="3"/>
  <c r="H461" i="3"/>
  <c r="H462" i="3"/>
  <c r="C462" i="3" s="1"/>
  <c r="H463" i="3"/>
  <c r="C463" i="3" s="1"/>
  <c r="C464" i="3"/>
  <c r="H464" i="3"/>
  <c r="H465" i="3"/>
  <c r="C465" i="3" s="1"/>
  <c r="H466" i="3"/>
  <c r="C466" i="3" s="1"/>
  <c r="H467" i="3"/>
  <c r="C467" i="3" s="1"/>
  <c r="H468" i="3"/>
  <c r="C468" i="3" s="1"/>
  <c r="H469" i="3"/>
  <c r="C469" i="3" s="1"/>
  <c r="H470" i="3"/>
  <c r="C470" i="3" s="1"/>
  <c r="C471" i="3"/>
  <c r="H471" i="3"/>
  <c r="H472" i="3"/>
  <c r="C472" i="3" s="1"/>
  <c r="H473" i="3"/>
  <c r="C473" i="3" s="1"/>
  <c r="H474" i="3"/>
  <c r="C474" i="3" s="1"/>
  <c r="H475" i="3"/>
  <c r="C475" i="3" s="1"/>
  <c r="H476" i="3"/>
  <c r="C476" i="3" s="1"/>
  <c r="H477" i="3"/>
  <c r="C477" i="3" s="1"/>
  <c r="H478" i="3"/>
  <c r="C478" i="3" s="1"/>
  <c r="H479" i="3"/>
  <c r="C479" i="3" s="1"/>
  <c r="H480" i="3"/>
  <c r="C480" i="3" s="1"/>
  <c r="H481" i="3"/>
  <c r="C481" i="3" s="1"/>
  <c r="H482" i="3"/>
  <c r="C482" i="3" s="1"/>
  <c r="H483" i="3"/>
  <c r="C483" i="3" s="1"/>
  <c r="H484" i="3"/>
  <c r="C484" i="3" s="1"/>
  <c r="H485" i="3"/>
  <c r="C485" i="3" s="1"/>
  <c r="H486" i="3"/>
  <c r="C486" i="3" s="1"/>
  <c r="H487" i="3"/>
  <c r="C487" i="3" s="1"/>
  <c r="C488" i="3"/>
  <c r="H488" i="3"/>
  <c r="H489" i="3"/>
  <c r="C489" i="3" s="1"/>
  <c r="H490" i="3"/>
  <c r="C490" i="3" s="1"/>
  <c r="H491" i="3"/>
  <c r="C491" i="3" s="1"/>
  <c r="C492" i="3"/>
  <c r="H492" i="3"/>
  <c r="H493" i="3"/>
  <c r="C493" i="3" s="1"/>
  <c r="H494" i="3"/>
  <c r="C494" i="3" s="1"/>
  <c r="H495" i="3"/>
  <c r="C495" i="3" s="1"/>
  <c r="H496" i="3"/>
  <c r="C496" i="3" s="1"/>
  <c r="H497" i="3"/>
  <c r="C497" i="3" s="1"/>
  <c r="H498" i="3"/>
  <c r="C498" i="3" s="1"/>
  <c r="H499" i="3"/>
  <c r="C499" i="3" s="1"/>
  <c r="H500" i="3"/>
  <c r="C500" i="3" s="1"/>
  <c r="C501" i="3"/>
  <c r="H501" i="3"/>
  <c r="H502" i="3"/>
  <c r="C502" i="3" s="1"/>
  <c r="H503" i="3"/>
  <c r="C503" i="3" s="1"/>
  <c r="H504" i="3"/>
  <c r="C504" i="3" s="1"/>
  <c r="H505" i="3"/>
  <c r="C505" i="3" s="1"/>
  <c r="H506" i="3"/>
  <c r="C506" i="3" s="1"/>
  <c r="C507" i="3"/>
  <c r="H507" i="3"/>
  <c r="H508" i="3"/>
  <c r="C508" i="3" s="1"/>
  <c r="H509" i="3"/>
  <c r="C509" i="3" s="1"/>
  <c r="H510" i="3"/>
  <c r="C510" i="3" s="1"/>
  <c r="H511" i="3"/>
  <c r="C511" i="3" s="1"/>
  <c r="H512" i="3"/>
  <c r="C512" i="3" s="1"/>
  <c r="H513" i="3"/>
  <c r="C513" i="3" s="1"/>
  <c r="H514" i="3"/>
  <c r="C514" i="3" s="1"/>
  <c r="H515" i="3"/>
  <c r="C515" i="3" s="1"/>
  <c r="H516" i="3"/>
  <c r="C516" i="3" s="1"/>
  <c r="H517" i="3"/>
  <c r="C517" i="3" s="1"/>
  <c r="H518" i="3"/>
  <c r="C518" i="3" s="1"/>
  <c r="H519" i="3"/>
  <c r="C519" i="3" s="1"/>
  <c r="H520" i="3"/>
  <c r="C520" i="3" s="1"/>
  <c r="H521" i="3"/>
  <c r="C521" i="3" s="1"/>
  <c r="H522" i="3"/>
  <c r="C522" i="3" s="1"/>
  <c r="H523" i="3"/>
  <c r="C523" i="3" s="1"/>
  <c r="H524" i="3"/>
  <c r="C524" i="3" s="1"/>
  <c r="C525" i="3"/>
  <c r="H525" i="3"/>
  <c r="H526" i="3"/>
  <c r="C526" i="3" s="1"/>
  <c r="H527" i="3"/>
  <c r="C527" i="3" s="1"/>
  <c r="C528" i="3"/>
  <c r="H528" i="3"/>
  <c r="H529" i="3"/>
  <c r="C529" i="3" s="1"/>
  <c r="H530" i="3"/>
  <c r="C530" i="3" s="1"/>
  <c r="H531" i="3"/>
  <c r="C531" i="3" s="1"/>
  <c r="H532" i="3"/>
  <c r="C532" i="3" s="1"/>
  <c r="H533" i="3"/>
  <c r="C533" i="3" s="1"/>
  <c r="H534" i="3"/>
  <c r="C534" i="3" s="1"/>
  <c r="C535" i="3"/>
  <c r="H535" i="3"/>
  <c r="H536" i="3"/>
  <c r="C536" i="3" s="1"/>
  <c r="H537" i="3"/>
  <c r="C537" i="3" s="1"/>
  <c r="H538" i="3"/>
  <c r="C538" i="3" s="1"/>
  <c r="H539" i="3"/>
  <c r="C539" i="3" s="1"/>
  <c r="H540" i="3"/>
  <c r="C540" i="3" s="1"/>
  <c r="H541" i="3"/>
  <c r="C541" i="3" s="1"/>
  <c r="C542" i="3"/>
  <c r="H542" i="3"/>
  <c r="H543" i="3"/>
  <c r="C543" i="3" s="1"/>
  <c r="C544" i="3"/>
  <c r="H544" i="3"/>
  <c r="H545" i="3"/>
  <c r="C545" i="3" s="1"/>
  <c r="C546" i="3"/>
  <c r="H546" i="3"/>
  <c r="H547" i="3"/>
  <c r="C547" i="3" s="1"/>
  <c r="H548" i="3"/>
  <c r="C548" i="3" s="1"/>
  <c r="H549" i="3"/>
  <c r="C549" i="3" s="1"/>
  <c r="C550" i="3"/>
  <c r="H550" i="3"/>
  <c r="H551" i="3"/>
  <c r="C551" i="3" s="1"/>
  <c r="H552" i="3"/>
  <c r="C552" i="3" s="1"/>
  <c r="H553" i="3"/>
  <c r="C553" i="3" s="1"/>
  <c r="H554" i="3"/>
  <c r="C554" i="3" s="1"/>
  <c r="C555" i="3"/>
  <c r="H555" i="3"/>
  <c r="H556" i="3"/>
  <c r="C556" i="3" s="1"/>
  <c r="H557" i="3"/>
  <c r="C557" i="3" s="1"/>
  <c r="C558" i="3"/>
  <c r="H558" i="3"/>
  <c r="H559" i="3"/>
  <c r="C559" i="3" s="1"/>
  <c r="C560" i="3"/>
  <c r="H560" i="3"/>
  <c r="H561" i="3"/>
  <c r="C561" i="3" s="1"/>
  <c r="H562" i="3"/>
  <c r="C562" i="3" s="1"/>
  <c r="H563" i="3"/>
  <c r="C563" i="3" s="1"/>
  <c r="H564" i="3"/>
  <c r="C564" i="3" s="1"/>
  <c r="H565" i="3"/>
  <c r="C565" i="3" s="1"/>
  <c r="C566" i="3"/>
  <c r="H566" i="3"/>
  <c r="H567" i="3"/>
  <c r="C567" i="3" s="1"/>
  <c r="H568" i="3"/>
  <c r="C568" i="3" s="1"/>
  <c r="H569" i="3"/>
  <c r="C569" i="3" s="1"/>
  <c r="H570" i="3"/>
  <c r="C570" i="3" s="1"/>
  <c r="H571" i="3"/>
  <c r="C571" i="3" s="1"/>
  <c r="C572" i="3"/>
  <c r="H572" i="3"/>
  <c r="H573" i="3"/>
  <c r="C573" i="3" s="1"/>
  <c r="H574" i="3"/>
  <c r="C574" i="3" s="1"/>
  <c r="H575" i="3"/>
  <c r="C575" i="3" s="1"/>
  <c r="H576" i="3"/>
  <c r="C576" i="3" s="1"/>
  <c r="H577" i="3"/>
  <c r="C577" i="3" s="1"/>
  <c r="H578" i="3"/>
  <c r="C578" i="3" s="1"/>
  <c r="H579" i="3"/>
  <c r="C579" i="3" s="1"/>
  <c r="H580" i="3"/>
  <c r="C580" i="3" s="1"/>
  <c r="H581" i="3"/>
  <c r="C581" i="3" s="1"/>
  <c r="C582" i="3"/>
  <c r="H582" i="3"/>
  <c r="H583" i="3"/>
  <c r="C583" i="3" s="1"/>
  <c r="H584" i="3"/>
  <c r="C584" i="3" s="1"/>
  <c r="H585" i="3"/>
  <c r="C585" i="3" s="1"/>
  <c r="H586" i="3"/>
  <c r="C586" i="3" s="1"/>
  <c r="H587" i="3"/>
  <c r="C587" i="3" s="1"/>
  <c r="H588" i="3"/>
  <c r="C588" i="3" s="1"/>
  <c r="C589" i="3"/>
  <c r="H589" i="3"/>
  <c r="H590" i="3"/>
  <c r="C590" i="3" s="1"/>
  <c r="H591" i="3"/>
  <c r="C591" i="3" s="1"/>
  <c r="C592" i="3"/>
  <c r="H592" i="3"/>
  <c r="H593" i="3"/>
  <c r="C593" i="3" s="1"/>
  <c r="H594" i="3"/>
  <c r="C594" i="3" s="1"/>
  <c r="H595" i="3"/>
  <c r="C595" i="3" s="1"/>
  <c r="C596" i="3"/>
  <c r="H596" i="3"/>
  <c r="H597" i="3"/>
  <c r="C597" i="3" s="1"/>
  <c r="H598" i="3"/>
  <c r="C598" i="3" s="1"/>
  <c r="H599" i="3"/>
  <c r="C599" i="3" s="1"/>
  <c r="H600" i="3"/>
  <c r="C600" i="3" s="1"/>
  <c r="H601" i="3"/>
  <c r="C601" i="3" s="1"/>
  <c r="H602" i="3"/>
  <c r="C602" i="3" s="1"/>
  <c r="C603" i="3"/>
  <c r="H603" i="3"/>
  <c r="C604" i="3"/>
  <c r="H604" i="3"/>
  <c r="H605" i="3"/>
  <c r="C605" i="3" s="1"/>
  <c r="H606" i="3"/>
  <c r="C606" i="3" s="1"/>
  <c r="H607" i="3"/>
  <c r="C607" i="3" s="1"/>
  <c r="H608" i="3"/>
  <c r="C608" i="3" s="1"/>
  <c r="H609" i="3"/>
  <c r="C609" i="3" s="1"/>
  <c r="H610" i="3"/>
  <c r="C610" i="3" s="1"/>
  <c r="H611" i="3"/>
  <c r="C611" i="3" s="1"/>
  <c r="H612" i="3"/>
  <c r="C612" i="3" s="1"/>
  <c r="H613" i="3"/>
  <c r="C613" i="3" s="1"/>
  <c r="H614" i="3"/>
  <c r="C614" i="3" s="1"/>
  <c r="H615" i="3"/>
  <c r="C615" i="3" s="1"/>
  <c r="C616" i="3"/>
  <c r="H616" i="3"/>
  <c r="H617" i="3"/>
  <c r="C617" i="3" s="1"/>
  <c r="H618" i="3"/>
  <c r="C618" i="3" s="1"/>
  <c r="H619" i="3"/>
  <c r="C619" i="3" s="1"/>
  <c r="H620" i="3"/>
  <c r="C620" i="3" s="1"/>
  <c r="H621" i="3"/>
  <c r="C621" i="3" s="1"/>
  <c r="H622" i="3"/>
  <c r="C622" i="3" s="1"/>
  <c r="C623" i="3"/>
  <c r="H623" i="3"/>
  <c r="H624" i="3"/>
  <c r="C624" i="3" s="1"/>
  <c r="H625" i="3"/>
  <c r="C625" i="3" s="1"/>
  <c r="H626" i="3"/>
  <c r="C626" i="3" s="1"/>
  <c r="H627" i="3"/>
  <c r="C627" i="3" s="1"/>
  <c r="H628" i="3"/>
  <c r="C628" i="3" s="1"/>
  <c r="H629" i="3"/>
  <c r="C629" i="3" s="1"/>
  <c r="C630" i="3"/>
  <c r="H630" i="3"/>
  <c r="H631" i="3"/>
  <c r="C631" i="3" s="1"/>
  <c r="H632" i="3"/>
  <c r="C632" i="3" s="1"/>
  <c r="H633" i="3"/>
  <c r="C633" i="3" s="1"/>
  <c r="H634" i="3"/>
  <c r="C634" i="3" s="1"/>
  <c r="H635" i="3"/>
  <c r="C635" i="3" s="1"/>
  <c r="C636" i="3"/>
  <c r="H636" i="3"/>
  <c r="H637" i="3"/>
  <c r="C637" i="3" s="1"/>
  <c r="H638" i="3"/>
  <c r="C638" i="3" s="1"/>
  <c r="H639" i="3"/>
  <c r="C639" i="3" s="1"/>
  <c r="C640" i="3"/>
  <c r="H640" i="3"/>
  <c r="H641" i="3"/>
  <c r="C641" i="3" s="1"/>
  <c r="H642" i="3"/>
  <c r="C642" i="3" s="1"/>
  <c r="H643" i="3"/>
  <c r="C643" i="3" s="1"/>
  <c r="H644" i="3"/>
  <c r="C644" i="3" s="1"/>
  <c r="H645" i="3"/>
  <c r="C645" i="3" s="1"/>
  <c r="H646" i="3"/>
  <c r="C646" i="3" s="1"/>
  <c r="C647" i="3"/>
  <c r="H647" i="3"/>
  <c r="H648" i="3"/>
  <c r="C648" i="3" s="1"/>
  <c r="H649" i="3"/>
  <c r="C649" i="3" s="1"/>
  <c r="H650" i="3"/>
  <c r="C650" i="3" s="1"/>
  <c r="H651" i="3"/>
  <c r="C651" i="3" s="1"/>
  <c r="C652" i="3"/>
  <c r="H652" i="3"/>
  <c r="H653" i="3"/>
  <c r="C653" i="3" s="1"/>
  <c r="H654" i="3"/>
  <c r="C654" i="3" s="1"/>
  <c r="H655" i="3"/>
  <c r="C655" i="3" s="1"/>
  <c r="H656" i="3"/>
  <c r="C656" i="3" s="1"/>
  <c r="H657" i="3"/>
  <c r="C657" i="3" s="1"/>
  <c r="H658" i="3"/>
  <c r="C658" i="3" s="1"/>
  <c r="H659" i="3"/>
  <c r="C659" i="3" s="1"/>
  <c r="H660" i="3"/>
  <c r="C660" i="3" s="1"/>
  <c r="H661" i="3"/>
  <c r="C661" i="3" s="1"/>
  <c r="H662" i="3"/>
  <c r="C662" i="3" s="1"/>
  <c r="H663" i="3"/>
  <c r="C663" i="3" s="1"/>
  <c r="C664" i="3"/>
  <c r="H664" i="3"/>
  <c r="H665" i="3"/>
  <c r="C665" i="3" s="1"/>
  <c r="H666" i="3"/>
  <c r="C666" i="3" s="1"/>
  <c r="H667" i="3"/>
  <c r="C667" i="3" s="1"/>
  <c r="H668" i="3"/>
  <c r="C668" i="3" s="1"/>
  <c r="H669" i="3"/>
  <c r="C669" i="3" s="1"/>
  <c r="H670" i="3"/>
  <c r="C670" i="3" s="1"/>
  <c r="H671" i="3"/>
  <c r="C671" i="3" s="1"/>
  <c r="C672" i="3"/>
  <c r="H672" i="3"/>
  <c r="H673" i="3"/>
  <c r="C673" i="3" s="1"/>
  <c r="C674" i="3"/>
  <c r="H674" i="3"/>
  <c r="H675" i="3"/>
  <c r="C675" i="3" s="1"/>
  <c r="H676" i="3"/>
  <c r="C676" i="3" s="1"/>
  <c r="H677" i="3"/>
  <c r="C677" i="3" s="1"/>
  <c r="H678" i="3"/>
  <c r="C678" i="3" s="1"/>
  <c r="H679" i="3"/>
  <c r="C679" i="3" s="1"/>
  <c r="H680" i="3"/>
  <c r="C680" i="3" s="1"/>
  <c r="H681" i="3"/>
  <c r="C681" i="3" s="1"/>
  <c r="H682" i="3"/>
  <c r="C682" i="3" s="1"/>
  <c r="C683" i="3"/>
  <c r="H683" i="3"/>
  <c r="H684" i="3"/>
  <c r="C684" i="3" s="1"/>
  <c r="H685" i="3"/>
  <c r="C685" i="3" s="1"/>
  <c r="H686" i="3"/>
  <c r="C686" i="3" s="1"/>
  <c r="H687" i="3"/>
  <c r="C687" i="3" s="1"/>
  <c r="C688" i="3"/>
  <c r="H688" i="3"/>
  <c r="H689" i="3"/>
  <c r="C689" i="3" s="1"/>
  <c r="H690" i="3"/>
  <c r="C690" i="3" s="1"/>
  <c r="C691" i="3"/>
  <c r="H691" i="3"/>
  <c r="H692" i="3"/>
  <c r="C692" i="3" s="1"/>
  <c r="H693" i="3"/>
  <c r="C693" i="3" s="1"/>
  <c r="H694" i="3"/>
  <c r="C694" i="3" s="1"/>
  <c r="H695" i="3"/>
  <c r="C695" i="3" s="1"/>
  <c r="C696" i="3"/>
  <c r="H696" i="3"/>
  <c r="H697" i="3"/>
  <c r="C697" i="3" s="1"/>
  <c r="H698" i="3"/>
  <c r="C698" i="3" s="1"/>
  <c r="C699" i="3"/>
  <c r="H699" i="3"/>
  <c r="H700" i="3"/>
  <c r="C700" i="3" s="1"/>
  <c r="H701" i="3"/>
  <c r="C701" i="3" s="1"/>
  <c r="H702" i="3"/>
  <c r="C702" i="3" s="1"/>
  <c r="H703" i="3"/>
  <c r="C703" i="3" s="1"/>
  <c r="H704" i="3"/>
  <c r="C704" i="3" s="1"/>
  <c r="H705" i="3"/>
  <c r="C705" i="3" s="1"/>
  <c r="H706" i="3"/>
  <c r="C706" i="3" s="1"/>
  <c r="C707" i="3"/>
  <c r="H707" i="3"/>
  <c r="H708" i="3"/>
  <c r="C708" i="3" s="1"/>
  <c r="H709" i="3"/>
  <c r="C709" i="3" s="1"/>
  <c r="H710" i="3"/>
  <c r="C710" i="3" s="1"/>
  <c r="H711" i="3"/>
  <c r="C711" i="3" s="1"/>
  <c r="C712" i="3"/>
  <c r="H712" i="3"/>
  <c r="H713" i="3"/>
  <c r="C713" i="3" s="1"/>
  <c r="H714" i="3"/>
  <c r="C714" i="3" s="1"/>
  <c r="H715" i="3"/>
  <c r="C715" i="3" s="1"/>
  <c r="H716" i="3"/>
  <c r="C716" i="3" s="1"/>
  <c r="H717" i="3"/>
  <c r="C717" i="3" s="1"/>
  <c r="H718" i="3"/>
  <c r="C718" i="3" s="1"/>
  <c r="H719" i="3"/>
  <c r="C719" i="3" s="1"/>
  <c r="C720" i="3"/>
  <c r="H720" i="3"/>
  <c r="H721" i="3"/>
  <c r="C721" i="3" s="1"/>
  <c r="H722" i="3"/>
  <c r="C722" i="3" s="1"/>
  <c r="C723" i="3"/>
  <c r="H723" i="3"/>
  <c r="H724" i="3"/>
  <c r="C724" i="3" s="1"/>
  <c r="H725" i="3"/>
  <c r="C725" i="3" s="1"/>
  <c r="H726" i="3"/>
  <c r="C726" i="3" s="1"/>
  <c r="H727" i="3"/>
  <c r="C727" i="3" s="1"/>
  <c r="H728" i="3"/>
  <c r="C728" i="3" s="1"/>
  <c r="H729" i="3"/>
  <c r="C729" i="3" s="1"/>
  <c r="H730" i="3"/>
  <c r="C730" i="3" s="1"/>
  <c r="C731" i="3"/>
  <c r="H731" i="3"/>
  <c r="H732" i="3"/>
  <c r="C732" i="3" s="1"/>
  <c r="H733" i="3"/>
  <c r="C733" i="3" s="1"/>
  <c r="C734" i="3"/>
  <c r="H734" i="3"/>
  <c r="H735" i="3"/>
  <c r="C735" i="3" s="1"/>
  <c r="H736" i="3"/>
  <c r="C736" i="3" s="1"/>
  <c r="H737" i="3"/>
  <c r="C737" i="3" s="1"/>
  <c r="H738" i="3"/>
  <c r="C738" i="3" s="1"/>
  <c r="H739" i="3"/>
  <c r="C739" i="3" s="1"/>
  <c r="H740" i="3"/>
  <c r="C740" i="3" s="1"/>
  <c r="H741" i="3"/>
  <c r="C741" i="3" s="1"/>
  <c r="H742" i="3"/>
  <c r="C742" i="3" s="1"/>
  <c r="H743" i="3"/>
  <c r="C743" i="3" s="1"/>
  <c r="H744" i="3"/>
  <c r="C744" i="3" s="1"/>
  <c r="H745" i="3"/>
  <c r="C745" i="3" s="1"/>
  <c r="H746" i="3"/>
  <c r="C746" i="3" s="1"/>
  <c r="C747" i="3"/>
  <c r="H747" i="3"/>
  <c r="H748" i="3"/>
  <c r="C748" i="3" s="1"/>
  <c r="H749" i="3"/>
  <c r="C749" i="3" s="1"/>
  <c r="H750" i="3"/>
  <c r="C750" i="3" s="1"/>
  <c r="H751" i="3"/>
  <c r="C751" i="3" s="1"/>
  <c r="C752" i="3"/>
  <c r="H752" i="3"/>
  <c r="H753" i="3"/>
  <c r="C753" i="3" s="1"/>
  <c r="H754" i="3"/>
  <c r="C754" i="3" s="1"/>
  <c r="H755" i="3"/>
  <c r="C755" i="3" s="1"/>
  <c r="H756" i="3"/>
  <c r="C756" i="3" s="1"/>
  <c r="H757" i="3"/>
  <c r="C757" i="3" s="1"/>
  <c r="H758" i="3"/>
  <c r="C758" i="3" s="1"/>
  <c r="H759" i="3"/>
  <c r="C759" i="3" s="1"/>
  <c r="H760" i="3"/>
  <c r="C760" i="3" s="1"/>
  <c r="H761" i="3"/>
  <c r="C761" i="3" s="1"/>
  <c r="H762" i="3"/>
  <c r="C762" i="3" s="1"/>
  <c r="H763" i="3"/>
  <c r="C763" i="3" s="1"/>
  <c r="H764" i="3"/>
  <c r="C764" i="3" s="1"/>
  <c r="H765" i="3"/>
  <c r="C765" i="3" s="1"/>
  <c r="C766" i="3"/>
  <c r="H766" i="3"/>
  <c r="H767" i="3"/>
  <c r="C767" i="3" s="1"/>
  <c r="H768" i="3"/>
  <c r="C768" i="3" s="1"/>
  <c r="H769" i="3"/>
  <c r="C769" i="3" s="1"/>
  <c r="H770" i="3"/>
  <c r="C770" i="3" s="1"/>
  <c r="C771" i="3"/>
  <c r="H771" i="3"/>
  <c r="H772" i="3"/>
  <c r="C772" i="3" s="1"/>
  <c r="H773" i="3"/>
  <c r="C773" i="3" s="1"/>
  <c r="H774" i="3"/>
  <c r="C774" i="3" s="1"/>
  <c r="H775" i="3"/>
  <c r="C775" i="3" s="1"/>
  <c r="H776" i="3"/>
  <c r="C776" i="3" s="1"/>
  <c r="H777" i="3"/>
  <c r="C777" i="3" s="1"/>
  <c r="H778" i="3"/>
  <c r="C778" i="3" s="1"/>
  <c r="H779" i="3"/>
  <c r="C779" i="3" s="1"/>
  <c r="H780" i="3"/>
  <c r="C780" i="3" s="1"/>
  <c r="H781" i="3"/>
  <c r="C781" i="3" s="1"/>
  <c r="H782" i="3"/>
  <c r="C782" i="3" s="1"/>
  <c r="C783" i="3"/>
  <c r="H783" i="3"/>
  <c r="H784" i="3"/>
  <c r="C784" i="3" s="1"/>
  <c r="H785" i="3"/>
  <c r="C785" i="3" s="1"/>
  <c r="H786" i="3"/>
  <c r="C786" i="3" s="1"/>
  <c r="H787" i="3"/>
  <c r="C787" i="3" s="1"/>
  <c r="H788" i="3"/>
  <c r="C788" i="3" s="1"/>
  <c r="H789" i="3"/>
  <c r="C789" i="3" s="1"/>
  <c r="H790" i="3"/>
  <c r="C790" i="3" s="1"/>
  <c r="C791" i="3"/>
  <c r="H791" i="3"/>
  <c r="H792" i="3"/>
  <c r="C792" i="3" s="1"/>
  <c r="H793" i="3"/>
  <c r="C793" i="3" s="1"/>
  <c r="H794" i="3"/>
  <c r="C794" i="3" s="1"/>
  <c r="H795" i="3"/>
  <c r="C795" i="3" s="1"/>
  <c r="H796" i="3"/>
  <c r="C796" i="3" s="1"/>
  <c r="H797" i="3"/>
  <c r="C797" i="3" s="1"/>
  <c r="H798" i="3"/>
  <c r="C798" i="3" s="1"/>
  <c r="H799" i="3"/>
  <c r="C799" i="3" s="1"/>
  <c r="C800" i="3"/>
  <c r="H800" i="3"/>
  <c r="H801" i="3"/>
  <c r="C801" i="3" s="1"/>
  <c r="H802" i="3"/>
  <c r="C802" i="3" s="1"/>
  <c r="H803" i="3"/>
  <c r="C803" i="3" s="1"/>
  <c r="H804" i="3"/>
  <c r="C804" i="3" s="1"/>
  <c r="H805" i="3"/>
  <c r="C805" i="3" s="1"/>
  <c r="H806" i="3"/>
  <c r="C806" i="3" s="1"/>
  <c r="H807" i="3"/>
  <c r="C807" i="3" s="1"/>
  <c r="H808" i="3"/>
  <c r="C808" i="3" s="1"/>
  <c r="H809" i="3"/>
  <c r="C809" i="3" s="1"/>
  <c r="H810" i="3"/>
  <c r="C810" i="3" s="1"/>
  <c r="H811" i="3"/>
  <c r="C811" i="3" s="1"/>
  <c r="H812" i="3"/>
  <c r="C812" i="3" s="1"/>
  <c r="H813" i="3"/>
  <c r="C813" i="3" s="1"/>
  <c r="H814" i="3"/>
  <c r="C814" i="3" s="1"/>
  <c r="H815" i="3"/>
  <c r="C815" i="3" s="1"/>
  <c r="H816" i="3"/>
  <c r="C816" i="3" s="1"/>
  <c r="H817" i="3"/>
  <c r="C817" i="3" s="1"/>
  <c r="H818" i="3"/>
  <c r="C818" i="3" s="1"/>
  <c r="H819" i="3"/>
  <c r="C819" i="3" s="1"/>
  <c r="H820" i="3"/>
  <c r="C820" i="3" s="1"/>
  <c r="H821" i="3"/>
  <c r="C821" i="3" s="1"/>
  <c r="H822" i="3"/>
  <c r="C822" i="3" s="1"/>
  <c r="H823" i="3"/>
  <c r="C823" i="3" s="1"/>
  <c r="H824" i="3"/>
  <c r="C824" i="3" s="1"/>
  <c r="H825" i="3"/>
  <c r="C825" i="3" s="1"/>
  <c r="H826" i="3"/>
  <c r="C826" i="3" s="1"/>
  <c r="H827" i="3"/>
  <c r="C827" i="3" s="1"/>
  <c r="H828" i="3"/>
  <c r="C828" i="3" s="1"/>
  <c r="H829" i="3"/>
  <c r="C829" i="3" s="1"/>
  <c r="H830" i="3"/>
  <c r="C830" i="3" s="1"/>
  <c r="H831" i="3"/>
  <c r="C831" i="3" s="1"/>
  <c r="H832" i="3"/>
  <c r="C832" i="3" s="1"/>
  <c r="H833" i="3"/>
  <c r="C833" i="3" s="1"/>
  <c r="H834" i="3"/>
  <c r="C834" i="3" s="1"/>
  <c r="C835" i="3"/>
  <c r="H835" i="3"/>
  <c r="H836" i="3"/>
  <c r="C836" i="3" s="1"/>
  <c r="H837" i="3"/>
  <c r="C837" i="3" s="1"/>
  <c r="H838" i="3"/>
  <c r="C838" i="3" s="1"/>
  <c r="H839" i="3"/>
  <c r="C839" i="3" s="1"/>
  <c r="C840" i="3"/>
  <c r="H840" i="3"/>
  <c r="H841" i="3"/>
  <c r="C841" i="3" s="1"/>
  <c r="H842" i="3"/>
  <c r="C842" i="3" s="1"/>
  <c r="H843" i="3"/>
  <c r="C843" i="3" s="1"/>
  <c r="H844" i="3"/>
  <c r="C844" i="3" s="1"/>
  <c r="H845" i="3"/>
  <c r="C845" i="3" s="1"/>
  <c r="H846" i="3"/>
  <c r="C846" i="3" s="1"/>
  <c r="H847" i="3"/>
  <c r="C847" i="3" s="1"/>
  <c r="H848" i="3"/>
  <c r="C848" i="3" s="1"/>
  <c r="C849" i="3"/>
  <c r="H849" i="3"/>
  <c r="H850" i="3"/>
  <c r="C850" i="3" s="1"/>
  <c r="H851" i="3"/>
  <c r="C851" i="3" s="1"/>
  <c r="H852" i="3"/>
  <c r="C852" i="3" s="1"/>
  <c r="H853" i="3"/>
  <c r="C853" i="3" s="1"/>
  <c r="H854" i="3"/>
  <c r="C854" i="3" s="1"/>
  <c r="C855" i="3"/>
  <c r="H855" i="3"/>
  <c r="H856" i="3"/>
  <c r="C856" i="3" s="1"/>
  <c r="H857" i="3"/>
  <c r="C857" i="3" s="1"/>
  <c r="H858" i="3"/>
  <c r="C858" i="3" s="1"/>
  <c r="C859" i="3"/>
  <c r="H859" i="3"/>
  <c r="H860" i="3"/>
  <c r="C860" i="3" s="1"/>
  <c r="H861" i="3"/>
  <c r="C861" i="3" s="1"/>
  <c r="C862" i="3"/>
  <c r="H862" i="3"/>
  <c r="H863" i="3"/>
  <c r="C863" i="3" s="1"/>
  <c r="C864" i="3"/>
  <c r="H864" i="3"/>
  <c r="H865" i="3"/>
  <c r="C865" i="3" s="1"/>
  <c r="H866" i="3"/>
  <c r="C866" i="3" s="1"/>
  <c r="H867" i="3"/>
  <c r="C867" i="3" s="1"/>
  <c r="H868" i="3"/>
  <c r="C868" i="3" s="1"/>
  <c r="H869" i="3"/>
  <c r="C869" i="3" s="1"/>
  <c r="H870" i="3"/>
  <c r="C870" i="3" s="1"/>
  <c r="H871" i="3"/>
  <c r="C871" i="3" s="1"/>
  <c r="H872" i="3"/>
  <c r="C872" i="3" s="1"/>
  <c r="C873" i="3"/>
  <c r="H873" i="3"/>
  <c r="H874" i="3"/>
  <c r="C874" i="3" s="1"/>
  <c r="H875" i="3"/>
  <c r="C875" i="3" s="1"/>
  <c r="H876" i="3"/>
  <c r="C876" i="3" s="1"/>
  <c r="H877" i="3"/>
  <c r="C877" i="3" s="1"/>
  <c r="H878" i="3"/>
  <c r="C878" i="3" s="1"/>
  <c r="H879" i="3"/>
  <c r="C879" i="3" s="1"/>
  <c r="H880" i="3"/>
  <c r="C880" i="3" s="1"/>
  <c r="H881" i="3"/>
  <c r="C881" i="3" s="1"/>
  <c r="H882" i="3"/>
  <c r="C882" i="3" s="1"/>
  <c r="C883" i="3"/>
  <c r="H883" i="3"/>
  <c r="H884" i="3"/>
  <c r="C884" i="3" s="1"/>
  <c r="H885" i="3"/>
  <c r="C885" i="3" s="1"/>
  <c r="H886" i="3"/>
  <c r="C886" i="3" s="1"/>
  <c r="H887" i="3"/>
  <c r="C887" i="3" s="1"/>
  <c r="H888" i="3"/>
  <c r="C888" i="3" s="1"/>
  <c r="C889" i="3"/>
  <c r="H889" i="3"/>
  <c r="H890" i="3"/>
  <c r="C890" i="3" s="1"/>
  <c r="H891" i="3"/>
  <c r="C891" i="3" s="1"/>
  <c r="H892" i="3"/>
  <c r="C892" i="3" s="1"/>
  <c r="H893" i="3"/>
  <c r="C893" i="3" s="1"/>
  <c r="H894" i="3"/>
  <c r="C894" i="3" s="1"/>
  <c r="H895" i="3"/>
  <c r="C895" i="3" s="1"/>
  <c r="H896" i="3"/>
  <c r="C896" i="3" s="1"/>
  <c r="H897" i="3"/>
  <c r="C897" i="3" s="1"/>
  <c r="H898" i="3"/>
  <c r="C898" i="3" s="1"/>
  <c r="C899" i="3"/>
  <c r="H899" i="3"/>
  <c r="H900" i="3"/>
  <c r="C900" i="3" s="1"/>
  <c r="H901" i="3"/>
  <c r="C901" i="3" s="1"/>
  <c r="H902" i="3"/>
  <c r="C902" i="3" s="1"/>
  <c r="H903" i="3"/>
  <c r="C903" i="3" s="1"/>
  <c r="C904" i="3"/>
  <c r="H904" i="3"/>
  <c r="H905" i="3"/>
  <c r="C905" i="3" s="1"/>
  <c r="H906" i="3"/>
  <c r="C906" i="3" s="1"/>
  <c r="H907" i="3"/>
  <c r="C907" i="3" s="1"/>
  <c r="H908" i="3"/>
  <c r="C908" i="3" s="1"/>
  <c r="H909" i="3"/>
  <c r="C909" i="3" s="1"/>
  <c r="H910" i="3"/>
  <c r="C910" i="3" s="1"/>
  <c r="H911" i="3"/>
  <c r="C911" i="3" s="1"/>
  <c r="H912" i="3"/>
  <c r="C912" i="3" s="1"/>
  <c r="H913" i="3"/>
  <c r="C913" i="3" s="1"/>
  <c r="H914" i="3"/>
  <c r="C914" i="3" s="1"/>
  <c r="H915" i="3"/>
  <c r="C915" i="3" s="1"/>
  <c r="H916" i="3"/>
  <c r="C916" i="3" s="1"/>
  <c r="H917" i="3"/>
  <c r="C917" i="3" s="1"/>
  <c r="H918" i="3"/>
  <c r="C918" i="3" s="1"/>
  <c r="H919" i="3"/>
  <c r="C919" i="3" s="1"/>
  <c r="H920" i="3"/>
  <c r="C920" i="3" s="1"/>
  <c r="H921" i="3"/>
  <c r="C921" i="3" s="1"/>
  <c r="H922" i="3"/>
  <c r="C922" i="3" s="1"/>
  <c r="H923" i="3"/>
  <c r="C923" i="3" s="1"/>
  <c r="H924" i="3"/>
  <c r="C924" i="3" s="1"/>
  <c r="H925" i="3"/>
  <c r="C925" i="3" s="1"/>
  <c r="H926" i="3"/>
  <c r="C926" i="3" s="1"/>
  <c r="H927" i="3"/>
  <c r="C927" i="3" s="1"/>
  <c r="C928" i="3"/>
  <c r="H928" i="3"/>
  <c r="H929" i="3"/>
  <c r="C929" i="3" s="1"/>
  <c r="H930" i="3"/>
  <c r="C930" i="3" s="1"/>
  <c r="H931" i="3"/>
  <c r="C931" i="3" s="1"/>
  <c r="H932" i="3"/>
  <c r="C932" i="3" s="1"/>
  <c r="H933" i="3"/>
  <c r="C933" i="3" s="1"/>
  <c r="C934" i="3"/>
  <c r="H934" i="3"/>
  <c r="H935" i="3"/>
  <c r="C935" i="3" s="1"/>
  <c r="H936" i="3"/>
  <c r="C936" i="3" s="1"/>
  <c r="H937" i="3"/>
  <c r="C937" i="3" s="1"/>
  <c r="H938" i="3"/>
  <c r="C938" i="3" s="1"/>
  <c r="H939" i="3"/>
  <c r="C939" i="3" s="1"/>
  <c r="H940" i="3"/>
  <c r="C940" i="3" s="1"/>
  <c r="H941" i="3"/>
  <c r="C941" i="3" s="1"/>
  <c r="H942" i="3"/>
  <c r="C942" i="3" s="1"/>
  <c r="H943" i="3"/>
  <c r="C943" i="3" s="1"/>
  <c r="H944" i="3"/>
  <c r="C944" i="3" s="1"/>
  <c r="H945" i="3"/>
  <c r="C945" i="3" s="1"/>
  <c r="H946" i="3"/>
  <c r="C946" i="3" s="1"/>
  <c r="H947" i="3"/>
  <c r="C947" i="3" s="1"/>
  <c r="H948" i="3"/>
  <c r="C948" i="3" s="1"/>
  <c r="H949" i="3"/>
  <c r="C949" i="3" s="1"/>
  <c r="H950" i="3"/>
  <c r="C950" i="3" s="1"/>
  <c r="H951" i="3"/>
  <c r="C951" i="3" s="1"/>
  <c r="H952" i="3"/>
  <c r="C952" i="3" s="1"/>
  <c r="H953" i="3"/>
  <c r="C953" i="3" s="1"/>
  <c r="H954" i="3"/>
  <c r="C954" i="3" s="1"/>
  <c r="H955" i="3"/>
  <c r="C955" i="3" s="1"/>
  <c r="H956" i="3"/>
  <c r="C956" i="3" s="1"/>
  <c r="H957" i="3"/>
  <c r="C957" i="3" s="1"/>
  <c r="C958" i="3"/>
  <c r="H958" i="3"/>
  <c r="H959" i="3"/>
  <c r="C959" i="3" s="1"/>
  <c r="H960" i="3"/>
  <c r="C960" i="3" s="1"/>
  <c r="H961" i="3"/>
  <c r="C961" i="3" s="1"/>
  <c r="H962" i="3"/>
  <c r="C962" i="3" s="1"/>
  <c r="H963" i="3"/>
  <c r="C963" i="3" s="1"/>
  <c r="H964" i="3"/>
  <c r="C964" i="3" s="1"/>
  <c r="H965" i="3"/>
  <c r="C965" i="3" s="1"/>
  <c r="H966" i="3"/>
  <c r="C966" i="3" s="1"/>
  <c r="H967" i="3"/>
  <c r="C967" i="3" s="1"/>
  <c r="C968" i="3"/>
  <c r="H968" i="3"/>
  <c r="H969" i="3"/>
  <c r="C969" i="3" s="1"/>
  <c r="H970" i="3"/>
  <c r="C970" i="3" s="1"/>
  <c r="H971" i="3"/>
  <c r="C971" i="3" s="1"/>
  <c r="H972" i="3"/>
  <c r="C972" i="3" s="1"/>
  <c r="H973" i="3"/>
  <c r="C973" i="3" s="1"/>
  <c r="H974" i="3"/>
  <c r="C974" i="3" s="1"/>
  <c r="H975" i="3"/>
  <c r="C975" i="3" s="1"/>
  <c r="H976" i="3"/>
  <c r="C976" i="3" s="1"/>
  <c r="H977" i="3"/>
  <c r="C977" i="3" s="1"/>
  <c r="H978" i="3"/>
  <c r="C978" i="3" s="1"/>
  <c r="H979" i="3"/>
  <c r="C979" i="3" s="1"/>
  <c r="H980" i="3"/>
  <c r="C980" i="3" s="1"/>
  <c r="H981" i="3"/>
  <c r="C981" i="3" s="1"/>
  <c r="H982" i="3"/>
  <c r="C982" i="3" s="1"/>
  <c r="H983" i="3"/>
  <c r="C983" i="3" s="1"/>
  <c r="H984" i="3"/>
  <c r="C984" i="3" s="1"/>
  <c r="H985" i="3"/>
  <c r="C985" i="3" s="1"/>
  <c r="H986" i="3"/>
  <c r="C986" i="3" s="1"/>
  <c r="H987" i="3"/>
  <c r="C987" i="3" s="1"/>
  <c r="H988" i="3"/>
  <c r="C988" i="3" s="1"/>
  <c r="H989" i="3"/>
  <c r="C989" i="3" s="1"/>
  <c r="H990" i="3"/>
  <c r="C990" i="3" s="1"/>
  <c r="C991" i="3"/>
  <c r="H991" i="3"/>
  <c r="H992" i="3"/>
  <c r="C992" i="3" s="1"/>
  <c r="H993" i="3"/>
  <c r="C993" i="3" s="1"/>
  <c r="H994" i="3"/>
  <c r="C994" i="3" s="1"/>
  <c r="H995" i="3"/>
  <c r="C995" i="3" s="1"/>
  <c r="H996" i="3"/>
  <c r="C996" i="3" s="1"/>
  <c r="H997" i="3"/>
  <c r="C997" i="3" s="1"/>
  <c r="H998" i="3"/>
  <c r="C998" i="3" s="1"/>
  <c r="C999" i="3"/>
  <c r="H999" i="3"/>
  <c r="H1000" i="3"/>
  <c r="C1000" i="3" s="1"/>
  <c r="H1001" i="3"/>
  <c r="C1001" i="3" s="1"/>
  <c r="H1002" i="3"/>
  <c r="C1002" i="3" s="1"/>
  <c r="H1003" i="3"/>
  <c r="C1003" i="3" s="1"/>
  <c r="H1004" i="3"/>
  <c r="C1004" i="3" s="1"/>
  <c r="H1005" i="3"/>
  <c r="C1005" i="3" s="1"/>
  <c r="H1006" i="3"/>
  <c r="C1006" i="3" s="1"/>
  <c r="H1007" i="3"/>
  <c r="C1007" i="3" s="1"/>
  <c r="C1008" i="3"/>
  <c r="H1008" i="3"/>
  <c r="H1009" i="3"/>
  <c r="C1009" i="3" s="1"/>
  <c r="H1010" i="3"/>
  <c r="C1010" i="3" s="1"/>
  <c r="H1011" i="3"/>
  <c r="C1011" i="3" s="1"/>
  <c r="H1012" i="3"/>
  <c r="C1012" i="3" s="1"/>
  <c r="H1013" i="3"/>
  <c r="C1013" i="3" s="1"/>
  <c r="H1014" i="3"/>
  <c r="C1014" i="3" s="1"/>
  <c r="H1015" i="3"/>
  <c r="C1015" i="3" s="1"/>
  <c r="H1016" i="3"/>
  <c r="C1016" i="3" s="1"/>
  <c r="H1017" i="3"/>
  <c r="C1017" i="3" s="1"/>
  <c r="H1018" i="3"/>
  <c r="C1018" i="3" s="1"/>
  <c r="H1019" i="3"/>
  <c r="C1019" i="3" s="1"/>
  <c r="H1020" i="3"/>
  <c r="C1020" i="3" s="1"/>
  <c r="H1021" i="3"/>
  <c r="C1021" i="3" s="1"/>
  <c r="H1022" i="3"/>
  <c r="C1022" i="3" s="1"/>
  <c r="H1023" i="3"/>
  <c r="C1023" i="3" s="1"/>
  <c r="H1024" i="3"/>
  <c r="C1024" i="3" s="1"/>
  <c r="H1025" i="3"/>
  <c r="C1025" i="3" s="1"/>
  <c r="H1026" i="3"/>
  <c r="C1026" i="3" s="1"/>
  <c r="C1027" i="3"/>
  <c r="H1027" i="3"/>
  <c r="H1028" i="3"/>
  <c r="C1028" i="3" s="1"/>
  <c r="H1029" i="3"/>
  <c r="C1029" i="3" s="1"/>
  <c r="H1030" i="3"/>
  <c r="C1030" i="3" s="1"/>
  <c r="H1031" i="3"/>
  <c r="C1031" i="3" s="1"/>
  <c r="C1032" i="3"/>
  <c r="H1032" i="3"/>
  <c r="H1033" i="3"/>
  <c r="C1033" i="3" s="1"/>
  <c r="H1034" i="3"/>
  <c r="C1034" i="3" s="1"/>
  <c r="C1035" i="3"/>
  <c r="H1035" i="3"/>
  <c r="H1036" i="3"/>
  <c r="C1036" i="3" s="1"/>
  <c r="H1037" i="3"/>
  <c r="C1037" i="3" s="1"/>
  <c r="H1038" i="3"/>
  <c r="C1038" i="3" s="1"/>
  <c r="C1039" i="3"/>
  <c r="H1039" i="3"/>
  <c r="H1040" i="3"/>
  <c r="C1040" i="3" s="1"/>
  <c r="C1041" i="3"/>
  <c r="H1041" i="3"/>
  <c r="H1042" i="3"/>
  <c r="C1042" i="3" s="1"/>
  <c r="H1043" i="3"/>
  <c r="C1043" i="3" s="1"/>
  <c r="H1044" i="3"/>
  <c r="C1044" i="3" s="1"/>
  <c r="H1045" i="3"/>
  <c r="C1045" i="3" s="1"/>
  <c r="H1046" i="3"/>
  <c r="C1046" i="3" s="1"/>
  <c r="C1047" i="3"/>
  <c r="H1047" i="3"/>
  <c r="H1048" i="3"/>
  <c r="C1048" i="3" s="1"/>
  <c r="H1049" i="3"/>
  <c r="C1049" i="3" s="1"/>
  <c r="H1050" i="3"/>
  <c r="C1050" i="3" s="1"/>
  <c r="H1051" i="3"/>
  <c r="C1051" i="3" s="1"/>
  <c r="H1052" i="3"/>
  <c r="C1052" i="3" s="1"/>
  <c r="H1053" i="3"/>
  <c r="C1053" i="3" s="1"/>
  <c r="H1054" i="3"/>
  <c r="C1054" i="3" s="1"/>
  <c r="H1055" i="3"/>
  <c r="C1055" i="3" s="1"/>
  <c r="C1056" i="3"/>
  <c r="H1056" i="3"/>
  <c r="H1057" i="3"/>
  <c r="C1057" i="3" s="1"/>
  <c r="H1058" i="3"/>
  <c r="C1058" i="3" s="1"/>
  <c r="H1059" i="3"/>
  <c r="C1059" i="3" s="1"/>
  <c r="H1060" i="3"/>
  <c r="C1060" i="3" s="1"/>
  <c r="H1061" i="3"/>
  <c r="C1061" i="3" s="1"/>
  <c r="H1062" i="3"/>
  <c r="C1062" i="3" s="1"/>
  <c r="H1063" i="3"/>
  <c r="C1063" i="3" s="1"/>
  <c r="H1064" i="3"/>
  <c r="C1064" i="3" s="1"/>
  <c r="C1065" i="3"/>
  <c r="H1065" i="3"/>
  <c r="H1066" i="3"/>
  <c r="C1066" i="3" s="1"/>
  <c r="H1067" i="3"/>
  <c r="C1067" i="3" s="1"/>
  <c r="H1068" i="3"/>
  <c r="C1068" i="3" s="1"/>
  <c r="H1069" i="3"/>
  <c r="C1069" i="3" s="1"/>
  <c r="H1070" i="3"/>
  <c r="C1070" i="3" s="1"/>
  <c r="H1071" i="3"/>
  <c r="C1071" i="3" s="1"/>
  <c r="C1072" i="3"/>
  <c r="H1072" i="3"/>
  <c r="H1073" i="3"/>
  <c r="C1073" i="3" s="1"/>
  <c r="H1074" i="3"/>
  <c r="C1074" i="3" s="1"/>
  <c r="H1075" i="3"/>
  <c r="C1075" i="3" s="1"/>
  <c r="H1076" i="3"/>
  <c r="C1076" i="3" s="1"/>
  <c r="H1077" i="3"/>
  <c r="C1077" i="3" s="1"/>
  <c r="H1078" i="3"/>
  <c r="C1078" i="3" s="1"/>
  <c r="H1079" i="3"/>
  <c r="C1079" i="3" s="1"/>
  <c r="H1080" i="3"/>
  <c r="C1080" i="3" s="1"/>
  <c r="H1081" i="3"/>
  <c r="C1081" i="3" s="1"/>
  <c r="C1082" i="3"/>
  <c r="H1082" i="3"/>
  <c r="H1083" i="3"/>
  <c r="C1083" i="3" s="1"/>
  <c r="H1084" i="3"/>
  <c r="C1084" i="3" s="1"/>
  <c r="H1085" i="3"/>
  <c r="C1085" i="3" s="1"/>
  <c r="C1086" i="3"/>
  <c r="H1086" i="3"/>
  <c r="H1087" i="3"/>
  <c r="C1087" i="3" s="1"/>
  <c r="H1088" i="3"/>
  <c r="C1088" i="3" s="1"/>
  <c r="H1089" i="3"/>
  <c r="C1089" i="3" s="1"/>
  <c r="H1090" i="3"/>
  <c r="C1090" i="3" s="1"/>
  <c r="H1091" i="3"/>
  <c r="C1091" i="3" s="1"/>
  <c r="H1092" i="3"/>
  <c r="C1092" i="3" s="1"/>
  <c r="H1093" i="3"/>
  <c r="C1093" i="3" s="1"/>
  <c r="C1094" i="3"/>
  <c r="H1094" i="3"/>
  <c r="C1095" i="3"/>
  <c r="H1095" i="3"/>
  <c r="C1096" i="3"/>
  <c r="H1096" i="3"/>
  <c r="H1097" i="3"/>
  <c r="C1097" i="3" s="1"/>
  <c r="H1098" i="3"/>
  <c r="C1098" i="3" s="1"/>
  <c r="H1099" i="3"/>
  <c r="C1099" i="3" s="1"/>
  <c r="H1100" i="3"/>
  <c r="C1100" i="3" s="1"/>
  <c r="H1101" i="3"/>
  <c r="C1101" i="3" s="1"/>
  <c r="H1102" i="3"/>
  <c r="C1102" i="3" s="1"/>
  <c r="H1103" i="3"/>
  <c r="C1103" i="3" s="1"/>
  <c r="H1104" i="3"/>
  <c r="C1104" i="3" s="1"/>
  <c r="H1105" i="3"/>
  <c r="C1105" i="3" s="1"/>
  <c r="H1106" i="3"/>
  <c r="C1106" i="3" s="1"/>
  <c r="C1107" i="3"/>
  <c r="H1107" i="3"/>
  <c r="H1108" i="3"/>
  <c r="C1108" i="3" s="1"/>
  <c r="H1109" i="3"/>
  <c r="C1109" i="3" s="1"/>
  <c r="C1110" i="3"/>
  <c r="H1110" i="3"/>
  <c r="H1111" i="3"/>
  <c r="C1111" i="3" s="1"/>
  <c r="C1112" i="3"/>
  <c r="H1112" i="3"/>
  <c r="H1113" i="3"/>
  <c r="C1113" i="3" s="1"/>
  <c r="H1114" i="3"/>
  <c r="C1114" i="3" s="1"/>
  <c r="H1115" i="3"/>
  <c r="C1115" i="3" s="1"/>
  <c r="H1116" i="3"/>
  <c r="C1116" i="3" s="1"/>
  <c r="H1117" i="3"/>
  <c r="C1117" i="3" s="1"/>
  <c r="H1118" i="3"/>
  <c r="C1118" i="3" s="1"/>
  <c r="H1119" i="3"/>
  <c r="C1119" i="3" s="1"/>
  <c r="H1120" i="3"/>
  <c r="C1120" i="3" s="1"/>
  <c r="H1121" i="3"/>
  <c r="C1121" i="3" s="1"/>
  <c r="H1122" i="3"/>
  <c r="C1122" i="3" s="1"/>
  <c r="H1123" i="3"/>
  <c r="C1123" i="3" s="1"/>
  <c r="H1124" i="3"/>
  <c r="C1124" i="3" s="1"/>
  <c r="C1125" i="3"/>
  <c r="H1125" i="3"/>
  <c r="H1126" i="3"/>
  <c r="C1126" i="3" s="1"/>
  <c r="H1127" i="3"/>
  <c r="C1127" i="3" s="1"/>
  <c r="H1128" i="3"/>
  <c r="C1128" i="3" s="1"/>
  <c r="H1129" i="3"/>
  <c r="C1129" i="3" s="1"/>
  <c r="H1130" i="3"/>
  <c r="C1130" i="3" s="1"/>
  <c r="H1131" i="3"/>
  <c r="C1131" i="3" s="1"/>
  <c r="H1132" i="3"/>
  <c r="C1132" i="3" s="1"/>
  <c r="H1133" i="3"/>
  <c r="C1133" i="3" s="1"/>
  <c r="C1134" i="3"/>
  <c r="H1134" i="3"/>
  <c r="H1135" i="3"/>
  <c r="C1135" i="3" s="1"/>
  <c r="H1136" i="3"/>
  <c r="C1136" i="3" s="1"/>
  <c r="C1137" i="3"/>
  <c r="H1137" i="3"/>
  <c r="H1138" i="3"/>
  <c r="C1138" i="3" s="1"/>
  <c r="C1139" i="3"/>
  <c r="H1139" i="3"/>
  <c r="H1140" i="3"/>
  <c r="C1140" i="3" s="1"/>
  <c r="H1141" i="3"/>
  <c r="C1141" i="3" s="1"/>
  <c r="H1142" i="3"/>
  <c r="C1142" i="3" s="1"/>
  <c r="H1143" i="3"/>
  <c r="C1143" i="3" s="1"/>
  <c r="H1144" i="3"/>
  <c r="C1144" i="3" s="1"/>
  <c r="H1145" i="3"/>
  <c r="C1145" i="3" s="1"/>
  <c r="H1146" i="3"/>
  <c r="C1146" i="3" s="1"/>
  <c r="H1147" i="3"/>
  <c r="C1147" i="3" s="1"/>
  <c r="H1148" i="3"/>
  <c r="C1148" i="3" s="1"/>
  <c r="H1149" i="3"/>
  <c r="C1149" i="3" s="1"/>
  <c r="H1150" i="3"/>
  <c r="C1150" i="3" s="1"/>
  <c r="H1151" i="3"/>
  <c r="C1151" i="3" s="1"/>
  <c r="C1152" i="3"/>
  <c r="H1152" i="3"/>
  <c r="H1153" i="3"/>
  <c r="C1153" i="3" s="1"/>
  <c r="H1154" i="3"/>
  <c r="C1154" i="3" s="1"/>
  <c r="H1155" i="3"/>
  <c r="C1155" i="3" s="1"/>
  <c r="H1156" i="3"/>
  <c r="C1156" i="3" s="1"/>
  <c r="H1157" i="3"/>
  <c r="C1157" i="3" s="1"/>
  <c r="H1158" i="3"/>
  <c r="C1158" i="3" s="1"/>
  <c r="H1159" i="3"/>
  <c r="C1159" i="3" s="1"/>
  <c r="H1160" i="3"/>
  <c r="C1160" i="3" s="1"/>
  <c r="C1161" i="3"/>
  <c r="H1161" i="3"/>
  <c r="H1162" i="3"/>
  <c r="C1162" i="3" s="1"/>
  <c r="H1163" i="3"/>
  <c r="C1163" i="3" s="1"/>
  <c r="H1164" i="3"/>
  <c r="C1164" i="3" s="1"/>
  <c r="H1165" i="3"/>
  <c r="C1165" i="3" s="1"/>
  <c r="H1166" i="3"/>
  <c r="C1166" i="3" s="1"/>
  <c r="H1167" i="3"/>
  <c r="C1167" i="3" s="1"/>
  <c r="H1168" i="3"/>
  <c r="C1168" i="3" s="1"/>
  <c r="C1169" i="3"/>
  <c r="H1169" i="3"/>
  <c r="H1170" i="3"/>
  <c r="C1170" i="3" s="1"/>
  <c r="H1171" i="3"/>
  <c r="C1171" i="3" s="1"/>
  <c r="H1172" i="3"/>
  <c r="C1172" i="3" s="1"/>
  <c r="H1173" i="3"/>
  <c r="C1173" i="3" s="1"/>
  <c r="H1174" i="3"/>
  <c r="C1174" i="3" s="1"/>
  <c r="H1175" i="3"/>
  <c r="C1175" i="3" s="1"/>
  <c r="H1176" i="3"/>
  <c r="C1176" i="3" s="1"/>
  <c r="C1177" i="3"/>
  <c r="H1177" i="3"/>
  <c r="H1178" i="3"/>
  <c r="C1178" i="3" s="1"/>
  <c r="H1179" i="3"/>
  <c r="C1179" i="3" s="1"/>
  <c r="C1180" i="3"/>
  <c r="H1180" i="3"/>
  <c r="H1181" i="3"/>
  <c r="C1181" i="3" s="1"/>
  <c r="C1182" i="3"/>
  <c r="H1182" i="3"/>
  <c r="H1183" i="3"/>
  <c r="C1183" i="3" s="1"/>
  <c r="H1184" i="3"/>
  <c r="C1184" i="3" s="1"/>
  <c r="H1185" i="3"/>
  <c r="C1185" i="3" s="1"/>
  <c r="H1186" i="3"/>
  <c r="C1186" i="3" s="1"/>
  <c r="H1187" i="3"/>
  <c r="C1187" i="3" s="1"/>
  <c r="H1188" i="3"/>
  <c r="C1188" i="3" s="1"/>
  <c r="C1189" i="3"/>
  <c r="H1189" i="3"/>
  <c r="H1190" i="3"/>
  <c r="C1190" i="3" s="1"/>
  <c r="H1191" i="3"/>
  <c r="C1191" i="3" s="1"/>
  <c r="C1192" i="3"/>
  <c r="H1192" i="3"/>
  <c r="H1193" i="3"/>
  <c r="C1193" i="3" s="1"/>
  <c r="H1194" i="3"/>
  <c r="C1194" i="3" s="1"/>
  <c r="H1195" i="3"/>
  <c r="C1195" i="3" s="1"/>
  <c r="H1196" i="3"/>
  <c r="C1196" i="3" s="1"/>
  <c r="H1197" i="3"/>
  <c r="C1197" i="3" s="1"/>
  <c r="C1198" i="3"/>
  <c r="H1198" i="3"/>
  <c r="H1199" i="3"/>
  <c r="C1199" i="3" s="1"/>
  <c r="C1200" i="3"/>
  <c r="H1200" i="3"/>
  <c r="H1201" i="3"/>
  <c r="C1201" i="3" s="1"/>
  <c r="H1202" i="3"/>
  <c r="C1202" i="3" s="1"/>
  <c r="C1203" i="3"/>
  <c r="H1203" i="3"/>
  <c r="H1204" i="3"/>
  <c r="C1204" i="3" s="1"/>
  <c r="H1205" i="3"/>
  <c r="C1205" i="3" s="1"/>
  <c r="H1206" i="3"/>
  <c r="C1206" i="3" s="1"/>
  <c r="H1207" i="3"/>
  <c r="C1207" i="3" s="1"/>
  <c r="H1208" i="3"/>
  <c r="C1208" i="3" s="1"/>
  <c r="C1209" i="3"/>
  <c r="H1209" i="3"/>
  <c r="H1210" i="3"/>
  <c r="C1210" i="3" s="1"/>
  <c r="C1211" i="3"/>
  <c r="H1211" i="3"/>
  <c r="H1212" i="3"/>
  <c r="C1212" i="3" s="1"/>
  <c r="H1213" i="3"/>
  <c r="C1213" i="3" s="1"/>
  <c r="H1214" i="3"/>
  <c r="C1214" i="3" s="1"/>
  <c r="H1215" i="3"/>
  <c r="C1215" i="3" s="1"/>
  <c r="C1216" i="3"/>
  <c r="H1216" i="3"/>
  <c r="C1217" i="3"/>
  <c r="H1217" i="3"/>
  <c r="H1218" i="3"/>
  <c r="C1218" i="3" s="1"/>
  <c r="H1219" i="3"/>
  <c r="C1219" i="3" s="1"/>
  <c r="H1220" i="3"/>
  <c r="C1220" i="3" s="1"/>
  <c r="H1221" i="3"/>
  <c r="C1221" i="3" s="1"/>
  <c r="H1222" i="3"/>
  <c r="C1222" i="3" s="1"/>
  <c r="H1223" i="3"/>
  <c r="C1223" i="3" s="1"/>
  <c r="H1224" i="3"/>
  <c r="C1224" i="3" s="1"/>
  <c r="C1225" i="3"/>
  <c r="H1225" i="3"/>
  <c r="H1226" i="3"/>
  <c r="C1226" i="3" s="1"/>
  <c r="H1227" i="3"/>
  <c r="C1227" i="3" s="1"/>
  <c r="H1228" i="3"/>
  <c r="C1228" i="3" s="1"/>
  <c r="H1229" i="3"/>
  <c r="C1229" i="3" s="1"/>
  <c r="H1230" i="3"/>
  <c r="C1230" i="3" s="1"/>
  <c r="H1231" i="3"/>
  <c r="C1231" i="3" s="1"/>
  <c r="H1232" i="3"/>
  <c r="C1232" i="3" s="1"/>
  <c r="H1233" i="3"/>
  <c r="C1233" i="3" s="1"/>
  <c r="H1234" i="3"/>
  <c r="C1234" i="3" s="1"/>
  <c r="C1235" i="3"/>
  <c r="H1235" i="3"/>
  <c r="H1236" i="3"/>
  <c r="C1236" i="3" s="1"/>
  <c r="H1237" i="3"/>
  <c r="C1237" i="3" s="1"/>
  <c r="H1238" i="3"/>
  <c r="C1238" i="3" s="1"/>
  <c r="H1239" i="3"/>
  <c r="C1239" i="3" s="1"/>
  <c r="H1240" i="3"/>
  <c r="C1240" i="3" s="1"/>
  <c r="H1241" i="3"/>
  <c r="C1241" i="3" s="1"/>
  <c r="H1242" i="3"/>
  <c r="C1242" i="3" s="1"/>
  <c r="H1243" i="3"/>
  <c r="C1243" i="3" s="1"/>
  <c r="C1244" i="3"/>
  <c r="H1244" i="3"/>
  <c r="H1245" i="3"/>
  <c r="C1245" i="3" s="1"/>
  <c r="C1246" i="3"/>
  <c r="H1246" i="3"/>
  <c r="H1247" i="3"/>
  <c r="C1247" i="3" s="1"/>
  <c r="H1248" i="3"/>
  <c r="C1248" i="3" s="1"/>
  <c r="C1249" i="3"/>
  <c r="H1249" i="3"/>
  <c r="H1250" i="3"/>
  <c r="C1250" i="3" s="1"/>
  <c r="H1251" i="3"/>
  <c r="C1251" i="3" s="1"/>
  <c r="H1252" i="3"/>
  <c r="C1252" i="3" s="1"/>
  <c r="C1253" i="3"/>
  <c r="H1253" i="3"/>
  <c r="H1254" i="3"/>
  <c r="C1254" i="3" s="1"/>
  <c r="H1255" i="3"/>
  <c r="C1255" i="3" s="1"/>
  <c r="H1256" i="3"/>
  <c r="C1256" i="3" s="1"/>
  <c r="H1257" i="3"/>
  <c r="C1257" i="3" s="1"/>
  <c r="H1258" i="3"/>
  <c r="C1258" i="3" s="1"/>
  <c r="H1259" i="3"/>
  <c r="C1259" i="3" s="1"/>
  <c r="H1260" i="3"/>
  <c r="C1260" i="3" s="1"/>
  <c r="H1261" i="3"/>
  <c r="C1261" i="3" s="1"/>
  <c r="C1262" i="3"/>
  <c r="H1262" i="3"/>
  <c r="H1263" i="3"/>
  <c r="C1263" i="3" s="1"/>
  <c r="H1264" i="3"/>
  <c r="C1264" i="3" s="1"/>
  <c r="H1265" i="3"/>
  <c r="C1265" i="3" s="1"/>
  <c r="H1266" i="3"/>
  <c r="C1266" i="3" s="1"/>
  <c r="H1267" i="3"/>
  <c r="C1267" i="3" s="1"/>
  <c r="H1268" i="3"/>
  <c r="C1268" i="3" s="1"/>
  <c r="H1269" i="3"/>
  <c r="C1269" i="3" s="1"/>
  <c r="H1270" i="3"/>
  <c r="C1270" i="3" s="1"/>
  <c r="H1271" i="3"/>
  <c r="C1271" i="3" s="1"/>
  <c r="H1272" i="3"/>
  <c r="C1272" i="3" s="1"/>
  <c r="C1273" i="3"/>
  <c r="H1273" i="3"/>
  <c r="H1274" i="3"/>
  <c r="C1274" i="3" s="1"/>
  <c r="H1275" i="3"/>
  <c r="C1275" i="3" s="1"/>
  <c r="H1276" i="3"/>
  <c r="C1276" i="3" s="1"/>
  <c r="H1277" i="3"/>
  <c r="C1277" i="3" s="1"/>
  <c r="H1278" i="3"/>
  <c r="C1278" i="3" s="1"/>
  <c r="H1279" i="3"/>
  <c r="C1279" i="3" s="1"/>
  <c r="H1280" i="3"/>
  <c r="C1280" i="3" s="1"/>
  <c r="H1281" i="3"/>
  <c r="C1281" i="3" s="1"/>
  <c r="H1282" i="3"/>
  <c r="C1282" i="3" s="1"/>
  <c r="H1283" i="3"/>
  <c r="C1283" i="3" s="1"/>
  <c r="H1284" i="3"/>
  <c r="C1284" i="3" s="1"/>
  <c r="H1285" i="3"/>
  <c r="C1285" i="3" s="1"/>
  <c r="H1286" i="3"/>
  <c r="C1286" i="3" s="1"/>
  <c r="H1287" i="3"/>
  <c r="C1287" i="3" s="1"/>
  <c r="C1288" i="3"/>
  <c r="H1288" i="3"/>
  <c r="C1289" i="3"/>
  <c r="H1289" i="3"/>
  <c r="H1290" i="3"/>
  <c r="C1290" i="3" s="1"/>
  <c r="H1291" i="3"/>
  <c r="C1291" i="3" s="1"/>
  <c r="H1292" i="3"/>
  <c r="C1292" i="3" s="1"/>
  <c r="H1293" i="3"/>
  <c r="C1293" i="3" s="1"/>
  <c r="H1294" i="3"/>
  <c r="C1294" i="3" s="1"/>
  <c r="H1295" i="3"/>
  <c r="C1295" i="3" s="1"/>
  <c r="H1296" i="3"/>
  <c r="C1296" i="3" s="1"/>
  <c r="H1297" i="3"/>
  <c r="C1297" i="3" s="1"/>
  <c r="H1298" i="3"/>
  <c r="C1298" i="3" s="1"/>
  <c r="C1299" i="3"/>
  <c r="H1299" i="3"/>
  <c r="H1300" i="3"/>
  <c r="C1300" i="3" s="1"/>
  <c r="H1301" i="3"/>
  <c r="C1301" i="3" s="1"/>
  <c r="H1302" i="3"/>
  <c r="C1302" i="3" s="1"/>
  <c r="H1303" i="3"/>
  <c r="C1303" i="3" s="1"/>
  <c r="H1304" i="3"/>
  <c r="C1304" i="3" s="1"/>
  <c r="H1305" i="3"/>
  <c r="C1305" i="3" s="1"/>
  <c r="H1306" i="3"/>
  <c r="C1306" i="3" s="1"/>
  <c r="H1307" i="3"/>
  <c r="C1307" i="3" s="1"/>
  <c r="H1308" i="3"/>
  <c r="C1308" i="3" s="1"/>
  <c r="H1309" i="3"/>
  <c r="C1309" i="3" s="1"/>
  <c r="H1310" i="3"/>
  <c r="C1310" i="3" s="1"/>
  <c r="H1311" i="3"/>
  <c r="C1311" i="3" s="1"/>
  <c r="H1312" i="3"/>
  <c r="C1312" i="3" s="1"/>
  <c r="C1313" i="3"/>
  <c r="H1313" i="3"/>
  <c r="H1314" i="3"/>
  <c r="C1314" i="3" s="1"/>
  <c r="H1315" i="3"/>
  <c r="C1315" i="3" s="1"/>
  <c r="H1316" i="3"/>
  <c r="C1316" i="3" s="1"/>
  <c r="C1317" i="3"/>
  <c r="H1317" i="3"/>
  <c r="H1318" i="3"/>
  <c r="C1318" i="3" s="1"/>
  <c r="H1319" i="3"/>
  <c r="C1319" i="3" s="1"/>
  <c r="H1320" i="3"/>
  <c r="C1320" i="3" s="1"/>
  <c r="H1321" i="3"/>
  <c r="C1321" i="3" s="1"/>
  <c r="H1322" i="3"/>
  <c r="C1322" i="3" s="1"/>
  <c r="H1323" i="3"/>
  <c r="C1323" i="3" s="1"/>
  <c r="H1324" i="3"/>
  <c r="C1324" i="3" s="1"/>
  <c r="H1325" i="3"/>
  <c r="C1325" i="3" s="1"/>
  <c r="C1326" i="3"/>
  <c r="H1326" i="3"/>
  <c r="H1327" i="3"/>
  <c r="C1327" i="3" s="1"/>
  <c r="H1328" i="3"/>
  <c r="C1328" i="3" s="1"/>
  <c r="C1329" i="3"/>
  <c r="H1329" i="3"/>
  <c r="H1330" i="3"/>
  <c r="C1330" i="3" s="1"/>
  <c r="H1331" i="3"/>
  <c r="C1331" i="3" s="1"/>
  <c r="H1332" i="3"/>
  <c r="C1332" i="3" s="1"/>
  <c r="H1333" i="3"/>
  <c r="C1333" i="3" s="1"/>
  <c r="H1334" i="3"/>
  <c r="C1334" i="3" s="1"/>
  <c r="H1335" i="3"/>
  <c r="C1335" i="3" s="1"/>
  <c r="C1336" i="3"/>
  <c r="H1336" i="3"/>
  <c r="H1337" i="3"/>
  <c r="C1337" i="3" s="1"/>
  <c r="H1338" i="3"/>
  <c r="C1338" i="3" s="1"/>
  <c r="C1339" i="3"/>
  <c r="H1339" i="3"/>
  <c r="H1340" i="3"/>
  <c r="C1340" i="3" s="1"/>
  <c r="H1341" i="3"/>
  <c r="C1341" i="3" s="1"/>
  <c r="H1342" i="3"/>
  <c r="C1342" i="3" s="1"/>
  <c r="H1343" i="3"/>
  <c r="C1343" i="3" s="1"/>
  <c r="C1344" i="3"/>
  <c r="H1344" i="3"/>
  <c r="H1345" i="3"/>
  <c r="C1345" i="3" s="1"/>
  <c r="H1346" i="3"/>
  <c r="C1346" i="3" s="1"/>
  <c r="H1347" i="3"/>
  <c r="C1347" i="3" s="1"/>
  <c r="H1348" i="3"/>
  <c r="C1348" i="3" s="1"/>
  <c r="H1349" i="3"/>
  <c r="C1349" i="3" s="1"/>
  <c r="H1350" i="3"/>
  <c r="C1350" i="3" s="1"/>
  <c r="H1351" i="3"/>
  <c r="C1351" i="3" s="1"/>
  <c r="C1352" i="3"/>
  <c r="H1352" i="3"/>
  <c r="H1353" i="3"/>
  <c r="C1353" i="3" s="1"/>
  <c r="H1354" i="3"/>
  <c r="C1354" i="3" s="1"/>
  <c r="H1355" i="3"/>
  <c r="C1355" i="3" s="1"/>
  <c r="H1356" i="3"/>
  <c r="C1356" i="3" s="1"/>
  <c r="H1357" i="3"/>
  <c r="C1357" i="3" s="1"/>
  <c r="C1358" i="3"/>
  <c r="H1358" i="3"/>
  <c r="H1359" i="3"/>
  <c r="C1359" i="3" s="1"/>
  <c r="H1360" i="3"/>
  <c r="C1360" i="3" s="1"/>
  <c r="H1361" i="3"/>
  <c r="C1361" i="3" s="1"/>
  <c r="H1362" i="3"/>
  <c r="C1362" i="3" s="1"/>
  <c r="H1363" i="3"/>
  <c r="C1363" i="3" s="1"/>
  <c r="H1364" i="3"/>
  <c r="C1364" i="3" s="1"/>
  <c r="H1365" i="3"/>
  <c r="C1365" i="3" s="1"/>
  <c r="H1366" i="3"/>
  <c r="C1366" i="3" s="1"/>
  <c r="H1367" i="3"/>
  <c r="C1367" i="3" s="1"/>
  <c r="H1368" i="3"/>
  <c r="C1368" i="3" s="1"/>
  <c r="C1369" i="3"/>
  <c r="H1369" i="3"/>
  <c r="H1370" i="3"/>
  <c r="C1370" i="3" s="1"/>
  <c r="H1371" i="3"/>
  <c r="C1371" i="3" s="1"/>
  <c r="H1372" i="3"/>
  <c r="C1372" i="3" s="1"/>
  <c r="H1373" i="3"/>
  <c r="C1373" i="3" s="1"/>
  <c r="H1374" i="3"/>
  <c r="C1374" i="3" s="1"/>
  <c r="H1375" i="3"/>
  <c r="C1375" i="3" s="1"/>
  <c r="H1376" i="3"/>
  <c r="C1376" i="3" s="1"/>
  <c r="C1377" i="3"/>
  <c r="H1377" i="3"/>
  <c r="H1378" i="3"/>
  <c r="C1378" i="3" s="1"/>
  <c r="C1379" i="3"/>
  <c r="H1379" i="3"/>
  <c r="H1380" i="3"/>
  <c r="C1380" i="3" s="1"/>
  <c r="H1381" i="3"/>
  <c r="C1381" i="3" s="1"/>
  <c r="H1382" i="3"/>
  <c r="C1382" i="3" s="1"/>
  <c r="H1383" i="3"/>
  <c r="C1383" i="3" s="1"/>
  <c r="H1384" i="3"/>
  <c r="C1384" i="3" s="1"/>
  <c r="H1385" i="3"/>
  <c r="C1385" i="3" s="1"/>
  <c r="H1386" i="3"/>
  <c r="C1386" i="3" s="1"/>
  <c r="H1387" i="3"/>
  <c r="C1387" i="3" s="1"/>
  <c r="C1388" i="3"/>
  <c r="H1388" i="3"/>
  <c r="H1389" i="3"/>
  <c r="C1389" i="3" s="1"/>
  <c r="H1390" i="3"/>
  <c r="C1390" i="3" s="1"/>
  <c r="H1391" i="3"/>
  <c r="C1391" i="3" s="1"/>
  <c r="H1392" i="3"/>
  <c r="C1392" i="3" s="1"/>
  <c r="H1393" i="3"/>
  <c r="C1393" i="3" s="1"/>
  <c r="H1394" i="3"/>
  <c r="C1394" i="3" s="1"/>
  <c r="H1395" i="3"/>
  <c r="C1395" i="3" s="1"/>
  <c r="H1396" i="3"/>
  <c r="C1396" i="3" s="1"/>
  <c r="H1397" i="3"/>
  <c r="C1397" i="3" s="1"/>
  <c r="H1398" i="3"/>
  <c r="C1398" i="3" s="1"/>
  <c r="H1399" i="3"/>
  <c r="C1399" i="3" s="1"/>
  <c r="C1400" i="3"/>
  <c r="H1400" i="3"/>
  <c r="H1401" i="3"/>
  <c r="C1401" i="3" s="1"/>
  <c r="H1402" i="3"/>
  <c r="C1402" i="3" s="1"/>
  <c r="C1403" i="3"/>
  <c r="H1403" i="3"/>
  <c r="H1404" i="3"/>
  <c r="C1404" i="3" s="1"/>
  <c r="H1405" i="3"/>
  <c r="C1405" i="3" s="1"/>
  <c r="C1406" i="3"/>
  <c r="H1406" i="3"/>
  <c r="H1407" i="3"/>
  <c r="C1407" i="3" s="1"/>
  <c r="C1408" i="3"/>
  <c r="H1408" i="3"/>
  <c r="H1409" i="3"/>
  <c r="C1409" i="3" s="1"/>
  <c r="H1410" i="3"/>
  <c r="C1410" i="3" s="1"/>
  <c r="H1411" i="3"/>
  <c r="C1411" i="3" s="1"/>
  <c r="H1412" i="3"/>
  <c r="C1412" i="3" s="1"/>
  <c r="H1413" i="3"/>
  <c r="C1413" i="3" s="1"/>
  <c r="H1414" i="3"/>
  <c r="C1414" i="3" s="1"/>
  <c r="H1415" i="3"/>
  <c r="C1415" i="3" s="1"/>
  <c r="H1416" i="3"/>
  <c r="C1416" i="3" s="1"/>
  <c r="H1417" i="3"/>
  <c r="C1417" i="3" s="1"/>
  <c r="H1418" i="3"/>
  <c r="C1418" i="3" s="1"/>
  <c r="H1419" i="3"/>
  <c r="C1419" i="3" s="1"/>
  <c r="H1420" i="3"/>
  <c r="C1420" i="3" s="1"/>
  <c r="H1421" i="3"/>
  <c r="C1421" i="3" s="1"/>
  <c r="H1422" i="3"/>
  <c r="C1422" i="3" s="1"/>
  <c r="H1423" i="3"/>
  <c r="C1423" i="3" s="1"/>
  <c r="H1424" i="3"/>
  <c r="C1424" i="3" s="1"/>
  <c r="H1425" i="3"/>
  <c r="C1425" i="3" s="1"/>
  <c r="H1426" i="3"/>
  <c r="C1426" i="3" s="1"/>
  <c r="C1427" i="3"/>
  <c r="H1427" i="3"/>
  <c r="H1428" i="3"/>
  <c r="C1428" i="3" s="1"/>
  <c r="C1429" i="3"/>
  <c r="H1429" i="3"/>
  <c r="H1430" i="3"/>
  <c r="C1430" i="3" s="1"/>
  <c r="H1431" i="3"/>
  <c r="C1431" i="3" s="1"/>
  <c r="H1432" i="3"/>
  <c r="C1432" i="3" s="1"/>
  <c r="H1433" i="3"/>
  <c r="C1433" i="3" s="1"/>
  <c r="H1434" i="3"/>
  <c r="C1434" i="3" s="1"/>
  <c r="H1435" i="3"/>
  <c r="C1435" i="3" s="1"/>
  <c r="H1436" i="3"/>
  <c r="C1436" i="3" s="1"/>
  <c r="H1437" i="3"/>
  <c r="C1437" i="3" s="1"/>
  <c r="H1438" i="3"/>
  <c r="C1438" i="3" s="1"/>
  <c r="H1439" i="3"/>
  <c r="C1439" i="3" s="1"/>
  <c r="H1440" i="3"/>
  <c r="C1440" i="3" s="1"/>
  <c r="C1441" i="3"/>
  <c r="H1441" i="3"/>
  <c r="H1442" i="3"/>
  <c r="C1442" i="3" s="1"/>
  <c r="H1443" i="3"/>
  <c r="C1443" i="3" s="1"/>
  <c r="H1444" i="3"/>
  <c r="C1444" i="3" s="1"/>
  <c r="C1445" i="3"/>
  <c r="H1445" i="3"/>
  <c r="H1446" i="3"/>
  <c r="C1446" i="3" s="1"/>
  <c r="H1447" i="3"/>
  <c r="C1447" i="3" s="1"/>
  <c r="C1448" i="3"/>
  <c r="H1448" i="3"/>
  <c r="H1449" i="3"/>
  <c r="C1449" i="3" s="1"/>
  <c r="H1450" i="3"/>
  <c r="C1450" i="3" s="1"/>
  <c r="H1451" i="3"/>
  <c r="C1451" i="3" s="1"/>
  <c r="H1452" i="3"/>
  <c r="C1452" i="3" s="1"/>
  <c r="H1453" i="3"/>
  <c r="C1453" i="3" s="1"/>
  <c r="C1454" i="3"/>
  <c r="H1454" i="3"/>
  <c r="H1455" i="3"/>
  <c r="C1455" i="3" s="1"/>
  <c r="H1456" i="3"/>
  <c r="C1456" i="3" s="1"/>
  <c r="H1457" i="3"/>
  <c r="C1457" i="3" s="1"/>
  <c r="H1458" i="3"/>
  <c r="C1458" i="3" s="1"/>
  <c r="H1459" i="3"/>
  <c r="C1459" i="3" s="1"/>
  <c r="H1460" i="3"/>
  <c r="C1460" i="3" s="1"/>
  <c r="H1461" i="3"/>
  <c r="C1461" i="3" s="1"/>
  <c r="H1462" i="3"/>
  <c r="C1462" i="3" s="1"/>
  <c r="H1463" i="3"/>
  <c r="C1463" i="3" s="1"/>
  <c r="C1464" i="3"/>
  <c r="H1464" i="3"/>
  <c r="C1465" i="3"/>
  <c r="H1465" i="3"/>
  <c r="H1466" i="3"/>
  <c r="C1466" i="3" s="1"/>
  <c r="H1467" i="3"/>
  <c r="C1467" i="3" s="1"/>
  <c r="C1468" i="3"/>
  <c r="H1468" i="3"/>
  <c r="H1469" i="3"/>
  <c r="C1469" i="3" s="1"/>
  <c r="H1470" i="3"/>
  <c r="C1470" i="3" s="1"/>
  <c r="H1471" i="3"/>
  <c r="C1471" i="3" s="1"/>
  <c r="H1472" i="3"/>
  <c r="C1472" i="3" s="1"/>
  <c r="C1473" i="3"/>
  <c r="H1473" i="3"/>
  <c r="H1474" i="3"/>
  <c r="C1474" i="3" s="1"/>
  <c r="H1475" i="3"/>
  <c r="C1475" i="3" s="1"/>
  <c r="H1476" i="3"/>
  <c r="C1476" i="3" s="1"/>
  <c r="C1477" i="3"/>
  <c r="H1477" i="3"/>
  <c r="H1478" i="3"/>
  <c r="C1478" i="3" s="1"/>
  <c r="H1479" i="3"/>
  <c r="C1479" i="3" s="1"/>
  <c r="H1480" i="3"/>
  <c r="C1480" i="3" s="1"/>
  <c r="C1481" i="3"/>
  <c r="H1481" i="3"/>
  <c r="H1482" i="3"/>
  <c r="C1482" i="3" s="1"/>
  <c r="H1483" i="3"/>
  <c r="C1483" i="3" s="1"/>
  <c r="H1484" i="3"/>
  <c r="C1484" i="3" s="1"/>
  <c r="C1485" i="3"/>
  <c r="H1485" i="3"/>
  <c r="H1486" i="3"/>
  <c r="C1486" i="3" s="1"/>
  <c r="H1487" i="3"/>
  <c r="C1487" i="3" s="1"/>
  <c r="H1488" i="3"/>
  <c r="C1488" i="3" s="1"/>
  <c r="C1489" i="3"/>
  <c r="H1489" i="3"/>
  <c r="H1490" i="3"/>
  <c r="C1490" i="3" s="1"/>
  <c r="C1491" i="3"/>
  <c r="H1491" i="3"/>
  <c r="H1492" i="3"/>
  <c r="C1492" i="3" s="1"/>
  <c r="C1493" i="3"/>
  <c r="H1493" i="3"/>
  <c r="H1494" i="3"/>
  <c r="C1494" i="3" s="1"/>
  <c r="H1495" i="3"/>
  <c r="C1495" i="3" s="1"/>
  <c r="C1496" i="3"/>
  <c r="H1496" i="3"/>
  <c r="C1497" i="3"/>
  <c r="H1497" i="3"/>
  <c r="H1498" i="3"/>
  <c r="C1498" i="3" s="1"/>
  <c r="H1499" i="3"/>
  <c r="C1499" i="3" s="1"/>
  <c r="C1500" i="3"/>
  <c r="H1500" i="3"/>
  <c r="H1501" i="3"/>
  <c r="C1501" i="3" s="1"/>
  <c r="H1502" i="3"/>
  <c r="C1502" i="3" s="1"/>
  <c r="H1503" i="3"/>
  <c r="C1503" i="3" s="1"/>
  <c r="H1504" i="3"/>
  <c r="C1504" i="3" s="1"/>
  <c r="C1505" i="3"/>
  <c r="H1505" i="3"/>
  <c r="H1506" i="3"/>
  <c r="C1506" i="3" s="1"/>
  <c r="H1507" i="3"/>
  <c r="C1507" i="3" s="1"/>
  <c r="H1508" i="3"/>
  <c r="C1508" i="3" s="1"/>
  <c r="C1509" i="3"/>
  <c r="H1509" i="3"/>
  <c r="H1510" i="3"/>
  <c r="C1510" i="3" s="1"/>
  <c r="H1511" i="3"/>
  <c r="C1511" i="3" s="1"/>
  <c r="H1512" i="3"/>
  <c r="C1512" i="3" s="1"/>
  <c r="H1513" i="3"/>
  <c r="C1513" i="3" s="1"/>
  <c r="H1514" i="3"/>
  <c r="C1514" i="3" s="1"/>
  <c r="H1515" i="3"/>
  <c r="C1515" i="3" s="1"/>
  <c r="H1516" i="3"/>
  <c r="C1516" i="3" s="1"/>
  <c r="H1517" i="3"/>
  <c r="C1517" i="3" s="1"/>
  <c r="C1518" i="3"/>
  <c r="H1518" i="3"/>
  <c r="H1519" i="3"/>
  <c r="C1519" i="3" s="1"/>
  <c r="H1520" i="3"/>
  <c r="C1520" i="3" s="1"/>
  <c r="C1521" i="3"/>
  <c r="H1521" i="3"/>
  <c r="H1522" i="3"/>
  <c r="C1522" i="3" s="1"/>
  <c r="H1523" i="3"/>
  <c r="C1523" i="3" s="1"/>
  <c r="H1524" i="3"/>
  <c r="C1524" i="3" s="1"/>
  <c r="H1525" i="3"/>
  <c r="C1525" i="3" s="1"/>
  <c r="H1526" i="3"/>
  <c r="C1526" i="3" s="1"/>
  <c r="H1527" i="3"/>
  <c r="C1527" i="3" s="1"/>
  <c r="C1528" i="3"/>
  <c r="H1528" i="3"/>
  <c r="H1529" i="3"/>
  <c r="C1529" i="3" s="1"/>
  <c r="H1530" i="3"/>
  <c r="C1530" i="3" s="1"/>
  <c r="H1531" i="3"/>
  <c r="C1531" i="3" s="1"/>
  <c r="H1532" i="3"/>
  <c r="C1532" i="3" s="1"/>
  <c r="H1533" i="3"/>
  <c r="C1533" i="3" s="1"/>
  <c r="H1534" i="3"/>
  <c r="C1534" i="3" s="1"/>
  <c r="H1535" i="3"/>
  <c r="C1535" i="3" s="1"/>
  <c r="H1536" i="3"/>
  <c r="C1536" i="3" s="1"/>
  <c r="H1537" i="3"/>
  <c r="C1537" i="3" s="1"/>
  <c r="H1538" i="3"/>
  <c r="C1538" i="3" s="1"/>
  <c r="H1539" i="3"/>
  <c r="C1539" i="3" s="1"/>
  <c r="H1540" i="3"/>
  <c r="C1540" i="3" s="1"/>
  <c r="H1541" i="3"/>
  <c r="C1541" i="3" s="1"/>
  <c r="H1542" i="3"/>
  <c r="C1542" i="3" s="1"/>
  <c r="H1543" i="3"/>
  <c r="C1543" i="3" s="1"/>
  <c r="C1544" i="3"/>
  <c r="H1544" i="3"/>
  <c r="H1545" i="3"/>
  <c r="C1545" i="3" s="1"/>
  <c r="H1546" i="3"/>
  <c r="C1546" i="3" s="1"/>
  <c r="H1547" i="3"/>
  <c r="C1547" i="3" s="1"/>
  <c r="H1548" i="3"/>
  <c r="C1548" i="3" s="1"/>
  <c r="H1549" i="3"/>
  <c r="C1549" i="3" s="1"/>
  <c r="H1550" i="3"/>
  <c r="C1550" i="3" s="1"/>
  <c r="H1551" i="3"/>
  <c r="C1551" i="3" s="1"/>
  <c r="H1552" i="3"/>
  <c r="C1552" i="3" s="1"/>
  <c r="H1553" i="3"/>
  <c r="C1553" i="3" s="1"/>
  <c r="H1554" i="3"/>
  <c r="C1554" i="3" s="1"/>
  <c r="H1555" i="3"/>
  <c r="C1555" i="3" s="1"/>
  <c r="H1556" i="3"/>
  <c r="C1556" i="3" s="1"/>
  <c r="H1557" i="3"/>
  <c r="C1557" i="3" s="1"/>
  <c r="H1558" i="3"/>
  <c r="C1558" i="3" s="1"/>
  <c r="H1559" i="3"/>
  <c r="C1559" i="3" s="1"/>
  <c r="C1560" i="3"/>
  <c r="H1560" i="3"/>
  <c r="H1561" i="3"/>
  <c r="C1561" i="3" s="1"/>
  <c r="H1562" i="3"/>
  <c r="C1562" i="3" s="1"/>
  <c r="H1563" i="3"/>
  <c r="C1563" i="3" s="1"/>
  <c r="C1564" i="3"/>
  <c r="H1564" i="3"/>
  <c r="H1565" i="3"/>
  <c r="C1565" i="3" s="1"/>
  <c r="C1566" i="3"/>
  <c r="H1566" i="3"/>
  <c r="H1567" i="3"/>
  <c r="C1567" i="3" s="1"/>
  <c r="H1568" i="3"/>
  <c r="C1568" i="3" s="1"/>
  <c r="C1569" i="3"/>
  <c r="H1569" i="3"/>
  <c r="H1570" i="3"/>
  <c r="C1570" i="3" s="1"/>
  <c r="C1571" i="3"/>
  <c r="H1571" i="3"/>
  <c r="H1572" i="3"/>
  <c r="C1572" i="3" s="1"/>
  <c r="H1573" i="3"/>
  <c r="C1573" i="3" s="1"/>
  <c r="H1574" i="3"/>
  <c r="C1574" i="3" s="1"/>
  <c r="H1575" i="3"/>
  <c r="C1575" i="3" s="1"/>
  <c r="H1576" i="3"/>
  <c r="C1576" i="3" s="1"/>
  <c r="H1577" i="3"/>
  <c r="C1577" i="3" s="1"/>
  <c r="H1578" i="3"/>
  <c r="C1578" i="3" s="1"/>
  <c r="H1579" i="3"/>
  <c r="C1579" i="3" s="1"/>
  <c r="H1580" i="3"/>
  <c r="C1580" i="3" s="1"/>
  <c r="H1581" i="3"/>
  <c r="C1581" i="3" s="1"/>
  <c r="H1582" i="3"/>
  <c r="C1582" i="3" s="1"/>
  <c r="H1583" i="3"/>
  <c r="C1583" i="3" s="1"/>
  <c r="H1584" i="3"/>
  <c r="C1584" i="3" s="1"/>
  <c r="H1585" i="3"/>
  <c r="C1585" i="3" s="1"/>
  <c r="H1586" i="3"/>
  <c r="C1586" i="3" s="1"/>
  <c r="C1587" i="3"/>
  <c r="H1587" i="3"/>
  <c r="H1588" i="3"/>
  <c r="C1588" i="3" s="1"/>
  <c r="H1589" i="3"/>
  <c r="C1589" i="3" s="1"/>
  <c r="H1590" i="3"/>
  <c r="C1590" i="3" s="1"/>
  <c r="H1591" i="3"/>
  <c r="C1591" i="3" s="1"/>
  <c r="H1592" i="3"/>
  <c r="C1592" i="3" s="1"/>
  <c r="H1593" i="3"/>
  <c r="C1593" i="3" s="1"/>
  <c r="H1594" i="3"/>
  <c r="C1594" i="3" s="1"/>
  <c r="H1595" i="3"/>
  <c r="C1595" i="3" s="1"/>
  <c r="H1596" i="3"/>
  <c r="C1596" i="3" s="1"/>
  <c r="H1597" i="3"/>
  <c r="C1597" i="3" s="1"/>
  <c r="H1598" i="3"/>
  <c r="C1598" i="3" s="1"/>
  <c r="H1599" i="3"/>
  <c r="C1599" i="3" s="1"/>
  <c r="C1600" i="3"/>
  <c r="H1600" i="3"/>
  <c r="C1601" i="3"/>
  <c r="H1601" i="3"/>
  <c r="H1602" i="3"/>
  <c r="C1602" i="3" s="1"/>
  <c r="H1603" i="3"/>
  <c r="C1603" i="3" s="1"/>
  <c r="H1604" i="3"/>
  <c r="C1604" i="3" s="1"/>
  <c r="C1605" i="3"/>
  <c r="H1605" i="3"/>
  <c r="H1606" i="3"/>
  <c r="C1606" i="3" s="1"/>
  <c r="H1607" i="3"/>
  <c r="C1607" i="3" s="1"/>
  <c r="C1608" i="3"/>
  <c r="H1608" i="3"/>
  <c r="H1609" i="3"/>
  <c r="C1609" i="3" s="1"/>
  <c r="H1610" i="3"/>
  <c r="C1610" i="3" s="1"/>
  <c r="H1611" i="3"/>
  <c r="C1611" i="3" s="1"/>
  <c r="H1612" i="3"/>
  <c r="C1612" i="3" s="1"/>
  <c r="H1613" i="3"/>
  <c r="C1613" i="3" s="1"/>
  <c r="H1614" i="3"/>
  <c r="C1614" i="3" s="1"/>
  <c r="H1615" i="3"/>
  <c r="C1615" i="3" s="1"/>
  <c r="H1616" i="3"/>
  <c r="C1616" i="3" s="1"/>
  <c r="H1617" i="3"/>
  <c r="C1617" i="3" s="1"/>
  <c r="H1618" i="3"/>
  <c r="C1618" i="3" s="1"/>
  <c r="C1619" i="3"/>
  <c r="H1619" i="3"/>
  <c r="H1620" i="3"/>
  <c r="C1620" i="3" s="1"/>
  <c r="H1621" i="3"/>
  <c r="C1621" i="3" s="1"/>
  <c r="H1622" i="3"/>
  <c r="C1622" i="3" s="1"/>
  <c r="C1623" i="3"/>
  <c r="H1623" i="3"/>
  <c r="H1624" i="3"/>
  <c r="C1624" i="3" s="1"/>
  <c r="H1625" i="3"/>
  <c r="C1625" i="3" s="1"/>
  <c r="H1626" i="3"/>
  <c r="C1626" i="3" s="1"/>
  <c r="C1627" i="3"/>
  <c r="H1627" i="3"/>
  <c r="H1628" i="3"/>
  <c r="C1628" i="3" s="1"/>
  <c r="H1629" i="3"/>
  <c r="C1629" i="3" s="1"/>
  <c r="H1630" i="3"/>
  <c r="C1630" i="3" s="1"/>
  <c r="H1631" i="3"/>
  <c r="C1631" i="3" s="1"/>
  <c r="H1632" i="3"/>
  <c r="C1632" i="3" s="1"/>
  <c r="H1633" i="3"/>
  <c r="C1633" i="3" s="1"/>
  <c r="H1634" i="3"/>
  <c r="C1634" i="3" s="1"/>
  <c r="C1635" i="3"/>
  <c r="H1635" i="3"/>
  <c r="H1636" i="3"/>
  <c r="C1636" i="3" s="1"/>
  <c r="H1637" i="3"/>
  <c r="C1637" i="3" s="1"/>
  <c r="H1638" i="3"/>
  <c r="C1638" i="3" s="1"/>
  <c r="H1639" i="3"/>
  <c r="C1639" i="3" s="1"/>
  <c r="H1640" i="3"/>
  <c r="C1640" i="3" s="1"/>
  <c r="H1641" i="3"/>
  <c r="C1641" i="3" s="1"/>
  <c r="H1642" i="3"/>
  <c r="C1642" i="3" s="1"/>
  <c r="H1643" i="3"/>
  <c r="C1643" i="3" s="1"/>
  <c r="H1644" i="3"/>
  <c r="C1644" i="3" s="1"/>
  <c r="H1645" i="3"/>
  <c r="C1645" i="3" s="1"/>
  <c r="H1646" i="3"/>
  <c r="C1646" i="3" s="1"/>
  <c r="H1647" i="3"/>
  <c r="C1647" i="3" s="1"/>
  <c r="H1648" i="3"/>
  <c r="C1648" i="3" s="1"/>
  <c r="H1649" i="3"/>
  <c r="C1649" i="3" s="1"/>
  <c r="H1650" i="3"/>
  <c r="C1650" i="3" s="1"/>
  <c r="C1651" i="3"/>
  <c r="H1651" i="3"/>
  <c r="C1652" i="3"/>
  <c r="H1652" i="3"/>
  <c r="H1653" i="3"/>
  <c r="C1653" i="3" s="1"/>
  <c r="H1654" i="3"/>
  <c r="C1654" i="3" s="1"/>
  <c r="H1655" i="3"/>
  <c r="C1655" i="3" s="1"/>
  <c r="H1656" i="3"/>
  <c r="C1656" i="3" s="1"/>
  <c r="H1657" i="3"/>
  <c r="C1657" i="3" s="1"/>
  <c r="H1658" i="3"/>
  <c r="C1658" i="3" s="1"/>
  <c r="H1659" i="3"/>
  <c r="C1659" i="3" s="1"/>
  <c r="H1660" i="3"/>
  <c r="C1660" i="3" s="1"/>
  <c r="H1661" i="3"/>
  <c r="C1661" i="3" s="1"/>
  <c r="H1662" i="3"/>
  <c r="C1662" i="3" s="1"/>
  <c r="H1663" i="3"/>
  <c r="C1663" i="3" s="1"/>
  <c r="H1664" i="3"/>
  <c r="C1664" i="3" s="1"/>
  <c r="H1665" i="3"/>
  <c r="C1665" i="3" s="1"/>
  <c r="H1666" i="3"/>
  <c r="C1666" i="3" s="1"/>
  <c r="H1667" i="3"/>
  <c r="C1667" i="3" s="1"/>
  <c r="H1668" i="3"/>
  <c r="C1668" i="3" s="1"/>
  <c r="H1669" i="3"/>
  <c r="C1669" i="3" s="1"/>
  <c r="H1670" i="3"/>
  <c r="C1670" i="3" s="1"/>
  <c r="C1671" i="3"/>
  <c r="H1671" i="3"/>
  <c r="H1672" i="3"/>
  <c r="C1672" i="3" s="1"/>
  <c r="H1673" i="3"/>
  <c r="C1673" i="3" s="1"/>
  <c r="H1674" i="3"/>
  <c r="C1674" i="3" s="1"/>
  <c r="H1675" i="3"/>
  <c r="C1675" i="3" s="1"/>
  <c r="C1676" i="3"/>
  <c r="H1676" i="3"/>
  <c r="H1677" i="3"/>
  <c r="C1677" i="3" s="1"/>
  <c r="H1678" i="3"/>
  <c r="C1678" i="3" s="1"/>
  <c r="H1679" i="3"/>
  <c r="C1679" i="3" s="1"/>
  <c r="H1680" i="3"/>
  <c r="C1680" i="3" s="1"/>
  <c r="C1681" i="3"/>
  <c r="H1681" i="3"/>
  <c r="H1682" i="3"/>
  <c r="C1682" i="3" s="1"/>
  <c r="C1683" i="3"/>
  <c r="H1683" i="3"/>
  <c r="H1684" i="3"/>
  <c r="C1684" i="3" s="1"/>
  <c r="H1685" i="3"/>
  <c r="C1685" i="3" s="1"/>
  <c r="H1686" i="3"/>
  <c r="C1686" i="3" s="1"/>
  <c r="H1687" i="3"/>
  <c r="C1687" i="3" s="1"/>
  <c r="H1688" i="3"/>
  <c r="C1688" i="3" s="1"/>
  <c r="H1689" i="3"/>
  <c r="C1689" i="3" s="1"/>
  <c r="H1690" i="3"/>
  <c r="C1690" i="3" s="1"/>
  <c r="H1691" i="3"/>
  <c r="C1691" i="3" s="1"/>
  <c r="H1692" i="3"/>
  <c r="C1692" i="3" s="1"/>
  <c r="H1693" i="3"/>
  <c r="C1693" i="3" s="1"/>
  <c r="H1694" i="3"/>
  <c r="C1694" i="3" s="1"/>
  <c r="H1695" i="3"/>
  <c r="C1695" i="3" s="1"/>
  <c r="H1696" i="3"/>
  <c r="C1696" i="3" s="1"/>
  <c r="H1697" i="3"/>
  <c r="C1697" i="3" s="1"/>
  <c r="H1698" i="3"/>
  <c r="C1698" i="3" s="1"/>
  <c r="H1699" i="3"/>
  <c r="C1699" i="3" s="1"/>
  <c r="H1700" i="3"/>
  <c r="C1700" i="3" s="1"/>
  <c r="H1701" i="3"/>
  <c r="C1701" i="3" s="1"/>
  <c r="H1702" i="3"/>
  <c r="C1702" i="3" s="1"/>
  <c r="H1703" i="3"/>
  <c r="C1703" i="3" s="1"/>
  <c r="C1704" i="3"/>
  <c r="H1704" i="3"/>
  <c r="H1705" i="3"/>
  <c r="C1705" i="3" s="1"/>
  <c r="H1706" i="3"/>
  <c r="C1706" i="3" s="1"/>
  <c r="H1707" i="3"/>
  <c r="C1707" i="3" s="1"/>
  <c r="H1708" i="3"/>
  <c r="C1708" i="3" s="1"/>
  <c r="H1709" i="3"/>
  <c r="C1709" i="3" s="1"/>
  <c r="H1710" i="3"/>
  <c r="C1710" i="3" s="1"/>
  <c r="H1711" i="3"/>
  <c r="C1711" i="3" s="1"/>
  <c r="H1712" i="3"/>
  <c r="C1712" i="3" s="1"/>
  <c r="H1713" i="3"/>
  <c r="C1713" i="3" s="1"/>
  <c r="H1714" i="3"/>
  <c r="C1714" i="3" s="1"/>
  <c r="H1715" i="3"/>
  <c r="C1715" i="3" s="1"/>
  <c r="H1716" i="3"/>
  <c r="C1716" i="3" s="1"/>
  <c r="H1717" i="3"/>
  <c r="C1717" i="3" s="1"/>
  <c r="H1718" i="3"/>
  <c r="C1718" i="3" s="1"/>
  <c r="C1719" i="3"/>
  <c r="H1719" i="3"/>
  <c r="H1720" i="3"/>
  <c r="C1720" i="3" s="1"/>
  <c r="H1721" i="3"/>
  <c r="C1721" i="3" s="1"/>
  <c r="H1722" i="3"/>
  <c r="C1722" i="3" s="1"/>
  <c r="H1723" i="3"/>
  <c r="C1723" i="3" s="1"/>
  <c r="H1724" i="3"/>
  <c r="C1724" i="3" s="1"/>
  <c r="H1725" i="3"/>
  <c r="C1725" i="3" s="1"/>
  <c r="H1726" i="3"/>
  <c r="C1726" i="3" s="1"/>
  <c r="H1727" i="3"/>
  <c r="C1727" i="3" s="1"/>
  <c r="H1728" i="3"/>
  <c r="C1728" i="3" s="1"/>
  <c r="H1729" i="3"/>
  <c r="C1729" i="3" s="1"/>
  <c r="H1730" i="3"/>
  <c r="C1730" i="3" s="1"/>
  <c r="H1731" i="3"/>
  <c r="C1731" i="3" s="1"/>
  <c r="H1732" i="3"/>
  <c r="C1732" i="3" s="1"/>
  <c r="C1733" i="3"/>
  <c r="H1733" i="3"/>
  <c r="C1734" i="3"/>
  <c r="H1734" i="3"/>
  <c r="C1735" i="3"/>
  <c r="H1735" i="3"/>
  <c r="H1736" i="3"/>
  <c r="C1736" i="3" s="1"/>
  <c r="H1737" i="3"/>
  <c r="C1737" i="3" s="1"/>
  <c r="H1738" i="3"/>
  <c r="C1738" i="3" s="1"/>
  <c r="H1739" i="3"/>
  <c r="C1739" i="3" s="1"/>
  <c r="H1740" i="3"/>
  <c r="C1740" i="3" s="1"/>
  <c r="H1741" i="3"/>
  <c r="C1741" i="3" s="1"/>
  <c r="H1742" i="3"/>
  <c r="C1742" i="3" s="1"/>
  <c r="H1743" i="3"/>
  <c r="C1743" i="3" s="1"/>
  <c r="H1744" i="3"/>
  <c r="C1744" i="3" s="1"/>
  <c r="H1745" i="3"/>
  <c r="C1745" i="3" s="1"/>
  <c r="H1746" i="3"/>
  <c r="C1746" i="3" s="1"/>
  <c r="H1747" i="3"/>
  <c r="C1747" i="3" s="1"/>
  <c r="H1748" i="3"/>
  <c r="C1748" i="3" s="1"/>
  <c r="H1749" i="3"/>
  <c r="C1749" i="3" s="1"/>
  <c r="C1750" i="3"/>
  <c r="H1750" i="3"/>
  <c r="H1751" i="3"/>
  <c r="C1751" i="3" s="1"/>
  <c r="H1752" i="3"/>
  <c r="C1752" i="3" s="1"/>
  <c r="H1753" i="3"/>
  <c r="C1753" i="3" s="1"/>
  <c r="H1754" i="3"/>
  <c r="C1754" i="3" s="1"/>
  <c r="C1755" i="3"/>
  <c r="H1755" i="3"/>
  <c r="H1756" i="3"/>
  <c r="C1756" i="3" s="1"/>
  <c r="C1757" i="3"/>
  <c r="H1757" i="3"/>
  <c r="H1758" i="3"/>
  <c r="C1758" i="3" s="1"/>
  <c r="H1759" i="3"/>
  <c r="C1759" i="3" s="1"/>
  <c r="H1760" i="3"/>
  <c r="C1760" i="3" s="1"/>
  <c r="H1761" i="3"/>
  <c r="C1761" i="3" s="1"/>
  <c r="H1762" i="3"/>
  <c r="C1762" i="3" s="1"/>
  <c r="H1763" i="3"/>
  <c r="C1763" i="3" s="1"/>
  <c r="H1764" i="3"/>
  <c r="C1764" i="3" s="1"/>
  <c r="H1765" i="3"/>
  <c r="C1765" i="3" s="1"/>
  <c r="H1766" i="3"/>
  <c r="C1766" i="3" s="1"/>
  <c r="H1767" i="3"/>
  <c r="C1767" i="3" s="1"/>
  <c r="H1768" i="3"/>
  <c r="C1768" i="3" s="1"/>
  <c r="H1769" i="3"/>
  <c r="C1769" i="3" s="1"/>
  <c r="H1770" i="3"/>
  <c r="C1770" i="3" s="1"/>
  <c r="H1771" i="3"/>
  <c r="C1771" i="3" s="1"/>
  <c r="H1772" i="3"/>
  <c r="C1772" i="3" s="1"/>
  <c r="H1773" i="3"/>
  <c r="C1773" i="3" s="1"/>
  <c r="H1774" i="3"/>
  <c r="C1774" i="3" s="1"/>
  <c r="H1775" i="3"/>
  <c r="C1775" i="3" s="1"/>
  <c r="C1776" i="3"/>
  <c r="H1776" i="3"/>
  <c r="H1777" i="3"/>
  <c r="C1777" i="3" s="1"/>
  <c r="H1778" i="3"/>
  <c r="C1778" i="3" s="1"/>
  <c r="C1779" i="3"/>
  <c r="H1779" i="3"/>
  <c r="H1780" i="3"/>
  <c r="C1780" i="3" s="1"/>
  <c r="H1781" i="3"/>
  <c r="C1781" i="3" s="1"/>
  <c r="H1782" i="3"/>
  <c r="C1782" i="3" s="1"/>
  <c r="C1783" i="3"/>
  <c r="H1783" i="3"/>
  <c r="H1784" i="3"/>
  <c r="C1784" i="3" s="1"/>
  <c r="C1785" i="3"/>
  <c r="H1785" i="3"/>
  <c r="H1786" i="3"/>
  <c r="C1786" i="3" s="1"/>
  <c r="H1787" i="3"/>
  <c r="C1787" i="3" s="1"/>
  <c r="H1788" i="3"/>
  <c r="C1788" i="3" s="1"/>
  <c r="C1789" i="3"/>
  <c r="H1789" i="3"/>
  <c r="H1790" i="3"/>
  <c r="C1790" i="3" s="1"/>
  <c r="H1791" i="3"/>
  <c r="C1791" i="3" s="1"/>
  <c r="H1792" i="3"/>
  <c r="C1792" i="3" s="1"/>
  <c r="H1793" i="3"/>
  <c r="C1793" i="3" s="1"/>
  <c r="H1794" i="3"/>
  <c r="C1794" i="3" s="1"/>
  <c r="C1795" i="3"/>
  <c r="H1795" i="3"/>
  <c r="H1796" i="3"/>
  <c r="C1796" i="3" s="1"/>
  <c r="H1797" i="3"/>
  <c r="C1797" i="3" s="1"/>
  <c r="H1798" i="3"/>
  <c r="C1798" i="3" s="1"/>
  <c r="C1799" i="3"/>
  <c r="H1799" i="3"/>
  <c r="C1800" i="3"/>
  <c r="H1800" i="3"/>
  <c r="H1801" i="3"/>
  <c r="C1801" i="3" s="1"/>
  <c r="H1802" i="3"/>
  <c r="C1802" i="3" s="1"/>
  <c r="H1803" i="3"/>
  <c r="C1803" i="3" s="1"/>
  <c r="H1804" i="3"/>
  <c r="C1804" i="3" s="1"/>
  <c r="H1805" i="3"/>
  <c r="C1805" i="3" s="1"/>
  <c r="H1806" i="3"/>
  <c r="C1806" i="3" s="1"/>
  <c r="H1807" i="3"/>
  <c r="C1807" i="3" s="1"/>
  <c r="C1808" i="3"/>
  <c r="H1808" i="3"/>
  <c r="H1809" i="3"/>
  <c r="C1809" i="3" s="1"/>
  <c r="H1810" i="3"/>
  <c r="C1810" i="3" s="1"/>
  <c r="C1811" i="3"/>
  <c r="H1811" i="3"/>
  <c r="H1812" i="3"/>
  <c r="C1812" i="3" s="1"/>
  <c r="H1813" i="3"/>
  <c r="C1813" i="3" s="1"/>
  <c r="H1814" i="3"/>
  <c r="C1814" i="3" s="1"/>
  <c r="H1815" i="3"/>
  <c r="C1815" i="3" s="1"/>
  <c r="H1816" i="3"/>
  <c r="C1816" i="3" s="1"/>
  <c r="H1817" i="3"/>
  <c r="C1817" i="3" s="1"/>
  <c r="H1818" i="3"/>
  <c r="C1818" i="3" s="1"/>
  <c r="H1819" i="3"/>
  <c r="C1819" i="3" s="1"/>
  <c r="H1820" i="3"/>
  <c r="C1820" i="3" s="1"/>
  <c r="H1821" i="3"/>
  <c r="C1821" i="3" s="1"/>
  <c r="H1822" i="3"/>
  <c r="C1822" i="3" s="1"/>
  <c r="C1823" i="3"/>
  <c r="H1823" i="3"/>
  <c r="H1824" i="3"/>
  <c r="C1824" i="3" s="1"/>
  <c r="H1825" i="3"/>
  <c r="C1825" i="3" s="1"/>
  <c r="H1826" i="3"/>
  <c r="C1826" i="3" s="1"/>
  <c r="H1827" i="3"/>
  <c r="C1827" i="3" s="1"/>
  <c r="H1828" i="3"/>
  <c r="C1828" i="3" s="1"/>
  <c r="H1829" i="3"/>
  <c r="C1829" i="3" s="1"/>
  <c r="C1830" i="3"/>
  <c r="H1830" i="3"/>
  <c r="H1831" i="3"/>
  <c r="C1831" i="3" s="1"/>
  <c r="C1832" i="3"/>
  <c r="H1832" i="3"/>
  <c r="H1833" i="3"/>
  <c r="C1833" i="3" s="1"/>
  <c r="H1834" i="3"/>
  <c r="C1834" i="3" s="1"/>
  <c r="H1835" i="3"/>
  <c r="C1835" i="3" s="1"/>
  <c r="H1836" i="3"/>
  <c r="C1836" i="3" s="1"/>
  <c r="H1837" i="3"/>
  <c r="C1837" i="3" s="1"/>
  <c r="H1838" i="3"/>
  <c r="C1838" i="3" s="1"/>
  <c r="H1839" i="3"/>
  <c r="C1839" i="3" s="1"/>
  <c r="H1840" i="3"/>
  <c r="C1840" i="3" s="1"/>
  <c r="H1841" i="3"/>
  <c r="C1841" i="3" s="1"/>
  <c r="H1842" i="3"/>
  <c r="C1842" i="3" s="1"/>
  <c r="H1843" i="3"/>
  <c r="C1843" i="3" s="1"/>
  <c r="H1844" i="3"/>
  <c r="C1844" i="3" s="1"/>
  <c r="C1845" i="3"/>
  <c r="H1845" i="3"/>
  <c r="H1846" i="3"/>
  <c r="C1846" i="3" s="1"/>
  <c r="H1847" i="3"/>
  <c r="C1847" i="3" s="1"/>
  <c r="C1848" i="3"/>
  <c r="H1848" i="3"/>
  <c r="C1849" i="3"/>
  <c r="H1849" i="3"/>
  <c r="H1850" i="3"/>
  <c r="C1850" i="3" s="1"/>
  <c r="C1851" i="3"/>
  <c r="H1851" i="3"/>
  <c r="H1852" i="3"/>
  <c r="C1852" i="3" s="1"/>
  <c r="H1853" i="3"/>
  <c r="C1853" i="3" s="1"/>
  <c r="H1854" i="3"/>
  <c r="C1854" i="3" s="1"/>
  <c r="H1855" i="3"/>
  <c r="C1855" i="3" s="1"/>
  <c r="H1856" i="3"/>
  <c r="C1856" i="3" s="1"/>
  <c r="C1857" i="3"/>
  <c r="H1857" i="3"/>
  <c r="H1858" i="3"/>
  <c r="C1858" i="3" s="1"/>
  <c r="H1859" i="3"/>
  <c r="C1859" i="3" s="1"/>
  <c r="C1860" i="3"/>
  <c r="H1860" i="3"/>
  <c r="H1861" i="3"/>
  <c r="C1861" i="3" s="1"/>
  <c r="H1862" i="3"/>
  <c r="C1862" i="3" s="1"/>
  <c r="C1863" i="3"/>
  <c r="H1863" i="3"/>
  <c r="H1864" i="3"/>
  <c r="C1864" i="3" s="1"/>
  <c r="H1865" i="3"/>
  <c r="C1865" i="3" s="1"/>
  <c r="H1866" i="3"/>
  <c r="C1866" i="3" s="1"/>
  <c r="H1867" i="3"/>
  <c r="C1867" i="3" s="1"/>
  <c r="H1868" i="3"/>
  <c r="C1868" i="3" s="1"/>
  <c r="C1869" i="3"/>
  <c r="H1869" i="3"/>
  <c r="H1870" i="3"/>
  <c r="C1870" i="3" s="1"/>
  <c r="H1871" i="3"/>
  <c r="C1871" i="3" s="1"/>
  <c r="H1872" i="3"/>
  <c r="C1872" i="3" s="1"/>
  <c r="H1873" i="3"/>
  <c r="C1873" i="3" s="1"/>
  <c r="H1874" i="3"/>
  <c r="C1874" i="3" s="1"/>
  <c r="H1875" i="3"/>
  <c r="C1875" i="3" s="1"/>
  <c r="H1876" i="3"/>
  <c r="C1876" i="3" s="1"/>
  <c r="H1877" i="3"/>
  <c r="C1877" i="3" s="1"/>
  <c r="C1878" i="3"/>
  <c r="H1878" i="3"/>
  <c r="H1879" i="3"/>
  <c r="C1879" i="3" s="1"/>
  <c r="H1880" i="3"/>
  <c r="C1880" i="3" s="1"/>
  <c r="C1881" i="3"/>
  <c r="H1881" i="3"/>
  <c r="H1882" i="3"/>
  <c r="C1882" i="3" s="1"/>
  <c r="H1883" i="3"/>
  <c r="C1883" i="3" s="1"/>
  <c r="H1884" i="3"/>
  <c r="C1884" i="3" s="1"/>
  <c r="H1885" i="3"/>
  <c r="C1885" i="3" s="1"/>
  <c r="H1886" i="3"/>
  <c r="C1886" i="3" s="1"/>
  <c r="H1887" i="3"/>
  <c r="C1887" i="3" s="1"/>
  <c r="H1888" i="3"/>
  <c r="C1888" i="3" s="1"/>
  <c r="H1889" i="3"/>
  <c r="C1889" i="3" s="1"/>
  <c r="H1890" i="3"/>
  <c r="C1890" i="3" s="1"/>
  <c r="H1891" i="3"/>
  <c r="C1891" i="3" s="1"/>
  <c r="H1892" i="3"/>
  <c r="C1892" i="3" s="1"/>
  <c r="C1893" i="3"/>
  <c r="H1893" i="3"/>
  <c r="H1894" i="3"/>
  <c r="C1894" i="3" s="1"/>
  <c r="H1895" i="3"/>
  <c r="C1895" i="3" s="1"/>
  <c r="C1896" i="3"/>
  <c r="H1896" i="3"/>
  <c r="C1897" i="3"/>
  <c r="H1897" i="3"/>
  <c r="H1898" i="3"/>
  <c r="C1898" i="3" s="1"/>
  <c r="C1899" i="3"/>
  <c r="H1899" i="3"/>
  <c r="H1900" i="3"/>
  <c r="C1900" i="3" s="1"/>
  <c r="C1901" i="3"/>
  <c r="H1901" i="3"/>
  <c r="H1902" i="3"/>
  <c r="C1902" i="3" s="1"/>
  <c r="H1903" i="3"/>
  <c r="C1903" i="3" s="1"/>
  <c r="C1904" i="3"/>
  <c r="H1904" i="3"/>
  <c r="H1905" i="3"/>
  <c r="C1905" i="3" s="1"/>
  <c r="H1906" i="3"/>
  <c r="C1906" i="3" s="1"/>
  <c r="H1907" i="3"/>
  <c r="C1907" i="3" s="1"/>
  <c r="C1908" i="3"/>
  <c r="H1908" i="3"/>
  <c r="H1909" i="3"/>
  <c r="C1909" i="3" s="1"/>
  <c r="H1910" i="3"/>
  <c r="C1910" i="3" s="1"/>
  <c r="H1911" i="3"/>
  <c r="C1911" i="3" s="1"/>
  <c r="H1912" i="3"/>
  <c r="C1912" i="3" s="1"/>
  <c r="H1913" i="3"/>
  <c r="C1913" i="3" s="1"/>
  <c r="H1914" i="3"/>
  <c r="C1914" i="3" s="1"/>
  <c r="C1915" i="3"/>
  <c r="H1915" i="3"/>
  <c r="H1916" i="3"/>
  <c r="C1916" i="3" s="1"/>
  <c r="H1917" i="3"/>
  <c r="C1917" i="3" s="1"/>
  <c r="H1918" i="3"/>
  <c r="C1918" i="3" s="1"/>
  <c r="H1919" i="3"/>
  <c r="C1919" i="3" s="1"/>
  <c r="C1920" i="3"/>
  <c r="H1920" i="3"/>
  <c r="H1921" i="3"/>
  <c r="C1921" i="3" s="1"/>
  <c r="H1922" i="3"/>
  <c r="C1922" i="3" s="1"/>
  <c r="H1923" i="3"/>
  <c r="C1923" i="3" s="1"/>
  <c r="H1924" i="3"/>
  <c r="C1924" i="3" s="1"/>
  <c r="H1925" i="3"/>
  <c r="C1925" i="3" s="1"/>
  <c r="C1926" i="3"/>
  <c r="H1926" i="3"/>
  <c r="H1927" i="3"/>
  <c r="C1927" i="3" s="1"/>
  <c r="C1928" i="3"/>
  <c r="H1928" i="3"/>
  <c r="C1929" i="3"/>
  <c r="H1929" i="3"/>
  <c r="H1930" i="3"/>
  <c r="C1930" i="3" s="1"/>
  <c r="H1931" i="3"/>
  <c r="C1931" i="3" s="1"/>
  <c r="H1932" i="3"/>
  <c r="C1932" i="3" s="1"/>
  <c r="H1933" i="3"/>
  <c r="C1933" i="3" s="1"/>
  <c r="C1934" i="3"/>
  <c r="H1934" i="3"/>
  <c r="H1935" i="3"/>
  <c r="C1935" i="3" s="1"/>
  <c r="H1936" i="3"/>
  <c r="C1936" i="3" s="1"/>
  <c r="H1937" i="3"/>
  <c r="C1937" i="3" s="1"/>
  <c r="H1938" i="3"/>
  <c r="C1938" i="3" s="1"/>
  <c r="H1939" i="3"/>
  <c r="C1939" i="3" s="1"/>
  <c r="H1940" i="3"/>
  <c r="C1940" i="3" s="1"/>
  <c r="C1941" i="3"/>
  <c r="H1941" i="3"/>
  <c r="H1942" i="3"/>
  <c r="C1942" i="3" s="1"/>
  <c r="H1943" i="3"/>
  <c r="C1943" i="3" s="1"/>
  <c r="H1944" i="3"/>
  <c r="C1944" i="3" s="1"/>
  <c r="H1945" i="3"/>
  <c r="C1945" i="3" s="1"/>
  <c r="H1946" i="3"/>
  <c r="C1946" i="3" s="1"/>
  <c r="H1947" i="3"/>
  <c r="C1947" i="3" s="1"/>
  <c r="H1948" i="3"/>
  <c r="C1948" i="3" s="1"/>
  <c r="H1949" i="3"/>
  <c r="C1949" i="3" s="1"/>
  <c r="C1950" i="3"/>
  <c r="H1950" i="3"/>
  <c r="H1951" i="3"/>
  <c r="C1951" i="3" s="1"/>
  <c r="H1952" i="3"/>
  <c r="C1952" i="3" s="1"/>
  <c r="H1953" i="3"/>
  <c r="C1953" i="3" s="1"/>
  <c r="H1954" i="3"/>
  <c r="C1954" i="3" s="1"/>
  <c r="H1955" i="3"/>
  <c r="C1955" i="3" s="1"/>
  <c r="H1956" i="3"/>
  <c r="C1956" i="3" s="1"/>
  <c r="H1957" i="3"/>
  <c r="C1957" i="3" s="1"/>
  <c r="H1958" i="3"/>
  <c r="C1958" i="3" s="1"/>
  <c r="H1959" i="3"/>
  <c r="C1959" i="3" s="1"/>
  <c r="H1960" i="3"/>
  <c r="C1960" i="3" s="1"/>
  <c r="C1961" i="3"/>
  <c r="H1961" i="3"/>
  <c r="H1962" i="3"/>
  <c r="C1962" i="3" s="1"/>
  <c r="H1963" i="3"/>
  <c r="C1963" i="3" s="1"/>
  <c r="H1964" i="3"/>
  <c r="C1964" i="3" s="1"/>
  <c r="H1965" i="3"/>
  <c r="C1965" i="3" s="1"/>
  <c r="C1966" i="3"/>
  <c r="H1966" i="3"/>
  <c r="H1967" i="3"/>
  <c r="C1967" i="3" s="1"/>
  <c r="H1968" i="3"/>
  <c r="C1968" i="3" s="1"/>
  <c r="H1969" i="3"/>
  <c r="C1969" i="3" s="1"/>
  <c r="H1970" i="3"/>
  <c r="C1970" i="3" s="1"/>
  <c r="H1971" i="3"/>
  <c r="C1971" i="3" s="1"/>
  <c r="H1972" i="3"/>
  <c r="C1972" i="3" s="1"/>
  <c r="H1973" i="3"/>
  <c r="C1973" i="3" s="1"/>
  <c r="H1974" i="3"/>
  <c r="C1974" i="3" s="1"/>
  <c r="H1975" i="3"/>
  <c r="C1975" i="3" s="1"/>
  <c r="H1976" i="3"/>
  <c r="C1976" i="3" s="1"/>
  <c r="H1977" i="3"/>
  <c r="C1977" i="3" s="1"/>
  <c r="H1978" i="3"/>
  <c r="C1978" i="3" s="1"/>
  <c r="H1979" i="3"/>
  <c r="C1979" i="3" s="1"/>
  <c r="C1980" i="3"/>
  <c r="H1980" i="3"/>
  <c r="H1981" i="3"/>
  <c r="C1981" i="3" s="1"/>
  <c r="H1982" i="3"/>
  <c r="C1982" i="3" s="1"/>
  <c r="H1983" i="3"/>
  <c r="C1983" i="3" s="1"/>
  <c r="H1984" i="3"/>
  <c r="C1984" i="3" s="1"/>
  <c r="H1985" i="3"/>
  <c r="C1985" i="3" s="1"/>
  <c r="H1986" i="3"/>
  <c r="C1986" i="3" s="1"/>
  <c r="C1987" i="3"/>
  <c r="H1987" i="3"/>
  <c r="C1988" i="3"/>
  <c r="H1988" i="3"/>
  <c r="C1989" i="3"/>
  <c r="H1989" i="3"/>
  <c r="H1990" i="3"/>
  <c r="C1990" i="3" s="1"/>
  <c r="H1991" i="3"/>
  <c r="C1991" i="3" s="1"/>
  <c r="H1992" i="3"/>
  <c r="C1992" i="3" s="1"/>
  <c r="H1993" i="3"/>
  <c r="C1993" i="3" s="1"/>
  <c r="H1994" i="3"/>
  <c r="C1994" i="3" s="1"/>
  <c r="H1995" i="3"/>
  <c r="C1995" i="3" s="1"/>
  <c r="H1996" i="3"/>
  <c r="C1996" i="3" s="1"/>
  <c r="H1997" i="3"/>
  <c r="C1997" i="3" s="1"/>
  <c r="H1998" i="3"/>
  <c r="C1998" i="3" s="1"/>
  <c r="H1999" i="3"/>
  <c r="C1999" i="3" s="1"/>
  <c r="H2000" i="3"/>
  <c r="C2000" i="3" s="1"/>
  <c r="H2001" i="3"/>
  <c r="C2001" i="3" s="1"/>
  <c r="H2002" i="3"/>
  <c r="C2002" i="3" s="1"/>
  <c r="H2003" i="3"/>
  <c r="C2003" i="3" s="1"/>
  <c r="H2004" i="3"/>
  <c r="C2004" i="3" s="1"/>
  <c r="H2005" i="3"/>
  <c r="C2005" i="3" s="1"/>
  <c r="H2006" i="3"/>
  <c r="C2006" i="3" s="1"/>
  <c r="H2007" i="3"/>
  <c r="C2007" i="3" s="1"/>
  <c r="H2008" i="3"/>
  <c r="C2008" i="3" s="1"/>
  <c r="C2009" i="3"/>
  <c r="H2009" i="3"/>
  <c r="H2010" i="3"/>
  <c r="C2010" i="3" s="1"/>
  <c r="H2011" i="3"/>
  <c r="C2011" i="3" s="1"/>
  <c r="H2012" i="3"/>
  <c r="C2012" i="3" s="1"/>
  <c r="C2013" i="3"/>
  <c r="H2013" i="3"/>
  <c r="H2014" i="3"/>
  <c r="C2014" i="3" s="1"/>
  <c r="H2015" i="3"/>
  <c r="C2015" i="3" s="1"/>
  <c r="H2016" i="3"/>
  <c r="C2016" i="3" s="1"/>
  <c r="C2017" i="3"/>
  <c r="H2017" i="3"/>
  <c r="H2018" i="3"/>
  <c r="C2018" i="3" s="1"/>
  <c r="H2019" i="3"/>
  <c r="C2019" i="3" s="1"/>
  <c r="H2020" i="3"/>
  <c r="C2020" i="3" s="1"/>
  <c r="H2021" i="3"/>
  <c r="C2021" i="3" s="1"/>
  <c r="H2022" i="3"/>
  <c r="C2022" i="3" s="1"/>
  <c r="H2023" i="3"/>
  <c r="C2023" i="3" s="1"/>
  <c r="H2024" i="3"/>
  <c r="C2024" i="3" s="1"/>
  <c r="H2025" i="3"/>
  <c r="C2025" i="3" s="1"/>
  <c r="H2026" i="3"/>
  <c r="C2026" i="3" s="1"/>
  <c r="H2027" i="3"/>
  <c r="C2027" i="3" s="1"/>
  <c r="H2028" i="3"/>
  <c r="C2028" i="3" s="1"/>
  <c r="C2029" i="3"/>
  <c r="H2029" i="3"/>
  <c r="H2030" i="3"/>
  <c r="C2030" i="3" s="1"/>
  <c r="H2031" i="3"/>
  <c r="C2031" i="3" s="1"/>
  <c r="H2032" i="3"/>
  <c r="C2032" i="3" s="1"/>
  <c r="H2033" i="3"/>
  <c r="C2033" i="3" s="1"/>
  <c r="H2034" i="3"/>
  <c r="C2034" i="3" s="1"/>
  <c r="C2035" i="3"/>
  <c r="H2035" i="3"/>
  <c r="H2036" i="3"/>
  <c r="C2036" i="3" s="1"/>
  <c r="H2037" i="3"/>
  <c r="C2037" i="3" s="1"/>
  <c r="H2038" i="3"/>
  <c r="C2038" i="3" s="1"/>
  <c r="H2039" i="3"/>
  <c r="C2039" i="3" s="1"/>
  <c r="H2040" i="3"/>
  <c r="C2040" i="3" s="1"/>
  <c r="C2041" i="3"/>
  <c r="H2041" i="3"/>
  <c r="H2042" i="3"/>
  <c r="C2042" i="3" s="1"/>
  <c r="H2043" i="3"/>
  <c r="C2043" i="3" s="1"/>
  <c r="C2044" i="3"/>
  <c r="H2044" i="3"/>
  <c r="H2045" i="3"/>
  <c r="C2045" i="3" s="1"/>
  <c r="H2046" i="3"/>
  <c r="C2046" i="3" s="1"/>
  <c r="H2047" i="3"/>
  <c r="C2047" i="3" s="1"/>
  <c r="H2048" i="3"/>
  <c r="C2048" i="3" s="1"/>
  <c r="C2049" i="3"/>
  <c r="H2049" i="3"/>
  <c r="H2050" i="3"/>
  <c r="C2050" i="3" s="1"/>
  <c r="H2051" i="3"/>
  <c r="C2051" i="3" s="1"/>
  <c r="H2052" i="3"/>
  <c r="C2052" i="3" s="1"/>
  <c r="H2053" i="3"/>
  <c r="C2053" i="3" s="1"/>
  <c r="H2054" i="3"/>
  <c r="C2054" i="3" s="1"/>
  <c r="C2055" i="3"/>
  <c r="H2055" i="3"/>
  <c r="H2056" i="3"/>
  <c r="C2056" i="3" s="1"/>
  <c r="H2057" i="3"/>
  <c r="C2057" i="3" s="1"/>
  <c r="H2058" i="3"/>
  <c r="C2058" i="3" s="1"/>
  <c r="H2059" i="3"/>
  <c r="C2059" i="3" s="1"/>
  <c r="H2060" i="3"/>
  <c r="C2060" i="3" s="1"/>
  <c r="H2061" i="3"/>
  <c r="C2061" i="3" s="1"/>
  <c r="H2062" i="3"/>
  <c r="C2062" i="3" s="1"/>
  <c r="H2063" i="3"/>
  <c r="C2063" i="3" s="1"/>
  <c r="C2064" i="3"/>
  <c r="H2064" i="3"/>
  <c r="H2065" i="3"/>
  <c r="C2065" i="3" s="1"/>
  <c r="H2066" i="3"/>
  <c r="C2066" i="3" s="1"/>
  <c r="C2067" i="3"/>
  <c r="H2067" i="3"/>
  <c r="C2068" i="3"/>
  <c r="H2068" i="3"/>
  <c r="H2069" i="3"/>
  <c r="C2069" i="3" s="1"/>
  <c r="H2070" i="3"/>
  <c r="C2070" i="3" s="1"/>
  <c r="C2071" i="3"/>
  <c r="H2071" i="3"/>
  <c r="H2072" i="3"/>
  <c r="C2072" i="3" s="1"/>
  <c r="H2073" i="3"/>
  <c r="C2073" i="3" s="1"/>
  <c r="H2074" i="3"/>
  <c r="C2074" i="3" s="1"/>
  <c r="H2075" i="3"/>
  <c r="C2075" i="3" s="1"/>
  <c r="H2076" i="3"/>
  <c r="C2076" i="3" s="1"/>
  <c r="H2077" i="3"/>
  <c r="C2077" i="3" s="1"/>
  <c r="H2078" i="3"/>
  <c r="C2078" i="3" s="1"/>
  <c r="H2079" i="3"/>
  <c r="C2079" i="3" s="1"/>
  <c r="C2080" i="3"/>
  <c r="H2080" i="3"/>
  <c r="H2081" i="3"/>
  <c r="C2081" i="3" s="1"/>
  <c r="H2082" i="3"/>
  <c r="C2082" i="3" s="1"/>
  <c r="C2083" i="3"/>
  <c r="H2083" i="3"/>
  <c r="H2084" i="3"/>
  <c r="C2084" i="3" s="1"/>
  <c r="H2085" i="3"/>
  <c r="C2085" i="3" s="1"/>
  <c r="H2086" i="3"/>
  <c r="C2086" i="3" s="1"/>
  <c r="C2087" i="3"/>
  <c r="H2087" i="3"/>
  <c r="H2088" i="3"/>
  <c r="C2088" i="3" s="1"/>
  <c r="H2089" i="3"/>
  <c r="C2089" i="3" s="1"/>
  <c r="H2090" i="3"/>
  <c r="C2090" i="3" s="1"/>
  <c r="H2091" i="3"/>
  <c r="C2091" i="3" s="1"/>
  <c r="C2092" i="3"/>
  <c r="H2092" i="3"/>
  <c r="H2093" i="3"/>
  <c r="C2093" i="3" s="1"/>
  <c r="H2094" i="3"/>
  <c r="C2094" i="3" s="1"/>
  <c r="H2095" i="3"/>
  <c r="C2095" i="3" s="1"/>
  <c r="H2096" i="3"/>
  <c r="C2096" i="3" s="1"/>
  <c r="C2097" i="3"/>
  <c r="H2097" i="3"/>
  <c r="H2098" i="3"/>
  <c r="C2098" i="3" s="1"/>
  <c r="H2099" i="3"/>
  <c r="C2099" i="3" s="1"/>
  <c r="H2100" i="3"/>
  <c r="C2100" i="3" s="1"/>
  <c r="H2101" i="3"/>
  <c r="C2101" i="3" s="1"/>
  <c r="C2102" i="3"/>
  <c r="H2102" i="3"/>
  <c r="C2103" i="3"/>
  <c r="H2103" i="3"/>
  <c r="H2104" i="3"/>
  <c r="C2104" i="3" s="1"/>
  <c r="H2105" i="3"/>
  <c r="C2105" i="3" s="1"/>
  <c r="H2106" i="3"/>
  <c r="C2106" i="3" s="1"/>
  <c r="H2107" i="3"/>
  <c r="C2107" i="3" s="1"/>
  <c r="C2108" i="3"/>
  <c r="H2108" i="3"/>
  <c r="H2109" i="3"/>
  <c r="C2109" i="3" s="1"/>
  <c r="H2110" i="3"/>
  <c r="C2110" i="3" s="1"/>
  <c r="C2111" i="3"/>
  <c r="H2111" i="3"/>
  <c r="H2112" i="3"/>
  <c r="C2112" i="3" s="1"/>
  <c r="H2113" i="3"/>
  <c r="C2113" i="3" s="1"/>
  <c r="H2114" i="3"/>
  <c r="C2114" i="3" s="1"/>
  <c r="H2115" i="3"/>
  <c r="C2115" i="3" s="1"/>
  <c r="H2116" i="3"/>
  <c r="C2116" i="3" s="1"/>
  <c r="C2117" i="3"/>
  <c r="H2117" i="3"/>
  <c r="H2118" i="3"/>
  <c r="C2118" i="3" s="1"/>
  <c r="H2119" i="3"/>
  <c r="C2119" i="3" s="1"/>
  <c r="H2120" i="3"/>
  <c r="C2120" i="3" s="1"/>
  <c r="H2121" i="3"/>
  <c r="C2121" i="3" s="1"/>
  <c r="H2122" i="3"/>
  <c r="C2122" i="3" s="1"/>
  <c r="H2123" i="3"/>
  <c r="C2123" i="3" s="1"/>
  <c r="C2124" i="3"/>
  <c r="H2124" i="3"/>
  <c r="C2125" i="3"/>
  <c r="H2125" i="3"/>
  <c r="H2126" i="3"/>
  <c r="C2126" i="3" s="1"/>
  <c r="H2127" i="3"/>
  <c r="C2127" i="3" s="1"/>
  <c r="H2128" i="3"/>
  <c r="C2128" i="3" s="1"/>
  <c r="H2129" i="3"/>
  <c r="C2129" i="3" s="1"/>
  <c r="H2130" i="3"/>
  <c r="C2130" i="3" s="1"/>
  <c r="H2131" i="3"/>
  <c r="C2131" i="3" s="1"/>
  <c r="H2132" i="3"/>
  <c r="C2132" i="3" s="1"/>
  <c r="H2133" i="3"/>
  <c r="C2133" i="3" s="1"/>
  <c r="H2134" i="3"/>
  <c r="C2134" i="3" s="1"/>
  <c r="H2135" i="3"/>
  <c r="C2135" i="3" s="1"/>
  <c r="C2136" i="3"/>
  <c r="H2136" i="3"/>
  <c r="C2137" i="3"/>
  <c r="H2137" i="3"/>
  <c r="H2138" i="3"/>
  <c r="C2138" i="3" s="1"/>
  <c r="H2139" i="3"/>
  <c r="C2139" i="3" s="1"/>
  <c r="H2140" i="3"/>
  <c r="C2140" i="3" s="1"/>
  <c r="H2141" i="3"/>
  <c r="C2141" i="3" s="1"/>
  <c r="H2142" i="3"/>
  <c r="C2142" i="3" s="1"/>
  <c r="C2143" i="3"/>
  <c r="H2143" i="3"/>
  <c r="H2144" i="3"/>
  <c r="C2144" i="3" s="1"/>
  <c r="C2145" i="3"/>
  <c r="H2145" i="3"/>
  <c r="H2146" i="3"/>
  <c r="C2146" i="3" s="1"/>
  <c r="H2147" i="3"/>
  <c r="C2147" i="3" s="1"/>
  <c r="H2148" i="3"/>
  <c r="C2148" i="3" s="1"/>
  <c r="H2149" i="3"/>
  <c r="C2149" i="3" s="1"/>
  <c r="H2150" i="3"/>
  <c r="C2150" i="3" s="1"/>
  <c r="H2151" i="3"/>
  <c r="C2151" i="3" s="1"/>
  <c r="C2152" i="3"/>
  <c r="H2152" i="3"/>
  <c r="H2153" i="3"/>
  <c r="C2153" i="3" s="1"/>
  <c r="H2154" i="3"/>
  <c r="C2154" i="3" s="1"/>
  <c r="H2155" i="3"/>
  <c r="C2155" i="3" s="1"/>
  <c r="H2156" i="3"/>
  <c r="C2156" i="3" s="1"/>
  <c r="H2157" i="3"/>
  <c r="C2157" i="3" s="1"/>
  <c r="H2158" i="3"/>
  <c r="C2158" i="3" s="1"/>
  <c r="H2159" i="3"/>
  <c r="C2159" i="3" s="1"/>
  <c r="H2160" i="3"/>
  <c r="C2160" i="3" s="1"/>
  <c r="H2161" i="3"/>
  <c r="C2161" i="3" s="1"/>
  <c r="H2162" i="3"/>
  <c r="C2162" i="3" s="1"/>
  <c r="H2163" i="3"/>
  <c r="C2163" i="3" s="1"/>
  <c r="H2164" i="3"/>
  <c r="C2164" i="3" s="1"/>
  <c r="H2165" i="3"/>
  <c r="C2165" i="3" s="1"/>
  <c r="H2166" i="3"/>
  <c r="C2166" i="3" s="1"/>
  <c r="H2167" i="3"/>
  <c r="C2167" i="3" s="1"/>
  <c r="C2168" i="3"/>
  <c r="H2168" i="3"/>
  <c r="C2169" i="3"/>
  <c r="H2169" i="3"/>
  <c r="H2170" i="3"/>
  <c r="C2170" i="3" s="1"/>
  <c r="H2171" i="3"/>
  <c r="C2171" i="3" s="1"/>
  <c r="H2172" i="3"/>
  <c r="C2172" i="3" s="1"/>
  <c r="H2173" i="3"/>
  <c r="C2173" i="3" s="1"/>
  <c r="H2174" i="3"/>
  <c r="C2174" i="3" s="1"/>
  <c r="C2175" i="3"/>
  <c r="H2175" i="3"/>
  <c r="H2176" i="3"/>
  <c r="C2176" i="3" s="1"/>
  <c r="H2177" i="3"/>
  <c r="C2177" i="3" s="1"/>
  <c r="H2178" i="3"/>
  <c r="C2178" i="3" s="1"/>
  <c r="H2179" i="3"/>
  <c r="C2179" i="3" s="1"/>
  <c r="H2180" i="3"/>
  <c r="C2180" i="3" s="1"/>
  <c r="C2181" i="3"/>
  <c r="H2181" i="3"/>
  <c r="H2182" i="3"/>
  <c r="C2182" i="3" s="1"/>
  <c r="H2183" i="3"/>
  <c r="C2183" i="3" s="1"/>
  <c r="C2184" i="3"/>
  <c r="H2184" i="3"/>
  <c r="H2185" i="3"/>
  <c r="C2185" i="3" s="1"/>
  <c r="H2186" i="3"/>
  <c r="C2186" i="3" s="1"/>
  <c r="H2187" i="3"/>
  <c r="C2187" i="3" s="1"/>
  <c r="H2188" i="3"/>
  <c r="C2188" i="3" s="1"/>
  <c r="H2189" i="3"/>
  <c r="C2189" i="3" s="1"/>
  <c r="H2190" i="3"/>
  <c r="C2190" i="3" s="1"/>
  <c r="H2191" i="3"/>
  <c r="C2191" i="3" s="1"/>
  <c r="H2192" i="3"/>
  <c r="C2192" i="3" s="1"/>
  <c r="H2193" i="3"/>
  <c r="C2193" i="3" s="1"/>
  <c r="H2194" i="3"/>
  <c r="C2194" i="3" s="1"/>
  <c r="C2195" i="3"/>
  <c r="H2195" i="3"/>
  <c r="C2196" i="3"/>
  <c r="H2196" i="3"/>
  <c r="H2197" i="3"/>
  <c r="C2197" i="3" s="1"/>
  <c r="H2198" i="3"/>
  <c r="C2198" i="3" s="1"/>
  <c r="H2199" i="3"/>
  <c r="C2199" i="3" s="1"/>
  <c r="H2200" i="3"/>
  <c r="C2200" i="3" s="1"/>
  <c r="H2201" i="3"/>
  <c r="C2201" i="3" s="1"/>
  <c r="H2202" i="3"/>
  <c r="C2202" i="3" s="1"/>
  <c r="C2203" i="3"/>
  <c r="H2203" i="3"/>
  <c r="H2204" i="3"/>
  <c r="C2204" i="3" s="1"/>
  <c r="H2205" i="3"/>
  <c r="C2205" i="3" s="1"/>
  <c r="H2206" i="3"/>
  <c r="C2206" i="3" s="1"/>
  <c r="H2207" i="3"/>
  <c r="C2207" i="3" s="1"/>
  <c r="H2208" i="3"/>
  <c r="C2208" i="3" s="1"/>
  <c r="H2209" i="3"/>
  <c r="C2209" i="3" s="1"/>
  <c r="H2210" i="3"/>
  <c r="C2210" i="3" s="1"/>
  <c r="H2211" i="3"/>
  <c r="C2211" i="3" s="1"/>
  <c r="C2212" i="3"/>
  <c r="H2212" i="3"/>
  <c r="H2213" i="3"/>
  <c r="C2213" i="3" s="1"/>
  <c r="H2214" i="3"/>
  <c r="C2214" i="3" s="1"/>
  <c r="H2215" i="3"/>
  <c r="C2215" i="3" s="1"/>
  <c r="C2216" i="3"/>
  <c r="H2216" i="3"/>
  <c r="H2217" i="3"/>
  <c r="C2217" i="3" s="1"/>
  <c r="H2218" i="3"/>
  <c r="C2218" i="3" s="1"/>
  <c r="C2219" i="3"/>
  <c r="H2219" i="3"/>
  <c r="H2220" i="3"/>
  <c r="C2220" i="3" s="1"/>
  <c r="H2221" i="3"/>
  <c r="C2221" i="3" s="1"/>
  <c r="C2222" i="3"/>
  <c r="H2222" i="3"/>
  <c r="H2223" i="3"/>
  <c r="C2223" i="3" s="1"/>
  <c r="H2224" i="3"/>
  <c r="C2224" i="3" s="1"/>
  <c r="C2225" i="3"/>
  <c r="H2225" i="3"/>
  <c r="H2226" i="3"/>
  <c r="C2226" i="3" s="1"/>
  <c r="H2227" i="3"/>
  <c r="C2227" i="3" s="1"/>
  <c r="H2228" i="3"/>
  <c r="C2228" i="3" s="1"/>
  <c r="H2229" i="3"/>
  <c r="C2229" i="3" s="1"/>
  <c r="H2230" i="3"/>
  <c r="C2230" i="3" s="1"/>
  <c r="C2231" i="3"/>
  <c r="H2231" i="3"/>
  <c r="H2232" i="3"/>
  <c r="C2232" i="3" s="1"/>
  <c r="H2233" i="3"/>
  <c r="C2233" i="3" s="1"/>
  <c r="H2234" i="3"/>
  <c r="C2234" i="3" s="1"/>
  <c r="H2235" i="3"/>
  <c r="C2235" i="3" s="1"/>
  <c r="H2236" i="3"/>
  <c r="C2236" i="3" s="1"/>
  <c r="H2237" i="3"/>
  <c r="C2237" i="3" s="1"/>
  <c r="H2238" i="3"/>
  <c r="C2238" i="3" s="1"/>
  <c r="H2239" i="3"/>
  <c r="C2239" i="3" s="1"/>
  <c r="C2240" i="3"/>
  <c r="H2240" i="3"/>
  <c r="H2241" i="3"/>
  <c r="C2241" i="3" s="1"/>
  <c r="H2242" i="3"/>
  <c r="C2242" i="3" s="1"/>
  <c r="H2243" i="3"/>
  <c r="C2243" i="3" s="1"/>
  <c r="H2244" i="3"/>
  <c r="C2244" i="3" s="1"/>
  <c r="H2245" i="3"/>
  <c r="C2245" i="3" s="1"/>
  <c r="H2246" i="3"/>
  <c r="C2246" i="3" s="1"/>
  <c r="H2247" i="3"/>
  <c r="C2247" i="3" s="1"/>
  <c r="H2248" i="3"/>
  <c r="C2248" i="3" s="1"/>
  <c r="H2249" i="3"/>
  <c r="C2249" i="3" s="1"/>
  <c r="H2250" i="3"/>
  <c r="C2250" i="3" s="1"/>
  <c r="H2251" i="3"/>
  <c r="C2251" i="3" s="1"/>
  <c r="H2252" i="3"/>
  <c r="C2252" i="3" s="1"/>
  <c r="C2253" i="3"/>
  <c r="H2253" i="3"/>
  <c r="H2254" i="3"/>
  <c r="C2254" i="3" s="1"/>
  <c r="H2255" i="3"/>
  <c r="C2255" i="3" s="1"/>
  <c r="C2256" i="3"/>
  <c r="H2256" i="3"/>
  <c r="H2257" i="3"/>
  <c r="C2257" i="3" s="1"/>
  <c r="H2258" i="3"/>
  <c r="C2258" i="3" s="1"/>
  <c r="H2259" i="3"/>
  <c r="C2259" i="3" s="1"/>
  <c r="H2260" i="3"/>
  <c r="C2260" i="3" s="1"/>
  <c r="H2261" i="3"/>
  <c r="C2261" i="3" s="1"/>
  <c r="C2262" i="3"/>
  <c r="H2262" i="3"/>
  <c r="C2263" i="3"/>
  <c r="H2263" i="3"/>
  <c r="H2264" i="3"/>
  <c r="C2264" i="3" s="1"/>
  <c r="H2265" i="3"/>
  <c r="C2265" i="3" s="1"/>
  <c r="H2266" i="3"/>
  <c r="C2266" i="3" s="1"/>
  <c r="H2267" i="3"/>
  <c r="C2267" i="3" s="1"/>
  <c r="C2268" i="3"/>
  <c r="H2268" i="3"/>
  <c r="H2269" i="3"/>
  <c r="C2269" i="3" s="1"/>
  <c r="H2270" i="3"/>
  <c r="C2270" i="3" s="1"/>
  <c r="H2271" i="3"/>
  <c r="C2271" i="3" s="1"/>
  <c r="H2272" i="3"/>
  <c r="C2272" i="3" s="1"/>
  <c r="H2273" i="3"/>
  <c r="C2273" i="3" s="1"/>
  <c r="H2274" i="3"/>
  <c r="C2274" i="3" s="1"/>
  <c r="H2275" i="3"/>
  <c r="C2275" i="3" s="1"/>
  <c r="H2276" i="3"/>
  <c r="C2276" i="3" s="1"/>
  <c r="C2277" i="3"/>
  <c r="H2277" i="3"/>
  <c r="H2278" i="3"/>
  <c r="C2278" i="3" s="1"/>
  <c r="C2279" i="3"/>
  <c r="H2279" i="3"/>
  <c r="H2280" i="3"/>
  <c r="C2280" i="3" s="1"/>
  <c r="H2281" i="3"/>
  <c r="C2281" i="3" s="1"/>
  <c r="H2282" i="3"/>
  <c r="C2282" i="3" s="1"/>
  <c r="H2283" i="3"/>
  <c r="C2283" i="3" s="1"/>
  <c r="C2284" i="3"/>
  <c r="H2284" i="3"/>
  <c r="H2285" i="3"/>
  <c r="C2285" i="3" s="1"/>
  <c r="H2286" i="3"/>
  <c r="C2286" i="3" s="1"/>
  <c r="H2287" i="3"/>
  <c r="C2287" i="3" s="1"/>
  <c r="H2288" i="3"/>
  <c r="C2288" i="3" s="1"/>
  <c r="H2289" i="3"/>
  <c r="C2289" i="3" s="1"/>
  <c r="H2290" i="3"/>
  <c r="C2290" i="3" s="1"/>
  <c r="H2291" i="3"/>
  <c r="C2291" i="3" s="1"/>
  <c r="H2292" i="3"/>
  <c r="C2292" i="3" s="1"/>
  <c r="H2293" i="3"/>
  <c r="C2293" i="3" s="1"/>
  <c r="H2294" i="3"/>
  <c r="C2294" i="3" s="1"/>
  <c r="H2295" i="3"/>
  <c r="C2295" i="3" s="1"/>
  <c r="H2296" i="3"/>
  <c r="C2296" i="3" s="1"/>
  <c r="C2297" i="3"/>
  <c r="H2297" i="3"/>
  <c r="H2298" i="3"/>
  <c r="C2298" i="3" s="1"/>
  <c r="H2299" i="3"/>
  <c r="C2299" i="3" s="1"/>
  <c r="C2300" i="3"/>
  <c r="H2300" i="3"/>
  <c r="H2301" i="3"/>
  <c r="C2301" i="3" s="1"/>
  <c r="H2302" i="3"/>
  <c r="C2302" i="3" s="1"/>
  <c r="C2303" i="3"/>
  <c r="H2303" i="3"/>
  <c r="H2304" i="3"/>
  <c r="C2304" i="3" s="1"/>
  <c r="H2305" i="3"/>
  <c r="C2305" i="3" s="1"/>
  <c r="H2306" i="3"/>
  <c r="C2306" i="3" s="1"/>
  <c r="H2307" i="3"/>
  <c r="C2307" i="3" s="1"/>
  <c r="H2308" i="3"/>
  <c r="C2308" i="3" s="1"/>
  <c r="H2309" i="3"/>
  <c r="C2309" i="3" s="1"/>
  <c r="H2310" i="3"/>
  <c r="C2310" i="3" s="1"/>
  <c r="H2311" i="3"/>
  <c r="C2311" i="3" s="1"/>
  <c r="H2312" i="3"/>
  <c r="C2312" i="3" s="1"/>
  <c r="H2313" i="3"/>
  <c r="C2313" i="3" s="1"/>
  <c r="H2314" i="3"/>
  <c r="C2314" i="3" s="1"/>
  <c r="H2315" i="3"/>
  <c r="C2315" i="3" s="1"/>
  <c r="H2316" i="3"/>
  <c r="C2316" i="3" s="1"/>
  <c r="H2317" i="3"/>
  <c r="C2317" i="3" s="1"/>
  <c r="H2318" i="3"/>
  <c r="C2318" i="3" s="1"/>
  <c r="C2319" i="3"/>
  <c r="H2319" i="3"/>
  <c r="C2320" i="3"/>
  <c r="H2320" i="3"/>
  <c r="H2321" i="3"/>
  <c r="C2321" i="3" s="1"/>
  <c r="H2322" i="3"/>
  <c r="C2322" i="3" s="1"/>
  <c r="H2323" i="3"/>
  <c r="C2323" i="3" s="1"/>
  <c r="H2324" i="3"/>
  <c r="C2324" i="3" s="1"/>
  <c r="C2325" i="3"/>
  <c r="H2325" i="3"/>
  <c r="H2326" i="3"/>
  <c r="C2326" i="3" s="1"/>
  <c r="H2327" i="3"/>
  <c r="C2327" i="3" s="1"/>
  <c r="H2328" i="3"/>
  <c r="C2328" i="3" s="1"/>
  <c r="C2329" i="3"/>
  <c r="H2329" i="3"/>
  <c r="C2330" i="3"/>
  <c r="H2330" i="3"/>
  <c r="H2331" i="3"/>
  <c r="C2331" i="3" s="1"/>
  <c r="H2332" i="3"/>
  <c r="C2332" i="3" s="1"/>
  <c r="H2333" i="3"/>
  <c r="C2333" i="3" s="1"/>
  <c r="C2334" i="3"/>
  <c r="H2334" i="3"/>
  <c r="H2335" i="3"/>
  <c r="C2335" i="3" s="1"/>
  <c r="C2336" i="3"/>
  <c r="H2336" i="3"/>
  <c r="H2337" i="3"/>
  <c r="C2337" i="3" s="1"/>
  <c r="H2338" i="3"/>
  <c r="C2338" i="3" s="1"/>
  <c r="H2339" i="3"/>
  <c r="C2339" i="3" s="1"/>
  <c r="C2340" i="3"/>
  <c r="H2340" i="3"/>
  <c r="H2341" i="3"/>
  <c r="C2341" i="3" s="1"/>
  <c r="C2342" i="3"/>
  <c r="H2342" i="3"/>
  <c r="C2343" i="3"/>
  <c r="H2343" i="3"/>
  <c r="H2344" i="3"/>
  <c r="C2344" i="3" s="1"/>
  <c r="H2345" i="3"/>
  <c r="C2345" i="3" s="1"/>
  <c r="H2346" i="3"/>
  <c r="C2346" i="3" s="1"/>
  <c r="H2347" i="3"/>
  <c r="C2347" i="3" s="1"/>
  <c r="H2348" i="3"/>
  <c r="C2348" i="3" s="1"/>
  <c r="H2349" i="3"/>
  <c r="C2349" i="3" s="1"/>
  <c r="H2350" i="3"/>
  <c r="C2350" i="3" s="1"/>
  <c r="H2351" i="3"/>
  <c r="C2351" i="3" s="1"/>
  <c r="H2352" i="3"/>
  <c r="C2352" i="3" s="1"/>
  <c r="H2353" i="3"/>
  <c r="C2353" i="3" s="1"/>
  <c r="H2354" i="3"/>
  <c r="C2354" i="3" s="1"/>
  <c r="H2355" i="3"/>
  <c r="C2355" i="3" s="1"/>
  <c r="H2356" i="3"/>
  <c r="C2356" i="3" s="1"/>
  <c r="H2357" i="3"/>
  <c r="C2357" i="3" s="1"/>
  <c r="H2358" i="3"/>
  <c r="C2358" i="3" s="1"/>
  <c r="H2359" i="3"/>
  <c r="C2359" i="3" s="1"/>
  <c r="C2360" i="3"/>
  <c r="H2360" i="3"/>
  <c r="H2361" i="3"/>
  <c r="C2361" i="3" s="1"/>
  <c r="H2362" i="3"/>
  <c r="C2362" i="3" s="1"/>
  <c r="H2363" i="3"/>
  <c r="C2363" i="3" s="1"/>
  <c r="H2364" i="3"/>
  <c r="C2364" i="3" s="1"/>
  <c r="H2365" i="3"/>
  <c r="C2365" i="3" s="1"/>
  <c r="H2366" i="3"/>
  <c r="C2366" i="3" s="1"/>
  <c r="H2367" i="3"/>
  <c r="C2367" i="3" s="1"/>
  <c r="C2368" i="3"/>
  <c r="H2368" i="3"/>
  <c r="H2369" i="3"/>
  <c r="C2369" i="3" s="1"/>
  <c r="C2370" i="3"/>
  <c r="H2370" i="3"/>
  <c r="H2371" i="3"/>
  <c r="C2371" i="3" s="1"/>
  <c r="C2372" i="3"/>
  <c r="H2372" i="3"/>
  <c r="H2373" i="3"/>
  <c r="C2373" i="3" s="1"/>
  <c r="H2374" i="3"/>
  <c r="C2374" i="3" s="1"/>
  <c r="H2375" i="3"/>
  <c r="C2375" i="3" s="1"/>
  <c r="H2376" i="3"/>
  <c r="C2376" i="3" s="1"/>
  <c r="H2377" i="3"/>
  <c r="C2377" i="3" s="1"/>
  <c r="H2378" i="3"/>
  <c r="C2378" i="3" s="1"/>
  <c r="H2379" i="3"/>
  <c r="C2379" i="3" s="1"/>
  <c r="H2380" i="3"/>
  <c r="C2380" i="3" s="1"/>
  <c r="H2381" i="3"/>
  <c r="C2381" i="3" s="1"/>
  <c r="H2382" i="3"/>
  <c r="C2382" i="3" s="1"/>
  <c r="H2383" i="3"/>
  <c r="C2383" i="3" s="1"/>
  <c r="H2384" i="3"/>
  <c r="C2384" i="3" s="1"/>
  <c r="H2385" i="3"/>
  <c r="C2385" i="3" s="1"/>
  <c r="H2386" i="3"/>
  <c r="C2386" i="3" s="1"/>
  <c r="H2387" i="3"/>
  <c r="C2387" i="3" s="1"/>
  <c r="H2388" i="3"/>
  <c r="C2388" i="3" s="1"/>
  <c r="C2389" i="3"/>
  <c r="H2389" i="3"/>
  <c r="H2390" i="3"/>
  <c r="C2390" i="3" s="1"/>
  <c r="H2391" i="3"/>
  <c r="C2391" i="3" s="1"/>
  <c r="H2392" i="3"/>
  <c r="C2392" i="3" s="1"/>
  <c r="H2393" i="3"/>
  <c r="C2393" i="3" s="1"/>
  <c r="H2394" i="3"/>
  <c r="C2394" i="3" s="1"/>
  <c r="H2395" i="3"/>
  <c r="C2395" i="3" s="1"/>
  <c r="H2396" i="3"/>
  <c r="C2396" i="3" s="1"/>
  <c r="C2397" i="3"/>
  <c r="H2397" i="3"/>
  <c r="H2398" i="3"/>
  <c r="C2398" i="3" s="1"/>
  <c r="H2399" i="3"/>
  <c r="C2399" i="3" s="1"/>
  <c r="C2400" i="3"/>
  <c r="H2400" i="3"/>
  <c r="H2401" i="3"/>
  <c r="C2401" i="3" s="1"/>
  <c r="H2402" i="3"/>
  <c r="C2402" i="3" s="1"/>
  <c r="H2403" i="3"/>
  <c r="C2403" i="3" s="1"/>
  <c r="H2404" i="3"/>
  <c r="C2404" i="3" s="1"/>
  <c r="H2405" i="3"/>
  <c r="C2405" i="3" s="1"/>
  <c r="C2406" i="3"/>
  <c r="H2406" i="3"/>
  <c r="C2407" i="3"/>
  <c r="H2407" i="3"/>
  <c r="C2408" i="3"/>
  <c r="H2408" i="3"/>
  <c r="H2409" i="3"/>
  <c r="C2409" i="3" s="1"/>
  <c r="H2410" i="3"/>
  <c r="C2410" i="3" s="1"/>
  <c r="H2411" i="3"/>
  <c r="C2411" i="3" s="1"/>
  <c r="H2412" i="3"/>
  <c r="C2412" i="3" s="1"/>
  <c r="H2413" i="3"/>
  <c r="C2413" i="3" s="1"/>
  <c r="H2414" i="3"/>
  <c r="C2414" i="3" s="1"/>
  <c r="H2415" i="3"/>
  <c r="C2415" i="3" s="1"/>
  <c r="H2416" i="3"/>
  <c r="C2416" i="3" s="1"/>
  <c r="H2417" i="3"/>
  <c r="C2417" i="3" s="1"/>
  <c r="H2418" i="3"/>
  <c r="C2418" i="3" s="1"/>
  <c r="H2419" i="3"/>
  <c r="C2419" i="3" s="1"/>
  <c r="H2420" i="3"/>
  <c r="C2420" i="3" s="1"/>
  <c r="C2421" i="3"/>
  <c r="H2421" i="3"/>
  <c r="H2422" i="3"/>
  <c r="C2422" i="3" s="1"/>
  <c r="H2423" i="3"/>
  <c r="C2423" i="3" s="1"/>
  <c r="C2424" i="3"/>
  <c r="H2424" i="3"/>
  <c r="C2425" i="3"/>
  <c r="H2425" i="3"/>
  <c r="H2426" i="3"/>
  <c r="C2426" i="3" s="1"/>
  <c r="H2427" i="3"/>
  <c r="C2427" i="3" s="1"/>
  <c r="H2428" i="3"/>
  <c r="C2428" i="3" s="1"/>
  <c r="C2429" i="3"/>
  <c r="H2429" i="3"/>
  <c r="C2430" i="3"/>
  <c r="H2430" i="3"/>
  <c r="H2431" i="3"/>
  <c r="C2431" i="3" s="1"/>
  <c r="H2432" i="3"/>
  <c r="C2432" i="3" s="1"/>
  <c r="H2433" i="3"/>
  <c r="C2433" i="3" s="1"/>
  <c r="C2434" i="3"/>
  <c r="H2434" i="3"/>
  <c r="H2435" i="3"/>
  <c r="C2435" i="3" s="1"/>
  <c r="H2436" i="3"/>
  <c r="C2436" i="3" s="1"/>
  <c r="C2437" i="3"/>
  <c r="H2437" i="3"/>
  <c r="C2438" i="3"/>
  <c r="H2438" i="3"/>
  <c r="H2439" i="3"/>
  <c r="C2439" i="3" s="1"/>
  <c r="H2440" i="3"/>
  <c r="C2440" i="3" s="1"/>
  <c r="C2441" i="3"/>
  <c r="H2441" i="3"/>
  <c r="C2442" i="3"/>
  <c r="H2442" i="3"/>
  <c r="H2443" i="3"/>
  <c r="C2443" i="3" s="1"/>
  <c r="H2444" i="3"/>
  <c r="C2444" i="3" s="1"/>
  <c r="C2445" i="3"/>
  <c r="H2445" i="3"/>
  <c r="H2446" i="3"/>
  <c r="C2446" i="3" s="1"/>
  <c r="C2447" i="3"/>
  <c r="H2447" i="3"/>
  <c r="H2448" i="3"/>
  <c r="C2448" i="3" s="1"/>
  <c r="H2449" i="3"/>
  <c r="C2449" i="3" s="1"/>
  <c r="H2450" i="3"/>
  <c r="C2450" i="3" s="1"/>
  <c r="C2451" i="3"/>
  <c r="H2451" i="3"/>
  <c r="H2452" i="3"/>
  <c r="C2452" i="3" s="1"/>
  <c r="C2453" i="3"/>
  <c r="H2453" i="3"/>
  <c r="H2454" i="3"/>
  <c r="C2454" i="3" s="1"/>
  <c r="H2455" i="3"/>
  <c r="C2455" i="3" s="1"/>
  <c r="C2456" i="3"/>
  <c r="H2456" i="3"/>
  <c r="H2457" i="3"/>
  <c r="C2457" i="3" s="1"/>
  <c r="H2458" i="3"/>
  <c r="C2458" i="3" s="1"/>
  <c r="H2459" i="3"/>
  <c r="C2459" i="3" s="1"/>
  <c r="H2460" i="3"/>
  <c r="C2460" i="3" s="1"/>
  <c r="H2461" i="3"/>
  <c r="C2461" i="3" s="1"/>
  <c r="H2462" i="3"/>
  <c r="C2462" i="3" s="1"/>
  <c r="H2463" i="3"/>
  <c r="C2463" i="3" s="1"/>
  <c r="C2464" i="3"/>
  <c r="H2464" i="3"/>
  <c r="H2465" i="3"/>
  <c r="C2465" i="3" s="1"/>
  <c r="H2466" i="3"/>
  <c r="C2466" i="3" s="1"/>
  <c r="H2467" i="3"/>
  <c r="C2467" i="3" s="1"/>
  <c r="H2468" i="3"/>
  <c r="C2468" i="3" s="1"/>
  <c r="C2469" i="3"/>
  <c r="H2469" i="3"/>
  <c r="H2470" i="3"/>
  <c r="C2470" i="3" s="1"/>
  <c r="H2471" i="3"/>
  <c r="C2471" i="3" s="1"/>
  <c r="H2472" i="3"/>
  <c r="C2472" i="3" s="1"/>
  <c r="H2473" i="3"/>
  <c r="C2473" i="3" s="1"/>
  <c r="H2474" i="3"/>
  <c r="C2474" i="3" s="1"/>
  <c r="H2475" i="3"/>
  <c r="C2475" i="3" s="1"/>
  <c r="H2476" i="3"/>
  <c r="C2476" i="3" s="1"/>
  <c r="C2477" i="3"/>
  <c r="H2477" i="3"/>
  <c r="H2478" i="3"/>
  <c r="C2478" i="3" s="1"/>
  <c r="H2479" i="3"/>
  <c r="C2479" i="3" s="1"/>
  <c r="H2480" i="3"/>
  <c r="C2480" i="3" s="1"/>
  <c r="C2481" i="3"/>
  <c r="H2481" i="3"/>
  <c r="H2482" i="3"/>
  <c r="C2482" i="3" s="1"/>
  <c r="H2483" i="3"/>
  <c r="C2483" i="3" s="1"/>
  <c r="H2484" i="3"/>
  <c r="C2484" i="3" s="1"/>
  <c r="H2485" i="3"/>
  <c r="C2485" i="3" s="1"/>
  <c r="H2486" i="3"/>
  <c r="C2486" i="3" s="1"/>
  <c r="H2487" i="3"/>
  <c r="C2487" i="3" s="1"/>
  <c r="H2488" i="3"/>
  <c r="C2488" i="3" s="1"/>
  <c r="H2489" i="3"/>
  <c r="C2489" i="3" s="1"/>
  <c r="C2490" i="3"/>
  <c r="H2490" i="3"/>
  <c r="H2491" i="3"/>
  <c r="C2491" i="3" s="1"/>
  <c r="H2492" i="3"/>
  <c r="C2492" i="3" s="1"/>
  <c r="C2493" i="3"/>
  <c r="H2493" i="3"/>
  <c r="H2494" i="3"/>
  <c r="C2494" i="3" s="1"/>
  <c r="H2495" i="3"/>
  <c r="C2495" i="3" s="1"/>
  <c r="H2496" i="3"/>
  <c r="C2496" i="3" s="1"/>
  <c r="H2497" i="3"/>
  <c r="C2497" i="3" s="1"/>
  <c r="H2498" i="3"/>
  <c r="C2498" i="3" s="1"/>
  <c r="H2499" i="3"/>
  <c r="C2499" i="3" s="1"/>
  <c r="H2500" i="3"/>
  <c r="C2500" i="3" s="1"/>
  <c r="C2501" i="3"/>
  <c r="H2501" i="3"/>
  <c r="H2502" i="3"/>
  <c r="C2502" i="3" s="1"/>
  <c r="H2503" i="3"/>
  <c r="C2503" i="3" s="1"/>
  <c r="H2504" i="3"/>
  <c r="C2504" i="3" s="1"/>
  <c r="H2505" i="3"/>
  <c r="C2505" i="3" s="1"/>
  <c r="H2506" i="3"/>
  <c r="C2506" i="3" s="1"/>
  <c r="H2507" i="3"/>
  <c r="C2507" i="3" s="1"/>
  <c r="H2508" i="3"/>
  <c r="C2508" i="3" s="1"/>
  <c r="H2509" i="3"/>
  <c r="C2509" i="3" s="1"/>
  <c r="H2510" i="3"/>
  <c r="C2510" i="3" s="1"/>
  <c r="C2511" i="3"/>
  <c r="H2511" i="3"/>
  <c r="H2512" i="3"/>
  <c r="C2512" i="3" s="1"/>
  <c r="H2513" i="3"/>
  <c r="C2513" i="3" s="1"/>
  <c r="H2514" i="3"/>
  <c r="C2514" i="3" s="1"/>
  <c r="C2515" i="3"/>
  <c r="H2515" i="3"/>
  <c r="H2516" i="3"/>
  <c r="C2516" i="3" s="1"/>
  <c r="H2517" i="3"/>
  <c r="C2517" i="3" s="1"/>
  <c r="H2518" i="3"/>
  <c r="C2518" i="3" s="1"/>
  <c r="H2519" i="3"/>
  <c r="C2519" i="3" s="1"/>
  <c r="H2520" i="3"/>
  <c r="C2520" i="3" s="1"/>
  <c r="H2521" i="3"/>
  <c r="C2521" i="3" s="1"/>
  <c r="H2522" i="3"/>
  <c r="C2522" i="3" s="1"/>
  <c r="H2523" i="3"/>
  <c r="C2523" i="3" s="1"/>
  <c r="H2524" i="3"/>
  <c r="C2524" i="3" s="1"/>
  <c r="H2525" i="3"/>
  <c r="C2525" i="3" s="1"/>
  <c r="H2526" i="3"/>
  <c r="C2526" i="3" s="1"/>
  <c r="H2527" i="3"/>
  <c r="C2527" i="3" s="1"/>
  <c r="C2528" i="3"/>
  <c r="H2528" i="3"/>
  <c r="H2529" i="3"/>
  <c r="C2529" i="3" s="1"/>
  <c r="H2530" i="3"/>
  <c r="C2530" i="3" s="1"/>
  <c r="H2531" i="3"/>
  <c r="C2531" i="3" s="1"/>
  <c r="H2532" i="3"/>
  <c r="C2532" i="3" s="1"/>
  <c r="H2533" i="3"/>
  <c r="C2533" i="3" s="1"/>
  <c r="H2534" i="3"/>
  <c r="C2534" i="3" s="1"/>
  <c r="C2535" i="3"/>
  <c r="H2535" i="3"/>
  <c r="C2536" i="3"/>
  <c r="H2536" i="3"/>
  <c r="H2537" i="3"/>
  <c r="C2537" i="3" s="1"/>
  <c r="H2538" i="3"/>
  <c r="C2538" i="3" s="1"/>
  <c r="H2539" i="3"/>
  <c r="C2539" i="3" s="1"/>
  <c r="H2540" i="3"/>
  <c r="C2540" i="3" s="1"/>
  <c r="H2541" i="3"/>
  <c r="C2541" i="3" s="1"/>
  <c r="H2542" i="3"/>
  <c r="C2542" i="3" s="1"/>
  <c r="H2543" i="3"/>
  <c r="C2543" i="3" s="1"/>
  <c r="H2544" i="3"/>
  <c r="C2544" i="3" s="1"/>
  <c r="H2545" i="3"/>
  <c r="C2545" i="3" s="1"/>
  <c r="H2546" i="3"/>
  <c r="C2546" i="3" s="1"/>
  <c r="H2547" i="3"/>
  <c r="C2547" i="3" s="1"/>
  <c r="H2548" i="3"/>
  <c r="C2548" i="3" s="1"/>
  <c r="C2549" i="3"/>
  <c r="H2549" i="3"/>
  <c r="H2550" i="3"/>
  <c r="C2550" i="3" s="1"/>
  <c r="H2551" i="3"/>
  <c r="C2551" i="3" s="1"/>
  <c r="C2552" i="3"/>
  <c r="H2552" i="3"/>
  <c r="C2553" i="3"/>
  <c r="H2553" i="3"/>
  <c r="H2554" i="3"/>
  <c r="C2554" i="3" s="1"/>
  <c r="H2555" i="3"/>
  <c r="C2555" i="3" s="1"/>
  <c r="H2556" i="3"/>
  <c r="C2556" i="3" s="1"/>
  <c r="C2557" i="3"/>
  <c r="H2557" i="3"/>
  <c r="C2558" i="3"/>
  <c r="H2558" i="3"/>
  <c r="H2559" i="3"/>
  <c r="C2559" i="3" s="1"/>
  <c r="H2560" i="3"/>
  <c r="C2560" i="3" s="1"/>
  <c r="H2561" i="3"/>
  <c r="C2561" i="3" s="1"/>
  <c r="C2562" i="3"/>
  <c r="H2562" i="3"/>
  <c r="H2563" i="3"/>
  <c r="C2563" i="3" s="1"/>
  <c r="H2564" i="3"/>
  <c r="C2564" i="3" s="1"/>
  <c r="C2565" i="3"/>
  <c r="H2565" i="3"/>
  <c r="H2566" i="3"/>
  <c r="C2566" i="3" s="1"/>
  <c r="H2567" i="3"/>
  <c r="C2567" i="3" s="1"/>
  <c r="H2568" i="3"/>
  <c r="C2568" i="3" s="1"/>
  <c r="H2569" i="3"/>
  <c r="C2569" i="3" s="1"/>
  <c r="C2570" i="3"/>
  <c r="H2570" i="3"/>
  <c r="H2571" i="3"/>
  <c r="C2571" i="3" s="1"/>
  <c r="H2572" i="3"/>
  <c r="C2572" i="3" s="1"/>
  <c r="C2573" i="3"/>
  <c r="H2573" i="3"/>
  <c r="H2574" i="3"/>
  <c r="C2574" i="3" s="1"/>
  <c r="H2575" i="3"/>
  <c r="C2575" i="3" s="1"/>
  <c r="H2576" i="3"/>
  <c r="C2576" i="3" s="1"/>
  <c r="H2577" i="3"/>
  <c r="C2577" i="3" s="1"/>
  <c r="H2578" i="3"/>
  <c r="C2578" i="3" s="1"/>
  <c r="H2579" i="3"/>
  <c r="C2579" i="3" s="1"/>
  <c r="H2580" i="3"/>
  <c r="C2580" i="3" s="1"/>
  <c r="C2581" i="3"/>
  <c r="H2581" i="3"/>
  <c r="H2582" i="3"/>
  <c r="C2582" i="3" s="1"/>
  <c r="H2583" i="3"/>
  <c r="C2583" i="3" s="1"/>
  <c r="C2584" i="3"/>
  <c r="H2584" i="3"/>
  <c r="H2585" i="3"/>
  <c r="C2585" i="3" s="1"/>
  <c r="H2586" i="3"/>
  <c r="C2586" i="3" s="1"/>
  <c r="H2587" i="3"/>
  <c r="C2587" i="3" s="1"/>
  <c r="H2588" i="3"/>
  <c r="C2588" i="3" s="1"/>
  <c r="H2589" i="3"/>
  <c r="C2589" i="3" s="1"/>
  <c r="H2590" i="3"/>
  <c r="C2590" i="3" s="1"/>
  <c r="H2591" i="3"/>
  <c r="C2591" i="3" s="1"/>
  <c r="C2592" i="3"/>
  <c r="H2592" i="3"/>
  <c r="H2593" i="3"/>
  <c r="C2593" i="3" s="1"/>
  <c r="H2594" i="3"/>
  <c r="C2594" i="3" s="1"/>
  <c r="H2595" i="3"/>
  <c r="C2595" i="3" s="1"/>
  <c r="H2596" i="3"/>
  <c r="C2596" i="3" s="1"/>
  <c r="C2597" i="3"/>
  <c r="H2597" i="3"/>
  <c r="H2598" i="3"/>
  <c r="C2598" i="3" s="1"/>
  <c r="H2599" i="3"/>
  <c r="C2599" i="3" s="1"/>
  <c r="C2600" i="3"/>
  <c r="H2600" i="3"/>
  <c r="H2601" i="3"/>
  <c r="C2601" i="3" s="1"/>
  <c r="H2602" i="3"/>
  <c r="C2602" i="3" s="1"/>
  <c r="H2603" i="3"/>
  <c r="C2603" i="3" s="1"/>
  <c r="H2604" i="3"/>
  <c r="C2604" i="3" s="1"/>
  <c r="H2605" i="3"/>
  <c r="C2605" i="3" s="1"/>
  <c r="H2606" i="3"/>
  <c r="C2606" i="3" s="1"/>
  <c r="H2607" i="3"/>
  <c r="C2607" i="3" s="1"/>
  <c r="H2608" i="3"/>
  <c r="C2608" i="3" s="1"/>
  <c r="H2609" i="3"/>
  <c r="C2609" i="3" s="1"/>
  <c r="H2610" i="3"/>
  <c r="C2610" i="3" s="1"/>
  <c r="H2611" i="3"/>
  <c r="C2611" i="3" s="1"/>
  <c r="H2612" i="3"/>
  <c r="C2612" i="3" s="1"/>
  <c r="H2613" i="3"/>
  <c r="C2613" i="3" s="1"/>
  <c r="H2614" i="3"/>
  <c r="C2614" i="3" s="1"/>
  <c r="H2615" i="3"/>
  <c r="C2615" i="3" s="1"/>
  <c r="H2616" i="3"/>
  <c r="C2616" i="3" s="1"/>
  <c r="C2617" i="3"/>
  <c r="H2617" i="3"/>
  <c r="H2618" i="3"/>
  <c r="C2618" i="3" s="1"/>
  <c r="H2619" i="3"/>
  <c r="C2619" i="3" s="1"/>
  <c r="H2620" i="3"/>
  <c r="C2620" i="3" s="1"/>
  <c r="H2621" i="3"/>
  <c r="C2621" i="3" s="1"/>
  <c r="H2622" i="3"/>
  <c r="C2622" i="3" s="1"/>
  <c r="H2623" i="3"/>
  <c r="C2623" i="3" s="1"/>
  <c r="H2624" i="3"/>
  <c r="C2624" i="3" s="1"/>
  <c r="H2625" i="3"/>
  <c r="C2625" i="3" s="1"/>
  <c r="H2626" i="3"/>
  <c r="C2626" i="3" s="1"/>
  <c r="H2627" i="3"/>
  <c r="C2627" i="3" s="1"/>
  <c r="H2628" i="3"/>
  <c r="C2628" i="3" s="1"/>
  <c r="H2629" i="3"/>
  <c r="C2629" i="3" s="1"/>
  <c r="C2630" i="3"/>
  <c r="H2630" i="3"/>
  <c r="H2631" i="3"/>
  <c r="C2631" i="3" s="1"/>
  <c r="H2632" i="3"/>
  <c r="C2632" i="3" s="1"/>
  <c r="H2633" i="3"/>
  <c r="C2633" i="3" s="1"/>
  <c r="H2634" i="3"/>
  <c r="C2634" i="3" s="1"/>
  <c r="H2635" i="3"/>
  <c r="C2635" i="3" s="1"/>
  <c r="H2636" i="3"/>
  <c r="C2636" i="3" s="1"/>
  <c r="H2637" i="3"/>
  <c r="C2637" i="3" s="1"/>
  <c r="H2638" i="3"/>
  <c r="C2638" i="3" s="1"/>
  <c r="C2639" i="3"/>
  <c r="H2639" i="3"/>
  <c r="H2640" i="3"/>
  <c r="C2640" i="3" s="1"/>
  <c r="H2641" i="3"/>
  <c r="C2641" i="3" s="1"/>
  <c r="H2642" i="3"/>
  <c r="C2642" i="3" s="1"/>
  <c r="C2643" i="3"/>
  <c r="H2643" i="3"/>
  <c r="H2644" i="3"/>
  <c r="C2644" i="3" s="1"/>
  <c r="H2645" i="3"/>
  <c r="C2645" i="3" s="1"/>
  <c r="H2646" i="3"/>
  <c r="C2646" i="3" s="1"/>
  <c r="C2647" i="3"/>
  <c r="H2647" i="3"/>
  <c r="H2648" i="3"/>
  <c r="C2648" i="3" s="1"/>
  <c r="H2649" i="3"/>
  <c r="C2649" i="3" s="1"/>
  <c r="H2650" i="3"/>
  <c r="C2650" i="3" s="1"/>
  <c r="H2651" i="3"/>
  <c r="C2651" i="3" s="1"/>
  <c r="H2652" i="3"/>
  <c r="C2652" i="3" s="1"/>
  <c r="C2653" i="3"/>
  <c r="H2653" i="3"/>
  <c r="H2654" i="3"/>
  <c r="C2654" i="3" s="1"/>
  <c r="H2655" i="3"/>
  <c r="C2655" i="3" s="1"/>
  <c r="H2656" i="3"/>
  <c r="C2656" i="3" s="1"/>
  <c r="H2657" i="3"/>
  <c r="C2657" i="3" s="1"/>
  <c r="H2658" i="3"/>
  <c r="C2658" i="3" s="1"/>
  <c r="H2659" i="3"/>
  <c r="C2659" i="3" s="1"/>
  <c r="H2660" i="3"/>
  <c r="C2660" i="3" s="1"/>
  <c r="H2661" i="3"/>
  <c r="C2661" i="3" s="1"/>
  <c r="H2662" i="3"/>
  <c r="C2662" i="3" s="1"/>
  <c r="H2663" i="3"/>
  <c r="C2663" i="3" s="1"/>
  <c r="C2664" i="3"/>
  <c r="H2664" i="3"/>
  <c r="H2665" i="3"/>
  <c r="C2665" i="3" s="1"/>
  <c r="H2666" i="3"/>
  <c r="C2666" i="3" s="1"/>
  <c r="H2667" i="3"/>
  <c r="C2667" i="3" s="1"/>
  <c r="H2668" i="3"/>
  <c r="C2668" i="3" s="1"/>
  <c r="C2669" i="3"/>
  <c r="H2669" i="3"/>
  <c r="H2670" i="3"/>
  <c r="C2670" i="3" s="1"/>
  <c r="H2671" i="3"/>
  <c r="C2671" i="3" s="1"/>
  <c r="H2672" i="3"/>
  <c r="C2672" i="3" s="1"/>
  <c r="H2673" i="3"/>
  <c r="C2673" i="3" s="1"/>
  <c r="H2674" i="3"/>
  <c r="C2674" i="3" s="1"/>
  <c r="H2675" i="3"/>
  <c r="C2675" i="3" s="1"/>
  <c r="H2676" i="3"/>
  <c r="C2676" i="3" s="1"/>
  <c r="H2677" i="3"/>
  <c r="C2677" i="3" s="1"/>
  <c r="C2678" i="3"/>
  <c r="H2678" i="3"/>
  <c r="H2679" i="3"/>
  <c r="C2679" i="3" s="1"/>
  <c r="C2680" i="3"/>
  <c r="H2680" i="3"/>
  <c r="C2681" i="3"/>
  <c r="H2681" i="3"/>
  <c r="H2682" i="3"/>
  <c r="C2682" i="3" s="1"/>
  <c r="H2683" i="3"/>
  <c r="C2683" i="3" s="1"/>
  <c r="H2684" i="3"/>
  <c r="C2684" i="3" s="1"/>
  <c r="H2685" i="3"/>
  <c r="C2685" i="3" s="1"/>
  <c r="C2686" i="3"/>
  <c r="H2686" i="3"/>
  <c r="H2687" i="3"/>
  <c r="C2687" i="3" s="1"/>
  <c r="H2688" i="3"/>
  <c r="C2688" i="3" s="1"/>
  <c r="H2689" i="3"/>
  <c r="C2689" i="3" s="1"/>
  <c r="C2690" i="3"/>
  <c r="H2690" i="3"/>
  <c r="H2691" i="3"/>
  <c r="C2691" i="3" s="1"/>
  <c r="H2692" i="3"/>
  <c r="C2692" i="3" s="1"/>
  <c r="H2693" i="3"/>
  <c r="C2693" i="3" s="1"/>
  <c r="H2694" i="3"/>
  <c r="C2694" i="3" s="1"/>
  <c r="H2695" i="3"/>
  <c r="C2695" i="3" s="1"/>
  <c r="H2696" i="3"/>
  <c r="C2696" i="3" s="1"/>
  <c r="H2697" i="3"/>
  <c r="C2697" i="3" s="1"/>
  <c r="C2698" i="3"/>
  <c r="H2698" i="3"/>
  <c r="H2699" i="3"/>
  <c r="C2699" i="3" s="1"/>
  <c r="H2700" i="3"/>
  <c r="C2700" i="3" s="1"/>
  <c r="H2701" i="3"/>
  <c r="C2701" i="3" s="1"/>
  <c r="C2702" i="3"/>
  <c r="H2702" i="3"/>
  <c r="C2703" i="3"/>
  <c r="H2703" i="3"/>
  <c r="H2704" i="3"/>
  <c r="C2704" i="3" s="1"/>
  <c r="H2705" i="3"/>
  <c r="C2705" i="3" s="1"/>
  <c r="C2706" i="3"/>
  <c r="H2706" i="3"/>
  <c r="H2707" i="3"/>
  <c r="C2707" i="3" s="1"/>
  <c r="H2708" i="3"/>
  <c r="C2708" i="3" s="1"/>
  <c r="H2709" i="3"/>
  <c r="C2709" i="3" s="1"/>
  <c r="H2710" i="3"/>
  <c r="C2710" i="3" s="1"/>
  <c r="H2711" i="3"/>
  <c r="C2711" i="3" s="1"/>
  <c r="H2712" i="3"/>
  <c r="C2712" i="3" s="1"/>
  <c r="C2713" i="3"/>
  <c r="H2713" i="3"/>
  <c r="C2714" i="3"/>
  <c r="H2714" i="3"/>
  <c r="H2715" i="3"/>
  <c r="C2715" i="3" s="1"/>
  <c r="H2716" i="3"/>
  <c r="C2716" i="3" s="1"/>
  <c r="H2717" i="3"/>
  <c r="C2717" i="3" s="1"/>
  <c r="C2718" i="3"/>
  <c r="H2718" i="3"/>
  <c r="H2719" i="3"/>
  <c r="C2719" i="3" s="1"/>
  <c r="H2720" i="3"/>
  <c r="C2720" i="3" s="1"/>
  <c r="H2721" i="3"/>
  <c r="C2721" i="3" s="1"/>
  <c r="C2722" i="3"/>
  <c r="H2722" i="3"/>
  <c r="H2723" i="3"/>
  <c r="C2723" i="3" s="1"/>
  <c r="H2724" i="3"/>
  <c r="C2724" i="3" s="1"/>
  <c r="H2725" i="3"/>
  <c r="C2725" i="3" s="1"/>
  <c r="H2726" i="3"/>
  <c r="C2726" i="3" s="1"/>
  <c r="C2727" i="3"/>
  <c r="H2727" i="3"/>
  <c r="H2728" i="3"/>
  <c r="C2728" i="3" s="1"/>
  <c r="C2729" i="3"/>
  <c r="H2729" i="3"/>
  <c r="H2730" i="3"/>
  <c r="C2730" i="3" s="1"/>
  <c r="H2731" i="3"/>
  <c r="C2731" i="3" s="1"/>
  <c r="H2732" i="3"/>
  <c r="C2732" i="3" s="1"/>
  <c r="H2733" i="3"/>
  <c r="C2733" i="3" s="1"/>
  <c r="C2734" i="3"/>
  <c r="H2734" i="3"/>
  <c r="C2735" i="3"/>
  <c r="H2735" i="3"/>
  <c r="H2736" i="3"/>
  <c r="C2736" i="3" s="1"/>
  <c r="H2737" i="3"/>
  <c r="C2737" i="3" s="1"/>
  <c r="H2738" i="3"/>
  <c r="C2738" i="3" s="1"/>
  <c r="H2739" i="3"/>
  <c r="C2739" i="3" s="1"/>
  <c r="H2740" i="3"/>
  <c r="C2740" i="3" s="1"/>
  <c r="H2741" i="3"/>
  <c r="C2741" i="3" s="1"/>
  <c r="H2742" i="3"/>
  <c r="C2742" i="3" s="1"/>
  <c r="C2743" i="3"/>
  <c r="H2743" i="3"/>
  <c r="H2744" i="3"/>
  <c r="C2744" i="3" s="1"/>
  <c r="C2745" i="3"/>
  <c r="H2745" i="3"/>
  <c r="C2746" i="3"/>
  <c r="H2746" i="3"/>
  <c r="H2747" i="3"/>
  <c r="C2747" i="3" s="1"/>
  <c r="H2748" i="3"/>
  <c r="C2748" i="3" s="1"/>
  <c r="H2749" i="3"/>
  <c r="C2749" i="3" s="1"/>
  <c r="H2750" i="3"/>
  <c r="C2750" i="3" s="1"/>
  <c r="C2751" i="3"/>
  <c r="H2751" i="3"/>
  <c r="H2752" i="3"/>
  <c r="C2752" i="3" s="1"/>
  <c r="C2753" i="3"/>
  <c r="H2753" i="3"/>
  <c r="H2754" i="3"/>
  <c r="C2754" i="3" s="1"/>
  <c r="H2755" i="3"/>
  <c r="C2755" i="3" s="1"/>
  <c r="H2756" i="3"/>
  <c r="C2756" i="3" s="1"/>
  <c r="H2757" i="3"/>
  <c r="C2757" i="3" s="1"/>
  <c r="H2758" i="3"/>
  <c r="C2758" i="3" s="1"/>
  <c r="C2759" i="3"/>
  <c r="H2759" i="3"/>
  <c r="H2760" i="3"/>
  <c r="C2760" i="3" s="1"/>
  <c r="H2761" i="3"/>
  <c r="C2761" i="3" s="1"/>
  <c r="C2762" i="3"/>
  <c r="H2762" i="3"/>
  <c r="H2763" i="3"/>
  <c r="C2763" i="3" s="1"/>
  <c r="H2764" i="3"/>
  <c r="C2764" i="3" s="1"/>
  <c r="H2765" i="3"/>
  <c r="C2765" i="3" s="1"/>
  <c r="H2766" i="3"/>
  <c r="C2766" i="3" s="1"/>
  <c r="C2767" i="3"/>
  <c r="H2767" i="3"/>
  <c r="H2768" i="3"/>
  <c r="C2768" i="3" s="1"/>
  <c r="H2769" i="3"/>
  <c r="C2769" i="3" s="1"/>
  <c r="H2770" i="3"/>
  <c r="C2770" i="3" s="1"/>
  <c r="H2771" i="3"/>
  <c r="C2771" i="3" s="1"/>
  <c r="H2772" i="3"/>
  <c r="C2772" i="3" s="1"/>
  <c r="H2773" i="3"/>
  <c r="C2773" i="3" s="1"/>
  <c r="H2774" i="3"/>
  <c r="C2774" i="3" s="1"/>
  <c r="H2775" i="3"/>
  <c r="C2775" i="3" s="1"/>
  <c r="H2776" i="3"/>
  <c r="C2776" i="3" s="1"/>
  <c r="H2777" i="3"/>
  <c r="C2777" i="3" s="1"/>
  <c r="C2778" i="3"/>
  <c r="H2778" i="3"/>
  <c r="H2779" i="3"/>
  <c r="C2779" i="3" s="1"/>
  <c r="H2780" i="3"/>
  <c r="C2780" i="3" s="1"/>
  <c r="H2781" i="3"/>
  <c r="C2781" i="3" s="1"/>
  <c r="H2782" i="3"/>
  <c r="C2782" i="3" s="1"/>
  <c r="H2783" i="3"/>
  <c r="C2783" i="3" s="1"/>
  <c r="H2784" i="3"/>
  <c r="C2784" i="3" s="1"/>
  <c r="H2785" i="3"/>
  <c r="C2785" i="3" s="1"/>
  <c r="H2786" i="3"/>
  <c r="C2786" i="3" s="1"/>
  <c r="H2787" i="3"/>
  <c r="C2787" i="3" s="1"/>
  <c r="H2788" i="3"/>
  <c r="C2788" i="3" s="1"/>
  <c r="H2789" i="3"/>
  <c r="C2789" i="3" s="1"/>
  <c r="H2790" i="3"/>
  <c r="C2790" i="3" s="1"/>
  <c r="C2791" i="3"/>
  <c r="H2791" i="3"/>
  <c r="H2792" i="3"/>
  <c r="C2792" i="3" s="1"/>
  <c r="H2793" i="3"/>
  <c r="C2793" i="3" s="1"/>
  <c r="H2794" i="3"/>
  <c r="C2794" i="3" s="1"/>
  <c r="H2795" i="3"/>
  <c r="C2795" i="3" s="1"/>
  <c r="H2796" i="3"/>
  <c r="C2796" i="3" s="1"/>
  <c r="H2797" i="3"/>
  <c r="C2797" i="3" s="1"/>
  <c r="H2798" i="3"/>
  <c r="C2798" i="3" s="1"/>
  <c r="H2799" i="3"/>
  <c r="C2799" i="3" s="1"/>
  <c r="H2800" i="3"/>
  <c r="C2800" i="3" s="1"/>
  <c r="C2801" i="3"/>
  <c r="H2801" i="3"/>
  <c r="H2802" i="3"/>
  <c r="C2802" i="3" s="1"/>
  <c r="H2803" i="3"/>
  <c r="C2803" i="3" s="1"/>
  <c r="H2804" i="3"/>
  <c r="C2804" i="3" s="1"/>
  <c r="H2805" i="3"/>
  <c r="C2805" i="3" s="1"/>
  <c r="H2806" i="3"/>
  <c r="C2806" i="3" s="1"/>
  <c r="C2807" i="3"/>
  <c r="H2807" i="3"/>
  <c r="H2808" i="3"/>
  <c r="C2808" i="3" s="1"/>
  <c r="H2809" i="3"/>
  <c r="C2809" i="3" s="1"/>
  <c r="H2810" i="3"/>
  <c r="C2810" i="3" s="1"/>
  <c r="H2811" i="3"/>
  <c r="C2811" i="3" s="1"/>
  <c r="H2812" i="3"/>
  <c r="C2812" i="3" s="1"/>
  <c r="H2813" i="3"/>
  <c r="C2813" i="3" s="1"/>
  <c r="H2814" i="3"/>
  <c r="C2814" i="3" s="1"/>
  <c r="H2815" i="3"/>
  <c r="C2815" i="3" s="1"/>
  <c r="H2816" i="3"/>
  <c r="C2816" i="3" s="1"/>
  <c r="H2817" i="3"/>
  <c r="C2817" i="3" s="1"/>
  <c r="H2818" i="3"/>
  <c r="C2818" i="3" s="1"/>
  <c r="H2819" i="3"/>
  <c r="C2819" i="3" s="1"/>
  <c r="H2820" i="3"/>
  <c r="C2820" i="3" s="1"/>
  <c r="H2821" i="3"/>
  <c r="C2821" i="3" s="1"/>
  <c r="H2822" i="3"/>
  <c r="C2822" i="3" s="1"/>
  <c r="C2823" i="3"/>
  <c r="H2823" i="3"/>
  <c r="H2824" i="3"/>
  <c r="C2824" i="3" s="1"/>
  <c r="H2825" i="3"/>
  <c r="C2825" i="3" s="1"/>
  <c r="H2826" i="3"/>
  <c r="C2826" i="3" s="1"/>
  <c r="H2827" i="3"/>
  <c r="C2827" i="3" s="1"/>
  <c r="H2828" i="3"/>
  <c r="C2828" i="3" s="1"/>
  <c r="H2829" i="3"/>
  <c r="C2829" i="3" s="1"/>
  <c r="H2830" i="3"/>
  <c r="C2830" i="3" s="1"/>
  <c r="H2831" i="3"/>
  <c r="C2831" i="3" s="1"/>
  <c r="H2832" i="3"/>
  <c r="C2832" i="3" s="1"/>
  <c r="H2833" i="3"/>
  <c r="C2833" i="3" s="1"/>
  <c r="C2834" i="3"/>
  <c r="H2834" i="3"/>
  <c r="H2835" i="3"/>
  <c r="C2835" i="3" s="1"/>
  <c r="H2836" i="3"/>
  <c r="C2836" i="3" s="1"/>
  <c r="H2837" i="3"/>
  <c r="C2837" i="3" s="1"/>
  <c r="H2838" i="3"/>
  <c r="C2838" i="3" s="1"/>
  <c r="H2839" i="3"/>
  <c r="C2839" i="3" s="1"/>
  <c r="H2840" i="3"/>
  <c r="C2840" i="3" s="1"/>
  <c r="H2841" i="3"/>
  <c r="C2841" i="3" s="1"/>
  <c r="H2842" i="3"/>
  <c r="C2842" i="3" s="1"/>
  <c r="H2843" i="3"/>
  <c r="C2843" i="3" s="1"/>
  <c r="H2844" i="3"/>
  <c r="C2844" i="3" s="1"/>
  <c r="H2845" i="3"/>
  <c r="C2845" i="3" s="1"/>
  <c r="C2846" i="3"/>
  <c r="H2846" i="3"/>
  <c r="H2847" i="3"/>
  <c r="C2847" i="3" s="1"/>
  <c r="H2848" i="3"/>
  <c r="C2848" i="3" s="1"/>
  <c r="C2849" i="3"/>
  <c r="H2849" i="3"/>
  <c r="H2850" i="3"/>
  <c r="C2850" i="3" s="1"/>
  <c r="H2851" i="3"/>
  <c r="C2851" i="3" s="1"/>
  <c r="H2852" i="3"/>
  <c r="C2852" i="3" s="1"/>
  <c r="H2853" i="3"/>
  <c r="C2853" i="3" s="1"/>
  <c r="H2854" i="3"/>
  <c r="C2854" i="3" s="1"/>
  <c r="H2855" i="3"/>
  <c r="C2855" i="3" s="1"/>
  <c r="H2856" i="3"/>
  <c r="C2856" i="3" s="1"/>
  <c r="C2857" i="3"/>
  <c r="H2857" i="3"/>
  <c r="H2858" i="3"/>
  <c r="C2858" i="3" s="1"/>
  <c r="H2859" i="3"/>
  <c r="C2859" i="3" s="1"/>
  <c r="H2860" i="3"/>
  <c r="C2860" i="3" s="1"/>
  <c r="H2861" i="3"/>
  <c r="C2861" i="3" s="1"/>
  <c r="H2862" i="3"/>
  <c r="C2862" i="3" s="1"/>
  <c r="H2863" i="3"/>
  <c r="C2863" i="3" s="1"/>
  <c r="H2864" i="3"/>
  <c r="C2864" i="3" s="1"/>
  <c r="C2865" i="3"/>
  <c r="H2865" i="3"/>
  <c r="H2866" i="3"/>
  <c r="C2866" i="3" s="1"/>
  <c r="H2867" i="3"/>
  <c r="C2867" i="3" s="1"/>
  <c r="H2868" i="3"/>
  <c r="C2868" i="3" s="1"/>
  <c r="H2869" i="3"/>
  <c r="C2869" i="3" s="1"/>
  <c r="H2870" i="3"/>
  <c r="C2870" i="3" s="1"/>
  <c r="H2871" i="3"/>
  <c r="C2871" i="3" s="1"/>
  <c r="H2872" i="3"/>
  <c r="C2872" i="3" s="1"/>
  <c r="H2873" i="3"/>
  <c r="C2873" i="3" s="1"/>
  <c r="H2874" i="3"/>
  <c r="C2874" i="3" s="1"/>
  <c r="H2875" i="3"/>
  <c r="C2875" i="3" s="1"/>
  <c r="H2876" i="3"/>
  <c r="C2876" i="3" s="1"/>
  <c r="H2877" i="3"/>
  <c r="C2877" i="3" s="1"/>
  <c r="H2878" i="3"/>
  <c r="C2878" i="3" s="1"/>
  <c r="C2879" i="3"/>
  <c r="H2879" i="3"/>
  <c r="T5" i="2"/>
  <c r="U5" i="2"/>
  <c r="V5" i="2"/>
  <c r="W5" i="2"/>
  <c r="X5" i="2"/>
  <c r="X19" i="2"/>
  <c r="X20" i="2"/>
  <c r="X21" i="2"/>
  <c r="X22" i="2"/>
  <c r="X23" i="2"/>
  <c r="X24" i="2"/>
  <c r="X25" i="2"/>
  <c r="X26" i="2"/>
  <c r="X27" i="2"/>
  <c r="X28" i="2"/>
  <c r="X29" i="2"/>
  <c r="X30" i="2"/>
  <c r="X31" i="2"/>
  <c r="X32" i="2"/>
  <c r="X33" i="2"/>
  <c r="V37" i="2"/>
  <c r="X37" i="2"/>
  <c r="V38" i="2"/>
  <c r="X38" i="2" s="1"/>
  <c r="V39" i="2"/>
  <c r="X39" i="2" s="1"/>
  <c r="V40" i="2"/>
  <c r="X40" i="2"/>
  <c r="V41" i="2"/>
  <c r="X41" i="2" s="1"/>
  <c r="V42" i="2"/>
  <c r="X42" i="2" s="1"/>
  <c r="V43" i="2"/>
  <c r="X43" i="2" s="1"/>
  <c r="V44" i="2"/>
  <c r="X44" i="2" s="1"/>
  <c r="V45" i="2"/>
  <c r="X45" i="2"/>
  <c r="V46" i="2"/>
  <c r="X46" i="2"/>
  <c r="V47" i="2"/>
  <c r="X47" i="2" s="1"/>
  <c r="V48" i="2"/>
  <c r="X48" i="2"/>
  <c r="V49" i="2"/>
  <c r="X49" i="2"/>
  <c r="V50" i="2"/>
  <c r="X50" i="2" s="1"/>
  <c r="V51" i="2"/>
  <c r="X51" i="2" s="1"/>
  <c r="X52" i="2"/>
  <c r="C3" i="11" l="1"/>
  <c r="C17" i="11" s="1"/>
  <c r="F17" i="11"/>
  <c r="X3" i="2"/>
  <c r="Y2" i="2"/>
  <c r="X16" i="2"/>
  <c r="X8" i="2"/>
  <c r="AD12" i="2"/>
  <c r="X15" i="2"/>
  <c r="X12" i="2"/>
  <c r="AD8" i="2"/>
  <c r="X11" i="2"/>
  <c r="Y10" i="2"/>
  <c r="X7" i="2"/>
  <c r="X6" i="2"/>
  <c r="AD6" i="2"/>
  <c r="X9" i="2"/>
  <c r="AD9" i="2"/>
  <c r="Y9" i="2"/>
  <c r="Y12" i="2"/>
  <c r="AD13" i="2"/>
  <c r="Y13" i="2"/>
  <c r="AD15" i="2"/>
  <c r="Y15" i="2"/>
  <c r="Y16" i="2"/>
  <c r="AD16" i="2"/>
  <c r="X10" i="2"/>
  <c r="AD10" i="2"/>
  <c r="Y6" i="2"/>
  <c r="Y11" i="2"/>
  <c r="AD7" i="2"/>
  <c r="Y7" i="2"/>
  <c r="Y4" i="2"/>
  <c r="X4" i="2"/>
  <c r="Y5" i="2"/>
  <c r="Y3" i="2"/>
</calcChain>
</file>

<file path=xl/sharedStrings.xml><?xml version="1.0" encoding="utf-8"?>
<sst xmlns="http://schemas.openxmlformats.org/spreadsheetml/2006/main" count="11077" uniqueCount="3235">
  <si>
    <t>0-7 &amp; 56-63</t>
  </si>
  <si>
    <t>0, 1, 2, 3 &amp; 28, 29, 30, 31</t>
  </si>
  <si>
    <t>8 through 55</t>
  </si>
  <si>
    <t>4 through 27</t>
  </si>
  <si>
    <t>ending y</t>
  </si>
  <si>
    <t>starting y</t>
  </si>
  <si>
    <t>ending x</t>
  </si>
  <si>
    <t>starting x</t>
  </si>
  <si>
    <t>Region</t>
  </si>
  <si>
    <t>0, 1 &amp; 62, 63</t>
  </si>
  <si>
    <t>0 &amp; 31</t>
  </si>
  <si>
    <t>2 through 60</t>
  </si>
  <si>
    <t>1 through 30</t>
  </si>
  <si>
    <t>Opacity of BG</t>
  </si>
  <si>
    <t>Lvl 2</t>
  </si>
  <si>
    <t>Corrective</t>
  </si>
  <si>
    <t>Pen size</t>
  </si>
  <si>
    <t>Border</t>
  </si>
  <si>
    <t>(32 x 32)</t>
  </si>
  <si>
    <t>24 tiles</t>
  </si>
  <si>
    <t>by</t>
  </si>
  <si>
    <t>30 tiles</t>
  </si>
  <si>
    <t>Hi Res:</t>
  </si>
  <si>
    <t>x</t>
  </si>
  <si>
    <t>Tiles original:</t>
  </si>
  <si>
    <t>(16x16)</t>
  </si>
  <si>
    <t>12 tiles</t>
  </si>
  <si>
    <t>15 tiles</t>
  </si>
  <si>
    <t>Low Res:</t>
  </si>
  <si>
    <t>Tiles Splice:</t>
  </si>
  <si>
    <t>SPLICE:</t>
  </si>
  <si>
    <t>Low Res</t>
  </si>
  <si>
    <t>height</t>
  </si>
  <si>
    <t>width</t>
  </si>
  <si>
    <t>Every 1 px I move changes the in game coordinates by 0.6666</t>
  </si>
  <si>
    <t>Starting Y</t>
  </si>
  <si>
    <t>Starting X</t>
  </si>
  <si>
    <t>ΔY coord/px</t>
  </si>
  <si>
    <t>ΔX coord/px</t>
  </si>
  <si>
    <t>ΔY game</t>
  </si>
  <si>
    <t>ΔX game</t>
  </si>
  <si>
    <t>ΔY map</t>
  </si>
  <si>
    <t>ΔX map</t>
  </si>
  <si>
    <t>Point 2 game-y</t>
  </si>
  <si>
    <t>Point 2 game-x</t>
  </si>
  <si>
    <t>Point 2 y-val</t>
  </si>
  <si>
    <t>Point 2 x-val</t>
  </si>
  <si>
    <t>Point 1 game-y</t>
  </si>
  <si>
    <t>Point 1 game-x</t>
  </si>
  <si>
    <t>Point 1 y-val</t>
  </si>
  <si>
    <t>Point 1 x-val</t>
  </si>
  <si>
    <t>https://www.zeldadungeon.net/maps/totk/tiles/sky/6/zzz.jpg</t>
  </si>
  <si>
    <t>30_27</t>
  </si>
  <si>
    <t>30_26</t>
  </si>
  <si>
    <t>30_25</t>
  </si>
  <si>
    <t>30_24</t>
  </si>
  <si>
    <t>30_23</t>
  </si>
  <si>
    <t>30_22</t>
  </si>
  <si>
    <t>30_21</t>
  </si>
  <si>
    <t>30_20</t>
  </si>
  <si>
    <t>30_19</t>
  </si>
  <si>
    <t>30_18</t>
  </si>
  <si>
    <t>30_17</t>
  </si>
  <si>
    <t>30_16</t>
  </si>
  <si>
    <t>30_15</t>
  </si>
  <si>
    <t>30_14</t>
  </si>
  <si>
    <t>30_13</t>
  </si>
  <si>
    <t>30_12</t>
  </si>
  <si>
    <t>30_11</t>
  </si>
  <si>
    <t>30_10</t>
  </si>
  <si>
    <t>30_9</t>
  </si>
  <si>
    <t>30_8</t>
  </si>
  <si>
    <t>30_7</t>
  </si>
  <si>
    <t>30_6</t>
  </si>
  <si>
    <t>30_5</t>
  </si>
  <si>
    <t>30_4</t>
  </si>
  <si>
    <t>29_27</t>
  </si>
  <si>
    <t>29_26</t>
  </si>
  <si>
    <t>29_25</t>
  </si>
  <si>
    <t>29_24</t>
  </si>
  <si>
    <t>29_23</t>
  </si>
  <si>
    <t>29_22</t>
  </si>
  <si>
    <t>29_21</t>
  </si>
  <si>
    <t>29_20</t>
  </si>
  <si>
    <t>29_19</t>
  </si>
  <si>
    <t>29_18</t>
  </si>
  <si>
    <t>29_17</t>
  </si>
  <si>
    <t>29_16</t>
  </si>
  <si>
    <t>29_15</t>
  </si>
  <si>
    <t>29_14</t>
  </si>
  <si>
    <t>29_13</t>
  </si>
  <si>
    <t>29_12</t>
  </si>
  <si>
    <t>29_11</t>
  </si>
  <si>
    <t>29_10</t>
  </si>
  <si>
    <t>29_9</t>
  </si>
  <si>
    <t>29_8</t>
  </si>
  <si>
    <t>29_7</t>
  </si>
  <si>
    <t>29_6</t>
  </si>
  <si>
    <t>29_5</t>
  </si>
  <si>
    <t>29_4</t>
  </si>
  <si>
    <t>28_27</t>
  </si>
  <si>
    <t>28_26</t>
  </si>
  <si>
    <t>28_25</t>
  </si>
  <si>
    <t>28_24</t>
  </si>
  <si>
    <t>28_23</t>
  </si>
  <si>
    <t>28_22</t>
  </si>
  <si>
    <t>28_21</t>
  </si>
  <si>
    <t>28_20</t>
  </si>
  <si>
    <t>28_19</t>
  </si>
  <si>
    <t>28_18</t>
  </si>
  <si>
    <t>28_17</t>
  </si>
  <si>
    <t>28_16</t>
  </si>
  <si>
    <t>28_15</t>
  </si>
  <si>
    <t>28_14</t>
  </si>
  <si>
    <t>28_13</t>
  </si>
  <si>
    <t>28_12</t>
  </si>
  <si>
    <t>28_11</t>
  </si>
  <si>
    <t>28_10</t>
  </si>
  <si>
    <t>28_9</t>
  </si>
  <si>
    <t>28_8</t>
  </si>
  <si>
    <t>28_7</t>
  </si>
  <si>
    <t>28_6</t>
  </si>
  <si>
    <t>28_5</t>
  </si>
  <si>
    <t>28_4</t>
  </si>
  <si>
    <t>27_27</t>
  </si>
  <si>
    <t>27_26</t>
  </si>
  <si>
    <t>27_25</t>
  </si>
  <si>
    <t>27_24</t>
  </si>
  <si>
    <t>27_23</t>
  </si>
  <si>
    <t>27_22</t>
  </si>
  <si>
    <t>27_21</t>
  </si>
  <si>
    <t>27_20</t>
  </si>
  <si>
    <t>27_19</t>
  </si>
  <si>
    <t>27_18</t>
  </si>
  <si>
    <t>27_17</t>
  </si>
  <si>
    <t>27_16</t>
  </si>
  <si>
    <t>27_15</t>
  </si>
  <si>
    <t>27_14</t>
  </si>
  <si>
    <t>27_13</t>
  </si>
  <si>
    <t>27_12</t>
  </si>
  <si>
    <t>27_11</t>
  </si>
  <si>
    <t>27_10</t>
  </si>
  <si>
    <t>27_9</t>
  </si>
  <si>
    <t>27_8</t>
  </si>
  <si>
    <t>27_7</t>
  </si>
  <si>
    <t>27_6</t>
  </si>
  <si>
    <t>27_5</t>
  </si>
  <si>
    <t>27_4</t>
  </si>
  <si>
    <t>26_27</t>
  </si>
  <si>
    <t>26_26</t>
  </si>
  <si>
    <t>26_25</t>
  </si>
  <si>
    <t>26_24</t>
  </si>
  <si>
    <t>26_23</t>
  </si>
  <si>
    <t>26_22</t>
  </si>
  <si>
    <t>26_21</t>
  </si>
  <si>
    <t>26_20</t>
  </si>
  <si>
    <t>26_19</t>
  </si>
  <si>
    <t>26_18</t>
  </si>
  <si>
    <t>26_17</t>
  </si>
  <si>
    <t>26_16</t>
  </si>
  <si>
    <t>26_15</t>
  </si>
  <si>
    <t>26_14</t>
  </si>
  <si>
    <t>26_13</t>
  </si>
  <si>
    <t>26_12</t>
  </si>
  <si>
    <t>26_11</t>
  </si>
  <si>
    <t>26_10</t>
  </si>
  <si>
    <t>26_9</t>
  </si>
  <si>
    <t>26_8</t>
  </si>
  <si>
    <t>26_7</t>
  </si>
  <si>
    <t>26_6</t>
  </si>
  <si>
    <t>26_5</t>
  </si>
  <si>
    <t>26_4</t>
  </si>
  <si>
    <t>25_27</t>
  </si>
  <si>
    <t>25_26</t>
  </si>
  <si>
    <t>25_25</t>
  </si>
  <si>
    <t>25_24</t>
  </si>
  <si>
    <t>25_23</t>
  </si>
  <si>
    <t>25_22</t>
  </si>
  <si>
    <t>25_21</t>
  </si>
  <si>
    <t>25_20</t>
  </si>
  <si>
    <t>25_19</t>
  </si>
  <si>
    <t>25_18</t>
  </si>
  <si>
    <t>25_17</t>
  </si>
  <si>
    <t>25_16</t>
  </si>
  <si>
    <t>25_15</t>
  </si>
  <si>
    <t>25_14</t>
  </si>
  <si>
    <t>25_13</t>
  </si>
  <si>
    <t>25_12</t>
  </si>
  <si>
    <t>25_11</t>
  </si>
  <si>
    <t>25_10</t>
  </si>
  <si>
    <t>25_9</t>
  </si>
  <si>
    <t>25_8</t>
  </si>
  <si>
    <t>25_7</t>
  </si>
  <si>
    <t>25_6</t>
  </si>
  <si>
    <t>25_5</t>
  </si>
  <si>
    <t>25_4</t>
  </si>
  <si>
    <t>24_27</t>
  </si>
  <si>
    <t>24_26</t>
  </si>
  <si>
    <t>24_25</t>
  </si>
  <si>
    <t>24_24</t>
  </si>
  <si>
    <t>24_23</t>
  </si>
  <si>
    <t>24_22</t>
  </si>
  <si>
    <t>24_21</t>
  </si>
  <si>
    <t>24_20</t>
  </si>
  <si>
    <t>24_19</t>
  </si>
  <si>
    <t>24_18</t>
  </si>
  <si>
    <t>24_17</t>
  </si>
  <si>
    <t>24_16</t>
  </si>
  <si>
    <t>24_15</t>
  </si>
  <si>
    <t>24_14</t>
  </si>
  <si>
    <t>24_13</t>
  </si>
  <si>
    <t>24_12</t>
  </si>
  <si>
    <t>24_11</t>
  </si>
  <si>
    <t>24_10</t>
  </si>
  <si>
    <t>24_9</t>
  </si>
  <si>
    <t>24_8</t>
  </si>
  <si>
    <t>24_7</t>
  </si>
  <si>
    <t>24_6</t>
  </si>
  <si>
    <t>24_5</t>
  </si>
  <si>
    <t>24_4</t>
  </si>
  <si>
    <t>23_27</t>
  </si>
  <si>
    <t>23_26</t>
  </si>
  <si>
    <t>23_25</t>
  </si>
  <si>
    <t>23_24</t>
  </si>
  <si>
    <t>23_23</t>
  </si>
  <si>
    <t>23_22</t>
  </si>
  <si>
    <t>23_21</t>
  </si>
  <si>
    <t>23_20</t>
  </si>
  <si>
    <t>23_19</t>
  </si>
  <si>
    <t>23_18</t>
  </si>
  <si>
    <t>23_17</t>
  </si>
  <si>
    <t>23_16</t>
  </si>
  <si>
    <t>23_15</t>
  </si>
  <si>
    <t>23_14</t>
  </si>
  <si>
    <t>23_13</t>
  </si>
  <si>
    <t>23_12</t>
  </si>
  <si>
    <t>23_11</t>
  </si>
  <si>
    <t>23_10</t>
  </si>
  <si>
    <t>23_9</t>
  </si>
  <si>
    <t>23_8</t>
  </si>
  <si>
    <t>23_7</t>
  </si>
  <si>
    <t>23_6</t>
  </si>
  <si>
    <t>23_5</t>
  </si>
  <si>
    <t>23_4</t>
  </si>
  <si>
    <t>22_27</t>
  </si>
  <si>
    <t>22_26</t>
  </si>
  <si>
    <t>22_25</t>
  </si>
  <si>
    <t>22_24</t>
  </si>
  <si>
    <t>22_23</t>
  </si>
  <si>
    <t>22_22</t>
  </si>
  <si>
    <t>22_21</t>
  </si>
  <si>
    <t>22_20</t>
  </si>
  <si>
    <t>22_19</t>
  </si>
  <si>
    <t>22_18</t>
  </si>
  <si>
    <t>22_17</t>
  </si>
  <si>
    <t>22_16</t>
  </si>
  <si>
    <t>22_15</t>
  </si>
  <si>
    <t>22_14</t>
  </si>
  <si>
    <t>22_13</t>
  </si>
  <si>
    <t>22_12</t>
  </si>
  <si>
    <t>22_11</t>
  </si>
  <si>
    <t>22_10</t>
  </si>
  <si>
    <t>22_9</t>
  </si>
  <si>
    <t>22_8</t>
  </si>
  <si>
    <t>22_7</t>
  </si>
  <si>
    <t>22_6</t>
  </si>
  <si>
    <t>22_5</t>
  </si>
  <si>
    <t>22_4</t>
  </si>
  <si>
    <t>21_27</t>
  </si>
  <si>
    <t>21_26</t>
  </si>
  <si>
    <t>21_25</t>
  </si>
  <si>
    <t>21_24</t>
  </si>
  <si>
    <t>21_23</t>
  </si>
  <si>
    <t>21_22</t>
  </si>
  <si>
    <t>21_21</t>
  </si>
  <si>
    <t>21_20</t>
  </si>
  <si>
    <t>21_19</t>
  </si>
  <si>
    <t>21_18</t>
  </si>
  <si>
    <t>21_17</t>
  </si>
  <si>
    <t>21_16</t>
  </si>
  <si>
    <t>21_15</t>
  </si>
  <si>
    <t>21_14</t>
  </si>
  <si>
    <t>21_13</t>
  </si>
  <si>
    <t>21_12</t>
  </si>
  <si>
    <t>21_11</t>
  </si>
  <si>
    <t>21_10</t>
  </si>
  <si>
    <t>21_9</t>
  </si>
  <si>
    <t>21_8</t>
  </si>
  <si>
    <t>21_7</t>
  </si>
  <si>
    <t>21_6</t>
  </si>
  <si>
    <t>21_5</t>
  </si>
  <si>
    <t>21_4</t>
  </si>
  <si>
    <t>20_27</t>
  </si>
  <si>
    <t>20_26</t>
  </si>
  <si>
    <t>20_25</t>
  </si>
  <si>
    <t>20_24</t>
  </si>
  <si>
    <t>20_23</t>
  </si>
  <si>
    <t>20_22</t>
  </si>
  <si>
    <t>20_21</t>
  </si>
  <si>
    <t>20_20</t>
  </si>
  <si>
    <t>20_19</t>
  </si>
  <si>
    <t>20_18</t>
  </si>
  <si>
    <t>20_17</t>
  </si>
  <si>
    <t>20_16</t>
  </si>
  <si>
    <t>20_15</t>
  </si>
  <si>
    <t>20_14</t>
  </si>
  <si>
    <t>20_13</t>
  </si>
  <si>
    <t>20_12</t>
  </si>
  <si>
    <t>20_11</t>
  </si>
  <si>
    <t>20_10</t>
  </si>
  <si>
    <t>20_9</t>
  </si>
  <si>
    <t>20_8</t>
  </si>
  <si>
    <t>20_7</t>
  </si>
  <si>
    <t>20_6</t>
  </si>
  <si>
    <t>20_5</t>
  </si>
  <si>
    <t>20_4</t>
  </si>
  <si>
    <t>19_27</t>
  </si>
  <si>
    <t>19_26</t>
  </si>
  <si>
    <t>19_25</t>
  </si>
  <si>
    <t>19_24</t>
  </si>
  <si>
    <t>19_23</t>
  </si>
  <si>
    <t>19_22</t>
  </si>
  <si>
    <t>19_21</t>
  </si>
  <si>
    <t>19_20</t>
  </si>
  <si>
    <t>19_19</t>
  </si>
  <si>
    <t>19_18</t>
  </si>
  <si>
    <t>19_17</t>
  </si>
  <si>
    <t>19_16</t>
  </si>
  <si>
    <t>19_15</t>
  </si>
  <si>
    <t>19_14</t>
  </si>
  <si>
    <t>19_13</t>
  </si>
  <si>
    <t>19_12</t>
  </si>
  <si>
    <t>19_11</t>
  </si>
  <si>
    <t>19_10</t>
  </si>
  <si>
    <t>19_9</t>
  </si>
  <si>
    <t>19_8</t>
  </si>
  <si>
    <t>19_7</t>
  </si>
  <si>
    <t>19_6</t>
  </si>
  <si>
    <t>19_5</t>
  </si>
  <si>
    <t>19_4</t>
  </si>
  <si>
    <t>18_27</t>
  </si>
  <si>
    <t>18_26</t>
  </si>
  <si>
    <t>18_25</t>
  </si>
  <si>
    <t>18_24</t>
  </si>
  <si>
    <t>18_23</t>
  </si>
  <si>
    <t>18_22</t>
  </si>
  <si>
    <t>18_21</t>
  </si>
  <si>
    <t>18_20</t>
  </si>
  <si>
    <t>18_19</t>
  </si>
  <si>
    <t>18_18</t>
  </si>
  <si>
    <t>18_17</t>
  </si>
  <si>
    <t>18_16</t>
  </si>
  <si>
    <t>18_15</t>
  </si>
  <si>
    <t>18_14</t>
  </si>
  <si>
    <t>18_13</t>
  </si>
  <si>
    <t>18_12</t>
  </si>
  <si>
    <t>18_11</t>
  </si>
  <si>
    <t>18_10</t>
  </si>
  <si>
    <t>18_9</t>
  </si>
  <si>
    <t>18_8</t>
  </si>
  <si>
    <t>18_7</t>
  </si>
  <si>
    <t>18_6</t>
  </si>
  <si>
    <t>18_5</t>
  </si>
  <si>
    <t>18_4</t>
  </si>
  <si>
    <t>17_27</t>
  </si>
  <si>
    <t>17_26</t>
  </si>
  <si>
    <t>17_25</t>
  </si>
  <si>
    <t>17_24</t>
  </si>
  <si>
    <t>17_23</t>
  </si>
  <si>
    <t>17_22</t>
  </si>
  <si>
    <t>17_21</t>
  </si>
  <si>
    <t>17_20</t>
  </si>
  <si>
    <t>17_19</t>
  </si>
  <si>
    <t>17_18</t>
  </si>
  <si>
    <t>17_17</t>
  </si>
  <si>
    <t>17_16</t>
  </si>
  <si>
    <t>17_15</t>
  </si>
  <si>
    <t>17_14</t>
  </si>
  <si>
    <t>17_13</t>
  </si>
  <si>
    <t>17_12</t>
  </si>
  <si>
    <t>17_11</t>
  </si>
  <si>
    <t>17_10</t>
  </si>
  <si>
    <t>17_9</t>
  </si>
  <si>
    <t>17_8</t>
  </si>
  <si>
    <t>17_7</t>
  </si>
  <si>
    <t>17_6</t>
  </si>
  <si>
    <t>17_5</t>
  </si>
  <si>
    <t>17_4</t>
  </si>
  <si>
    <t>16_27</t>
  </si>
  <si>
    <t>16_26</t>
  </si>
  <si>
    <t>16_25</t>
  </si>
  <si>
    <t>16_24</t>
  </si>
  <si>
    <t>16_23</t>
  </si>
  <si>
    <t>16_22</t>
  </si>
  <si>
    <t>16_21</t>
  </si>
  <si>
    <t>16_20</t>
  </si>
  <si>
    <t>16_19</t>
  </si>
  <si>
    <t>16_18</t>
  </si>
  <si>
    <t>16_17</t>
  </si>
  <si>
    <t>16_16</t>
  </si>
  <si>
    <t>16_15</t>
  </si>
  <si>
    <t>16_14</t>
  </si>
  <si>
    <t>16_13</t>
  </si>
  <si>
    <t>16_12</t>
  </si>
  <si>
    <t>16_11</t>
  </si>
  <si>
    <t>16_10</t>
  </si>
  <si>
    <t>16_9</t>
  </si>
  <si>
    <t>16_8</t>
  </si>
  <si>
    <t>16_7</t>
  </si>
  <si>
    <t>16_6</t>
  </si>
  <si>
    <t>16_5</t>
  </si>
  <si>
    <t>16_4</t>
  </si>
  <si>
    <t>15_27</t>
  </si>
  <si>
    <t>15_26</t>
  </si>
  <si>
    <t>15_25</t>
  </si>
  <si>
    <t>15_24</t>
  </si>
  <si>
    <t>15_23</t>
  </si>
  <si>
    <t>15_22</t>
  </si>
  <si>
    <t>15_21</t>
  </si>
  <si>
    <t>15_20</t>
  </si>
  <si>
    <t>15_19</t>
  </si>
  <si>
    <t>15_18</t>
  </si>
  <si>
    <t>15_17</t>
  </si>
  <si>
    <t>15_16</t>
  </si>
  <si>
    <t>15_15</t>
  </si>
  <si>
    <t>15_14</t>
  </si>
  <si>
    <t>15_13</t>
  </si>
  <si>
    <t>15_12</t>
  </si>
  <si>
    <t>15_11</t>
  </si>
  <si>
    <t>15_10</t>
  </si>
  <si>
    <t>15_9</t>
  </si>
  <si>
    <t>15_8</t>
  </si>
  <si>
    <t>15_7</t>
  </si>
  <si>
    <t>15_6</t>
  </si>
  <si>
    <t>15_5</t>
  </si>
  <si>
    <t>15_4</t>
  </si>
  <si>
    <t>14_27</t>
  </si>
  <si>
    <t>14_26</t>
  </si>
  <si>
    <t>14_25</t>
  </si>
  <si>
    <t>14_24</t>
  </si>
  <si>
    <t>14_23</t>
  </si>
  <si>
    <t>14_22</t>
  </si>
  <si>
    <t>14_21</t>
  </si>
  <si>
    <t>14_20</t>
  </si>
  <si>
    <t>14_19</t>
  </si>
  <si>
    <t>14_18</t>
  </si>
  <si>
    <t>14_17</t>
  </si>
  <si>
    <t>14_16</t>
  </si>
  <si>
    <t>14_15</t>
  </si>
  <si>
    <t>14_14</t>
  </si>
  <si>
    <t>14_13</t>
  </si>
  <si>
    <t>14_12</t>
  </si>
  <si>
    <t>14_11</t>
  </si>
  <si>
    <t>14_10</t>
  </si>
  <si>
    <t>14_9</t>
  </si>
  <si>
    <t>14_8</t>
  </si>
  <si>
    <t>14_7</t>
  </si>
  <si>
    <t>14_6</t>
  </si>
  <si>
    <t>14_5</t>
  </si>
  <si>
    <t>14_4</t>
  </si>
  <si>
    <t>13_27</t>
  </si>
  <si>
    <t>13_26</t>
  </si>
  <si>
    <t>13_25</t>
  </si>
  <si>
    <t>13_24</t>
  </si>
  <si>
    <t>13_23</t>
  </si>
  <si>
    <t>13_22</t>
  </si>
  <si>
    <t>13_21</t>
  </si>
  <si>
    <t>13_20</t>
  </si>
  <si>
    <t>13_19</t>
  </si>
  <si>
    <t>13_18</t>
  </si>
  <si>
    <t>13_17</t>
  </si>
  <si>
    <t>13_16</t>
  </si>
  <si>
    <t>13_15</t>
  </si>
  <si>
    <t>13_14</t>
  </si>
  <si>
    <t>13_13</t>
  </si>
  <si>
    <t>13_12</t>
  </si>
  <si>
    <t>13_11</t>
  </si>
  <si>
    <t>13_10</t>
  </si>
  <si>
    <t>13_9</t>
  </si>
  <si>
    <t>13_8</t>
  </si>
  <si>
    <t>13_7</t>
  </si>
  <si>
    <t>13_6</t>
  </si>
  <si>
    <t>13_5</t>
  </si>
  <si>
    <t>13_4</t>
  </si>
  <si>
    <t>12_27</t>
  </si>
  <si>
    <t>12_26</t>
  </si>
  <si>
    <t>12_25</t>
  </si>
  <si>
    <t>12_24</t>
  </si>
  <si>
    <t>12_23</t>
  </si>
  <si>
    <t>12_22</t>
  </si>
  <si>
    <t>12_21</t>
  </si>
  <si>
    <t>12_20</t>
  </si>
  <si>
    <t>12_19</t>
  </si>
  <si>
    <t>12_18</t>
  </si>
  <si>
    <t>12_17</t>
  </si>
  <si>
    <t>12_16</t>
  </si>
  <si>
    <t>12_15</t>
  </si>
  <si>
    <t>12_14</t>
  </si>
  <si>
    <t>12_13</t>
  </si>
  <si>
    <t>12_12</t>
  </si>
  <si>
    <t>12_11</t>
  </si>
  <si>
    <t>12_10</t>
  </si>
  <si>
    <t>12_9</t>
  </si>
  <si>
    <t>12_8</t>
  </si>
  <si>
    <t>12_7</t>
  </si>
  <si>
    <t>12_6</t>
  </si>
  <si>
    <t>12_5</t>
  </si>
  <si>
    <t>12_4</t>
  </si>
  <si>
    <t>11_27</t>
  </si>
  <si>
    <t>11_26</t>
  </si>
  <si>
    <t>11_25</t>
  </si>
  <si>
    <t>11_24</t>
  </si>
  <si>
    <t>11_23</t>
  </si>
  <si>
    <t>11_22</t>
  </si>
  <si>
    <t>11_21</t>
  </si>
  <si>
    <t>11_20</t>
  </si>
  <si>
    <t>11_19</t>
  </si>
  <si>
    <t>11_18</t>
  </si>
  <si>
    <t>11_17</t>
  </si>
  <si>
    <t>11_16</t>
  </si>
  <si>
    <t>11_15</t>
  </si>
  <si>
    <t>11_14</t>
  </si>
  <si>
    <t>11_13</t>
  </si>
  <si>
    <t>11_12</t>
  </si>
  <si>
    <t>11_11</t>
  </si>
  <si>
    <t>11_10</t>
  </si>
  <si>
    <t>11_9</t>
  </si>
  <si>
    <t>11_8</t>
  </si>
  <si>
    <t>11_7</t>
  </si>
  <si>
    <t>11_6</t>
  </si>
  <si>
    <t>11_5</t>
  </si>
  <si>
    <t>11_4</t>
  </si>
  <si>
    <t>10_27</t>
  </si>
  <si>
    <t>10_26</t>
  </si>
  <si>
    <t>10_25</t>
  </si>
  <si>
    <t>10_24</t>
  </si>
  <si>
    <t>10_23</t>
  </si>
  <si>
    <t>10_22</t>
  </si>
  <si>
    <t>10_21</t>
  </si>
  <si>
    <t>10_20</t>
  </si>
  <si>
    <t>10_19</t>
  </si>
  <si>
    <t>10_18</t>
  </si>
  <si>
    <t>10_17</t>
  </si>
  <si>
    <t>10_16</t>
  </si>
  <si>
    <t>10_15</t>
  </si>
  <si>
    <t>10_14</t>
  </si>
  <si>
    <t>10_13</t>
  </si>
  <si>
    <t>10_12</t>
  </si>
  <si>
    <t>10_11</t>
  </si>
  <si>
    <t>10_10</t>
  </si>
  <si>
    <t>10_9</t>
  </si>
  <si>
    <t>10_8</t>
  </si>
  <si>
    <t>10_7</t>
  </si>
  <si>
    <t>10_6</t>
  </si>
  <si>
    <t>10_5</t>
  </si>
  <si>
    <t>10_4</t>
  </si>
  <si>
    <t>9_27</t>
  </si>
  <si>
    <t>9_26</t>
  </si>
  <si>
    <t>9_25</t>
  </si>
  <si>
    <t>9_24</t>
  </si>
  <si>
    <t>9_23</t>
  </si>
  <si>
    <t>9_22</t>
  </si>
  <si>
    <t>9_21</t>
  </si>
  <si>
    <t>9_20</t>
  </si>
  <si>
    <t>9_19</t>
  </si>
  <si>
    <t>9_18</t>
  </si>
  <si>
    <t>9_17</t>
  </si>
  <si>
    <t>9_16</t>
  </si>
  <si>
    <t>9_15</t>
  </si>
  <si>
    <t>9_14</t>
  </si>
  <si>
    <t>9_13</t>
  </si>
  <si>
    <t>9_12</t>
  </si>
  <si>
    <t>9_11</t>
  </si>
  <si>
    <t>9_10</t>
  </si>
  <si>
    <t>9_9</t>
  </si>
  <si>
    <t>9_8</t>
  </si>
  <si>
    <t>9_7</t>
  </si>
  <si>
    <t>9_6</t>
  </si>
  <si>
    <t>9_5</t>
  </si>
  <si>
    <t>9_4</t>
  </si>
  <si>
    <t>8_27</t>
  </si>
  <si>
    <t>8_26</t>
  </si>
  <si>
    <t>8_25</t>
  </si>
  <si>
    <t>8_24</t>
  </si>
  <si>
    <t>8_23</t>
  </si>
  <si>
    <t>8_22</t>
  </si>
  <si>
    <t>8_21</t>
  </si>
  <si>
    <t>8_20</t>
  </si>
  <si>
    <t>8_19</t>
  </si>
  <si>
    <t>8_18</t>
  </si>
  <si>
    <t>8_17</t>
  </si>
  <si>
    <t>8_16</t>
  </si>
  <si>
    <t>8_15</t>
  </si>
  <si>
    <t>8_14</t>
  </si>
  <si>
    <t>8_13</t>
  </si>
  <si>
    <t>8_12</t>
  </si>
  <si>
    <t>8_11</t>
  </si>
  <si>
    <t>8_10</t>
  </si>
  <si>
    <t>8_9</t>
  </si>
  <si>
    <t>8_8</t>
  </si>
  <si>
    <t>8_7</t>
  </si>
  <si>
    <t>8_6</t>
  </si>
  <si>
    <t>8_5</t>
  </si>
  <si>
    <t>8_4</t>
  </si>
  <si>
    <t>7_27</t>
  </si>
  <si>
    <t>7_26</t>
  </si>
  <si>
    <t>7_25</t>
  </si>
  <si>
    <t>7_24</t>
  </si>
  <si>
    <t>7_23</t>
  </si>
  <si>
    <t>7_22</t>
  </si>
  <si>
    <t>7_21</t>
  </si>
  <si>
    <t>7_20</t>
  </si>
  <si>
    <t>7_19</t>
  </si>
  <si>
    <t>7_18</t>
  </si>
  <si>
    <t>7_17</t>
  </si>
  <si>
    <t>7_16</t>
  </si>
  <si>
    <t>7_15</t>
  </si>
  <si>
    <t>7_14</t>
  </si>
  <si>
    <t>7_13</t>
  </si>
  <si>
    <t>7_12</t>
  </si>
  <si>
    <t>7_11</t>
  </si>
  <si>
    <t>7_10</t>
  </si>
  <si>
    <t>7_9</t>
  </si>
  <si>
    <t>7_8</t>
  </si>
  <si>
    <t>7_7</t>
  </si>
  <si>
    <t>7_6</t>
  </si>
  <si>
    <t>7_5</t>
  </si>
  <si>
    <t>7_4</t>
  </si>
  <si>
    <t>6_27</t>
  </si>
  <si>
    <t>6_26</t>
  </si>
  <si>
    <t>6_25</t>
  </si>
  <si>
    <t>6_24</t>
  </si>
  <si>
    <t>6_23</t>
  </si>
  <si>
    <t>6_22</t>
  </si>
  <si>
    <t>6_21</t>
  </si>
  <si>
    <t>6_20</t>
  </si>
  <si>
    <t>6_19</t>
  </si>
  <si>
    <t>6_18</t>
  </si>
  <si>
    <t>6_17</t>
  </si>
  <si>
    <t>6_16</t>
  </si>
  <si>
    <t>6_15</t>
  </si>
  <si>
    <t>6_14</t>
  </si>
  <si>
    <t>6_13</t>
  </si>
  <si>
    <t>6_12</t>
  </si>
  <si>
    <t>6_11</t>
  </si>
  <si>
    <t>6_10</t>
  </si>
  <si>
    <t>6_9</t>
  </si>
  <si>
    <t>6_8</t>
  </si>
  <si>
    <t>6_7</t>
  </si>
  <si>
    <t>6_6</t>
  </si>
  <si>
    <t>6_5</t>
  </si>
  <si>
    <t>6_4</t>
  </si>
  <si>
    <t>5_27</t>
  </si>
  <si>
    <t>5_26</t>
  </si>
  <si>
    <t>5_25</t>
  </si>
  <si>
    <t>5_24</t>
  </si>
  <si>
    <t>5_23</t>
  </si>
  <si>
    <t>5_22</t>
  </si>
  <si>
    <t>5_21</t>
  </si>
  <si>
    <t>5_20</t>
  </si>
  <si>
    <t>5_19</t>
  </si>
  <si>
    <t>5_18</t>
  </si>
  <si>
    <t>5_17</t>
  </si>
  <si>
    <t>5_16</t>
  </si>
  <si>
    <t>5_15</t>
  </si>
  <si>
    <t>5_14</t>
  </si>
  <si>
    <t>5_13</t>
  </si>
  <si>
    <t>5_12</t>
  </si>
  <si>
    <t>5_11</t>
  </si>
  <si>
    <t>5_10</t>
  </si>
  <si>
    <t>5_9</t>
  </si>
  <si>
    <t>5_8</t>
  </si>
  <si>
    <t>5_7</t>
  </si>
  <si>
    <t>5_6</t>
  </si>
  <si>
    <t>5_5</t>
  </si>
  <si>
    <t>5_4</t>
  </si>
  <si>
    <t>4_27</t>
  </si>
  <si>
    <t>4_26</t>
  </si>
  <si>
    <t>4_25</t>
  </si>
  <si>
    <t>4_24</t>
  </si>
  <si>
    <t>4_23</t>
  </si>
  <si>
    <t>4_22</t>
  </si>
  <si>
    <t>4_21</t>
  </si>
  <si>
    <t>4_20</t>
  </si>
  <si>
    <t>4_19</t>
  </si>
  <si>
    <t>4_18</t>
  </si>
  <si>
    <t>4_17</t>
  </si>
  <si>
    <t>4_16</t>
  </si>
  <si>
    <t>4_15</t>
  </si>
  <si>
    <t>4_14</t>
  </si>
  <si>
    <t>4_13</t>
  </si>
  <si>
    <t>4_12</t>
  </si>
  <si>
    <t>4_11</t>
  </si>
  <si>
    <t>4_10</t>
  </si>
  <si>
    <t>4_9</t>
  </si>
  <si>
    <t>4_8</t>
  </si>
  <si>
    <t>4_7</t>
  </si>
  <si>
    <t>4_6</t>
  </si>
  <si>
    <t>4_5</t>
  </si>
  <si>
    <t>4_4</t>
  </si>
  <si>
    <t>3_27</t>
  </si>
  <si>
    <t>3_26</t>
  </si>
  <si>
    <t>3_25</t>
  </si>
  <si>
    <t>3_24</t>
  </si>
  <si>
    <t>3_23</t>
  </si>
  <si>
    <t>3_22</t>
  </si>
  <si>
    <t>3_21</t>
  </si>
  <si>
    <t>3_20</t>
  </si>
  <si>
    <t>3_19</t>
  </si>
  <si>
    <t>3_18</t>
  </si>
  <si>
    <t>3_17</t>
  </si>
  <si>
    <t>3_16</t>
  </si>
  <si>
    <t>3_15</t>
  </si>
  <si>
    <t>3_14</t>
  </si>
  <si>
    <t>3_13</t>
  </si>
  <si>
    <t>3_12</t>
  </si>
  <si>
    <t>3_11</t>
  </si>
  <si>
    <t>3_10</t>
  </si>
  <si>
    <t>3_9</t>
  </si>
  <si>
    <t>3_8</t>
  </si>
  <si>
    <t>3_7</t>
  </si>
  <si>
    <t>3_6</t>
  </si>
  <si>
    <t>3_5</t>
  </si>
  <si>
    <t>3_4</t>
  </si>
  <si>
    <t>2_27</t>
  </si>
  <si>
    <t>2_26</t>
  </si>
  <si>
    <t>2_25</t>
  </si>
  <si>
    <t>2_24</t>
  </si>
  <si>
    <t>2_23</t>
  </si>
  <si>
    <t>2_22</t>
  </si>
  <si>
    <t>2_21</t>
  </si>
  <si>
    <t>2_20</t>
  </si>
  <si>
    <t>2_19</t>
  </si>
  <si>
    <t>2_18</t>
  </si>
  <si>
    <t>2_17</t>
  </si>
  <si>
    <t>2_16</t>
  </si>
  <si>
    <t>2_15</t>
  </si>
  <si>
    <t>2_14</t>
  </si>
  <si>
    <t>2_13</t>
  </si>
  <si>
    <t>2_12</t>
  </si>
  <si>
    <t>2_11</t>
  </si>
  <si>
    <t>2_10</t>
  </si>
  <si>
    <t>2_9</t>
  </si>
  <si>
    <t>2_8</t>
  </si>
  <si>
    <t>2_7</t>
  </si>
  <si>
    <t>2_6</t>
  </si>
  <si>
    <t>2_5</t>
  </si>
  <si>
    <t>2_4</t>
  </si>
  <si>
    <t>1_27</t>
  </si>
  <si>
    <t>1_26</t>
  </si>
  <si>
    <t>1_25</t>
  </si>
  <si>
    <t>1_24</t>
  </si>
  <si>
    <t>1_23</t>
  </si>
  <si>
    <t>1_22</t>
  </si>
  <si>
    <t>1_21</t>
  </si>
  <si>
    <t>1_20</t>
  </si>
  <si>
    <t>1_19</t>
  </si>
  <si>
    <t>1_18</t>
  </si>
  <si>
    <t>1_17</t>
  </si>
  <si>
    <t>1_16</t>
  </si>
  <si>
    <t>1_15</t>
  </si>
  <si>
    <t>1_14</t>
  </si>
  <si>
    <t>1_13</t>
  </si>
  <si>
    <t>1_12</t>
  </si>
  <si>
    <t>5 tiles</t>
  </si>
  <si>
    <t>4 tiles</t>
  </si>
  <si>
    <t xml:space="preserve">12 x </t>
  </si>
  <si>
    <t>1_11</t>
  </si>
  <si>
    <t>60 across</t>
  </si>
  <si>
    <t>48 down</t>
  </si>
  <si>
    <t>1_10</t>
  </si>
  <si>
    <t>1_9</t>
  </si>
  <si>
    <t>1_8</t>
  </si>
  <si>
    <t>1_7</t>
  </si>
  <si>
    <t>1_6</t>
  </si>
  <si>
    <t>1_5</t>
  </si>
  <si>
    <t>1_4</t>
  </si>
  <si>
    <t>Level</t>
  </si>
  <si>
    <t>X Coord</t>
  </si>
  <si>
    <t>Y Coord</t>
  </si>
  <si>
    <t>Z Coord</t>
  </si>
  <si>
    <t>Name</t>
  </si>
  <si>
    <t>Akkala Highlands</t>
  </si>
  <si>
    <t>Sky</t>
  </si>
  <si>
    <t>Akkala Sea</t>
  </si>
  <si>
    <t>Surface</t>
  </si>
  <si>
    <t>Deep Akkala</t>
  </si>
  <si>
    <t>Hyrule Ridge</t>
  </si>
  <si>
    <t>Central Hyrule</t>
  </si>
  <si>
    <t>Great Hyrule Forest</t>
  </si>
  <si>
    <t>Hyrule Field</t>
  </si>
  <si>
    <t>Eldin Canyon</t>
  </si>
  <si>
    <t>Eldin Mountains</t>
  </si>
  <si>
    <t>Death Mountain</t>
  </si>
  <si>
    <t>Faron Grasslands</t>
  </si>
  <si>
    <t>Dragonhead Island</t>
  </si>
  <si>
    <t>Lake Hylia</t>
  </si>
  <si>
    <t>Gerudo Highlands</t>
  </si>
  <si>
    <t>Gerudo Desert</t>
  </si>
  <si>
    <t>Tabantha Frontier</t>
  </si>
  <si>
    <t>Hebra Mountains</t>
  </si>
  <si>
    <t>Lanayru Great Spring</t>
  </si>
  <si>
    <t>Lanayru Sea</t>
  </si>
  <si>
    <t>Lanayru Wetlands</t>
  </si>
  <si>
    <t>Mount Lanayru</t>
  </si>
  <si>
    <t>East Necluda</t>
  </si>
  <si>
    <t>West Necluda</t>
  </si>
  <si>
    <t>Necluda Sea</t>
  </si>
  <si>
    <t>East Akkala Plains Chasm</t>
  </si>
  <si>
    <t>South Akkala Plains Chasm</t>
  </si>
  <si>
    <t>Tingel Island Chasm</t>
  </si>
  <si>
    <t>Skull Lake Chasm</t>
  </si>
  <si>
    <t>Death Mountain Chasm</t>
  </si>
  <si>
    <t>Birida Lookout Chasm</t>
  </si>
  <si>
    <t>East Gerudo Chasm</t>
  </si>
  <si>
    <t>Gerudo Summit Chasm</t>
  </si>
  <si>
    <t>South Lomei Chasm</t>
  </si>
  <si>
    <t>Yiga Clan Hideout Chasm</t>
  </si>
  <si>
    <t>Forest of Time Chasm</t>
  </si>
  <si>
    <t>Great Plateau East Chasm</t>
  </si>
  <si>
    <t>Great Plateau North Chasm</t>
  </si>
  <si>
    <t>Great Plateau South Chasm</t>
  </si>
  <si>
    <t>Great Plateau West Chasm</t>
  </si>
  <si>
    <t>Hyrule Castle Chasm</t>
  </si>
  <si>
    <t>Hyrule Castle Moat East Chasm</t>
  </si>
  <si>
    <t>Hyrule Field Chasm</t>
  </si>
  <si>
    <t>Hyrule Ridge Chasm</t>
  </si>
  <si>
    <t>Naydra Snowfield Chasm</t>
  </si>
  <si>
    <t>East Hill Chasm</t>
  </si>
  <si>
    <t>Hills of Baumer Chasm</t>
  </si>
  <si>
    <t>North Lomei Chasm</t>
  </si>
  <si>
    <t>Rito Village Chasm</t>
  </si>
  <si>
    <t>Chasm Under Zora's Domain</t>
  </si>
  <si>
    <t>Lomei Labyrinth Chasm</t>
  </si>
  <si>
    <t>East Akkala Plains</t>
  </si>
  <si>
    <t>South Akkala Plains</t>
  </si>
  <si>
    <t>Tingel Island</t>
  </si>
  <si>
    <t>Skull Lake</t>
  </si>
  <si>
    <t>Birida Lookout</t>
  </si>
  <si>
    <t>Gerudo Summit</t>
  </si>
  <si>
    <t>Yiga Clan Hideout</t>
  </si>
  <si>
    <t>Forest of Time</t>
  </si>
  <si>
    <t>Hyrule Castle</t>
  </si>
  <si>
    <t>Mount Daphnes</t>
  </si>
  <si>
    <t>Naydra Snowfield</t>
  </si>
  <si>
    <t>East Hill</t>
  </si>
  <si>
    <t>Hills of Baumer</t>
  </si>
  <si>
    <t>Rito Village</t>
  </si>
  <si>
    <t>Caves</t>
  </si>
  <si>
    <t>Akkala Citadel Ruins Cave</t>
  </si>
  <si>
    <t>Location</t>
  </si>
  <si>
    <t>Akkala Citadel Ruins Summit Cave</t>
  </si>
  <si>
    <t>Ancient Altar Ruins</t>
  </si>
  <si>
    <t>Ancient Columns Cave</t>
  </si>
  <si>
    <t>Ancient Prison Ruins</t>
  </si>
  <si>
    <t>Ancient Tree Stump Cave</t>
  </si>
  <si>
    <t>Ancient Zora Waterworks</t>
  </si>
  <si>
    <t>Atun Valley Cave</t>
  </si>
  <si>
    <t>Bone Pond East Cave</t>
  </si>
  <si>
    <t>Bottomless Cave</t>
  </si>
  <si>
    <t>Brightcap Cave</t>
  </si>
  <si>
    <t>Byroad to Lanayru Wetlands</t>
  </si>
  <si>
    <t>Calora Lake Cave</t>
  </si>
  <si>
    <t>Cape Cales Cliffbase Cave</t>
  </si>
  <si>
    <t>Cave Under Zora's Domain</t>
  </si>
  <si>
    <t>Central Gerudo Cave</t>
  </si>
  <si>
    <t>Cephla Lake Cave</t>
  </si>
  <si>
    <t>Coliseum Ruins Cave</t>
  </si>
  <si>
    <t>Construction Site Cave</t>
  </si>
  <si>
    <t>Cora Lakefront Cave</t>
  </si>
  <si>
    <t>Corta Lake Cave</t>
  </si>
  <si>
    <t>Crenel Hills Cave</t>
  </si>
  <si>
    <t>Crenel Peak Cave</t>
  </si>
  <si>
    <t>Cucco Hideaway</t>
  </si>
  <si>
    <t>Death Mountain East Tunnel</t>
  </si>
  <si>
    <t>Death Mountain Foothill Cave</t>
  </si>
  <si>
    <t>Death Mountain West Tunnel</t>
  </si>
  <si>
    <t>Deepback Bay Cave</t>
  </si>
  <si>
    <t>Deplian Badlands Cave</t>
  </si>
  <si>
    <t>Dueling Peaks North Cave</t>
  </si>
  <si>
    <t>Dueling Peaks South Cave</t>
  </si>
  <si>
    <t>East Biron Snowshelf Cave</t>
  </si>
  <si>
    <t>East Gerudo Ruins Cave</t>
  </si>
  <si>
    <t>East Restaurant Cave</t>
  </si>
  <si>
    <t>Eventide Island Cave</t>
  </si>
  <si>
    <t>Finra Woods Excavation Site</t>
  </si>
  <si>
    <t>Floria River Upstream Excavation</t>
  </si>
  <si>
    <t>Foothill Monster Den</t>
  </si>
  <si>
    <t>Fort Hateno Cave</t>
  </si>
  <si>
    <t>Gerudo Canyon Mine</t>
  </si>
  <si>
    <t>Gerudo Great Skeleton</t>
  </si>
  <si>
    <t>Gerudo Sanctuary</t>
  </si>
  <si>
    <t>Gisa Crater Cave</t>
  </si>
  <si>
    <t>Gorko Tunnel</t>
  </si>
  <si>
    <t>Goronbi River Cave</t>
  </si>
  <si>
    <t>Great Plateau Foothill Cave</t>
  </si>
  <si>
    <t>Hebra Great Skeleton</t>
  </si>
  <si>
    <t>Hebra Headspring Cave</t>
  </si>
  <si>
    <t>Hebra Mountains Northwest Cave</t>
  </si>
  <si>
    <t>Hebra South Summit Cave</t>
  </si>
  <si>
    <t>Horon Lagoon Cave</t>
  </si>
  <si>
    <t>Icefall Foothills Cave</t>
  </si>
  <si>
    <t>Isle of Rabac Gallery</t>
  </si>
  <si>
    <t>Kakariko Village Cave</t>
  </si>
  <si>
    <t>Komo Shoreline Cave</t>
  </si>
  <si>
    <t>Kopeeki Drifts Cave</t>
  </si>
  <si>
    <t>Koukot Plateau Cave</t>
  </si>
  <si>
    <t>Lake Darman Monster Den</t>
  </si>
  <si>
    <t>Lake Ferona Cave</t>
  </si>
  <si>
    <t>Lake Hylia Whirlpool Cave</t>
  </si>
  <si>
    <t>Lake Intenoch Cave</t>
  </si>
  <si>
    <t>Lake Kilsie Cave</t>
  </si>
  <si>
    <t>Lanayru Road East Cave</t>
  </si>
  <si>
    <t>Lanayru Road South Cave</t>
  </si>
  <si>
    <t>Lindor's Brow Cave</t>
  </si>
  <si>
    <t>Lizard's Burrow</t>
  </si>
  <si>
    <t>Lower Spectacle Rock Cave</t>
  </si>
  <si>
    <t>Luto's Channel</t>
  </si>
  <si>
    <t>Mapla Point Cave</t>
  </si>
  <si>
    <t>Meadela's Mantle Cave</t>
  </si>
  <si>
    <t>Mining Cave</t>
  </si>
  <si>
    <t>Mount Drena Foothill Cave</t>
  </si>
  <si>
    <t>Mount Dunsel Cave</t>
  </si>
  <si>
    <t>Mount Floria Cave</t>
  </si>
  <si>
    <t>Mount Nabooru Cave</t>
  </si>
  <si>
    <t>Mount Nabooru South Cave</t>
  </si>
  <si>
    <t>Mystathi's Shelf Cave</t>
  </si>
  <si>
    <t>North Akkala Beach Cave</t>
  </si>
  <si>
    <t>North Biron Snowshelf Cave</t>
  </si>
  <si>
    <t>North Hyrule Plain Cave</t>
  </si>
  <si>
    <t>Oakle's Navel Cave</t>
  </si>
  <si>
    <t>Oasis Source</t>
  </si>
  <si>
    <t>Oren Bridge Cave</t>
  </si>
  <si>
    <t>Pagos Woods Excavation Site</t>
  </si>
  <si>
    <t>Passeri Greenbelt Cave</t>
  </si>
  <si>
    <t>Pico Pond Cave</t>
  </si>
  <si>
    <t>Pikida Stonegrove Northwest Cave</t>
  </si>
  <si>
    <t>Pit Cave</t>
  </si>
  <si>
    <t>Ploymus Mountain Cave</t>
  </si>
  <si>
    <t>Pondside Cave</t>
  </si>
  <si>
    <t>Popla Foothills Excavation Site</t>
  </si>
  <si>
    <t>Pristine Sanctum</t>
  </si>
  <si>
    <t>Puffer Beach Overhead Cave</t>
  </si>
  <si>
    <t>Quicksand Lake Cave</t>
  </si>
  <si>
    <t>Ralis Channel</t>
  </si>
  <si>
    <t>Ranch Ruins Cave</t>
  </si>
  <si>
    <t>Rassla Lake Cave</t>
  </si>
  <si>
    <t>Rauru Hillside Cave</t>
  </si>
  <si>
    <t>Rebonae Bridge Cave</t>
  </si>
  <si>
    <t>Reservoir Lakefront Cavern</t>
  </si>
  <si>
    <t>Retsam Forest Cave</t>
  </si>
  <si>
    <t>River of the Dead Waterfall Cave</t>
  </si>
  <si>
    <t>Robred Dropoff Cave</t>
  </si>
  <si>
    <t>Rodai Lakefront Tunnel</t>
  </si>
  <si>
    <t>Rospro Pass Cave</t>
  </si>
  <si>
    <t>Royal Hidden Passage</t>
  </si>
  <si>
    <t>Sage Temple Cave</t>
  </si>
  <si>
    <t>Sahasra Slope Cave</t>
  </si>
  <si>
    <t>Sarjon Woods Cave</t>
  </si>
  <si>
    <t>Satori Mountain Cave</t>
  </si>
  <si>
    <t>Satori Mountain Foothill Cave</t>
  </si>
  <si>
    <t>Shrine of Resurrection</t>
  </si>
  <si>
    <t>Skull Lake Cave</t>
  </si>
  <si>
    <t>South Gerudo Cave</t>
  </si>
  <si>
    <t>Southern Mine</t>
  </si>
  <si>
    <t>Spectacle Rock Cave</t>
  </si>
  <si>
    <t>Stalry Plateau Cave</t>
  </si>
  <si>
    <t>Statue of the Eighth Heroine Cave</t>
  </si>
  <si>
    <t>Sturnida Springs Cave</t>
  </si>
  <si>
    <t>Taafei Hill Cave</t>
  </si>
  <si>
    <t>Tabahl Woods Cave</t>
  </si>
  <si>
    <t>Tabantha Hills Cave</t>
  </si>
  <si>
    <t>Talonto Peak Cave</t>
  </si>
  <si>
    <t>Tamio River Downstream Cave</t>
  </si>
  <si>
    <t>Tanagar Canyon East Cave</t>
  </si>
  <si>
    <t>Tanagar Canyon West Cave</t>
  </si>
  <si>
    <t>Tarm Point Cave</t>
  </si>
  <si>
    <t>Tarrey Town Tunnel</t>
  </si>
  <si>
    <t>Thundra Plateau Cave</t>
  </si>
  <si>
    <t>Tobio's Hollow Cave</t>
  </si>
  <si>
    <t>Ubota Point Cave</t>
  </si>
  <si>
    <t>Ulria Grotto East Cave</t>
  </si>
  <si>
    <t>Ulria Grotto South Cave</t>
  </si>
  <si>
    <t>Upland Zorana Byroad</t>
  </si>
  <si>
    <t>Upland Zorana Foothill Cave</t>
  </si>
  <si>
    <t>Upland Zorana Mountainside Cave</t>
  </si>
  <si>
    <t>Upland Zorana Summit Cave</t>
  </si>
  <si>
    <t>Valley of Silent Statues</t>
  </si>
  <si>
    <t>Walnot Mountain Cave</t>
  </si>
  <si>
    <t>West Gerudo Underground Ruins</t>
  </si>
  <si>
    <t>West Lake Totori Cave</t>
  </si>
  <si>
    <t>West Restaurant Cave</t>
  </si>
  <si>
    <t>Whistling Hill Cave</t>
  </si>
  <si>
    <t>Yiga Blademaster Station</t>
  </si>
  <si>
    <t>Yiga Clan Maritta Branch</t>
  </si>
  <si>
    <t>YunoboCo HQ East Cave</t>
  </si>
  <si>
    <t>YunoboCo HQ South Cave</t>
  </si>
  <si>
    <t>Great Sky Island</t>
  </si>
  <si>
    <t>31 1</t>
  </si>
  <si>
    <t>Bravery Island</t>
  </si>
  <si>
    <t>Courage Island</t>
  </si>
  <si>
    <t>Death Mountain Depths</t>
  </si>
  <si>
    <t>Depths</t>
  </si>
  <si>
    <t>East Gerudo Sky Archipelago</t>
  </si>
  <si>
    <t>East Hebra Sky Archipelago</t>
  </si>
  <si>
    <t>Gerudo Canyon Pass</t>
  </si>
  <si>
    <t>Great Sky Island (East)</t>
  </si>
  <si>
    <t>Great Sky Island (South)</t>
  </si>
  <si>
    <t>Hudson Construction Site</t>
  </si>
  <si>
    <t>Kakariko Village</t>
  </si>
  <si>
    <t>Lanayru Sky Archipelago</t>
  </si>
  <si>
    <t>Left-Leg Depot</t>
  </si>
  <si>
    <t>Lightcast Island</t>
  </si>
  <si>
    <t>North Hyrule Sky Archipelago</t>
  </si>
  <si>
    <t>North Necluda Sky Archipelago</t>
  </si>
  <si>
    <t>Sky Mine</t>
  </si>
  <si>
    <t>Sokkala Sky Archipelago</t>
  </si>
  <si>
    <t>South Eldin Sky Archipelago</t>
  </si>
  <si>
    <t>South Hyrule Sky Archipelago</t>
  </si>
  <si>
    <t>South Lanayru Sky Archipelago</t>
  </si>
  <si>
    <t>South Necluda Sky Archipelago</t>
  </si>
  <si>
    <t>Starview Island</t>
  </si>
  <si>
    <t>Tabantha Sky Archipelago</t>
  </si>
  <si>
    <t>Thunderhead Isles</t>
  </si>
  <si>
    <t>Valor Island</t>
  </si>
  <si>
    <t>Wellspring Island</t>
  </si>
  <si>
    <t>West Hebra Sky Archipelago</t>
  </si>
  <si>
    <t>West Necluda Sky Archipelago</t>
  </si>
  <si>
    <t>Zonaite Forge Island</t>
  </si>
  <si>
    <t>Akkala Ancient Tech Lab</t>
  </si>
  <si>
    <t>Applean Forest</t>
  </si>
  <si>
    <t>Ash Swamp</t>
  </si>
  <si>
    <t>Bridge of Eldin</t>
  </si>
  <si>
    <t>Brynna Plain</t>
  </si>
  <si>
    <t>Cliffs of Quince</t>
  </si>
  <si>
    <t>Death Mountain West Site</t>
  </si>
  <si>
    <t>Drenan Highlands</t>
  </si>
  <si>
    <t>Eagus Bridge</t>
  </si>
  <si>
    <t>East Akkala Stable</t>
  </si>
  <si>
    <t>East Barrens</t>
  </si>
  <si>
    <t>Exchange Ruins</t>
  </si>
  <si>
    <t>Foothill Stable</t>
  </si>
  <si>
    <t>Forest of Spirits</t>
  </si>
  <si>
    <t>Gerudo Canyon</t>
  </si>
  <si>
    <t>Gerudo Canyon Stable</t>
  </si>
  <si>
    <t>Gut Check Rock</t>
  </si>
  <si>
    <t>Haran Lake</t>
  </si>
  <si>
    <t>Hebra Trailhead Lodge</t>
  </si>
  <si>
    <t>Hyrule Castle Moat</t>
  </si>
  <si>
    <t>Hyrule Castle Town Ruins</t>
  </si>
  <si>
    <t>Kolami Bridge</t>
  </si>
  <si>
    <t>Koto Pond</t>
  </si>
  <si>
    <t>Koukot Plateau</t>
  </si>
  <si>
    <t>Lake Akkala</t>
  </si>
  <si>
    <t>Lake Illumeni</t>
  </si>
  <si>
    <t>Lake Totori</t>
  </si>
  <si>
    <t>Lakeside Stable</t>
  </si>
  <si>
    <t>Lanayru Road - West Gate</t>
  </si>
  <si>
    <t>Lodrum Headland</t>
  </si>
  <si>
    <t>Ludfo's Bog</t>
  </si>
  <si>
    <t>Mabe Prairie</t>
  </si>
  <si>
    <t>Manhala Bridge</t>
  </si>
  <si>
    <t>Mapla Point</t>
  </si>
  <si>
    <t>Meadela's Mantle</t>
  </si>
  <si>
    <t>Mercay Island</t>
  </si>
  <si>
    <t>Midla Woods</t>
  </si>
  <si>
    <t>Mount Drena</t>
  </si>
  <si>
    <t>Mount Granajh</t>
  </si>
  <si>
    <t>Mount Gustaf</t>
  </si>
  <si>
    <t>Mount Rhoam</t>
  </si>
  <si>
    <t>Nima Plain</t>
  </si>
  <si>
    <t>Nirvata Lake</t>
  </si>
  <si>
    <t>North Tabantha Snowfield</t>
  </si>
  <si>
    <t>Octorok Lake</t>
  </si>
  <si>
    <t>Owlan Bridge</t>
  </si>
  <si>
    <t>Palmorae Beach</t>
  </si>
  <si>
    <t>Palu Wasteland</t>
  </si>
  <si>
    <t>Pappetto Grove</t>
  </si>
  <si>
    <t>Pico Pond</t>
  </si>
  <si>
    <t>Pikida Stonegrove</t>
  </si>
  <si>
    <t>Pillars of Levia</t>
  </si>
  <si>
    <t>Rebonae Bridge</t>
  </si>
  <si>
    <t>Rowan Plain</t>
  </si>
  <si>
    <t>Ruto Lake</t>
  </si>
  <si>
    <t>Sahasra Slope</t>
  </si>
  <si>
    <t>Salari Hill</t>
  </si>
  <si>
    <t>Samasa Plain</t>
  </si>
  <si>
    <t>Scout's Hill</t>
  </si>
  <si>
    <t>South Akkala Stable</t>
  </si>
  <si>
    <t>South Tabantha Snowfield</t>
  </si>
  <si>
    <t>Spring of Courage</t>
  </si>
  <si>
    <t>Sturnida Secret Hot Spring</t>
  </si>
  <si>
    <t>Tabantha Great Bridge</t>
  </si>
  <si>
    <t>Talonto Peak</t>
  </si>
  <si>
    <t>Tamio River</t>
  </si>
  <si>
    <t>Temto Hill</t>
  </si>
  <si>
    <t>Thims Bridge</t>
  </si>
  <si>
    <t>Thyphlo Ruins</t>
  </si>
  <si>
    <t>Ulria Grotto</t>
  </si>
  <si>
    <t>Upland Zorana</t>
  </si>
  <si>
    <t>Yarna Valley</t>
  </si>
  <si>
    <t>Zora River</t>
  </si>
  <si>
    <t>Abandoned Eldin Mine</t>
  </si>
  <si>
    <t>Abandoned Gerudo Mine</t>
  </si>
  <si>
    <t>Abandoned Hateno Mine</t>
  </si>
  <si>
    <t>Abandoned Hebra Mine</t>
  </si>
  <si>
    <t>Abandoned Kakariko Mine</t>
  </si>
  <si>
    <t>Abandoned Kara Kara Mine</t>
  </si>
  <si>
    <t>Abandoned Lanayru Mine</t>
  </si>
  <si>
    <t>Abandoned Lurelin Mine</t>
  </si>
  <si>
    <t>Abandoned Tarrey Mine</t>
  </si>
  <si>
    <t>Afromsia Coast</t>
  </si>
  <si>
    <t>Agaat Canyon Mine</t>
  </si>
  <si>
    <t>Akkala</t>
  </si>
  <si>
    <t>Akkala Bridge Ruins</t>
  </si>
  <si>
    <t>Akkala Citadel Ruins</t>
  </si>
  <si>
    <t>Akkala Falls</t>
  </si>
  <si>
    <t>Akkala House of Bones</t>
  </si>
  <si>
    <t>Akkala Parade Ground Ruins</t>
  </si>
  <si>
    <t>Akkala Sky</t>
  </si>
  <si>
    <t>Akkala Span</t>
  </si>
  <si>
    <t>Akkala Wilds</t>
  </si>
  <si>
    <t>Aldor Foothills</t>
  </si>
  <si>
    <t>Ancient Columns</t>
  </si>
  <si>
    <t>Ancient Observation Deck</t>
  </si>
  <si>
    <t>Ancient Tablet</t>
  </si>
  <si>
    <t>Ancient Tree Stump</t>
  </si>
  <si>
    <t>Ancient Underground Fortress</t>
  </si>
  <si>
    <t>Angel Peak</t>
  </si>
  <si>
    <t>Ankel Island</t>
  </si>
  <si>
    <t>Applean Grove</t>
  </si>
  <si>
    <t>Aquame Bridge</t>
  </si>
  <si>
    <t>Aquame Lake</t>
  </si>
  <si>
    <t>Aquame Lake Well</t>
  </si>
  <si>
    <t>Arbiter's Grounds</t>
  </si>
  <si>
    <t>Aris Beach</t>
  </si>
  <si>
    <t>Armor Shop</t>
  </si>
  <si>
    <t>Atun Valley</t>
  </si>
  <si>
    <t>Bank of Wishes</t>
  </si>
  <si>
    <t>Bannan Island</t>
  </si>
  <si>
    <t>Bargainer Statue</t>
  </si>
  <si>
    <t>Barula Plain</t>
  </si>
  <si>
    <t>Batrea Lake</t>
  </si>
  <si>
    <t>Bedrock Bistro</t>
  </si>
  <si>
    <t>Big Twin Bridge</t>
  </si>
  <si>
    <t>Biron Snowshelf</t>
  </si>
  <si>
    <t>Blatchery Plain</t>
  </si>
  <si>
    <t>Bloodleaf Lake</t>
  </si>
  <si>
    <t>Blupee Burrow</t>
  </si>
  <si>
    <t>Boné Pond</t>
  </si>
  <si>
    <t>Boné Pond East Cave</t>
  </si>
  <si>
    <t>Boneyard Bridge</t>
  </si>
  <si>
    <t>Bonooru's Stand</t>
  </si>
  <si>
    <t>Bottomless Pond</t>
  </si>
  <si>
    <t>Bottomless Pond Well</t>
  </si>
  <si>
    <t>Breach of Demise</t>
  </si>
  <si>
    <t>Break-a-Part Shop</t>
  </si>
  <si>
    <t>Breman Peak</t>
  </si>
  <si>
    <t>Bridge of Hylia</t>
  </si>
  <si>
    <t>Broca Island</t>
  </si>
  <si>
    <t>Bronas Forest</t>
  </si>
  <si>
    <t>Bubinga Forest</t>
  </si>
  <si>
    <t>Bubinga Grove</t>
  </si>
  <si>
    <t>Calora Lake</t>
  </si>
  <si>
    <t>Camphor Pond</t>
  </si>
  <si>
    <t>Canteen</t>
  </si>
  <si>
    <t>Canyon of Awakening Mine</t>
  </si>
  <si>
    <t>Cape Cales</t>
  </si>
  <si>
    <t>Cape Cresia</t>
  </si>
  <si>
    <t>Carok Bridge</t>
  </si>
  <si>
    <t>Carok Bridge Well</t>
  </si>
  <si>
    <t>Castle Town Prison</t>
  </si>
  <si>
    <t>Castle Town Watchtower</t>
  </si>
  <si>
    <t>Central Hyrule Sky</t>
  </si>
  <si>
    <t>Central Hyrule Sky Archipelago</t>
  </si>
  <si>
    <t>Central Square</t>
  </si>
  <si>
    <t>Cephla Lake</t>
  </si>
  <si>
    <t>Champion's Gate</t>
  </si>
  <si>
    <t>Clarnet Coast</t>
  </si>
  <si>
    <t>Cliff Bargainer Statue</t>
  </si>
  <si>
    <t>Cliffs of Ruvara</t>
  </si>
  <si>
    <t>Coldsnap Hollow</t>
  </si>
  <si>
    <t>Coliseum Ruins</t>
  </si>
  <si>
    <t>Construct Factory</t>
  </si>
  <si>
    <t>Construction Site Well</t>
  </si>
  <si>
    <t>Cora Lake</t>
  </si>
  <si>
    <t>Corta Lake</t>
  </si>
  <si>
    <t>Corvash Canyon Mine</t>
  </si>
  <si>
    <t>Corvash Peak</t>
  </si>
  <si>
    <t>Courage Steppe</t>
  </si>
  <si>
    <t>Crenel Canyon Mine</t>
  </si>
  <si>
    <t>Crenel Hills</t>
  </si>
  <si>
    <t>Crenel Peak</t>
  </si>
  <si>
    <t>Cresia Pit Mine</t>
  </si>
  <si>
    <t>Crystal Refinery</t>
  </si>
  <si>
    <t>Cuho Canyon Mine</t>
  </si>
  <si>
    <t>Cuho Mountain</t>
  </si>
  <si>
    <t>Dalite Forest</t>
  </si>
  <si>
    <t>Dalite Grove</t>
  </si>
  <si>
    <t>Damel Forest</t>
  </si>
  <si>
    <t>Daphnes Canyon Mine</t>
  </si>
  <si>
    <t>Darb Pond</t>
  </si>
  <si>
    <t>Darunia Lake</t>
  </si>
  <si>
    <t>Darybon Plains</t>
  </si>
  <si>
    <t>Daval Canyon Mine</t>
  </si>
  <si>
    <t>Daval Peak</t>
  </si>
  <si>
    <t>Davdi Island</t>
  </si>
  <si>
    <t>Death Caldera</t>
  </si>
  <si>
    <t>Deepback Bay</t>
  </si>
  <si>
    <t>Deku Tree Chasm</t>
  </si>
  <si>
    <t>Deplian Badlands</t>
  </si>
  <si>
    <t>Desert Coliseum</t>
  </si>
  <si>
    <t>Desert Rift</t>
  </si>
  <si>
    <t>Deya Lake</t>
  </si>
  <si>
    <t>Deya Village Ruins</t>
  </si>
  <si>
    <t>Deya Village Ruins East Well</t>
  </si>
  <si>
    <t>Deya Village Ruins North Well</t>
  </si>
  <si>
    <t>Deya Village Ruins South Well</t>
  </si>
  <si>
    <t>Deya Village Ruins Well</t>
  </si>
  <si>
    <t>Digdogg Suspension Bridge</t>
  </si>
  <si>
    <t>Dining Hall</t>
  </si>
  <si>
    <t>Docks</t>
  </si>
  <si>
    <t>Dracozu Altar</t>
  </si>
  <si>
    <t>Dracozu Lake</t>
  </si>
  <si>
    <t>Dracozu River</t>
  </si>
  <si>
    <t>Dragon Bone Mire</t>
  </si>
  <si>
    <t>Dragon's Exile</t>
  </si>
  <si>
    <t>Drena Canyon Mine</t>
  </si>
  <si>
    <t>Drenan Highlands Chasm</t>
  </si>
  <si>
    <t>Dronoc's Pass</t>
  </si>
  <si>
    <t>Dronoc's Pass Well</t>
  </si>
  <si>
    <t>Dueling Canyons Mine</t>
  </si>
  <si>
    <t>Dueling Peaks</t>
  </si>
  <si>
    <t>Dueling Peaks Stable</t>
  </si>
  <si>
    <t>Dueling Peaks Stable Well</t>
  </si>
  <si>
    <t>Dunsel Canyon Mine</t>
  </si>
  <si>
    <t>Dunsel Plateau</t>
  </si>
  <si>
    <t>Dye Shop</t>
  </si>
  <si>
    <t>East Akkala Beach</t>
  </si>
  <si>
    <t>East Akkala Stable Well</t>
  </si>
  <si>
    <t>East Castle Town</t>
  </si>
  <si>
    <t>East Deplian Badlands</t>
  </si>
  <si>
    <t>East Gerudo Mesa</t>
  </si>
  <si>
    <t>East Gerudo Ruins</t>
  </si>
  <si>
    <t>East Passage</t>
  </si>
  <si>
    <t>East Post Ruins</t>
  </si>
  <si>
    <t>East Reservoir Lake</t>
  </si>
  <si>
    <t>East Sokkala Bridge</t>
  </si>
  <si>
    <t>Eastern Abbey</t>
  </si>
  <si>
    <t>Ebara Forest</t>
  </si>
  <si>
    <t>Ebon Canyon Mine</t>
  </si>
  <si>
    <t>Ebon Mountain</t>
  </si>
  <si>
    <t>Eldin</t>
  </si>
  <si>
    <t>Eldin Canyon Skyview Tower</t>
  </si>
  <si>
    <t>Eldin Dark Skeleton</t>
  </si>
  <si>
    <t>Eldin Great Skeleton</t>
  </si>
  <si>
    <t>Eldin Sky</t>
  </si>
  <si>
    <t>Eldin Sky Archipelago</t>
  </si>
  <si>
    <t>Eldin's Flank</t>
  </si>
  <si>
    <t>Elma Knolls</t>
  </si>
  <si>
    <t>Elma Knolls Chasm</t>
  </si>
  <si>
    <t>Elma Knolls Well</t>
  </si>
  <si>
    <t>Eventide Island</t>
  </si>
  <si>
    <t>Eventide Island Chasm</t>
  </si>
  <si>
    <t>Faloraa Canyon Mine</t>
  </si>
  <si>
    <t>Faron</t>
  </si>
  <si>
    <t>Faron Sea</t>
  </si>
  <si>
    <t>Faron Sky</t>
  </si>
  <si>
    <t>Faron Sky Archipelago</t>
  </si>
  <si>
    <t>Faron Woods</t>
  </si>
  <si>
    <t>Farosh Hills</t>
  </si>
  <si>
    <t>Finra Woods</t>
  </si>
  <si>
    <t>Fir River</t>
  </si>
  <si>
    <t>Firly Plateau</t>
  </si>
  <si>
    <t>Firly Pond</t>
  </si>
  <si>
    <t>First Gatehouse</t>
  </si>
  <si>
    <t>Flight Range</t>
  </si>
  <si>
    <t>Floating Coliseum</t>
  </si>
  <si>
    <t>Floating Scales Island</t>
  </si>
  <si>
    <t>Floret Sandbar</t>
  </si>
  <si>
    <t>Floria Bridge</t>
  </si>
  <si>
    <t>Floria Canyon Mine</t>
  </si>
  <si>
    <t>Floria Falls</t>
  </si>
  <si>
    <t>Floria River</t>
  </si>
  <si>
    <t>Foothill Stable Well</t>
  </si>
  <si>
    <t>Forest Coliseum</t>
  </si>
  <si>
    <t>Forge Construct</t>
  </si>
  <si>
    <t>Forgotten Temple</t>
  </si>
  <si>
    <t>Fort Hateno</t>
  </si>
  <si>
    <t>Fural Plain</t>
  </si>
  <si>
    <t>Gama Cove</t>
  </si>
  <si>
    <t>Gatepost Town Ruins</t>
  </si>
  <si>
    <t>General Store</t>
  </si>
  <si>
    <t>Gero Pond</t>
  </si>
  <si>
    <t>Gerudo</t>
  </si>
  <si>
    <t>Gerudo Canyon Skyview Tower</t>
  </si>
  <si>
    <t>Gerudo Canyon Well</t>
  </si>
  <si>
    <t>Gerudo Dark Skeleton</t>
  </si>
  <si>
    <t>Gerudo Desert Gateway</t>
  </si>
  <si>
    <t>Gerudo Highlands Skyview Tower</t>
  </si>
  <si>
    <t>Gerudo Sky</t>
  </si>
  <si>
    <t>Gerudo Town</t>
  </si>
  <si>
    <t>Gerudo Underground Cemetery</t>
  </si>
  <si>
    <t>Giant's Forest</t>
  </si>
  <si>
    <t>Giant's Grove</t>
  </si>
  <si>
    <t>Ginner Grove</t>
  </si>
  <si>
    <t>Ginner Woods</t>
  </si>
  <si>
    <t>Gisa Crater</t>
  </si>
  <si>
    <t>Gleeok Bridge</t>
  </si>
  <si>
    <t>Gleeok Den</t>
  </si>
  <si>
    <t>Goflam's Lavafalls</t>
  </si>
  <si>
    <t>Goflam's Secret Hot Spring</t>
  </si>
  <si>
    <t>Gogobi Shores</t>
  </si>
  <si>
    <t>Golow River</t>
  </si>
  <si>
    <t>Goponga Island</t>
  </si>
  <si>
    <t>Goponga Village Ruins</t>
  </si>
  <si>
    <t>Goponga Village Ruins Well</t>
  </si>
  <si>
    <t>Gorko Lake</t>
  </si>
  <si>
    <t>Goro Cove</t>
  </si>
  <si>
    <t>Goron City</t>
  </si>
  <si>
    <t>Goron Hot Springs</t>
  </si>
  <si>
    <t>Goronbi Lake</t>
  </si>
  <si>
    <t>Goronbi River</t>
  </si>
  <si>
    <t>Gortram Cliff</t>
  </si>
  <si>
    <t>Granajh Canyon Mine</t>
  </si>
  <si>
    <t>Great Abandoned Central Mine</t>
  </si>
  <si>
    <t>Great Cliffs</t>
  </si>
  <si>
    <t>Great Plateau</t>
  </si>
  <si>
    <t>Great Zora Bridge</t>
  </si>
  <si>
    <t>Grinnden Plains</t>
  </si>
  <si>
    <t>Grove of Spirits</t>
  </si>
  <si>
    <t>Grove of Time</t>
  </si>
  <si>
    <t>Guardian of the Rising Island Chain</t>
  </si>
  <si>
    <t>Guards' Chamber</t>
  </si>
  <si>
    <t>Guchini Plain</t>
  </si>
  <si>
    <t>Guchini Plain Barrows</t>
  </si>
  <si>
    <t>Gustaf Canyon Mine</t>
  </si>
  <si>
    <t>Hanu Pond</t>
  </si>
  <si>
    <t>Haran Lakefront Well</t>
  </si>
  <si>
    <t>Harfin Valley</t>
  </si>
  <si>
    <t>Harker Lake</t>
  </si>
  <si>
    <t>Hateno Ancient Tech Lab</t>
  </si>
  <si>
    <t>Hateno Bay</t>
  </si>
  <si>
    <t>Hateno Beach</t>
  </si>
  <si>
    <t>Hateno Pasture</t>
  </si>
  <si>
    <t>Hateno School</t>
  </si>
  <si>
    <t>Hateno Village</t>
  </si>
  <si>
    <t>Hateno Village East Well</t>
  </si>
  <si>
    <t>Hateno Village North Well</t>
  </si>
  <si>
    <t>Hateno Village South Well</t>
  </si>
  <si>
    <t>Hateno Village West Well</t>
  </si>
  <si>
    <t>Hebra</t>
  </si>
  <si>
    <t>Hebra Canyon Mine</t>
  </si>
  <si>
    <t>Hebra Dark Skeleton</t>
  </si>
  <si>
    <t>Hebra East Summit</t>
  </si>
  <si>
    <t>Hebra Falls</t>
  </si>
  <si>
    <t>Hebra Headspring</t>
  </si>
  <si>
    <t>Hebra North Crest</t>
  </si>
  <si>
    <t>Hebra North Summit</t>
  </si>
  <si>
    <t>Hebra Peak</t>
  </si>
  <si>
    <t>Hebra Plunge</t>
  </si>
  <si>
    <t>Hebra Sky</t>
  </si>
  <si>
    <t>Hebra South Summit</t>
  </si>
  <si>
    <t>Hebra Tundra</t>
  </si>
  <si>
    <t>Hebra West Summit</t>
  </si>
  <si>
    <t>Helmhead Bridge</t>
  </si>
  <si>
    <t>Hemaar's Descent</t>
  </si>
  <si>
    <t>Herin Lake</t>
  </si>
  <si>
    <t>Hickaly Grove</t>
  </si>
  <si>
    <t>Hickaly Woods</t>
  </si>
  <si>
    <t>Highland Stable</t>
  </si>
  <si>
    <t>Highland Stable Well</t>
  </si>
  <si>
    <t>Hills of Baumer Well</t>
  </si>
  <si>
    <t>Hopper Pond</t>
  </si>
  <si>
    <t>Horon Lagoon</t>
  </si>
  <si>
    <t>Horse God Bridge</t>
  </si>
  <si>
    <t>Horwell Bridge</t>
  </si>
  <si>
    <t>Hylia Canyon Mine</t>
  </si>
  <si>
    <t>Hylia Island</t>
  </si>
  <si>
    <t>Hylia River</t>
  </si>
  <si>
    <t>Hyrule Castle Moat West Chasm</t>
  </si>
  <si>
    <t>Hyrule Castle Town Ruins Well</t>
  </si>
  <si>
    <t>Hyrule Cathedral</t>
  </si>
  <si>
    <t>Hyrule Field Skyview Tower</t>
  </si>
  <si>
    <t>Hyrule Forest Park</t>
  </si>
  <si>
    <t>Hyrule Garrison Ruins</t>
  </si>
  <si>
    <t>Ibara Butte</t>
  </si>
  <si>
    <t>Icefall Foothills</t>
  </si>
  <si>
    <t>Illumeni Plateau</t>
  </si>
  <si>
    <t>Inn</t>
  </si>
  <si>
    <t>Inogo Bridge</t>
  </si>
  <si>
    <t>Irch Plain</t>
  </si>
  <si>
    <t>Irch Plain Well</t>
  </si>
  <si>
    <t>Isle of Rabac</t>
  </si>
  <si>
    <t>Ja'Abu Ridge</t>
  </si>
  <si>
    <t>Jeddo Bridge</t>
  </si>
  <si>
    <t>Jewelry Shop</t>
  </si>
  <si>
    <t>Jia Highlands</t>
  </si>
  <si>
    <t>Kaepora Pass</t>
  </si>
  <si>
    <t>Kakariko Bridge</t>
  </si>
  <si>
    <t>Kakariko Village Well</t>
  </si>
  <si>
    <t>Kamah Plateau</t>
  </si>
  <si>
    <t>Kanalet Ridge</t>
  </si>
  <si>
    <t>Kara Kara Bazaar</t>
  </si>
  <si>
    <t>Kara Kara Bazaar Well</t>
  </si>
  <si>
    <t>Karusa Valley</t>
  </si>
  <si>
    <t>Keelay Plain</t>
  </si>
  <si>
    <t>Keya Pond</t>
  </si>
  <si>
    <t>Kincean Island</t>
  </si>
  <si>
    <t>King's Study</t>
  </si>
  <si>
    <t>Kitano Bay</t>
  </si>
  <si>
    <t>Knuckel Island</t>
  </si>
  <si>
    <t>Koholit Rock</t>
  </si>
  <si>
    <t>Kolomo Garrison Ruins</t>
  </si>
  <si>
    <t>Komo Shoreline</t>
  </si>
  <si>
    <t>Kopeeki Drifts</t>
  </si>
  <si>
    <t>Korne Beach</t>
  </si>
  <si>
    <t>Korok Forest</t>
  </si>
  <si>
    <t>Korok Grove</t>
  </si>
  <si>
    <t>Lake Darman</t>
  </si>
  <si>
    <t>Lake Ferona</t>
  </si>
  <si>
    <t>Lake Floria</t>
  </si>
  <si>
    <t>Lake Hylia Chasm</t>
  </si>
  <si>
    <t>Lake Intenoch</t>
  </si>
  <si>
    <t>Lake Jarrah</t>
  </si>
  <si>
    <t>Lake Kilsie</t>
  </si>
  <si>
    <t>Lake Kolomo</t>
  </si>
  <si>
    <t>Lake Mekar</t>
  </si>
  <si>
    <t>Lake of the Horse God</t>
  </si>
  <si>
    <t>Lake Saria</t>
  </si>
  <si>
    <t>Lake Siela</t>
  </si>
  <si>
    <t>Lake Sumac</t>
  </si>
  <si>
    <t>Lakeside Stable Well</t>
  </si>
  <si>
    <t>Lanayru</t>
  </si>
  <si>
    <t>Lanayru Bay</t>
  </si>
  <si>
    <t>Lanayru Bluff</t>
  </si>
  <si>
    <t>Lanayru Canyon Mine</t>
  </si>
  <si>
    <t>Lanayru Heights</t>
  </si>
  <si>
    <t>Lanayru Promenade</t>
  </si>
  <si>
    <t>Lanayru Range</t>
  </si>
  <si>
    <t>Lanayru Road - East Gate</t>
  </si>
  <si>
    <t>Lanayru Sky</t>
  </si>
  <si>
    <t>Lanayru Wetlands Chasm</t>
  </si>
  <si>
    <t>Lanayru Wetlands Well</t>
  </si>
  <si>
    <t>Lantern Lake</t>
  </si>
  <si>
    <t>Laparoh Mesa</t>
  </si>
  <si>
    <t>Laverra Beach</t>
  </si>
  <si>
    <t>Left-Arm Depot</t>
  </si>
  <si>
    <t>Library</t>
  </si>
  <si>
    <t>Lindor Canyon Mine</t>
  </si>
  <si>
    <t>Lindor's Brow</t>
  </si>
  <si>
    <t>Lindor's Brow Skyview Tower</t>
  </si>
  <si>
    <t>Linebeck Island</t>
  </si>
  <si>
    <t>Link's House</t>
  </si>
  <si>
    <t>Little Twin Bridge</t>
  </si>
  <si>
    <t>Lockup</t>
  </si>
  <si>
    <t>Lomei Depths Labyrinth</t>
  </si>
  <si>
    <t>Lomei Labyrinth Island</t>
  </si>
  <si>
    <t>Lomei Sky Labyrinth</t>
  </si>
  <si>
    <t>Lone Island Coliseum</t>
  </si>
  <si>
    <t>Lookout Landing</t>
  </si>
  <si>
    <t>Lookout Landing Skyview Tower</t>
  </si>
  <si>
    <t>Lookout Landing Well</t>
  </si>
  <si>
    <t>Loshlo Harbor</t>
  </si>
  <si>
    <t>Lost Gorondia Rediscovered</t>
  </si>
  <si>
    <t>Lucky Clover Gazette</t>
  </si>
  <si>
    <t>Lucky Treasure Shop</t>
  </si>
  <si>
    <t>Lulu Lake</t>
  </si>
  <si>
    <t>Lurelin Village</t>
  </si>
  <si>
    <t>Lurelin Village Well</t>
  </si>
  <si>
    <t>Lurelin Water Rally</t>
  </si>
  <si>
    <t>Lurker in the Lost Woods</t>
  </si>
  <si>
    <t>Luto's Crossing</t>
  </si>
  <si>
    <t>Mabe Village Ruins</t>
  </si>
  <si>
    <t>Mabe Village Ruins Well</t>
  </si>
  <si>
    <t>Mable Ridge</t>
  </si>
  <si>
    <t>Madorna Canyon Mine</t>
  </si>
  <si>
    <t>Madorna Mountain</t>
  </si>
  <si>
    <t>Malanya Spring</t>
  </si>
  <si>
    <t>Malin Bay</t>
  </si>
  <si>
    <t>Marblod Plain</t>
  </si>
  <si>
    <t>Maritta Exchange Ruins</t>
  </si>
  <si>
    <t>Maritta Exchange Ruins Well</t>
  </si>
  <si>
    <t>Martha's Landing</t>
  </si>
  <si>
    <t>Maw of Death Mountain</t>
  </si>
  <si>
    <t>Meda Canyon Mine</t>
  </si>
  <si>
    <t>Meda Lavafalls</t>
  </si>
  <si>
    <t>Meda Mountain</t>
  </si>
  <si>
    <t>Meda Mountain Chasm</t>
  </si>
  <si>
    <t>Medingo Pool</t>
  </si>
  <si>
    <t>Mekar Island</t>
  </si>
  <si>
    <t>Menoat River</t>
  </si>
  <si>
    <t>Midla Grove</t>
  </si>
  <si>
    <t>Mido Swamp</t>
  </si>
  <si>
    <t>Mikau Lake</t>
  </si>
  <si>
    <t>Military Training Camp</t>
  </si>
  <si>
    <t>Millennio Sandbar</t>
  </si>
  <si>
    <t>Mini Stable</t>
  </si>
  <si>
    <t>Minshi Grove</t>
  </si>
  <si>
    <t>Minshi Woods</t>
  </si>
  <si>
    <t>Minshi Woods Chasm</t>
  </si>
  <si>
    <t>Mipha Court</t>
  </si>
  <si>
    <t>Moat Bridge</t>
  </si>
  <si>
    <t>Molida Island</t>
  </si>
  <si>
    <t>Monster Gallery</t>
  </si>
  <si>
    <t>Moor Garrison Ruins</t>
  </si>
  <si>
    <t>Moor Garrison Ruins Well</t>
  </si>
  <si>
    <t>Mount Agaat</t>
  </si>
  <si>
    <t>Mount Daphnes Well</t>
  </si>
  <si>
    <t>Mount Dunsel</t>
  </si>
  <si>
    <t>Mount Faloraa</t>
  </si>
  <si>
    <t>Mount Floria</t>
  </si>
  <si>
    <t>Mount Gustaf Well</t>
  </si>
  <si>
    <t>Mount Hylia</t>
  </si>
  <si>
    <t>Mount Lanayru Skyview Tower</t>
  </si>
  <si>
    <t>Mount Nabooru</t>
  </si>
  <si>
    <t>Mount Nabooru Well</t>
  </si>
  <si>
    <t>Mount Rozudo</t>
  </si>
  <si>
    <t>Mount Taran</t>
  </si>
  <si>
    <t>Mystathi's Shelf</t>
  </si>
  <si>
    <t>Nabi Lake</t>
  </si>
  <si>
    <t>Nabooru Canyon Mine</t>
  </si>
  <si>
    <t>Nautelle Wetlands</t>
  </si>
  <si>
    <t>Necluda</t>
  </si>
  <si>
    <t>Necluda Sky</t>
  </si>
  <si>
    <t>Necluda Sky Archipelago</t>
  </si>
  <si>
    <t>Nephra Hill</t>
  </si>
  <si>
    <t>Nero Hill</t>
  </si>
  <si>
    <t>Nette Plateau</t>
  </si>
  <si>
    <t>New Serenne Stable</t>
  </si>
  <si>
    <t>New Serenne Stable Well</t>
  </si>
  <si>
    <t>Nirvata Plateau</t>
  </si>
  <si>
    <t>North Akkala Beach</t>
  </si>
  <si>
    <t>North Akkala Foothill</t>
  </si>
  <si>
    <t>North Akkala Sky Archipelago</t>
  </si>
  <si>
    <t>North Akkala Valley</t>
  </si>
  <si>
    <t>North Gerudo Ruins</t>
  </si>
  <si>
    <t>North Gerudo Sky Archipelago</t>
  </si>
  <si>
    <t>North Hyrule Plain</t>
  </si>
  <si>
    <t>North Lomei Castle Top Floor</t>
  </si>
  <si>
    <t>North Lomei Depths Labyrinth</t>
  </si>
  <si>
    <t>North Lomei Labyrinth</t>
  </si>
  <si>
    <t>North Tabantha Sky Archipelago</t>
  </si>
  <si>
    <t>Northern Icehouse</t>
  </si>
  <si>
    <t>Oakle's Navel</t>
  </si>
  <si>
    <t>Observation Room</t>
  </si>
  <si>
    <t>Ordorac Quarry</t>
  </si>
  <si>
    <t>Oren Bridge</t>
  </si>
  <si>
    <t>Orsedd Bridge</t>
  </si>
  <si>
    <t>Oseira Plains</t>
  </si>
  <si>
    <t>Outpost Ruins</t>
  </si>
  <si>
    <t>Outskirt Hill Well</t>
  </si>
  <si>
    <t>Outskirt Stable</t>
  </si>
  <si>
    <t>Outskirt Stable Well</t>
  </si>
  <si>
    <t>Ovli Plain</t>
  </si>
  <si>
    <t>Pagos Woods</t>
  </si>
  <si>
    <t>Palmorae Ruins</t>
  </si>
  <si>
    <t>Parache Plains</t>
  </si>
  <si>
    <t>Passer Hill</t>
  </si>
  <si>
    <t>Passeri Greenbelt</t>
  </si>
  <si>
    <t>Peak of Awakening</t>
  </si>
  <si>
    <t>Phalian Highlands</t>
  </si>
  <si>
    <t>Pierre Plateau</t>
  </si>
  <si>
    <t>Pikida Stonegrove Skyview Tower</t>
  </si>
  <si>
    <t>Piper Ridge</t>
  </si>
  <si>
    <t>Plains Bargainer Statue</t>
  </si>
  <si>
    <t>Ploymus Canyon Mine</t>
  </si>
  <si>
    <t>Ploymus Mountain</t>
  </si>
  <si>
    <t>Popla Foothills</t>
  </si>
  <si>
    <t>Popla Foothills North Well</t>
  </si>
  <si>
    <t>Popla Foothills Skyview Tower</t>
  </si>
  <si>
    <t>Popla Foothills South Well</t>
  </si>
  <si>
    <t>Princess Zelda's Room</t>
  </si>
  <si>
    <t>Princess Zelda's Study</t>
  </si>
  <si>
    <t>Proxim Bridge</t>
  </si>
  <si>
    <t>Puffer Beach</t>
  </si>
  <si>
    <t>Purifier Lake</t>
  </si>
  <si>
    <t>Quarry Ruins</t>
  </si>
  <si>
    <t>Quatta's Shelf</t>
  </si>
  <si>
    <t>Rabella Wetlands</t>
  </si>
  <si>
    <t>Rabella Wetlands Skyview Tower</t>
  </si>
  <si>
    <t>Rabia Plain</t>
  </si>
  <si>
    <t>Ralis Pond</t>
  </si>
  <si>
    <t>Ranch Ruins</t>
  </si>
  <si>
    <t>Rassla Lake</t>
  </si>
  <si>
    <t>Rauru Hillside</t>
  </si>
  <si>
    <t>Rauru Settlement Ruins</t>
  </si>
  <si>
    <t>Rauru Settlement Ruins Well</t>
  </si>
  <si>
    <t>Rayne Highlands</t>
  </si>
  <si>
    <t>Rebonae Bridge Well</t>
  </si>
  <si>
    <t>Regencia River</t>
  </si>
  <si>
    <t>Restaurant</t>
  </si>
  <si>
    <t>Retsam Forest</t>
  </si>
  <si>
    <t>Retsam Grove</t>
  </si>
  <si>
    <t>Rhoam Canyon Mine</t>
  </si>
  <si>
    <t>Right-Arm Depot</t>
  </si>
  <si>
    <t>Right-Leg Depot</t>
  </si>
  <si>
    <t>Rikoka Hills</t>
  </si>
  <si>
    <t>Rikoka Hills Well</t>
  </si>
  <si>
    <t>Rimba Beach</t>
  </si>
  <si>
    <t>Ring Ruins</t>
  </si>
  <si>
    <t>Riola Spring</t>
  </si>
  <si>
    <t>Risoka Snowfield</t>
  </si>
  <si>
    <t>Rist Mine</t>
  </si>
  <si>
    <t>Rist Peninsula</t>
  </si>
  <si>
    <t>River of the Dead</t>
  </si>
  <si>
    <t>Riverside Stable</t>
  </si>
  <si>
    <t>Riverside Stable Well</t>
  </si>
  <si>
    <t>Robred Dropoff</t>
  </si>
  <si>
    <t>Rodai Lake</t>
  </si>
  <si>
    <t>Rok Grove</t>
  </si>
  <si>
    <t>Rok Woods</t>
  </si>
  <si>
    <t>Romani Plains</t>
  </si>
  <si>
    <t>Rospro Pass</t>
  </si>
  <si>
    <t>Rospro Pass Skyview Tower</t>
  </si>
  <si>
    <t>Rowan Plain Well</t>
  </si>
  <si>
    <t>Royal Ancient Lab Ruins</t>
  </si>
  <si>
    <t>Rozudo Canyon Mine</t>
  </si>
  <si>
    <t>Rutala Dam</t>
  </si>
  <si>
    <t>Rutala River</t>
  </si>
  <si>
    <t>Rutile Lake</t>
  </si>
  <si>
    <t>Rutimala Hill</t>
  </si>
  <si>
    <t>Ruto Canyon Mine</t>
  </si>
  <si>
    <t>Ruto Mountain</t>
  </si>
  <si>
    <t>Ruto Precipice</t>
  </si>
  <si>
    <t>Safula Hill</t>
  </si>
  <si>
    <t>Sage Temple Ruins</t>
  </si>
  <si>
    <t>Sahasra Slope Skyview Tower</t>
  </si>
  <si>
    <t>Salari Plain</t>
  </si>
  <si>
    <t>Sanctum</t>
  </si>
  <si>
    <t>Sand-Seal Rental Shop</t>
  </si>
  <si>
    <t>Sanidin Park Ruins</t>
  </si>
  <si>
    <t>Sapphia's Table</t>
  </si>
  <si>
    <t>Sarjon Bridge</t>
  </si>
  <si>
    <t>Sarjon Woods</t>
  </si>
  <si>
    <t>Satori Mountain</t>
  </si>
  <si>
    <t>Scorching Coliseum</t>
  </si>
  <si>
    <t>Secluded Coliseum</t>
  </si>
  <si>
    <t>Second Gatehouse</t>
  </si>
  <si>
    <t>Secret Spring of Revival</t>
  </si>
  <si>
    <t>Selmie's Spot</t>
  </si>
  <si>
    <t>Seres Scablands</t>
  </si>
  <si>
    <t>Shadow Hamlet Ruins</t>
  </si>
  <si>
    <t>Shadow Hamlet Ruins Well</t>
  </si>
  <si>
    <t>Shadow Pass</t>
  </si>
  <si>
    <t>Shatterback Point</t>
  </si>
  <si>
    <t>Sherfin's Lavafalls</t>
  </si>
  <si>
    <t>Sherfin's Secret Hot Spring</t>
  </si>
  <si>
    <t>Shrine Island</t>
  </si>
  <si>
    <t>Smithing Construct</t>
  </si>
  <si>
    <t>Snowfield Stable</t>
  </si>
  <si>
    <t>Snowfield Stable Well</t>
  </si>
  <si>
    <t>Soka Point</t>
  </si>
  <si>
    <t>Sokkala Bridge</t>
  </si>
  <si>
    <t>Solewood Range</t>
  </si>
  <si>
    <t>South Akkala Stable Well</t>
  </si>
  <si>
    <t>South Hebra Sky Archipelago</t>
  </si>
  <si>
    <t>South Lake Akkala</t>
  </si>
  <si>
    <t>South Lomei Castle Top Floor</t>
  </si>
  <si>
    <t>South Lomei Depths Labyrinth</t>
  </si>
  <si>
    <t>South Lomei Labyrinth</t>
  </si>
  <si>
    <t>South Nabi Lake</t>
  </si>
  <si>
    <t>South Nabi Lake Well</t>
  </si>
  <si>
    <t>Southern Oasis</t>
  </si>
  <si>
    <t>Southern Oasis Training Area</t>
  </si>
  <si>
    <t>Spectacle Rock</t>
  </si>
  <si>
    <t>Spool Bight</t>
  </si>
  <si>
    <t>Spring of Power</t>
  </si>
  <si>
    <t>Spring of Wisdom</t>
  </si>
  <si>
    <t>Squabble River</t>
  </si>
  <si>
    <t>Stalry Plateau</t>
  </si>
  <si>
    <t>Statue of the Eighth Heroine</t>
  </si>
  <si>
    <t>Stinger Cliffs</t>
  </si>
  <si>
    <t>Stolock Bridge</t>
  </si>
  <si>
    <t>Strock Lake</t>
  </si>
  <si>
    <t>Sturnida Basin</t>
  </si>
  <si>
    <t>Sturnida Lavafalls</t>
  </si>
  <si>
    <t>Taafei Hill</t>
  </si>
  <si>
    <t>Tabahl Grove</t>
  </si>
  <si>
    <t>Tabahl Woods</t>
  </si>
  <si>
    <t>Tabahl Woods Well</t>
  </si>
  <si>
    <t>Tabantha Bridge Stable</t>
  </si>
  <si>
    <t>Tabantha Bridge Stable Well</t>
  </si>
  <si>
    <t>Tabantha Hills</t>
  </si>
  <si>
    <t>Tabantha Tundra</t>
  </si>
  <si>
    <t>Tabantha Village Ruins</t>
  </si>
  <si>
    <t>Tabantha Village Ruins Well</t>
  </si>
  <si>
    <t>Tal Tal Peak</t>
  </si>
  <si>
    <t>Talus Plateau</t>
  </si>
  <si>
    <t>Tama Pond</t>
  </si>
  <si>
    <t>Tanagar Canyon</t>
  </si>
  <si>
    <t>Taobab Grassland</t>
  </si>
  <si>
    <t>Taran Canyon Mine</t>
  </si>
  <si>
    <t>Taran Pass</t>
  </si>
  <si>
    <t>Tarm Point</t>
  </si>
  <si>
    <t>Tarrey Town</t>
  </si>
  <si>
    <t>Tarrey Town Race</t>
  </si>
  <si>
    <t>Telta Lake</t>
  </si>
  <si>
    <t>Tempest Gulch</t>
  </si>
  <si>
    <t>Temple of Time</t>
  </si>
  <si>
    <t>Temple of Time Ruins</t>
  </si>
  <si>
    <t>Tenoko Island</t>
  </si>
  <si>
    <t>Ternio Trail</t>
  </si>
  <si>
    <t>The Great Wellspring of Hyrule</t>
  </si>
  <si>
    <t>The Legendary Stormwind Ark</t>
  </si>
  <si>
    <t>The Mural's Myth, Risen from the Sands</t>
  </si>
  <si>
    <t>The Vessel of Spirit's Resting Place</t>
  </si>
  <si>
    <t>Thundra Plateau</t>
  </si>
  <si>
    <t>Thyphlo Ruins Skyview Tower</t>
  </si>
  <si>
    <t>Tobio's Hollow</t>
  </si>
  <si>
    <t>Tobio's Hollow Chasm</t>
  </si>
  <si>
    <t>Torin Wetland</t>
  </si>
  <si>
    <t>Toronbo Beach</t>
  </si>
  <si>
    <t>Toruma Dunes</t>
  </si>
  <si>
    <t>Toto Lake</t>
  </si>
  <si>
    <t>Trilby Plain</t>
  </si>
  <si>
    <t>Trilby Valley</t>
  </si>
  <si>
    <t>Trotter's Downfall</t>
  </si>
  <si>
    <t>Tuft Canyon Mine</t>
  </si>
  <si>
    <t>Tuft Mountain</t>
  </si>
  <si>
    <t>Tumlea Heights</t>
  </si>
  <si>
    <t>Ubota Point</t>
  </si>
  <si>
    <t>Ukuku Plains</t>
  </si>
  <si>
    <t>Ulri Canyon Mine</t>
  </si>
  <si>
    <t>Ulri Mountain</t>
  </si>
  <si>
    <t>Ulri Mountain Skyview Tower</t>
  </si>
  <si>
    <t>Ultra Ball Haul Check-In</t>
  </si>
  <si>
    <t>Upland Lindor</t>
  </si>
  <si>
    <t>Upland Zorana Skyview Tower</t>
  </si>
  <si>
    <t>Uten Marsh</t>
  </si>
  <si>
    <t>Vatorsa Snowfield</t>
  </si>
  <si>
    <t>Veiled Falls</t>
  </si>
  <si>
    <t>Walnot Canyon Mine</t>
  </si>
  <si>
    <t>Walnot Mountain</t>
  </si>
  <si>
    <t>Washa's Bluff</t>
  </si>
  <si>
    <t>Water Reservoir</t>
  </si>
  <si>
    <t>Wellspring of Courage</t>
  </si>
  <si>
    <t>Wellspring of Power</t>
  </si>
  <si>
    <t>Wellspring of Wisdom</t>
  </si>
  <si>
    <t>Wes Island</t>
  </si>
  <si>
    <t>West Barrens</t>
  </si>
  <si>
    <t>West Castle Town</t>
  </si>
  <si>
    <t>West Deplian Badlands</t>
  </si>
  <si>
    <t>West Gerudo Ruins</t>
  </si>
  <si>
    <t>West Hyrule Plains</t>
  </si>
  <si>
    <t>West Hyrule Sky Archipelago</t>
  </si>
  <si>
    <t>West Passage</t>
  </si>
  <si>
    <t>West Sokkala Bridge</t>
  </si>
  <si>
    <t>Wetland Stable</t>
  </si>
  <si>
    <t>Wetland Stable South Well</t>
  </si>
  <si>
    <t>Wetland Stable Well</t>
  </si>
  <si>
    <t>Whistling Hill</t>
  </si>
  <si>
    <t>Windvane Meadow</t>
  </si>
  <si>
    <t>Wintre Island</t>
  </si>
  <si>
    <t>Woodland Stable</t>
  </si>
  <si>
    <t>Woodland Stable Well</t>
  </si>
  <si>
    <t>Yambi Lake</t>
  </si>
  <si>
    <t>YunoboCo HQ</t>
  </si>
  <si>
    <t>Zauz Island</t>
  </si>
  <si>
    <t>Zauz Island Well</t>
  </si>
  <si>
    <t>Zelda's Secret Well</t>
  </si>
  <si>
    <t>Zelkoa Pond</t>
  </si>
  <si>
    <t>Zelo Pond</t>
  </si>
  <si>
    <t>Zirco Mesa</t>
  </si>
  <si>
    <t>Zodobon Highlands</t>
  </si>
  <si>
    <t>Zokassa Ridge</t>
  </si>
  <si>
    <t>Zonai Ruins</t>
  </si>
  <si>
    <t>Zonai Survey Team Base</t>
  </si>
  <si>
    <t>Zora's Domain</t>
  </si>
  <si>
    <t>87 2</t>
  </si>
  <si>
    <t>87 -</t>
  </si>
  <si>
    <t>14 -</t>
  </si>
  <si>
    <t>78 1</t>
  </si>
  <si>
    <t>77 2</t>
  </si>
  <si>
    <t>83 1</t>
  </si>
  <si>
    <t>3 15</t>
  </si>
  <si>
    <t>Aerial Cannon</t>
  </si>
  <si>
    <t>All-Purpose Raft</t>
  </si>
  <si>
    <t>Assault Cart</t>
  </si>
  <si>
    <t>Automated Ally</t>
  </si>
  <si>
    <t>Beam Cycle</t>
  </si>
  <si>
    <t>Beam Spinner</t>
  </si>
  <si>
    <t>Beam Turret</t>
  </si>
  <si>
    <t>Big Rig</t>
  </si>
  <si>
    <t>Bolt Boat</t>
  </si>
  <si>
    <t>Bomb Boquet</t>
  </si>
  <si>
    <t>Bridge</t>
  </si>
  <si>
    <t>Cargo Carrier</t>
  </si>
  <si>
    <t>Charged Charger</t>
  </si>
  <si>
    <t>Dirigible</t>
  </si>
  <si>
    <t>Excavator</t>
  </si>
  <si>
    <t>Fanboat</t>
  </si>
  <si>
    <t>Fanplane</t>
  </si>
  <si>
    <t>Fishing Trawler</t>
  </si>
  <si>
    <t>Flamethrower Baloon</t>
  </si>
  <si>
    <t>Floodlights</t>
  </si>
  <si>
    <t>Headlight Raft</t>
  </si>
  <si>
    <t>Hot-Air Balloon</t>
  </si>
  <si>
    <t>Hovercraft</t>
  </si>
  <si>
    <t>Icebreaker</t>
  </si>
  <si>
    <t>Instant Cannon</t>
  </si>
  <si>
    <t>Instant Kitchen</t>
  </si>
  <si>
    <t>Instant Scaffold (pillar)</t>
  </si>
  <si>
    <t>Instant Scaffold (stairs)</t>
  </si>
  <si>
    <t>Launch Pad</t>
  </si>
  <si>
    <t>Liftoff Glider</t>
  </si>
  <si>
    <t>Monocycle</t>
  </si>
  <si>
    <t>Raiding Plane</t>
  </si>
  <si>
    <t>Rainmaker</t>
  </si>
  <si>
    <t>Rocket Platform</t>
  </si>
  <si>
    <t>Scatter Trap</t>
  </si>
  <si>
    <t>Shock Trap</t>
  </si>
  <si>
    <t>Smoke Rocket</t>
  </si>
  <si>
    <t>Sprinkler System</t>
  </si>
  <si>
    <t>Super Spring</t>
  </si>
  <si>
    <t>Tank</t>
  </si>
  <si>
    <t>Three Wheeler</t>
  </si>
  <si>
    <t>Triple Cannon</t>
  </si>
  <si>
    <t>Vertical Escape</t>
  </si>
  <si>
    <t>Wagon</t>
  </si>
  <si>
    <t>Water Freezer</t>
  </si>
  <si>
    <t>Whirling Basher</t>
  </si>
  <si>
    <t>Sikutamak Lightroot</t>
  </si>
  <si>
    <t>Kuhsagi Lightroot</t>
  </si>
  <si>
    <t>Kawisar Lightroot</t>
  </si>
  <si>
    <t>Ui-Ihcoj Lightroot</t>
  </si>
  <si>
    <t>Akinatanis Lightroot</t>
  </si>
  <si>
    <t>Gedihcayam Lightroot</t>
  </si>
  <si>
    <t>Niuzimod Lightroot</t>
  </si>
  <si>
    <t>Agihi-Ihcoj Lightroot</t>
  </si>
  <si>
    <t>Kawikatisar Lightroot</t>
  </si>
  <si>
    <t>Kimimeg Lightroot</t>
  </si>
  <si>
    <t>Sisinatag Lightroot</t>
  </si>
  <si>
    <t>Uukukis Lightroot</t>
  </si>
  <si>
    <t>Nikakik Lightroot</t>
  </si>
  <si>
    <t>Uoyoyuik Lightroot</t>
  </si>
  <si>
    <t>Netamnet Lightroot</t>
  </si>
  <si>
    <t>Kawakanis Lightroot</t>
  </si>
  <si>
    <t>Nabahi-Ikat Lightroot</t>
  </si>
  <si>
    <t>Tikanur Lightroot</t>
  </si>
  <si>
    <t>Sikurukam Lightroot</t>
  </si>
  <si>
    <t>Napanos Lightroot</t>
  </si>
  <si>
    <t>Muzasu Lightroot</t>
  </si>
  <si>
    <t>Mu-ustust Lightroot</t>
  </si>
  <si>
    <t>Kogoir Lightroot</t>
  </si>
  <si>
    <t>Koradat Lightroot</t>
  </si>
  <si>
    <t>Nogukoyk Lightroot</t>
  </si>
  <si>
    <t>Nuzimak Lightroot</t>
  </si>
  <si>
    <t>Netinet Lightroot</t>
  </si>
  <si>
    <t>Nihcayam Lightroot</t>
  </si>
  <si>
    <t>Stakijat Lightroot</t>
  </si>
  <si>
    <t>Nisoij Lightroot</t>
  </si>
  <si>
    <t>Iayusus Lightroot</t>
  </si>
  <si>
    <t>Gadohsi Lightroot</t>
  </si>
  <si>
    <t>Sinonoyk Lightroot</t>
  </si>
  <si>
    <t>Oyimay Lightroot</t>
  </si>
  <si>
    <t>Nojoj Lightroot</t>
  </si>
  <si>
    <t>Zi-Ner Lightroot</t>
  </si>
  <si>
    <t>Apapes Lightroot</t>
  </si>
  <si>
    <t>Camobatures Lightroot</t>
  </si>
  <si>
    <t>Rikonasum Lightroot</t>
  </si>
  <si>
    <t>Sijnin Lightroot</t>
  </si>
  <si>
    <t>Ramobnukas Lightroot</t>
  </si>
  <si>
    <t>Eknupup Lightroot</t>
  </si>
  <si>
    <t>Uihcoke Lightroot</t>
  </si>
  <si>
    <t>Kawamit Lightroot</t>
  </si>
  <si>
    <t>Anonisik Lightroot</t>
  </si>
  <si>
    <t>Cugukaram Lightroot</t>
  </si>
  <si>
    <t>Misisi Lightroot</t>
  </si>
  <si>
    <t>Mustis Lightroot</t>
  </si>
  <si>
    <t>Katoij Lightroot</t>
  </si>
  <si>
    <t>Katijabis Lightroot</t>
  </si>
  <si>
    <t>Tayamik Lightroot</t>
  </si>
  <si>
    <t>Kisomom Lightroot</t>
  </si>
  <si>
    <t>Nipahsom Lightroot</t>
  </si>
  <si>
    <t>Kayam Lightroot</t>
  </si>
  <si>
    <t>Katenim Lightroot</t>
  </si>
  <si>
    <t>Uisihcoj Lightroot</t>
  </si>
  <si>
    <t>Busus Lightroot</t>
  </si>
  <si>
    <t>Muokuij Lightroot</t>
  </si>
  <si>
    <t>Sijotu Lightroot</t>
  </si>
  <si>
    <t>Amo-Ne Lightroot</t>
  </si>
  <si>
    <t>U-u-ujoj Lightroot</t>
  </si>
  <si>
    <t>Kohsustu Lightroot</t>
  </si>
  <si>
    <t>Nikohsi Lightroot</t>
  </si>
  <si>
    <t>Mustuto Lightroot</t>
  </si>
  <si>
    <t>Stamayam Lightroot</t>
  </si>
  <si>
    <t>Umamustor Lightroot</t>
  </si>
  <si>
    <t>Kawiraus Lightroot</t>
  </si>
  <si>
    <t>Jadukakar Lightroot</t>
  </si>
  <si>
    <t>Kawatik Lightroot</t>
  </si>
  <si>
    <t>Kimakarut Lightroot</t>
  </si>
  <si>
    <t>Sisustom Lightroot</t>
  </si>
  <si>
    <t>Amakawis Lightroot</t>
  </si>
  <si>
    <t>Mihcihc Lightroot</t>
  </si>
  <si>
    <t>Tatayam Lightroot</t>
  </si>
  <si>
    <t>Gonatoyros Lightroot</t>
  </si>
  <si>
    <t>Gataharak Lightroot</t>
  </si>
  <si>
    <t>Kasari Lightroot</t>
  </si>
  <si>
    <t>Gonatoyrim Lightroot</t>
  </si>
  <si>
    <t>Rasinaduk Lightroot</t>
  </si>
  <si>
    <t>Sasag Lightroot</t>
  </si>
  <si>
    <t>Kawakarut Lightroot</t>
  </si>
  <si>
    <t>Koro-nui Lightroot</t>
  </si>
  <si>
    <t>Kataki Lightroot</t>
  </si>
  <si>
    <t>Kawumoro Lightroot</t>
  </si>
  <si>
    <t>Sikatag Lightroot</t>
  </si>
  <si>
    <t>So-oaw Lightroot</t>
  </si>
  <si>
    <t>Worihas Lightroot</t>
  </si>
  <si>
    <t>Nupisoyuat Lightroot</t>
  </si>
  <si>
    <t>Kato Lightroot</t>
  </si>
  <si>
    <t>Muotue Lightroot</t>
  </si>
  <si>
    <t>Narusis Lightroot</t>
  </si>
  <si>
    <t>Aduon Lightroot</t>
  </si>
  <si>
    <t>Muihcoro Lightroot</t>
  </si>
  <si>
    <t>Yisuayam Lightroot</t>
  </si>
  <si>
    <t>U-nazohso Lightroot</t>
  </si>
  <si>
    <t>Ikatoayam Lightroot</t>
  </si>
  <si>
    <t>Korakut Lightroot</t>
  </si>
  <si>
    <t>Uasnoj Lightroot</t>
  </si>
  <si>
    <t>Sekioam Lightroot</t>
  </si>
  <si>
    <t>Uinoj Lightroot</t>
  </si>
  <si>
    <t>Kawagom Lightroot</t>
  </si>
  <si>
    <t>A-nehi Lightroot</t>
  </si>
  <si>
    <t>Kegopa Lightroot</t>
  </si>
  <si>
    <t>Kuzimoy Lightroot</t>
  </si>
  <si>
    <t>Takaruk Lightroot</t>
  </si>
  <si>
    <t>Migo-o Lightroot</t>
  </si>
  <si>
    <t>Uogoj Lightroot</t>
  </si>
  <si>
    <t>Usukaz Lightroot</t>
  </si>
  <si>
    <t>Siakij Lightroot</t>
  </si>
  <si>
    <t>Korom Lightroot</t>
  </si>
  <si>
    <t>Arusakam Lightroot</t>
  </si>
  <si>
    <t>Sohse Lightroot</t>
  </si>
  <si>
    <t>Yikot Lightroot</t>
  </si>
  <si>
    <t>Kotimab Lightroot</t>
  </si>
  <si>
    <t>Mimufis Lightroot</t>
  </si>
  <si>
    <t>Ni-iraram Lightroot</t>
  </si>
  <si>
    <t>Kimnaz Lightroot</t>
  </si>
  <si>
    <t>Kisihayam Lightroot</t>
  </si>
  <si>
    <t>Kimimadena Lightroot</t>
  </si>
  <si>
    <t>Irasak Shrine</t>
  </si>
  <si>
    <t>Miryotanog Shrine</t>
  </si>
  <si>
    <t>Karahatag Shrine</t>
  </si>
  <si>
    <t>Soryotanog Shrine</t>
  </si>
  <si>
    <t>Kudanisar Shrine</t>
  </si>
  <si>
    <t>Chichim Shrine</t>
  </si>
  <si>
    <t>Mayamats Shrine</t>
  </si>
  <si>
    <t>Mayatat Shrine</t>
  </si>
  <si>
    <t>Siwakama Shrine</t>
  </si>
  <si>
    <t>Otutsum Shrine</t>
  </si>
  <si>
    <t>Siyamotsus Shrine</t>
  </si>
  <si>
    <t>Turakamik Shrine</t>
  </si>
  <si>
    <t>Rotsumamu Shrine</t>
  </si>
  <si>
    <t>Kitawak Shrine</t>
  </si>
  <si>
    <t>Suariwak Shrine</t>
  </si>
  <si>
    <t>Ishokin Shrine</t>
  </si>
  <si>
    <t>Gasas Shrine</t>
  </si>
  <si>
    <t>Rakakudaj Shrine</t>
  </si>
  <si>
    <t>Mayasiar Shrine</t>
  </si>
  <si>
    <t>Rakashog Shrine</t>
  </si>
  <si>
    <t>Turakawak Shrine</t>
  </si>
  <si>
    <t>Tadarok Shrine</t>
  </si>
  <si>
    <t>Riogok Shrine</t>
  </si>
  <si>
    <t>Usazum Shrine</t>
  </si>
  <si>
    <t>Ganos Shrine</t>
  </si>
  <si>
    <t>Ikatak Shrine</t>
  </si>
  <si>
    <t>Tsutsu-um Shrine</t>
  </si>
  <si>
    <t>Jinodok Shrine</t>
  </si>
  <si>
    <t>Utsushok Shrine</t>
  </si>
  <si>
    <t>Iun-orok Shrine</t>
  </si>
  <si>
    <t>En-oma Shrine</t>
  </si>
  <si>
    <t>Sonapan Shrine</t>
  </si>
  <si>
    <t>Joku-usin Shrine</t>
  </si>
  <si>
    <t>Kyokugon Shrine</t>
  </si>
  <si>
    <t>Makurukis Shrine</t>
  </si>
  <si>
    <t>Wao-os Shrine</t>
  </si>
  <si>
    <t>Joju-u-u Shrine</t>
  </si>
  <si>
    <t>Joku-u Shrine</t>
  </si>
  <si>
    <t>Gatakis Shrine</t>
  </si>
  <si>
    <t>Kamizun Shrine</t>
  </si>
  <si>
    <t>Susub Shrine</t>
  </si>
  <si>
    <t>Motsusis Shrine</t>
  </si>
  <si>
    <t>Tauyosipun Shrine</t>
  </si>
  <si>
    <t>Taunhiy Shrine</t>
  </si>
  <si>
    <t>Mayachin Shrine</t>
  </si>
  <si>
    <t>In-isa Shrine</t>
  </si>
  <si>
    <t>Oromuwak Shrine</t>
  </si>
  <si>
    <t>Jiukoum Shrine</t>
  </si>
  <si>
    <t>Runakit Shrine</t>
  </si>
  <si>
    <t>Utojis Shrine</t>
  </si>
  <si>
    <t>Susuyai Shrine</t>
  </si>
  <si>
    <t>Teniten Shrine</t>
  </si>
  <si>
    <t>Ijo-o Shrine</t>
  </si>
  <si>
    <t>Jochisiu Shrine</t>
  </si>
  <si>
    <t>Sahirow Shrine</t>
  </si>
  <si>
    <t>Nachoyah Shrine</t>
  </si>
  <si>
    <t>Ukoojisi Shrine</t>
  </si>
  <si>
    <t>Otak Shrine</t>
  </si>
  <si>
    <t>Gutanbac Shrine</t>
  </si>
  <si>
    <t>Tajikats Shrine</t>
  </si>
  <si>
    <t>Sinakawak Shrine</t>
  </si>
  <si>
    <t>Ukouh Shrine</t>
  </si>
  <si>
    <t>Taki-ihaban Shrine</t>
  </si>
  <si>
    <t>Jiosin Shrine</t>
  </si>
  <si>
    <t>Ishodag Shrine</t>
  </si>
  <si>
    <t>Sifumim Shrine</t>
  </si>
  <si>
    <t>Eshos Shrine</t>
  </si>
  <si>
    <t>Nouda Shrine</t>
  </si>
  <si>
    <t>Bamitok Shrine</t>
  </si>
  <si>
    <t>Tokiy Shrine</t>
  </si>
  <si>
    <t>Kumamayn Shrine</t>
  </si>
  <si>
    <t>Eutoum Shrine</t>
  </si>
  <si>
    <t>Mayaumekis Shrine</t>
  </si>
  <si>
    <t>Rutafu-um Shrine</t>
  </si>
  <si>
    <t>Kahatanaum Shrine</t>
  </si>
  <si>
    <t>Kyononis Shrine</t>
  </si>
  <si>
    <t>Morok Shrine</t>
  </si>
  <si>
    <t>Josiu Shrine</t>
  </si>
  <si>
    <t>Yansamin Shrine</t>
  </si>
  <si>
    <t>Tukarok Shrine</t>
  </si>
  <si>
    <t>Makasura Shrine</t>
  </si>
  <si>
    <t>Sisuran Shrine</t>
  </si>
  <si>
    <t>Yamiyo Shrine</t>
  </si>
  <si>
    <t>Marari-In Shrine</t>
  </si>
  <si>
    <t>Tenmaten Shrine</t>
  </si>
  <si>
    <t>Kiuyoyou Shrine</t>
  </si>
  <si>
    <t>Serutabomac Shrine</t>
  </si>
  <si>
    <t>Orochium Shrine</t>
  </si>
  <si>
    <t>Zanmik Shrine</t>
  </si>
  <si>
    <t>Sepapa Shrine</t>
  </si>
  <si>
    <t>Mayausiy Shrine</t>
  </si>
  <si>
    <t>Jojon Shrine</t>
  </si>
  <si>
    <t>Ren-iz Shrine</t>
  </si>
  <si>
    <t>Taninoud Shrine</t>
  </si>
  <si>
    <t>O-ogim Shrine</t>
  </si>
  <si>
    <t>Mayahisik Shrine</t>
  </si>
  <si>
    <t>Jonsau Shrine</t>
  </si>
  <si>
    <t>Kurakat Shrine</t>
  </si>
  <si>
    <t>Zakusu Shrine</t>
  </si>
  <si>
    <t>Anedamimik Shrine</t>
  </si>
  <si>
    <t>Simosiwak Shrine</t>
  </si>
  <si>
    <t>Jogou Shrine</t>
  </si>
  <si>
    <t>Ninjis Shrine</t>
  </si>
  <si>
    <t>Oshozan-u Shrine</t>
  </si>
  <si>
    <t>Ekochiu Shrine</t>
  </si>
  <si>
    <t>Kikakin Shrine</t>
  </si>
  <si>
    <t>Maoikes Shrine</t>
  </si>
  <si>
    <t>Sakunbomar Shrine</t>
  </si>
  <si>
    <t>Musanokir Shrine</t>
  </si>
  <si>
    <t>Jikais Shrine</t>
  </si>
  <si>
    <t>Mayaotaki Shrine</t>
  </si>
  <si>
    <t>Pupunke Shrine</t>
  </si>
  <si>
    <t>Kadaunar Shrine</t>
  </si>
  <si>
    <t>Mayam Shrine</t>
  </si>
  <si>
    <t>Joniu Shrine</t>
  </si>
  <si>
    <t>Timawak Shrine</t>
  </si>
  <si>
    <t>Jirutagumac Shrine</t>
  </si>
  <si>
    <t>Tenbez Shrine</t>
  </si>
  <si>
    <t>Sikukuu Shrine</t>
  </si>
  <si>
    <t>Mayanas Shrine</t>
  </si>
  <si>
    <t>Sihajog Shrine</t>
  </si>
  <si>
    <t>Apogek Shrine</t>
  </si>
  <si>
    <t>Mogawak Shrine</t>
  </si>
  <si>
    <t>Yomizuk Shrine</t>
  </si>
  <si>
    <t>Kisinona Shrine</t>
  </si>
  <si>
    <t>Minetak Shrine</t>
  </si>
  <si>
    <t>Igoshon Shrine</t>
  </si>
  <si>
    <t>Marakuguc Shrine</t>
  </si>
  <si>
    <t>Ihen-a Shrine</t>
  </si>
  <si>
    <t>Moshapin Shrine</t>
  </si>
  <si>
    <t>Isisim Shrine</t>
  </si>
  <si>
    <t>Domizuin Shrine</t>
  </si>
  <si>
    <t>Mayachideg Shrine</t>
  </si>
  <si>
    <t>Sitsum Shrine</t>
  </si>
  <si>
    <t>Mayak Shrine</t>
  </si>
  <si>
    <t>Jiotak Shrine</t>
  </si>
  <si>
    <t>Jochi-ihiga Shrine</t>
  </si>
  <si>
    <t>Natak Shrine</t>
  </si>
  <si>
    <t>Gatanisis Shrine</t>
  </si>
  <si>
    <t>Rasitakiwak Shrine</t>
  </si>
  <si>
    <t>Sibajitak Shrine</t>
  </si>
  <si>
    <t>Momosik Shrine</t>
  </si>
  <si>
    <t>Sinatanika Shrine</t>
  </si>
  <si>
    <t>Kimayat Shrine</t>
  </si>
  <si>
    <t>Gemimik Shrine</t>
  </si>
  <si>
    <t>Gikaku Shrine</t>
  </si>
  <si>
    <t>Kamatukis Shrine</t>
  </si>
  <si>
    <t>Mogisari Shrine</t>
  </si>
  <si>
    <t>Jochi-iu Shrine</t>
  </si>
  <si>
    <t>Rasiwak Shrine</t>
  </si>
  <si>
    <t>Igashuk Shrine</t>
  </si>
  <si>
    <t>Mu-ufatur Lightroot</t>
  </si>
  <si>
    <t>Korok Seeds</t>
  </si>
  <si>
    <t>Total</t>
  </si>
  <si>
    <t>Named Locations</t>
  </si>
  <si>
    <t>Shrines</t>
  </si>
  <si>
    <t>Lightroots</t>
  </si>
  <si>
    <t>My #</t>
  </si>
  <si>
    <t>Wells</t>
  </si>
  <si>
    <t>Chasms</t>
  </si>
  <si>
    <t>Towns, Settlements, Stables</t>
  </si>
  <si>
    <t>Dispensers</t>
  </si>
  <si>
    <t>Towers</t>
  </si>
  <si>
    <t>Forges/Refineries</t>
  </si>
  <si>
    <t>Dragon Tears</t>
  </si>
  <si>
    <t>Ancient Tablets</t>
  </si>
  <si>
    <t>Great Fairy Fountains</t>
  </si>
  <si>
    <t>Diff X</t>
  </si>
  <si>
    <t>Diff Y</t>
  </si>
  <si>
    <t>North Hyrule Field</t>
  </si>
  <si>
    <t>South Hyrule Field</t>
  </si>
  <si>
    <t>Typhlo Ruins</t>
  </si>
  <si>
    <t>Mount Lanaryu</t>
  </si>
  <si>
    <t>Ga-ahisas Shrine</t>
  </si>
  <si>
    <t>Marari-in Shrine</t>
  </si>
  <si>
    <t>Corresponding Shrine</t>
  </si>
  <si>
    <t>Lanaryu Wetlands</t>
  </si>
  <si>
    <t>Lanaryu Great Spring</t>
  </si>
  <si>
    <t>stats</t>
  </si>
  <si>
    <t>Region #</t>
  </si>
  <si>
    <t>CODE</t>
  </si>
  <si>
    <t>Hebra Great Skeleton Cave</t>
  </si>
  <si>
    <t>Source of the Oasis Cave</t>
  </si>
  <si>
    <t>Gerudo Great Skeleton Cave</t>
  </si>
  <si>
    <t>Byroad to Lanayru Wetlands Cave</t>
  </si>
  <si>
    <t>Upland Zorana Byroad Cave</t>
  </si>
  <si>
    <t>Details</t>
  </si>
  <si>
    <t xml:space="preserve"> </t>
  </si>
  <si>
    <t>Type</t>
  </si>
  <si>
    <t>Proving Grounds</t>
  </si>
  <si>
    <t>Rauru's Blessing</t>
  </si>
  <si>
    <t>Combat Training</t>
  </si>
  <si>
    <t>Puzzle Trial</t>
  </si>
  <si>
    <t>{ name: "Jiosin Shrine", landmark: "Shrine", type: "Puzzle Trial", region: 1, level: "Surface", x: -240, y: -374, z: 27, details: "" },</t>
  </si>
  <si>
    <t>{ name: "Kyononis Shrine", landmark: "Shrine", type: "Combat Training", region: 1, level: "Surface", x: -205, y: 451, z: 21, details: "" },</t>
  </si>
  <si>
    <t>{ name: "Sepapa Shrine", landmark: "Shrine", type: "Puzzle Trial", region: 1, level: "Surface", x: 219, y: 1082, z: 26, details: "" },</t>
  </si>
  <si>
    <t>{ name: "Serutabomac Shrine", landmark: "Shrine", type: "Puzzle Trial", region: 1, level: "Surface", x: -180, y: 1170, z: 280, details: "" },</t>
  </si>
  <si>
    <t>{ name: "Susuyai Shrine", landmark: "Shrine", type: "Puzzle Trial", region: 1, level: "Surface", x: -785, y: -433, z: 18, details: "" },</t>
  </si>
  <si>
    <t>{ name: "Yamiyo Shrine", landmark: "Shrine", type: "Combat Training", region: 1, level: "Surface", x: 333, y: 468, z: 29, details: "" },</t>
  </si>
  <si>
    <t>{ name: "In-isa Shrine", landmark: "Shrine", type: "Puzzle Trial", region: 2, level: "Sky", x: 27, y: -1506, z: 1408, details: "" },</t>
  </si>
  <si>
    <t>{ name: "Jinodok Shrine", landmark: "Shrine", type: "Rauru's Blessing", region: 2, level: "Sky", x: -1257, y: -1487, z: 1008, details: "" },</t>
  </si>
  <si>
    <t>{ name: "Ukouh Shrine", landmark: "Shrine", type: "Puzzle Trial", region: 2, level: "Sky", x: 275, y: -910, z: 1474, details: "" },</t>
  </si>
  <si>
    <t>{ name: "Kamizun Shrine", landmark: "Shrine", type: "Proving Grounds", region: 2, level: "Surface", x: -176, y: -1557, z: 23, details: "" },</t>
  </si>
  <si>
    <t>{ name: "Kyokugon Shrine", landmark: "Shrine", type: "Puzzle Trial", region: 2, level: "Surface", x: -710, y: -1550, z: 6, details: "" },</t>
  </si>
  <si>
    <t>{ name: "Mayachin Shrine", landmark: "Shrine", type: "Puzzle Trial", region: 2, level: "Surface", x: -705, y: -866, z: 31, details: "" },</t>
  </si>
  <si>
    <t>{ name: "Riogok Shrine", landmark: "Shrine", type: "Puzzle Trial", region: 2, level: "Surface", x: -1443, y: -1616, z: 89, details: "" },</t>
  </si>
  <si>
    <t>{ name: "Sonapan Shrine", landmark: "Shrine", type: "Puzzle Trial", region: 2, level: "Surface", x: -1921, y: -356, z: 228, details: "" },</t>
  </si>
  <si>
    <t>{ name: "Tadarok Shrine", landmark: "Shrine", type: "Puzzle Trial", region: 2, level: "Surface", x: -1082, y: -2187, z: 128, details: "" },</t>
  </si>
  <si>
    <t>{ name: "Tajikats Shrine", landmark: "Shrine", type: "Puzzle Trial", region: 2, level: "Surface", x: 344, y: -1007, z: 16, details: "" },</t>
  </si>
  <si>
    <t>{ name: "Teniten Shrine", landmark: "Shrine", type: "Combat Training", region: 2, level: "Surface", x: -73, y: -1115, z: 21, details: "" },</t>
  </si>
  <si>
    <t>{ name: "Tsutsu-um Shrine", landmark: "Shrine", type: "Puzzle Trial", region: 2, level: "Surface", x: -1422, y: -1350, z: 68, details: "" },</t>
  </si>
  <si>
    <t>{ name: "Usazum Shrine", landmark: "Shrine", type: "Rauru's Blessing", region: 2, level: "Surface", x: -2140, y: -873, z: 93, details: "" },</t>
  </si>
  <si>
    <t>{ name: "Ga-ahisas Shrine", landmark: "Shrine", type: "Rauru's Blessing", region: 3, level: "Sky", x: -3596, y: 962, z: 1699, details: "" },</t>
  </si>
  <si>
    <t>{ name: "Ganos Shrine", landmark: "Shrine", type: "Rauru's Blessing", region: 3, level: "Sky", x: -3366, y: 469, z: 1695, details: "" },</t>
  </si>
  <si>
    <t>{ name: "Taunhiy Shrine", landmark: "Shrine", type: "Combat Training", region: 3, level: "Sky", x: -2400, y: 824, z: 615, details: "" },</t>
  </si>
  <si>
    <t>{ name: "Ikatak Shrine", landmark: "Shrine", type: "Rauru's Blessing", region: 3, level: "Surface", x: -3950, y: 1138, z: 111, details: "" },</t>
  </si>
  <si>
    <t>{ name: "Iun-orok Shrine", landmark: "Shrine", type: "Puzzle Trial", region: 3, level: "Surface", x: -3538, y: 853, z: -133, details: "" },</t>
  </si>
  <si>
    <t>{ name: "Kiuyoyou Shrine", landmark: "Shrine", type: "Puzzle Trial", region: 3, level: "Surface", x: -1106, y: 2086, z: 104, details: "" },</t>
  </si>
  <si>
    <t>{ name: "Makurukis Shrine", landmark: "Shrine", type: "Combat Training", region: 3, level: "Surface", x: -2848, y: 629, z: 233, details: "" },</t>
  </si>
  <si>
    <t>{ name: "Oromuwak Shrine", landmark: "Shrine", type: "Puzzle Trial", region: 3, level: "Surface", x: -3079, y: 1618, z: -241, details: "" },</t>
  </si>
  <si>
    <t>{ name: "Runakit Shrine", landmark: "Shrine", type: "Puzzle Trial", region: 3, level: "Surface", x: -2534, y: 1167, z: 177, details: "" },</t>
  </si>
  <si>
    <t>{ name: "Sinakawak Shrine", landmark: "Shrine", type: "Puzzle Trial", region: 3, level: "Surface", x: -1413, y: 757, z: 89, details: "" },</t>
  </si>
  <si>
    <t>{ name: "Taki-ihaban Shrine", landmark: "Shrine", type: "Rauru's Blessing", region: 3, level: "Surface", x: -1828, y: 1196, z: 147, details: "" },</t>
  </si>
  <si>
    <t>{ name: "Ijo-o Shrine", landmark: "Shrine", type: "Puzzle Trial", region: 4, level: "Sky", x: -3863, y: 2684, z: 702, details: "" },</t>
  </si>
  <si>
    <t>{ name: "Kahatanaum Shrine", landmark: "Shrine", type: "Rauru's Blessing", region: 4, level: "Sky", x: -3294, y: 3430, z: 1347, details: "" },</t>
  </si>
  <si>
    <t>{ name: "Mayaumekis Shrine", landmark: "Shrine", type: "Puzzle Trial", region: 4, level: "Sky", x: -2947, y: 3051, z: 897, details: "" },</t>
  </si>
  <si>
    <t>{ name: "Eutoum Shrine", landmark: "Shrine", type: "Proving Grounds", region: 4, level: "Surface", x: -3506, y: 3570, z: 387, details: "" },</t>
  </si>
  <si>
    <t>{ name: "Gatakis Shrine", landmark: "Shrine", type: "Puzzle Trial", region: 4, level: "Surface", x: -3650, y: 1805, z: 168, details: "" },</t>
  </si>
  <si>
    <t>{ name: "Otak Shrine", landmark: "Shrine", type: "Proving Grounds", region: 4, level: "Surface", x: -4391, y: 3714, z: 212, details: "" },</t>
  </si>
  <si>
    <t>{ name: "Rutafu-um Shrine", landmark: "Shrine", type: "Rauru's Blessing", region: 4, level: "Surface", x: -2996, y: 3102, z: 529, details: "" },</t>
  </si>
  <si>
    <t>{ name: "Sahirow Shrine", landmark: "Shrine", type: "Puzzle Trial", region: 4, level: "Surface", x: -3355, y: 2387, z: 361, details: "" },</t>
  </si>
  <si>
    <t>{ name: "Sisuran Shrine", landmark: "Shrine", type: "Rauru's Blessing", region: 4, level: "Surface", x: -2559, y: 3353, z: 245, details: "" },</t>
  </si>
  <si>
    <t>{ name: "Tauyosipun Shrine", landmark: "Shrine", type: "Puzzle Trial", region: 4, level: "Surface", x: -4539, y: 2881, z: 262, details: "" },</t>
  </si>
  <si>
    <t>{ name: "Wao-os Shrine", landmark: "Shrine", type: "Puzzle Trial", region: 4, level: "Surface", x: -4059, y: 1991, z: 183, details: "" },</t>
  </si>
  <si>
    <t>{ name: "Taninoud Shrine", landmark: "Shrine", type: "Rauru's Blessing", region: 5, level: "Sky", x: -1800, y: 3406, z: 949, details: "" },</t>
  </si>
  <si>
    <t>{ name: "Tenbez Shrine", landmark: "Shrine", type: "Puzzle Trial", region: 5, level: "Sky", x: -970, y: 3536, z: 1011, details: "" },</t>
  </si>
  <si>
    <t>{ name: "Mayaotaki Shrine", landmark: "Shrine", type: "Rauru's Blessing", region: 5, level: "Surface", x: -823, y: 3535, z: 235, details: "" },</t>
  </si>
  <si>
    <t>{ name: "Mayausiy Shrine", landmark: "Shrine", type: "Puzzle Trial", region: 5, level: "Surface", x: -1165, y: 2602, z: 86, details: "" },</t>
  </si>
  <si>
    <t>{ name: "Nouda Shrine", landmark: "Shrine", type: "Proving Grounds", region: 5, level: "Surface", x: -2319, y: 2201, z: 173, details: "" },</t>
  </si>
  <si>
    <t>{ name: "Orochium Shrine", landmark: "Shrine", type: "Puzzle Trial", region: 5, level: "Surface", x: -1638, y: 2643, z: 238, details: "" },</t>
  </si>
  <si>
    <t>{ name: "Oshozan-u Shrine", landmark: "Shrine", type: "Puzzle Trial", region: 5, level: "Surface", x: -1404, y: 3677, z: 288, details: "" },</t>
  </si>
  <si>
    <t>{ name: "Mayam Shrine", landmark: "Shrine", type: "Rauru's Blessing", region: 6, level: "Sky", x: 341, y: 2814, z: 1821, details: "" },</t>
  </si>
  <si>
    <t>{ name: "Simosiwak Shrine", landmark: "Shrine", type: "Proving Grounds", region: 6, level: "Sky", x: 163, y: 1973, z: 759, details: "" },</t>
  </si>
  <si>
    <t>{ name: "Kikakin Shrine", landmark: "Shrine", type: "Puzzle Trial", region: 6, level: "Surface", x: -395, y: 2736, z: 287, details: "" },</t>
  </si>
  <si>
    <t>{ name: "Mayak Shrine", landmark: "Shrine", type: "Puzzle Trial", region: 6, level: "Surface", x: 1270, y: 3733, z: 106, details: "" },</t>
  </si>
  <si>
    <t>{ name: "Minetak Shrine", landmark: "Shrine", type: "Rauru's Blessing", region: 6, level: "Surface", x: 393, y: 3485, z: 68, details: "" },</t>
  </si>
  <si>
    <t>{ name: "Musanokir Shrine", landmark: "Shrine", type: "Puzzle Trial", region: 6, level: "Surface", x: 408, y: 2133, z: 143, details: "" },</t>
  </si>
  <si>
    <t>{ name: "Ninjis Shrine", landmark: "Shrine", type: "Rauru's Blessing", region: 6, level: "Surface", x: 353, y: 1890, z: 178, details: "" },</t>
  </si>
  <si>
    <t>{ name: "Pupunke Shrine", landmark: "Shrine", type: "Rauru's Blessing", region: 6, level: "Surface", x: 619, y: 2211, z: 164, details: "" },</t>
  </si>
  <si>
    <t>{ name: "Sakunbomar Shrine", landmark: "Shrine", type: "Rauru's Blessing", region: 6, level: "Surface", x: 166, y: 2319, z: 178, details: "" },</t>
  </si>
  <si>
    <t>{ name: "Sikukuu Shrine", landmark: "Shrine", type: "Puzzle Trial", region: 6, level: "Surface", x: 700, y: 2793, z: 225, details: "" },</t>
  </si>
  <si>
    <t>{ name: "Tenmaten Shrine", landmark: "Shrine", type: "Rauru's Blessing", region: 6, level: "Surface", x: -594, y: 1551, z: -14, details: "" },</t>
  </si>
  <si>
    <t>{ name: "Kadaunar Shrine", landmark: "Shrine", type: "Puzzle Trial", region: 7, level: "Sky", x: 1883, y: 1202, z: 1251, details: "" },</t>
  </si>
  <si>
    <t>{ name: "Ekochiu Shrine", landmark: "Shrine", type: "Puzzle Trial", region: 7, level: "Surface", x: 1059, y: 1276, z: 45, details: "" },</t>
  </si>
  <si>
    <t>{ name: "Isisim Shrine", landmark: "Shrine", type: "Proving Grounds", region: 7, level: "Surface", x: 1842, y: 2841, z: 363, details: "" },</t>
  </si>
  <si>
    <t>{ name: "Jiotak Shrine", landmark: "Shrine", type: "Rauru's Blessing", region: 7, level: "Surface", x: 1833, y: 3179, z: 257, details: "" },</t>
  </si>
  <si>
    <t>{ name: "Kimayat Shrine", landmark: "Shrine", type: "Proving Grounds", region: 7, level: "Surface", x: 2863, y: 3637, z: 239, details: "" },</t>
  </si>
  <si>
    <t>{ name: "Kisinona Shrine", landmark: "Shrine", type: "Puzzle Trial", region: 7, level: "Surface", x: 2567, y: 1245, z: 173, details: "" },</t>
  </si>
  <si>
    <t>{ name: "Marakuguc Shrine", landmark: "Shrine", type: "Puzzle Trial", region: 7, level: "Surface", x: 1761, y: 2508, z: 437, details: "" },</t>
  </si>
  <si>
    <t>{ name: "Momosik Shrine", landmark: "Shrine", type: "Rauru's Blessing", region: 7, level: "Surface", x: 2959, y: 2758, z: 524, details: "" },</t>
  </si>
  <si>
    <t>{ name: "Moshapin Shrine", landmark: "Shrine", type: "Rauru's Blessing", region: 7, level: "Surface", x: 2678, y: 1905, z: 131, details: "" },</t>
  </si>
  <si>
    <t>{ name: "Sibajitak Shrine", landmark: "Shrine", type: "Puzzle Trial", region: 7, level: "Surface", x: 2401, y: 3273, z: 402, details: "" },</t>
  </si>
  <si>
    <t>{ name: "Sitsum Shrine", landmark: "Shrine", type: "Puzzle Trial", region: 7, level: "Surface", x: 2367, y: 2598, z: 790, details: "" },</t>
  </si>
  <si>
    <t>{ name: "Timawak Shrine", landmark: "Shrine", type: "Puzzle Trial", region: 7, level: "Surface", x: 1798, y: 1639, z: 311, details: "" },</t>
  </si>
  <si>
    <t>{ name: "Gikaku Shrine", landmark: "Shrine", type: "Rauru's Blessing", region: 8, level: "Sky", x: 4506, y: 2164, z: 1155, details: "" },</t>
  </si>
  <si>
    <t>{ name: "Mogisari Shrine", landmark: "Shrine", type: "Puzzle Trial", region: 8, level: "Sky", x: 4655, y: 3501, z: 1010, details: "" },</t>
  </si>
  <si>
    <t>{ name: "Natak Shrine", landmark: "Shrine", type: "Rauru's Blessing", region: 8, level: "Sky", x: 3669, y: 1488, z: 1157, details: "" },</t>
  </si>
  <si>
    <t>{ name: "Domizuin Shrine", landmark: "Shrine", type: "Puzzle Trial", region: 8, level: "Surface", x: 3305, y: 1443, z: 426, details: "" },</t>
  </si>
  <si>
    <t>{ name: "Gemimik Shrine", landmark: "Shrine", type: "Puzzle Trial", region: 8, level: "Surface", x: 4513, y: 2116, z: 1, details: "" },</t>
  </si>
  <si>
    <t>{ name: "Igashuk Shrine", landmark: "Shrine", type: "Rauru's Blessing", region: 8, level: "Surface", x: 4653, y: 3702, z: 131, details: "" },</t>
  </si>
  <si>
    <t>{ name: "Jochi-ihiga Shrine", landmark: "Shrine", type: "Rauru's Blessing", region: 8, level: "Surface", x: 3809, y: 1219, z: 90, details: "" },</t>
  </si>
  <si>
    <t>{ name: "Jochi-iu Shrine", landmark: "Shrine", type: "Puzzle Trial", region: 8, level: "Surface", x: 4346, y: 2875, z: 164, details: "" },</t>
  </si>
  <si>
    <t>{ name: "Kamatukis Shrine", landmark: "Shrine", type: "Puzzle Trial", region: 8, level: "Surface", x: 3431, y: 3355, z: 70, details: "" },</t>
  </si>
  <si>
    <t>{ name: "Mayachideg Shrine", landmark: "Shrine", type: "Proving Grounds", region: 8, level: "Surface", x: 3061, y: 1823, z: 216, details: "" },</t>
  </si>
  <si>
    <t>{ name: "Rasiwak Shrine", landmark: "Shrine", type: "Puzzle Trial", region: 8, level: "Surface", x: 4664, y: 3262, z: 2, details: "" },</t>
  </si>
  <si>
    <t>{ name: "Sinatanika Shrine", landmark: "Shrine", type: "Combat Training", region: 8, level: "Surface", x: 3839, y: 2301, z: 48, details: "" },</t>
  </si>
  <si>
    <t>{ name: "Igoshon Shrine", landmark: "Shrine", type: "Puzzle Trial", region: 9, level: "Sky", x: 3480, y: 664, z: 1325, details: "" },</t>
  </si>
  <si>
    <t>{ name: "Jirutagumac Shrine", landmark: "Shrine", type: "Puzzle Trial", region: 9, level: "Sky", x: 2916, y: 533, z: 951, details: "" },</t>
  </si>
  <si>
    <t>{ name: "Apogek Shrine", landmark: "Shrine", type: "Puzzle Trial", region: 9, level: "Surface", x: 3887, y: -217, z: 163, details: "" },</t>
  </si>
  <si>
    <t>{ name: "Gatanisis Shrine", landmark: "Shrine", type: "Puzzle Trial", region: 9, level: "Surface", x: 4498, y: 825, z: 95, details: "" },</t>
  </si>
  <si>
    <t>{ name: "Ihen-a Shrine", landmark: "Shrine", type: "Puzzle Trial", region: 9, level: "Surface", x: 3784, y: 579, z: 486, details: "" },</t>
  </si>
  <si>
    <t>{ name: "Joniu Shrine", landmark: "Shrine", type: "Rauru's Blessing", region: 9, level: "Surface", x: 2918, y: 505, z: 155, details: "" },</t>
  </si>
  <si>
    <t>{ name: "Maoikes Shrine", landmark: "Shrine", type: "Rauru's Blessing", region: 9, level: "Surface", x: 2277, y: 150, z: 79, details: "" },</t>
  </si>
  <si>
    <t>{ name: "Mogawak Shrine", landmark: "Shrine", type: "Puzzle Trial", region: 9, level: "Surface", x: 3298, y: 424, z: 112, details: "" },</t>
  </si>
  <si>
    <t>{ name: "Rasitakiwak Shrine", landmark: "Shrine", type: "Proving Grounds", region: 9, level: "Surface", x: 4166, y: 1323, z: 229, details: "" },</t>
  </si>
  <si>
    <t>{ name: "Yomizuk Shrine", landmark: "Shrine", type: "Rauru's Blessing", region: 9, level: "Surface", x: 4412, y: -610, z: 34, details: "" },</t>
  </si>
  <si>
    <t>{ name: "Josiu Shrine", landmark: "Shrine", type: "Rauru's Blessing", region: 10, level: "Sky", x: 1759, y: -1208, z: 924, details: "" },</t>
  </si>
  <si>
    <t>{ name: "Ukoojisi Shrine", landmark: "Shrine", type: "Rauru's Blessing", region: 10, level: "Sky", x: 1470, y: -2170, z: 585, details: "" },</t>
  </si>
  <si>
    <t>{ name: "Yansamin Shrine", landmark: "Shrine", type: "Proving Grounds", region: 10, level: "Sky", x: 2349, y: -1782, z: 1475, details: "" },</t>
  </si>
  <si>
    <t>{ name: "Eshos Shrine", landmark: "Shrine", type: "Combat Training", region: 10, level: "Surface", x: 1564, y: -1945, z: 157, details: "" },</t>
  </si>
  <si>
    <t>{ name: "Jojon Shrine", landmark: "Shrine", type: "Proving Grounds", region: 10, level: "Surface", x: 1202, y: 329, z: 29, details: "" },</t>
  </si>
  <si>
    <t>{ name: "Jonsau Shrine", landmark: "Shrine", type: "Puzzle Trial", region: 10, level: "Surface", x: 1743, y: 18, z: 25, details: "" },</t>
  </si>
  <si>
    <t>{ name: "Kurakat Shrine", landmark: "Shrine", type: "Rauru's Blessing", region: 10, level: "Surface", x: 2362, y: -511, z: 155, details: "" },</t>
  </si>
  <si>
    <t>{ name: "Makasura Shrine", landmark: "Shrine", type: "Puzzle Trial", region: 10, level: "Surface", x: 1770, y: -1050, z: 166, details: "" },</t>
  </si>
  <si>
    <t>{ name: "Morok Shrine", landmark: "Shrine", type: "Puzzle Trial", region: 10, level: "Surface", x: 1183, y: -780, z: 133, details: "" },</t>
  </si>
  <si>
    <t>{ name: "O-ogim Shrine", landmark: "Shrine", type: "Rauru's Blessing", region: 10, level: "Surface", x: 2755, y: -1089, z: 100, details: "" },</t>
  </si>
  <si>
    <t>{ name: "Ren-iz Shrine", landmark: "Shrine", type: "Puzzle Trial", region: 10, level: "Surface", x: 756, y: 823, z: 81, details: "" },</t>
  </si>
  <si>
    <t>{ name: "Tukarok Shrine", landmark: "Shrine", type: "Puzzle Trial", region: 10, level: "Surface", x: 915, y: -250, z: 34, details: "" },</t>
  </si>
  <si>
    <t>{ name: "Mayanas Shrine", landmark: "Shrine", type: "Puzzle Trial", region: 11, level: "Sky", x: 4613, y: -947, z: 1790, details: "" },</t>
  </si>
  <si>
    <t>{ name: "Sihajog Shrine", landmark: "Shrine", type: "Rauru's Blessing", region: 11, level: "Sky", x: 4545, y: -845, z: 1121, details: "" },</t>
  </si>
  <si>
    <t>{ name: "Anedamimik Shrine", landmark: "Shrine", type: "Puzzle Trial", region: 11, level: "Surface", x: 4231, y: -2178, z: -7, details: "" },</t>
  </si>
  <si>
    <t>{ name: "Jikais Shrine", landmark: "Shrine", type: "Puzzle Trial", region: 11, level: "Surface", x: 4266, y: -1674, z: 181, details: "" },</t>
  </si>
  <si>
    <t>{ name: "Jogou Shrine", landmark: "Shrine", type: "Rauru's Blessing", region: 11, level: "Surface", x: 3346, y: -1188, z: 57, details: "" },</t>
  </si>
  <si>
    <t>{ name: "Mayahisik Shrine", landmark: "Shrine", type: "Rauru's Blessing", region: 11, level: "Surface", x: 3730, y: -2057, z: 189, details: "" },</t>
  </si>
  <si>
    <t>{ name: "Zakusu Shrine", landmark: "Shrine", type: "Proving Grounds", region: 11, level: "Surface", x: 3527, y: -1481, z: 167, details: "" },</t>
  </si>
  <si>
    <t>{ name: "Zanmik Shrine", landmark: "Shrine", type: "Puzzle Trial", region: 11, level: "Surface", x: 3469, y: -2180, z: 148, details: "" },</t>
  </si>
  <si>
    <t>{ name: "Kumamayn Shrine", landmark: "Shrine", type: "Rauru's Blessing", region: 12, level: "Sky", x: 2856, y: -2857, z: 1212, details: "" },</t>
  </si>
  <si>
    <t>{ name: "Bamitok Shrine", landmark: "Shrine", type: "Rauru's Blessing", region: 12, level: "Surface", x: 3094, y: -3209, z: 81, details: "" },</t>
  </si>
  <si>
    <t>{ name: "Marari-In Shrine", landmark: "Shrine", type: "Rauru's Blessing", region: 12, level: "Surface", x: 4632, y: -3712, z: 18, details: "" },</t>
  </si>
  <si>
    <t>{ name: "Sifumim Shrine", landmark: "Shrine", type: "Proving Grounds", region: 12, level: "Surface", x: 2826, y: -3271, z: 78, details: "" },</t>
  </si>
  <si>
    <t>{ name: "Tokiy Shrine", landmark: "Shrine", type: "Rauru's Blessing", region: 12, level: "Surface", x: 2304, y: -2377, z: -28, details: "" },</t>
  </si>
  <si>
    <t>{ name: "Gutanbac Shrine", landmark: "Shrine", type: "Puzzle Trial", region: 13, level: "Sky", x: 709, y: -1381, z: 1584, details: "" },</t>
  </si>
  <si>
    <t>{ name: "Joku-u Shrine", landmark: "Shrine", type: "Rauru's Blessing", region: 13, level: "Sky", x: 1516, y: -3576, z: 428, details: "" },</t>
  </si>
  <si>
    <t>{ name: "Joku-usin Shrine", landmark: "Shrine", type: "Puzzle Trial", region: 13, level: "Sky", x: 1070, y: -3347, z: 785, details: "" },</t>
  </si>
  <si>
    <t>{ name: "Nachoyah Shrine", landmark: "Shrine", type: "Puzzle Trial", region: 13, level: "Sky", x: 390, y: -1660, z: 2299, details: "" },</t>
  </si>
  <si>
    <t>{ name: "En-oma Shrine", landmark: "Shrine", type: "Rauru's Blessing", region: 13, level: "Surface", x: 104, y: -2517, z: 88, details: "" },</t>
  </si>
  <si>
    <t>{ name: "Ishokin Shrine", landmark: "Shrine", type: "Rauru's Blessing", region: 13, level: "Surface", x: -562, y: -3524, z: 129, details: "" },</t>
  </si>
  <si>
    <t>{ name: "Jiukoum Shrine", landmark: "Shrine", type: "Puzzle Trial", region: 13, level: "Surface", x: 867, y: -2280, z: 141, details: "" },</t>
  </si>
  <si>
    <t>{ name: "Jochisiu Shrine", landmark: "Shrine", type: "Rauru's Blessing", region: 13, level: "Surface", x: 931, y: -1902, z: 29, details: "" },</t>
  </si>
  <si>
    <t>{ name: "Joju-u-u Shrine", landmark: "Shrine", type: "Puzzle Trial", region: 13, level: "Surface", x: 1516, y: -3576, z: 142, details: "" },</t>
  </si>
  <si>
    <t>{ name: "Susub Shrine", landmark: "Shrine", type: "Rauru's Blessing", region: 13, level: "Surface", x: 348, y: -2050, z: -26, details: "" },</t>
  </si>
  <si>
    <t>{ name: "Utojis Shrine", landmark: "Shrine", type: "Rauru's Blessing", region: 13, level: "Surface", x: 1217, y: -2542, z: 96, details: "" },</t>
  </si>
  <si>
    <t>{ name: "Utsushok Shrine", landmark: "Shrine", type: "Puzzle Trial", region: 13, level: "Surface", x: 669, y: -3358, z: 72, details: "" },</t>
  </si>
  <si>
    <t>{ name: "Rakashog Shrine", landmark: "Shrine", type: "Puzzle Trial", region: 14, level: "Sky", x: -1715, y: -2119, z: 1149, details: "" },</t>
  </si>
  <si>
    <t>{ name: "Siyamotsus Shrine", landmark: "Shrine", type: "Rauru's Blessing", region: 14, level: "Sky", x: -1793, y: -3331, z: 1011, details: "" },</t>
  </si>
  <si>
    <t>{ name: "Chichim Shrine", landmark: "Shrine", type: "Rauru's Blessing", region: 14, level: "Surface", x: -3211, y: -3007, z: -49, details: "" },</t>
  </si>
  <si>
    <t>{ name: "Irasak Shrine", landmark: "Shrine", type: "Rauru's Blessing", region: 14, level: "Surface", x: -4159, y: -3824, z: 28, details: "" },</t>
  </si>
  <si>
    <t>{ name: "Karahatag Shrine", landmark: "Shrine", type: "Puzzle Trial", region: 14, level: "Surface", x: -3726, y: -3625, z: 43, details: "" },</t>
  </si>
  <si>
    <t>{ name: "Kitawak Shrine", landmark: "Shrine", type: "Puzzle Trial", region: 14, level: "Surface", x: -1529, y: -2928, z: 321, details: "" },</t>
  </si>
  <si>
    <t>{ name: "Kudanisar Shrine", landmark: "Shrine", type: "Puzzle Trial", region: 14, level: "Surface", x: -4168, y: -2144, z: 50, details: "" },</t>
  </si>
  <si>
    <t>{ name: "Mayatat Shrine", landmark: "Shrine", type: "Puzzle Trial", region: 14, level: "Surface", x: -3292, y: -2509, z: 23, details: "" },</t>
  </si>
  <si>
    <t>{ name: "Miryotanog Shrine", landmark: "Shrine", type: "Proving Grounds", region: 14, level: "Surface", x: -4679, y: -3086, z: 56, details: "" },</t>
  </si>
  <si>
    <t>{ name: "Motsusis Shrine", landmark: "Shrine", type: "Rauru's Blessing", region: 14, level: "Surface", x: -1795, y: -3485, z: 45, details: "" },</t>
  </si>
  <si>
    <t>{ name: "Rakakudaj Shrine", landmark: "Shrine", type: "Rauru's Blessing", region: 14, level: "Surface", x: -2031, y: -1847, z: 64, details: "" },</t>
  </si>
  <si>
    <t>{ name: "Siwakama Shrine", landmark: "Shrine", type: "Puzzle Trial", region: 14, level: "Surface", x: -2445, y: -3345, z: 41, details: "" },</t>
  </si>
  <si>
    <t>{ name: "Soryotanog Shrine", landmark: "Shrine", type: "Puzzle Trial", region: 14, level: "Surface", x: -3883, y: -2964, z: 125, details: "" },</t>
  </si>
  <si>
    <t>{ name: "Turakamik Shrine", landmark: "Shrine", type: "Puzzle Trial", region: 14, level: "Surface", x: -2658, y: -2236, z: 67, details: "" },</t>
  </si>
  <si>
    <t>{ name: "Mayasiar Shrine", landmark: "Shrine", type: "Rauru's Blessing", region: 15, level: "Sky", x: -3544, y: -320, z: 1964, details: "" },</t>
  </si>
  <si>
    <t>{ name: "Gasas Shrine", landmark: "Shrine", type: "Puzzle Trial", region: 15, level: "Surface", x: -4152, y: 98, z: 40, details: "" },</t>
  </si>
  <si>
    <t>{ name: "Mayamats Shrine", landmark: "Shrine", type: "Puzzle Trial", region: 15, level: "Surface", x: -4637, y: -1514, z: 452, details: "" },</t>
  </si>
  <si>
    <t>{ name: "Otutsum Shrine", landmark: "Shrine", type: "Rauru's Blessing", region: 15, level: "Surface", x: -4468, y: -670, z: 509, details: "" },</t>
  </si>
  <si>
    <t>{ name: "Rotsumamu Shrine", landmark: "Shrine", type: "Puzzle Trial", region: 15, level: "Surface", x: -3407, y: -1362, z: 35, details: "" },</t>
  </si>
  <si>
    <t>{ name: "Suariwak Shrine", landmark: "Shrine", type: "Rauru's Blessing", region: 15, level: "Surface", x: -2523, y: -1770, z: 132, details: "" },</t>
  </si>
  <si>
    <t>{ name: "Turakawak Shrine", landmark: "Shrine", type: "Puzzle Trial", region: 15, level: "Surface", x: -3496, y: -197, z: 66, details: "" },</t>
  </si>
  <si>
    <t>{ name: "Akkala Citadel Ruins Summit Cave", landmark: "Cave", type: "", region: 8, level: "Surface", x: 3292, y: 1492, z: 394, details: "" },</t>
  </si>
  <si>
    <t>{ name: "Ancient Columns Cave", landmark: "Cave", type: "", region: 3, level: "Surface", x: -3465, y: 449, z: 254, details: "" },</t>
  </si>
  <si>
    <t>{ name: "Ancient Prison Ruins", landmark: "Cave", type: "", region: 14, level: "Surface", x: -3099, y: -3063, z: -51, details: "" },</t>
  </si>
  <si>
    <t>{ name: "Ancient Zora Waterworks", landmark: "Cave", type: "", region: 9, level: "Surface", x: 3606, y: 122, z: -1, details: "" },</t>
  </si>
  <si>
    <t>{ name: "Atun Valley Cave", landmark: "Cave", type: "", region: 12, level: "Surface", x: 2454, y: -3193, z: 64, details: "" },</t>
  </si>
  <si>
    <t>{ name: "Brightcap Cave", landmark: "Cave", type: "", region: 3, level: "Surface", x: -3005, y: 1635, z: 199, details: "" },</t>
  </si>
  <si>
    <t>{ name: "Cape Cales Cliffbase Cave", landmark: "Cave", type: "", region: 12, level: "Surface", x: 3650, y: -3210, z: -6, details: "" },</t>
  </si>
  <si>
    <t>{ name: "Cave Under Zora's Domain", landmark: "Cave", type: "", region: 9, level: "Surface", x: 3240, y: 373, z: 75, details: "" },</t>
  </si>
  <si>
    <t>{ name: "Central Gerudo Cave", landmark: "Cave", type: "", region: 14, level: "Surface", x: -3679, y: -3255, z: -18, details: "" },</t>
  </si>
  <si>
    <t>{ name: "Cephla Lake Cave", landmark: "Cave", type: "", region: 7, level: "Surface", x: 2593, y: 1330, z: 150, details: "" },</t>
  </si>
  <si>
    <t>{ name: "Coliseum Ruins Cave", landmark: "Cave", type: "", region: 2, level: "Surface", x: -1167, y: -1310, z: 22, details: "" },</t>
  </si>
  <si>
    <t>{ name: "Corta Lake Cave", landmark: "Cave", type: "", region: 13, level: "Surface", x: 1676, y: -3038, z: 164, details: "" },</t>
  </si>
  <si>
    <t>{ name: "Cucco Hideaway", landmark: "Cave", type: "", region: 10, level: "Surface", x: 1877, y: -1160, z: 198, details: "" },</t>
  </si>
  <si>
    <t>{ name: "Death Mountain East Tunnel", landmark: "Cave", type: "", region: 7, level: "Surface", x: 2767, y: 2778, z: 521, details: "" },</t>
  </si>
  <si>
    <t>{ name: "Death Mountain Foothill Cave", landmark: "Cave", type: "", region: 7, level: "Surface", x: 1949, y: 2687, z: 425, details: "" },</t>
  </si>
  <si>
    <t>{ name: "Death Mountain West Tunnel", landmark: "Cave", type: "", region: 7, level: "Surface", x: 2238, y: 2682, z: 520, details: "" },</t>
  </si>
  <si>
    <t>{ name: "Deepback Bay Cave", landmark: "Cave", type: "", region: 11, level: "Surface", x: 4213, y: -2262, z: 0, details: "" },</t>
  </si>
  <si>
    <t>{ name: "Deplian Badlands Cave", landmark: "Cave", type: "", region: 6, level: "Surface", x: 307, y: 3579, z: 87, details: "" },</t>
  </si>
  <si>
    <t>{ name: "Dueling Peaks North Cave", landmark: "Cave", type: "", region: 10, level: "Surface", x: 1194, y: -1854, z: 157, details: "" },</t>
  </si>
  <si>
    <t>{ name: "Dueling Peaks South Cave", landmark: "Cave", type: "", region: 10, level: "Surface", x: 1183, y: -1947, z: 245, details: "" },</t>
  </si>
  <si>
    <t>{ name: "East Gerudo Ruins Cave", landmark: "Cave", type: "", region: 14, level: "Surface", x: -2696, y: -2808, z: -67, details: "" },</t>
  </si>
  <si>
    <t>{ name: "East Restaurant Cave", landmark: "Cave", type: "", region: 7, level: "Surface", x: 1853, y: 1719, z: 291, details: "" },</t>
  </si>
  <si>
    <t>{ name: "Eventide Island Cave", landmark: "Cave", type: "", region: 12, level: "Surface", x: 4752, y: -3781, z: -6, details: "" },</t>
  </si>
  <si>
    <t>{ name: "Finra Woods Excavation Site", landmark: "Cave", type: "", region: 13, level: "Surface", x: 568, y: -2981, z: 12, details: "" },</t>
  </si>
  <si>
    <t>{ name: "Floria River Upstream Excavation", landmark: "Cave", type: "", region: 13, level: "Surface", x: 809, y: -2971, z: 10, details: "" },</t>
  </si>
  <si>
    <t>{ name: "Foothill Monster Den", landmark: "Cave", type: "", region: 7, level: "Surface", x: 2275, y: 1520, z: 157, details: "" },</t>
  </si>
  <si>
    <t>{ name: "Fort Hateno Cave", landmark: "Cave", type: "", region: 10, level: "Surface", x: 2243, y: -1689, z: 23, details: "" },</t>
  </si>
  <si>
    <t>{ name: "Gerudo Great Skeleton Cave", landmark: "Cave", type: "", region: 14, level: "Surface", x: -4814, y: -3875, z: -1, details: "" },</t>
  </si>
  <si>
    <t>{ name: "Gorko Tunnel", landmark: "Cave", type: "", region: 7, level: "Surface", x: 2015, y: 2038, z: 420, details: "" },</t>
  </si>
  <si>
    <t>{ name: "Goronbi River Cave", landmark: "Cave", type: "", region: 7, level: "Surface", x: 1423, y: 2102, z: 284, details: "" },</t>
  </si>
  <si>
    <t>{ name: "Great Plateau Foothill Cave", landmark: "Cave", type: "", region: 2, level: "Surface", x: -832, y: -1488, z: 26, details: "" },</t>
  </si>
  <si>
    <t>{ name: "Hebra Great Skeleton Cave", landmark: "Cave", type: "", region: 4, level: "Surface", x: -3814, y: 3595, z: 255, details: "" },</t>
  </si>
  <si>
    <t>{ name: "Hebra Headspring Cave", landmark: "Cave", type: "", region: 4, level: "Surface", x: -2900, y: 2510, z: 387, details: "" },</t>
  </si>
  <si>
    <t>{ name: "Hebra Mountains Northwest Cave", landmark: "Cave", type: "", region: 4, level: "Surface", x: -2995, y: 3225, z: 539, details: "" },</t>
  </si>
  <si>
    <t>{ name: "Horon Lagoon Cave", landmark: "Cave", type: "", region: 9, level: "Surface", x: 4243, y: -255, z: -16, details: "" },</t>
  </si>
  <si>
    <t>{ name: "Icefall Foothills Cave", landmark: "Cave", type: "", region: 4, level: "Surface", x: -4429, y: 3760, z: 223, details: "" },</t>
  </si>
  <si>
    <t>{ name: "Isle of Rabac Gallery", landmark: "Cave", type: "", region: 7, level: "Surface", x: 1554, y: 3102, z: 392, details: "" },</t>
  </si>
  <si>
    <t>{ name: "Kakariko Village Cave", landmark: "Cave", type: "", region: 10, level: "Surface", x: 1947, y: -981, z: 157, details: "" },</t>
  </si>
  <si>
    <t>{ name: "Komo Shoreline Cave", landmark: "Cave", type: "", region: 13, level: "Surface", x: 486, y: -3831, z: 7, details: "" },</t>
  </si>
  <si>
    <t>{ name: "Kopeeki Drifts Cave", landmark: "Cave", type: "", region: 3, level: "Surface", x: -2395, y: 2276, z: 169, details: "" },</t>
  </si>
  <si>
    <t>{ name: "Lake Darman Monster Den", landmark: "Cave", type: "", region: 7, level: "Surface", x: 2373, y: 3051, z: 445, details: "" },</t>
  </si>
  <si>
    <t>{ name: "Lake Hylia Whirlpool Cave", landmark: "Cave", type: "", region: 13, level: "Surface", x: 125, y: -2501, z: -89, details: "" },</t>
  </si>
  <si>
    <t>{ name: "Lake Intenoch Cave", landmark: "Cave", type: "", region: 7, level: "Surface", x: 2485, y: 1792, z: 157, details: "" },</t>
  </si>
  <si>
    <t>{ name: "Lake Kilsie Cave", landmark: "Cave", type: "", region: 4, level: "Surface", x: -3930, y: 2861, z: -18, details: "" },</t>
  </si>
  <si>
    <t>{ name: "Lanayru Road South Cave", landmark: "Cave", type: "", region: 10, level: "Surface", x: 2698, y: -1314, z: 111, details: "" },</t>
  </si>
  <si>
    <t>{ name: "Lindor's Brow Cave", landmark: "Cave", type: "", region: 3, level: "Surface", x: -1734, y: 1165, z: 228, details: "" },</t>
  </si>
  <si>
    <t>{ name: "Lizard's Burrow", landmark: "Cave", type: "", region: 7, level: "Surface", x: 2206, y: 3075, z: 405, details: "" },</t>
  </si>
  <si>
    <t>{ name: "Lower Spectacle Rock Cave", landmark: "Cave", type: "", region: 14, level: "Surface", x: -1744, y: -2394, z: -11, details: "" },</t>
  </si>
  <si>
    <t>{ name: "Luto's Channel", landmark: "Cave", type: "", region: 9, level: "Surface", x: 3094, y: -51, z: 79, details: "" },</t>
  </si>
  <si>
    <t>{ name: "Mapla Point Cave", landmark: "Cave", type: "", region: 11, level: "Surface", x: 4585, y: -2246, z: -1, details: "" },</t>
  </si>
  <si>
    <t>{ name: "Meadela's Mantle Cave", landmark: "Cave", type: "", region: 15, level: "Surface", x: -3982, y: -1245, z: 426, details: "" },</t>
  </si>
  <si>
    <t>{ name: "Mount Drena Foothill Cave", landmark: "Cave", type: "", region: 5, level: "Surface", x: -1372, y: 2861, z: 197, details: "" },</t>
  </si>
  <si>
    <t>{ name: "Mount Nabooru South Cave", landmark: "Cave", type: "", region: 14, level: "Surface", x: -1726, y: -2183, z: 5, details: "" },</t>
  </si>
  <si>
    <t>{ name: "Mystathi's Shelf Cave", landmark: "Cave", type: "", region: 15, level: "Surface", x: -3881, y: -726, z: 569, details: "" },</t>
  </si>
  <si>
    <t>{ name: "North Biron Snowshelf Cave", landmark: "Cave", type: "", region: 4, level: "Surface", x: -3960, y: 3245, z: 236, details: "" },</t>
  </si>
  <si>
    <t>{ name: "Oakle's Navel Cave", landmark: "Cave", type: "", region: 11, level: "Surface", x: 2504, y: -2106, z: 6, details: "" },</t>
  </si>
  <si>
    <t>{ name: "Source of the Oasis Cave", landmark: "Cave", type: "", region: 14, level: "Surface", x: -3354, y: -2693, z: -4, details: "" },</t>
  </si>
  <si>
    <t>{ name: "Oren Bridge Cave", landmark: "Cave", type: "", region: 9, level: "Surface", x: 2909, y: -65, z: 81, details: "" },</t>
  </si>
  <si>
    <t>{ name: "Pagos Woods Excavation Site", landmark: "Cave", type: "", region: 13, level: "Surface", x: 671, y: -3109, z: 23, details: "" },</t>
  </si>
  <si>
    <t>{ name: "Passeri Greenbelt Cave", landmark: "Cave", type: "", region: 1, level: "Surface", x: -512, y: 127, z: 20, details: "" },</t>
  </si>
  <si>
    <t>{ name: "Pico Pond Cave", landmark: "Cave", type: "", region: 7, level: "Surface", x: 1247, y: 1231, z: 25, details: "" },</t>
  </si>
  <si>
    <t>{ name: "Ploymus Mountain Cave", landmark: "Cave", type: "", region: 9, level: "Surface", x: 3660, y: 538, z: 268, details: "" },</t>
  </si>
  <si>
    <t>{ name: "Popla Foothills Excavation Site", landmark: "Cave", type: "", region: 13, level: "Surface", x: 608, y: -2210, z: 50, details: "" },</t>
  </si>
  <si>
    <t>{ name: "Puffer Beach Overhead Cave", landmark: "Cave", type: "", region: 13, level: "Surface", x: 283, y: -3851, z: 33, details: "" },</t>
  </si>
  <si>
    <t>{ name: "Quicksand Lake Cave", landmark: "Cave", type: "", region: 14, level: "Surface", x: -3238, y: -2939, z: -65, details: "" },</t>
  </si>
  <si>
    <t>{ name: "Rassla Lake Cave", landmark: "Cave", type: "", region: 13, level: "Surface", x: 1813, y: -3738, z: 118, details: "" },</t>
  </si>
  <si>
    <t>{ name: "Rauru Hillside Cave", landmark: "Cave", type: "", region: 6, level: "Surface", x: 676, y: 1389, z: 45, details: "" },</t>
  </si>
  <si>
    <t>{ name: "Reservoir Lakefront Cavern", landmark: "Cave", type: "", region: 9, level: "Surface", x: 3809, y: 419, z: 208, details: "" },</t>
  </si>
  <si>
    <t>{ name: "River of the Dead Waterfall Cave", landmark: "Cave", type: "", region: 2, level: "Surface", x: -1092, y: -2162, z: 143, details: "" },</t>
  </si>
  <si>
    <t>{ name: "Robred Dropoff Cave", landmark: "Cave", type: "", region: 10, level: "Surface", x: 2492, y: -1477, z: 12, details: "" },</t>
  </si>
  <si>
    <t>{ name: "Rodai Lakefront Tunnel", landmark: "Cave", type: "", region: 13, level: "Surface", x: 1896, y: -3111, z: 132, details: "" },</t>
  </si>
  <si>
    <t>{ name: "Rospro Pass Cave", landmark: "Cave", type: "", region: 4, level: "Surface", x: -3559, y: 2488, z: 227, details: "" },</t>
  </si>
  <si>
    <t>{ name: "Sage Temple Cave", landmark: "Cave", type: "", region: 1, level: "Surface", x: -1404, y: -256, z: -3, details: "" },</t>
  </si>
  <si>
    <t>{ name: "Sarjon Woods Cave", landmark: "Cave", type: "", region: 13, level: "Surface", x: 1203, y: -3170, z: 25, details: "" },</t>
  </si>
  <si>
    <t>{ name: "Satori Mountain Cave", landmark: "Cave", type: "", region: 2, level: "Surface", x: -2151, y: -360, z: 276, details: "" },</t>
  </si>
  <si>
    <t>{ name: "Satori Mountain Foothill Cave", landmark: "Cave", type: "", region: 2, level: "Surface", x: -2198, y: -807, z: 117, details: "" },</t>
  </si>
  <si>
    <t>{ name: "Shrine of Resurrection", landmark: "Cave", type: "", region: 2, level: "Surface", x: -1061, y: -1829, z: 142, details: "" },</t>
  </si>
  <si>
    <t>{ name: "Skull Lake Cave", landmark: "Cave", type: "", region: 8, level: "Surface", x: 3321, y: 3424, z: 171, details: "" },</t>
  </si>
  <si>
    <t>{ name: "South Gerudo Cave", landmark: "Cave", type: "", region: 14, level: "Surface", x: -2939, y: -3857, z: -37, details: "" },</t>
  </si>
  <si>
    <t>{ name: "Southern Mine", landmark: "Cave", type: "", region: 7, level: "Surface", x: 1800, y: 1983, z: 320, details: "" },</t>
  </si>
  <si>
    <t>{ name: "Spectacle Rock Cave", landmark: "Cave", type: "", region: 14, level: "Surface", x: -2215, y: -2395, z: 247, details: "" },</t>
  </si>
  <si>
    <t>{ name: "Stalry Plateau Cave", landmark: "Cave", type: "", region: 14, level: "Surface", x: -1527, y: -2222, z: -20, details: "" },</t>
  </si>
  <si>
    <t>{ name: "Statue of the Eighth Heroine Cave", landmark: "Cave", type: "", region: 15, level: "Surface", x: -4384, y: -536, z: 473, details: "" },</t>
  </si>
  <si>
    <t>{ name: "Sturnida Springs Cave", landmark: "Cave", type: "", region: 4, level: "Surface", x: -4041, y: 2671, z: 23, details: "" },</t>
  </si>
  <si>
    <t>{ name: "Taafei Hill Cave", landmark: "Cave", type: "", region: 14, level: "Surface", x: -2457, y: -1798, z: 176, details: "" },</t>
  </si>
  <si>
    <t>{ name: "Tabantha Hills Cave", landmark: "Cave", type: "", region: 3, level: "Surface", x: -2840, y: 1771, z: 222, details: "" },</t>
  </si>
  <si>
    <t>{ name: "Talonto Peak Cave", landmark: "Cave", type: "", region: 4, level: "Surface", x: -3214, y: 2462, z: 345, details: "" },</t>
  </si>
  <si>
    <t>{ name: "Tamio River Downstream Cave", landmark: "Cave", type: "", region: 2, level: "Surface", x: -2921, y: -804, z: 7, details: "" },</t>
  </si>
  <si>
    <t>{ name: "Tanagar Canyon East Cave", landmark: "Cave", type: "", region: 3, level: "Surface", x: -2049, y: 1631, z: -56, details: "" },</t>
  </si>
  <si>
    <t>{ name: "Tanagar Canyon West Cave", landmark: "Cave", type: "", region: 3, level: "Surface", x: -3308, y: 789, z: -101, details: "" },</t>
  </si>
  <si>
    <t>{ name: "Tarm Point Cave", landmark: "Cave", type: "", region: 11, level: "Surface", x: 4473, y: -826, z: 31, details: "" },</t>
  </si>
  <si>
    <t>{ name: "Tarrey Town Tunnel", landmark: "Cave", type: "", region: 8, level: "Surface", x: 3925, y: 1576, z: 107, details: "" },</t>
  </si>
  <si>
    <t>{ name: "Thundra Plateau Cave", landmark: "Cave", type: "", region: 3, level: "Surface", x: -2268, y: 899, z: 86, details: "" },</t>
  </si>
  <si>
    <t>{ name: "Tobio's Hollow Cave", landmark: "Cave", type: "", region: 10, level: "Surface", x: 1169, y: -2443, z: 177, details: "" },</t>
  </si>
  <si>
    <t>{ name: "Ubota Point Cave", landmark: "Cave", type: "", region: 13, level: "Surface", x: 1446, y: -3483, z: 77, details: "" },</t>
  </si>
  <si>
    <t>{ name: "Ulria Grotto South Cave", landmark: "Cave", type: "", region: 9, level: "Surface", x: 4122, y: 662, z: 187, details: "" },</t>
  </si>
  <si>
    <t>{ name: "Upland Zorana Foothill Cave", landmark: "Cave", type: "", region: 9, level: "Surface", x: 3147, y: 667, z: 177, details: "" },</t>
  </si>
  <si>
    <t>{ name: "Upland Zorana Summit Cave", landmark: "Cave", type: "", region: 9, level: "Surface", x: 2850, y: 477, z: 324, details: "" },</t>
  </si>
  <si>
    <t>{ name: "Valley of Silent Statues", landmark: "Cave", type: "", region: 14, level: "Surface", x: -3827, y: -2650, z: 35, details: "" },</t>
  </si>
  <si>
    <t>{ name: "West Gerudo Underground Ruins", landmark: "Cave", type: "", region: 14, level: "Surface", x: -4673, y: -1986, z: 9, details: "" },</t>
  </si>
  <si>
    <t>{ name: "West Lake Totori Cave", landmark: "Cave", type: "", region: 4, level: "Surface", x: -3958, y: 2029, z: 200, details: "" },</t>
  </si>
  <si>
    <t>{ name: "West Restaurant Cave", landmark: "Cave", type: "", region: 7, level: "Surface", x: 1642, y: 1729, z: 279, details: "" },</t>
  </si>
  <si>
    <t>{ name: "Whistling Hill Cave", landmark: "Cave", type: "", region: 2, level: "Surface", x: -72, y: -1045, z: 17, details: "" },</t>
  </si>
  <si>
    <t>{ name: "Yiga Blademaster Station", landmark: "Cave", type: "", region: 14, level: "Surface", x: -2433, y: -1819, z: 145, details: "" },</t>
  </si>
  <si>
    <t>{ name: "Yiga Clan Maritta Branch", landmark: "Cave", type: "", region: 6, level: "Surface", x: -643, y: 2040, z: 154, details: "" },</t>
  </si>
  <si>
    <t>{ name: "YunoboCo HQ East Cave", landmark: "Cave", type: "", region: 7, level: "Surface", x: 1764, y: 2837, z: 399, details: "" },</t>
  </si>
  <si>
    <t>{ name: "YunoboCo HQ South Cave", landmark: "Cave", type: "", region: 7, level: "Surface", x: 1713, y: 2718, z: 400, details: "" },</t>
  </si>
  <si>
    <t>{ name: "Camobatures Lightroot", landmark: "Lightroot", type: "", region: 1, level: "Depths", x: -180, y: 1170, z: -515, details: "" },</t>
  </si>
  <si>
    <t>{ name: "Gadohsi Lightroot", landmark: "Lightroot", type: "", region: 1, level: "Depths", x: -885, y: 418, z: -497, details: "" },</t>
  </si>
  <si>
    <t>{ name: "Iayusus Lightroot", landmark: "Lightroot", type: "", region: 1, level: "Depths", x: -785, y: -433, z: -469, details: "" },</t>
  </si>
  <si>
    <t>{ name: "Nisoij Lightroot", landmark: "Lightroot", type: "", region: 1, level: "Depths", x: -240, y: -374, z: -478, details: "" },</t>
  </si>
  <si>
    <t>{ name: "Oyimay Lightroot", landmark: "Lightroot", type: "", region: 1, level: "Depths", x: 333, y: 468, z: -479, details: "" },</t>
  </si>
  <si>
    <t>{ name: "Sinonoyk Lightroot", landmark: "Lightroot", type: "", region: 1, level: "Depths", x: -205, y: 451, z: -472, details: "" },</t>
  </si>
  <si>
    <t>{ name: "Kogoir Lightroot", landmark: "Lightroot", type: "", region: 2, level: "Depths", x: -1443, y: -1616, z: -538, details: "" },</t>
  </si>
  <si>
    <t>{ name: "Koradat Lightroot", landmark: "Lightroot", type: "", region: 2, level: "Depths", x: -1082, y: -2187, z: -562, details: "" },</t>
  </si>
  <si>
    <t>{ name: "Mu-ustust Lightroot", landmark: "Lightroot", type: "", region: 2, level: "Depths", x: -1422, y: -1350, z: -517, details: "" },</t>
  </si>
  <si>
    <t>{ name: "Muzasu Lightroot", landmark: "Lightroot", type: "", region: 2, level: "Depths", x: -2140, y: -873, z: -542, details: "" },</t>
  </si>
  <si>
    <t>{ name: "Napanos Lightroot", landmark: "Lightroot", type: "", region: 2, level: "Depths", x: -1921, y: -356, z: -635, details: "" },</t>
  </si>
  <si>
    <t>{ name: "Netinet Lightroot", landmark: "Lightroot", type: "", region: 2, level: "Depths", x: -73, y: -1115, z: -471, details: "" },</t>
  </si>
  <si>
    <t>{ name: "Nihcayam Lightroot", landmark: "Lightroot", type: "", region: 2, level: "Depths", x: -705, y: -866, z: -481, details: "" },</t>
  </si>
  <si>
    <t>{ name: "Nogukoyk Lightroot", landmark: "Lightroot", type: "", region: 2, level: "Depths", x: -710, y: -1550, z: -517, details: "" },</t>
  </si>
  <si>
    <t>{ name: "Nuzimak Lightroot", landmark: "Lightroot", type: "", region: 2, level: "Depths", x: -176, y: -1557, z: -473, details: "" },</t>
  </si>
  <si>
    <t>{ name: "Stakijat Lightroot", landmark: "Lightroot", type: "", region: 2, level: "Depths", x: 344, y: -1007, z: -468, details: "" },</t>
  </si>
  <si>
    <t>{ name: "Kataki Lightroot", landmark: "Lightroot", type: "", region: 3, level: "Depths", x: -3950, y: 1138, z: -551, details: "" },</t>
  </si>
  <si>
    <t>{ name: "Kawakanis Lightroot", landmark: "Lightroot", type: "", region: 3, level: "Depths", x: -1413, y: 757, z: -538, details: "" },</t>
  </si>
  <si>
    <t>{ name: "Kawumoro Lightroot", landmark: "Lightroot", type: "", region: 3, level: "Depths", x: -3079, y: 1618, z: -687, details: "" },</t>
  </si>
  <si>
    <t>{ name: "Koro-nui Lightroot", landmark: "Lightroot", type: "", region: 3, level: "Depths", x: -3538, y: 853, z: -576, details: "" },</t>
  </si>
  <si>
    <t>{ name: "Nabahi-Ikat Lightroot", landmark: "Lightroot", type: "", region: 3, level: "Depths", x: -1828, y: 1196, z: -723, details: "" },</t>
  </si>
  <si>
    <t>{ name: "Sikurukam Lightroot", landmark: "Lightroot", type: "", region: 3, level: "Depths", x: -2848, y: 629, z: -621, details: "" },</t>
  </si>
  <si>
    <t>{ name: "Tikanur Lightroot", landmark: "Lightroot", type: "", region: 3, level: "Depths", x: -2534, y: 1167, z: -623, details: "" },</t>
  </si>
  <si>
    <t>{ name: "Uoyoyuik Lightroot", landmark: "Lightroot", type: "", region: 3, level: "Depths", x: -1106, y: 2086, z: -554, details: "" },</t>
  </si>
  <si>
    <t>{ name: "Kato Lightroot", landmark: "Lightroot", type: "", region: 4, level: "Depths", x: -4391, y: 3714, z: -702, details: "" },</t>
  </si>
  <si>
    <t>{ name: "Mu-ufatur Lightroot", landmark: "Lightroot", type: "", region: 4, level: "Depths", x: -2996, y: 3102, z: -1027, details: "" },</t>
  </si>
  <si>
    <t>{ name: "Muotue Lightroot", landmark: "Lightroot", type: "", region: 4, level: "Depths", x: -3506, y: 3570, z: -826, details: "" },</t>
  </si>
  <si>
    <t>{ name: "Narusis Lightroot", landmark: "Lightroot", type: "", region: 4, level: "Depths", x: -2559, y: 3353, z: -690, details: "" },</t>
  </si>
  <si>
    <t>{ name: "Nupisoyuat Lightroot", landmark: "Lightroot", type: "", region: 4, level: "Depths", x: -4539, y: 2881, z: -707, details: "" },</t>
  </si>
  <si>
    <t>{ name: "Sikatag Lightroot", landmark: "Lightroot", type: "", region: 4, level: "Depths", x: -3650, y: 1805, z: -417, details: "" },</t>
  </si>
  <si>
    <t>{ name: "So-oaw Lightroot", landmark: "Lightroot", type: "", region: 4, level: "Depths", x: -4059, y: 1991, z: -674, details: "" },</t>
  </si>
  <si>
    <t>{ name: "Worihas Lightroot", landmark: "Lightroot", type: "", region: 4, level: "Depths", x: -3355, y: 2387, z: -802, details: "" },</t>
  </si>
  <si>
    <t>{ name: "Aduon Lightroot", landmark: "Lightroot", type: "", region: 5, level: "Depths", x: -2319, y: 2201, z: -781, details: "" },</t>
  </si>
  <si>
    <t>{ name: "Ikatoayam Lightroot", landmark: "Lightroot", type: "", region: 5, level: "Depths", x: -823, y: 3535, z: -636, details: "" },</t>
  </si>
  <si>
    <t>{ name: "Muihcoro Lightroot", landmark: "Lightroot", type: "", region: 5, level: "Depths", x: -1638, y: 2643, z: -685, details: "" },</t>
  </si>
  <si>
    <t>{ name: "U-nazohso Lightroot", landmark: "Lightroot", type: "", region: 5, level: "Depths", x: -1404, y: 3677, z: -712, details: "" },</t>
  </si>
  <si>
    <t>{ name: "Yisuayam Lightroot", landmark: "Lightroot", type: "", region: 5, level: "Depths", x: -1165, y: 2602, z: -350, details: "" },</t>
  </si>
  <si>
    <t>{ name: "Eknupup Lightroot", landmark: "Lightroot", type: "", region: 6, level: "Depths", x: 619, y: 2211, z: -611, details: "" },</t>
  </si>
  <si>
    <t>{ name: "Katenim Lightroot", landmark: "Lightroot", type: "", region: 6, level: "Depths", x: 393, y: 3485, z: -594, details: "" },</t>
  </si>
  <si>
    <t>{ name: "Kayam Lightroot", landmark: "Lightroot", type: "", region: 6, level: "Depths", x: 1270, y: 3733, z: -553, details: "" },</t>
  </si>
  <si>
    <t>{ name: "Netamnet Lightroot", landmark: "Lightroot", type: "", region: 6, level: "Depths", x: -594, y: 1551, z: -599, details: "" },</t>
  </si>
  <si>
    <t>{ name: "Nikakik Lightroot", landmark: "Lightroot", type: "", region: 6, level: "Depths", x: -395, y: 2736, z: -725, details: "" },</t>
  </si>
  <si>
    <t>{ name: "Ramobnukas Lightroot", landmark: "Lightroot", type: "", region: 6, level: "Depths", x: 166, y: 2319, z: -625, details: "" },</t>
  </si>
  <si>
    <t>{ name: "Rikonasum Lightroot", landmark: "Lightroot", type: "", region: 6, level: "Depths", x: 408, y: 2133, z: -592, details: "" },</t>
  </si>
  <si>
    <t>{ name: "Sijnin Lightroot", landmark: "Lightroot", type: "", region: 6, level: "Depths", x: 353, y: 1890, z: -625, details: "" },</t>
  </si>
  <si>
    <t>{ name: "Uukukis Lightroot", landmark: "Lightroot", type: "", region: 6, level: "Depths", x: 700, y: 2793, z: -671, details: "" },</t>
  </si>
  <si>
    <t>{ name: "Anonisik Lightroot", landmark: "Lightroot", type: "", region: 7, level: "Depths", x: 2567, y: 1245, z: -600, details: "" },</t>
  </si>
  <si>
    <t>{ name: "Cugukaram Lightroot", landmark: "Lightroot", type: "", region: 7, level: "Depths", x: 1761, y: 2508, z: -719, details: "" },</t>
  </si>
  <si>
    <t>{ name: "Katijabis Lightroot", landmark: "Lightroot", type: "", region: 7, level: "Depths", x: 2401, y: 3273, z: -844, details: "" },</t>
  </si>
  <si>
    <t>{ name: "Katoij Lightroot", landmark: "Lightroot", type: "", region: 7, level: "Depths", x: 1833, y: 3179, z: -838, details: "" },</t>
  </si>
  <si>
    <t>{ name: "Kawamit Lightroot", landmark: "Lightroot", type: "", region: 7, level: "Depths", x: 1798, y: 1639, z: -749, details: "" },</t>
  </si>
  <si>
    <t>{ name: "Kisomom Lightroot", landmark: "Lightroot", type: "", region: 7, level: "Depths", x: 2959, y: 2758, z: -963, details: "" },</t>
  </si>
  <si>
    <t>{ name: "Misisi Lightroot", landmark: "Lightroot", type: "", region: 7, level: "Depths", x: 1842, y: 2841, z: -838, details: "" },</t>
  </si>
  <si>
    <t>{ name: "Mustis Lightroot", landmark: "Lightroot", type: "", region: 7, level: "Depths", x: 2367, y: 2598, z: -948, details: "" },</t>
  </si>
  <si>
    <t>{ name: "Nipahsom Lightroot", landmark: "Lightroot", type: "", region: 7, level: "Depths", x: 2678, y: 1905, z: -688, details: "" },</t>
  </si>
  <si>
    <t>{ name: "Tayamik Lightroot", landmark: "Lightroot", type: "", region: 7, level: "Depths", x: 2863, y: 3637, z: -685, details: "" },</t>
  </si>
  <si>
    <t>{ name: "Uihcoke Lightroot", landmark: "Lightroot", type: "", region: 7, level: "Depths", x: 1059, y: 1276, z: -495, details: "" },</t>
  </si>
  <si>
    <t>{ name: "Agihi-Ihcoj Lightroot", landmark: "Lightroot", type: "", region: 8, level: "Depths", x: 3809, y: 1219, z: -536, details: "" },</t>
  </si>
  <si>
    <t>{ name: "Akinatanis Lightroot", landmark: "Lightroot", type: "", region: 8, level: "Depths", x: 3839, y: 2301, z: -488, details: "" },</t>
  </si>
  <si>
    <t>{ name: "Gedihcayam Lightroot", landmark: "Lightroot", type: "", region: 8, level: "Depths", x: 3061, y: 1823, z: -662, details: "" },</t>
  </si>
  <si>
    <t>{ name: "Kawisar Lightroot", landmark: "Lightroot", type: "", region: 8, level: "Depths", x: 4664, y: 3262, z: -454, details: "" },</t>
  </si>
  <si>
    <t>{ name: "Kimimeg Lightroot", landmark: "Lightroot", type: "", region: 8, level: "Depths", x: 4513, y: 2116, z: -453, details: "" },</t>
  </si>
  <si>
    <t>{ name: "Kuhsagi Lightroot", landmark: "Lightroot", type: "", region: 8, level: "Depths", x: 4653, y: 3702, z: -400, details: "" },</t>
  </si>
  <si>
    <t>{ name: "Niuzimod Lightroot", landmark: "Lightroot", type: "", region: 8, level: "Depths", x: 3305, y: 1443, z: -790, details: "" },</t>
  </si>
  <si>
    <t>{ name: "Sikutamak Lightroot", landmark: "Lightroot", type: "", region: 8, level: "Depths", x: 3431, y: 3355, z: -431, details: "" },</t>
  </si>
  <si>
    <t>{ name: "Ui-Ihcoj Lightroot", landmark: "Lightroot", type: "", region: 8, level: "Depths", x: 4346, y: 2875, z: -608, details: "" },</t>
  </si>
  <si>
    <t>{ name: "A-nehi Lightroot", landmark: "Lightroot", type: "", region: 9, level: "Depths", x: 3784, y: 579, z: -926, details: "" },</t>
  </si>
  <si>
    <t>{ name: "Kawagom Lightroot", landmark: "Lightroot", type: "", region: 9, level: "Depths", x: 3298, y: 424, z: -749, details: "" },</t>
  </si>
  <si>
    <t>{ name: "Kawikatisar Lightroot", landmark: "Lightroot", type: "", region: 9, level: "Depths", x: 4166, y: 1323, z: -673, details: "" },</t>
  </si>
  <si>
    <t>{ name: "Kegopa Lightroot", landmark: "Lightroot", type: "", region: 9, level: "Depths", x: 3887, y: -217, z: -608, details: "" },</t>
  </si>
  <si>
    <t>{ name: "Kuzimoy Lightroot", landmark: "Lightroot", type: "", region: 9, level: "Depths", x: 4412, y: -610, z: -513, details: "" },</t>
  </si>
  <si>
    <t>{ name: "Sekioam Lightroot", landmark: "Lightroot", type: "", region: 9, level: "Depths", x: 2277, y: 150, z: -501, details: "" },</t>
  </si>
  <si>
    <t>{ name: "Sisinatag Lightroot", landmark: "Lightroot", type: "", region: 9, level: "Depths", x: 4498, y: 825, z: -535, details: "" },</t>
  </si>
  <si>
    <t>{ name: "Uinoj Lightroot", landmark: "Lightroot", type: "", region: 9, level: "Depths", x: 2918, y: 505, z: -795, details: "" },</t>
  </si>
  <si>
    <t>{ name: "Arusakam Lightroot", landmark: "Lightroot", type: "", region: 10, level: "Depths", x: 1770, y: -1050, z: -61, details: "" },</t>
  </si>
  <si>
    <t>{ name: "Korakut Lightroot", landmark: "Lightroot", type: "", region: 10, level: "Depths", x: 915, y: -250, z: -481, details: "" },</t>
  </si>
  <si>
    <t>{ name: "Korom Lightroot", landmark: "Lightroot", type: "", region: 10, level: "Depths", x: 1183, y: -780, z: -500, details: "" },</t>
  </si>
  <si>
    <t>{ name: "Migo-o Lightroot", landmark: "Lightroot", type: "", region: 10, level: "Depths", x: 2755, y: -1089, z: -54, details: "" },</t>
  </si>
  <si>
    <t>{ name: "Nojoj Lightroot", landmark: "Lightroot", type: "", region: 10, level: "Depths", x: 1202, y: 329, z: -574, details: "" },</t>
  </si>
  <si>
    <t>{ name: "Sohse Lightroot", landmark: "Lightroot", type: "", region: 10, level: "Depths", x: 1564, y: -1945, z: -464, details: "" },</t>
  </si>
  <si>
    <t>{ name: "Takaruk Lightroot", landmark: "Lightroot", type: "", region: 10, level: "Depths", x: 2362, y: -511, z: -589, details: "" },</t>
  </si>
  <si>
    <t>{ name: "Uasnoj Lightroot", landmark: "Lightroot", type: "", region: 10, level: "Depths", x: 1743, y: 18, z: -459, details: "" },</t>
  </si>
  <si>
    <t>{ name: "Zi-Ner Lightroot", landmark: "Lightroot", type: "", region: 10, level: "Depths", x: 756, y: 823, z: -531, details: "" },</t>
  </si>
  <si>
    <t>{ name: "Kimimadena Lightroot", landmark: "Lightroot", type: "", region: 11, level: "Depths", x: 4231, y: -2178, z: -521, details: "" },</t>
  </si>
  <si>
    <t>{ name: "Kimnaz Lightroot", landmark: "Lightroot", type: "", region: 11, level: "Depths", x: 3469, y: -2180, z: -594, details: "" },</t>
  </si>
  <si>
    <t>{ name: "Kisihayam Lightroot", landmark: "Lightroot", type: "", region: 11, level: "Depths", x: 3730, y: -2057, z: -665, details: "" },</t>
  </si>
  <si>
    <t>{ name: "Siakij Lightroot", landmark: "Lightroot", type: "", region: 11, level: "Depths", x: 4266, y: -1674, z: -628, details: "" },</t>
  </si>
  <si>
    <t>{ name: "Uogoj Lightroot", landmark: "Lightroot", type: "", region: 11, level: "Depths", x: 3346, y: -1188, z: -610, details: "" },</t>
  </si>
  <si>
    <t>{ name: "Usukaz Lightroot", landmark: "Lightroot", type: "", region: 11, level: "Depths", x: 3527, y: -1481, z: -612, details: "" },</t>
  </si>
  <si>
    <t>{ name: "Kotimab Lightroot", landmark: "Lightroot", type: "", region: 12, level: "Depths", x: 3094, y: -3209, z: -594, details: "" },</t>
  </si>
  <si>
    <t>{ name: "Mimufis Lightroot", landmark: "Lightroot", type: "", region: 12, level: "Depths", x: 2826, y: -3271, z: -527, details: "" },</t>
  </si>
  <si>
    <t>{ name: "Ni-iraram Lightroot", landmark: "Lightroot", type: "", region: 12, level: "Depths", x: 4632, y: -3712, z: -506, details: "" },</t>
  </si>
  <si>
    <t>{ name: "Yikot Lightroot", landmark: "Lightroot", type: "", region: 12, level: "Depths", x: 2304, y: -2377, z: -617, details: "" },</t>
  </si>
  <si>
    <t>{ name: "Amo-Ne Lightroot", landmark: "Lightroot", type: "", region: 13, level: "Depths", x: 104, y: -2517, z: -414, details: "" },</t>
  </si>
  <si>
    <t>{ name: "Busus Lightroot", landmark: "Lightroot", type: "", region: 13, level: "Depths", x: 348, y: -2050, z: -471, details: "" },</t>
  </si>
  <si>
    <t>{ name: "Kohsustu Lightroot", landmark: "Lightroot", type: "", region: 13, level: "Depths", x: 669, y: -3358, z: -484, details: "" },</t>
  </si>
  <si>
    <t>{ name: "Muokuij Lightroot", landmark: "Lightroot", type: "", region: 13, level: "Depths", x: 867, y: -2280, z: -556, details: "" },</t>
  </si>
  <si>
    <t>{ name: "Nikohsi Lightroot", landmark: "Lightroot", type: "", region: 13, level: "Depths", x: -562, y: -3524, z: -574, details: "" },</t>
  </si>
  <si>
    <t>{ name: "Sijotu Lightroot", landmark: "Lightroot", type: "", region: 13, level: "Depths", x: 1217, y: -2542, z: -612, details: "" },</t>
  </si>
  <si>
    <t>{ name: "U-u-ujoj Lightroot", landmark: "Lightroot", type: "", region: 13, level: "Depths", x: 1516, y: -3576, z: -529, details: "" },</t>
  </si>
  <si>
    <t>{ name: "Uisihcoj Lightroot", landmark: "Lightroot", type: "", region: 13, level: "Depths", x: 931, y: -1902, z: -461, details: "" },</t>
  </si>
  <si>
    <t>{ name: "Amakawis Lightroot", landmark: "Lightroot", type: "", region: 14, level: "Depths", x: -2445, y: -3345, z: -465, details: "" },</t>
  </si>
  <si>
    <t>{ name: "Gataharak Lightroot", landmark: "Lightroot", type: "", region: 14, level: "Depths", x: -3726, y: -3625, z: -494, details: "" },</t>
  </si>
  <si>
    <t>{ name: "Gonatoyrim Lightroot", landmark: "Lightroot", type: "", region: 14, level: "Depths", x: -4679, y: -3086, z: -503, details: "" },</t>
  </si>
  <si>
    <t>{ name: "Gonatoyros Lightroot", landmark: "Lightroot", type: "", region: 14, level: "Depths", x: -3883, y: -2964, z: -434, details: "" },</t>
  </si>
  <si>
    <t>{ name: "Jadukakar Lightroot", landmark: "Lightroot", type: "", region: 14, level: "Depths", x: -2031, y: -1847, z: -504, details: "" },</t>
  </si>
  <si>
    <t>{ name: "Kasari Lightroot", landmark: "Lightroot", type: "", region: 14, level: "Depths", x: -4159, y: -3824, z: -478, details: "" },</t>
  </si>
  <si>
    <t>{ name: "Kawatik Lightroot", landmark: "Lightroot", type: "", region: 14, level: "Depths", x: -1529, y: -2928, z: -731, details: "" },</t>
  </si>
  <si>
    <t>{ name: "Kimakarut Lightroot", landmark: "Lightroot", type: "", region: 14, level: "Depths", x: -2658, y: -2236, z: -488, details: "" },</t>
  </si>
  <si>
    <t>{ name: "Mihcihc Lightroot", landmark: "Lightroot", type: "", region: 14, level: "Depths", x: -3211, y: -3007, z: -470, details: "" },</t>
  </si>
  <si>
    <t>{ name: "Rasinaduk Lightroot", landmark: "Lightroot", type: "", region: 14, level: "Depths", x: -4168, y: -2144, z: -487, details: "" },</t>
  </si>
  <si>
    <t>{ name: "Sisustom Lightroot", landmark: "Lightroot", type: "", region: 14, level: "Depths", x: -1795, y: -3485, z: -477, details: "" },</t>
  </si>
  <si>
    <t>{ name: "Tatayam Lightroot", landmark: "Lightroot", type: "", region: 14, level: "Depths", x: -3292, y: -2509, z: -475, details: "" },</t>
  </si>
  <si>
    <t>{ name: "Kawakarut Lightroot", landmark: "Lightroot", type: "", region: 15, level: "Depths", x: -3496, y: -197, z: -516, details: "" },</t>
  </si>
  <si>
    <t>{ name: "Kawiraus Lightroot", landmark: "Lightroot", type: "", region: 15, level: "Depths", x: -2523, y: -1770, z: -713, details: "" },</t>
  </si>
  <si>
    <t>{ name: "Mustuto Lightroot", landmark: "Lightroot", type: "", region: 15, level: "Depths", x: -4468, y: -670, z: -949, details: "" },</t>
  </si>
  <si>
    <t>{ name: "Sasag Lightroot", landmark: "Lightroot", type: "", region: 15, level: "Depths", x: -4152, y: 98, z: -489, details: "" },</t>
  </si>
  <si>
    <t>{ name: "Stamayam Lightroot", landmark: "Lightroot", type: "", region: 15, level: "Depths", x: -4637, y: -1514, z: -890, details: "" },</t>
  </si>
  <si>
    <t>{ name: "Umamustor Lightroot", landmark: "Lightroot", type: "", region: 15, level: "Depths", x: -3407, y: -1362, z: -77, details: "" },</t>
  </si>
  <si>
    <t>{ name: "Hyrule Field", landmark: "Tower", type: "Skyview Tower", region: 2, level: "Surface", x: -761, y: -1019, z: 64, details: "" },</t>
  </si>
  <si>
    <t>{ name: "Lindor's Brow", landmark: "Tower", type: "Skyview Tower", region: 3, level: "Surface", x: -1909, y: 1245, z: 297, details: "" },</t>
  </si>
  <si>
    <t>{ name: "Rospro Pass", landmark: "Tower", type: "Skyview Tower", region: 4, level: "Surface", x: -3860, y: 2345, z: 233, details: "" },</t>
  </si>
  <si>
    <t>{ name: "Pikida Stonegrove", landmark: "Tower", type: "Skyview Tower", region: 5, level: "Surface", x: -2312, y: 3064, z: 536, details: "" },</t>
  </si>
  <si>
    <t>{ name: "Typhlo Ruins", landmark: "Tower", type: "Skyview Tower", region: 6, level: "Surface", x: 343, y: 3133, z: 180, details: "" },</t>
  </si>
  <si>
    <t>{ name: "Eldin Canyon", landmark: "Tower", type: "Skyview Tower", region: 7, level: "Surface", x: 1641, y: 1190, z: 225, details: "" },</t>
  </si>
  <si>
    <t>{ name: "Ulri Mountain", landmark: "Tower", type: "Skyview Tower", region: 8, level: "Surface", x: 3497, y: 2025, z: 188, details: "" },</t>
  </si>
  <si>
    <t>{ name: "Upland Zorana", landmark: "Tower", type: "Skyview Tower", region: 9, level: "Surface", x: 2865, y: 580, z: 379, details: "" },</t>
  </si>
  <si>
    <t>{ name: "Sahasra Slope", landmark: "Tower", type: "Skyview Tower", region: 10, level: "Surface", x: 1341, y: -1176, z: 166, details: "" },</t>
  </si>
  <si>
    <t>{ name: "Mount Lanayru", landmark: "Tower", type: "Skyview Tower", region: 11, level: "Surface", x: 3847, y: -1313, z: 539, details: "" },</t>
  </si>
  <si>
    <t>{ name: "Rabella Wetlands", landmark: "Tower", type: "Skyview Tower", region: 12, level: "Surface", x: 2419, y: -2755, z: 222, details: "" },</t>
  </si>
  <si>
    <t>{ name: "Popla Foothills", landmark: "Tower", type: "Skyview Tower", region: 13, level: "Surface", x: 604, y: -2127, z: 98, details: "" },</t>
  </si>
  <si>
    <t>{ name: "Gerudo Canyon", landmark: "Tower", type: "Skyview Tower", region: 14, level: "Surface", x: -2438, y: -2182, z: 307, details: "" },</t>
  </si>
  <si>
    <t>{ name: "Gerudo Highlands", landmark: "Tower", type: "Skyview Tower", region: 15, level: "Surface", x: -3959, y: -1313, z: 422, details: "" },</t>
  </si>
  <si>
    <t/>
  </si>
  <si>
    <t>(Entrance 1 of 12)</t>
  </si>
  <si>
    <t>(Entrance 2 of 12)</t>
  </si>
  <si>
    <t>(Entrance 3 of 12)</t>
  </si>
  <si>
    <t>(Entrance 4 of 12)</t>
  </si>
  <si>
    <t>(Entrance 5 of 12)</t>
  </si>
  <si>
    <t>(Entrance 6 of 12)</t>
  </si>
  <si>
    <t>(Entrance 7 of 12)</t>
  </si>
  <si>
    <t>(Entrance 8 of 12)</t>
  </si>
  <si>
    <t>(Entrance 9 of 12)</t>
  </si>
  <si>
    <t>(Entrance 10 of 12)</t>
  </si>
  <si>
    <t>(Entrance 11 of 12)</t>
  </si>
  <si>
    <t>(Entrance 12 of 12)</t>
  </si>
  <si>
    <t>(Entrance 1 of 4)</t>
  </si>
  <si>
    <t>(Entrance 2 of 4)</t>
  </si>
  <si>
    <t>(Entrance 3 of 4)</t>
  </si>
  <si>
    <t>(Entrance 4 of 4)</t>
  </si>
  <si>
    <t>(Entrance 1 of 2)</t>
  </si>
  <si>
    <t>(Entrance 2 of 2)</t>
  </si>
  <si>
    <t>(Entrance 1 of 3)</t>
  </si>
  <si>
    <t>(Entrance 2 of 3)</t>
  </si>
  <si>
    <t>(Entrance 3 of 3)</t>
  </si>
  <si>
    <t>Battery, Big Wheel, Portable Pot, Steering Stick</t>
  </si>
  <si>
    <t>Battery, Construct Head, Flame Emitter, Light</t>
  </si>
  <si>
    <t>Balloon, Fan, Portable Pot, Time Bomb</t>
  </si>
  <si>
    <t>Cart, Fan, Steering Stick, Wing</t>
  </si>
  <si>
    <t>Fan, Flame Emitter, Portable Pot, Wing</t>
  </si>
  <si>
    <t>Fan, Flame Emitter, Portable Pot</t>
  </si>
  <si>
    <t>Beam Emitter, Cart, Fan, Wing</t>
  </si>
  <si>
    <t>Homing Cart, Light, Shock Emitter, Steering Stick</t>
  </si>
  <si>
    <t>Cannon, Spring, Time Bomb, Wing</t>
  </si>
  <si>
    <t>Homing Cart, Hover Stone, Hydrant, Time Bomb</t>
  </si>
  <si>
    <t>Battery, Big Wheel, Fan, Hydrant</t>
  </si>
  <si>
    <t>Light, Rocket, Small Wheel, Time Bomb</t>
  </si>
  <si>
    <t>Battery, Frost Emitter, Mirror, Wing</t>
  </si>
  <si>
    <t>Cannon, Light, Small Wheel, Steering Stick</t>
  </si>
  <si>
    <t>Frost Emitter, Mirror, Small Wheel, Wing</t>
  </si>
  <si>
    <t>Battery, Fan, Portable Pot, Shock Emitter</t>
  </si>
  <si>
    <t>Beam Emitter, Hydrant, Spring, Steering Stick</t>
  </si>
  <si>
    <t>Flame Emitter, Portable Pot, Rocket, Time Bomb</t>
  </si>
  <si>
    <t>Balloon, Big Wheel, Fan, Stabilizer</t>
  </si>
  <si>
    <t>Battery, Big Wheel, Portable Pot, Spring, Stake</t>
  </si>
  <si>
    <t>Balloon, Big Wheel, Small Wheel, Fan, Rocket, Steering Stick</t>
  </si>
  <si>
    <t>Beam Emitter, Mirror, Sled, Stake, Steering Stick</t>
  </si>
  <si>
    <t>Cart, Fan, Light, Sled, Wing</t>
  </si>
  <si>
    <t>Balloon, Hover Stone, Mirror, Spring, Wing</t>
  </si>
  <si>
    <t>Big Wheel, Construct Head, Rocket, Small Wheel, Steering Stick, Wing</t>
  </si>
  <si>
    <t>Cannon, Cart, Construct Head, Homing Cart, Stake</t>
  </si>
  <si>
    <t>Frost Emitter, Shock Emitter, Sled, Stabilizer, Stake</t>
  </si>
  <si>
    <t>Balloon, Cart, Construct Head, Hydrant, Stabilizer</t>
  </si>
  <si>
    <t>Battery, Fan, Hover Stone, Stabilizer, Wing</t>
  </si>
  <si>
    <t>Beam Emitter, Flame Emitter, Frost Emitter, Homing Cart, Time Bomb</t>
  </si>
  <si>
    <t>West Necluda Sky</t>
  </si>
  <si>
    <t>{ name: "Hyrule Castle Moat East Chasm", landmark: "Chasm", type: "", region: 1, level: "Surface", x: 170, y: 882, z: 9, details: "" },</t>
  </si>
  <si>
    <t>{ name: "Hyrule Castle Moat West Chasm", landmark: "Chasm", type: "", region: 1, level: "Surface", x: -923, y: 667, z: 15, details: "" },</t>
  </si>
  <si>
    <t>{ name: "Hyrule Field Chasm", landmark: "Chasm", type: "", region: 1, level: "Surface", x: -251, y: -305, z: -479, details: "" },</t>
  </si>
  <si>
    <t>{ name: "Forest of Time Chasm", landmark: "Chasm", type: "", region: 2, level: "Surface", x: -128, y: -1658, z: 10, details: "" },</t>
  </si>
  <si>
    <t>{ name: "Great Plateau East Chasm", landmark: "Chasm", type: "", region: 2, level: "Surface", x: -450, y: -1993, z: 71, details: "" },</t>
  </si>
  <si>
    <t>{ name: "Great Plateau North Chasm", landmark: "Chasm", type: "", region: 2, level: "Surface", x: -662, y: -1510, z: -518, details: "" },</t>
  </si>
  <si>
    <t>{ name: "Great Plateau South Chasm", landmark: "Chasm", type: "", region: 2, level: "Surface", x: -930, y: -2316, z: 167, details: "" },</t>
  </si>
  <si>
    <t>{ name: "Great Plateau West Chasm", landmark: "Chasm", type: "", region: 2, level: "Surface", x: -1429, y: -1993, z: 231, details: "" },</t>
  </si>
  <si>
    <t>{ name: "Hyrule Ridge Chasm", landmark: "Chasm", type: "", region: 3, level: "Surface", x: -2645, y: 1126, z: 175, details: "" },</t>
  </si>
  <si>
    <t>{ name: "Rito Village Chasm", landmark: "Chasm", type: "", region: 4, level: "Surface", x: -3571, y: 1803, z: 123, details: "" },</t>
  </si>
  <si>
    <t>{ name: "North Lomei Chasm", landmark: "Chasm", type: "", region: 5, level: "Surface", x: -814, y: 3535, z: 235, details: "" },</t>
  </si>
  <si>
    <t>{ name: "Deku Tree Chasm", landmark: "Chasm", type: "", region: 6, level: "Surface", x: 418, y: 2193, z: 144, details: "" },</t>
  </si>
  <si>
    <t>{ name: "Drenan Highlands Chasm", landmark: "Chasm", type: "", region: 6, level: "Surface", x: -63, y: 2984, z: 127, details: "" },</t>
  </si>
  <si>
    <t>{ name: "Elma Knolls Chasm", landmark: "Chasm", type: "", region: 6, level: "Surface", x: -453, y: 1721, z: 169, details: "" },</t>
  </si>
  <si>
    <t>{ name: "Death Mountain Chasm", landmark: "Chasm", type: "", region: 7, level: "Surface", x: 2535, y: 2603, z: 644, details: "" },</t>
  </si>
  <si>
    <t>{ name: "Minshi Woods Chasm", landmark: "Chasm", type: "", region: 7, level: "Surface", x: 1055, y: 1668, z: 150, details: "" },</t>
  </si>
  <si>
    <t>{ name: "East Akkala Plains Chasm", landmark: "Chasm", type: "", region: 8, level: "Surface", x: 4037, y: 2177, z: 29, details: "" },</t>
  </si>
  <si>
    <t>{ name: "Lomei Labyrinth Chasm", landmark: "Chasm", type: "", region: 8, level: "Surface", x: 4663, y: 3697, z: 50, details: "" },</t>
  </si>
  <si>
    <t>{ name: "Skull Lake Chasm", landmark: "Chasm", type: "", region: 8, level: "Surface", x: 3248, y: 3441, z: -43, details: "" },</t>
  </si>
  <si>
    <t>{ name: "South Akkala Plains Chasm", landmark: "Chasm", type: "", region: 8, level: "Surface", x: 3284, y: 1303, z: 217, details: "" },</t>
  </si>
  <si>
    <t>{ name: "Chasm Under Zora's Domain", landmark: "Chasm", type: "", region: 9, level: "Surface", x: 3272, y: 442, z: -21, details: "" },</t>
  </si>
  <si>
    <t>{ name: "Tingel Island Chasm", landmark: "Chasm", type: "", region: 9, level: "Surface", x: 4708, y: 1308, z: 61, details: "" },</t>
  </si>
  <si>
    <t>{ name: "East Hill Chasm", landmark: "Chasm", type: "", region: 10, level: "Surface", x: 1974, y: -855, z: 178, details: "" },</t>
  </si>
  <si>
    <t>{ name: "Lanayru Wetlands Chasm", landmark: "Chasm", type: "", region: 10, level: "Surface", x: 1727, y: 158, z: -5, details: "" },</t>
  </si>
  <si>
    <t>{ name: "Naydra Snowfield Chasm", landmark: "Chasm", type: "", region: 11, level: "Surface", x: 3591, y: -1341, z: 117, details: "" },</t>
  </si>
  <si>
    <t>{ name: "Eventide Island Chasm", landmark: "Chasm", type: "", region: 12, level: "Surface", x: 4507, y: -3459, z: -17, details: "" },</t>
  </si>
  <si>
    <t>{ name: "Meda Mountain Chasm", landmark: "Chasm", type: "", region: 12, level: "Surface", x: 2513, y: -2380, z: 131, details: "" },</t>
  </si>
  <si>
    <t>{ name: "Hills of Baumer Chasm", landmark: "Chasm", type: "", region: 13, level: "Surface", x: 222, y: -2119, z: 53, details: "" },</t>
  </si>
  <si>
    <t>{ name: "Lake Hylia Chasm", landmark: "Chasm", type: "", region: 13, level: "Surface", x: -332, y: -2598, z: -52, details: "" },</t>
  </si>
  <si>
    <t>{ name: "Tobio's Hollow Chasm", landmark: "Chasm", type: "", region: 13, level: "Surface", x: 1305, y: -2397, z: 62, details: "" },</t>
  </si>
  <si>
    <t>{ name: "East Gerudo Chasm", landmark: "Chasm", type: "", region: 14, level: "Surface", x: -2491, y: -3068, z: 81, details: "" },</t>
  </si>
  <si>
    <t>{ name: "South Lomei Chasm", landmark: "Chasm", type: "", region: 14, level: "Surface", x: -1795, y: -3462, z: 46, details: "" },</t>
  </si>
  <si>
    <t>{ name: "Birida Lookout Chasm", landmark: "Chasm", type: "", region: 15, level: "Surface", x: -3680, y: -1853, z: 76, details: "" },</t>
  </si>
  <si>
    <t>{ name: "Gerudo Summit Chasm", landmark: "Chasm", type: "", region: 15, level: "Surface", x: -4203, y: -639, z: 682, details: "" },</t>
  </si>
  <si>
    <t>{ name: "Yiga Clan Hideout Chasm", landmark: "Chasm", type: "", region: 15, level: "Surface", x: -3429, y: -1334, z: 335, details: "" },</t>
  </si>
  <si>
    <t>Death Mountain Depths Dispenser</t>
  </si>
  <si>
    <t>Left-Leg Depot Dispenser</t>
  </si>
  <si>
    <t>Bravery Island Dispenser</t>
  </si>
  <si>
    <t>Courage Island Dispenser</t>
  </si>
  <si>
    <t>Dragonhead Island Dispenser</t>
  </si>
  <si>
    <t>East Gerudo Sky Dispenser</t>
  </si>
  <si>
    <t>East Hebra Sky Dispenser</t>
  </si>
  <si>
    <t>Great Sky Island East Dispenser</t>
  </si>
  <si>
    <t>Great Sky Island South Dispenser</t>
  </si>
  <si>
    <t>Lanayru Sky Dispenser</t>
  </si>
  <si>
    <t>Lightcast Island Dispenser</t>
  </si>
  <si>
    <t>North Hyrule Sky Dispenser</t>
  </si>
  <si>
    <t>North Necluda Sky Dispenser</t>
  </si>
  <si>
    <t>Sky Mine Dispenser</t>
  </si>
  <si>
    <t>Sokkala Sky Dispenser</t>
  </si>
  <si>
    <t>South Eldin Sky Dispenser</t>
  </si>
  <si>
    <t>South Hyrule Sky Dispenser</t>
  </si>
  <si>
    <t>South Lanayru Sky Dispenser</t>
  </si>
  <si>
    <t>South Necluda Sky Dispenser</t>
  </si>
  <si>
    <t>Starview Island Dispenser</t>
  </si>
  <si>
    <t>Tabantha Sky Dispenser</t>
  </si>
  <si>
    <t>Thunderhead Isles Dispenser</t>
  </si>
  <si>
    <t>Valor Island Dispenser</t>
  </si>
  <si>
    <t>Wellspring Island Dispenser</t>
  </si>
  <si>
    <t>West Hebra Sky Dispenser</t>
  </si>
  <si>
    <t>West Necluda Sky Dispenser</t>
  </si>
  <si>
    <t>Zonaite Forge Island Dispenser</t>
  </si>
  <si>
    <t>Gerudo Canyon Pass Dispenser</t>
  </si>
  <si>
    <t>Hudson Construction Site Dispenser</t>
  </si>
  <si>
    <t>Kakariko Village Dispenser</t>
  </si>
  <si>
    <t>{ name: "South Hyrule Sky Dispenser", landmark: "Dispenser", type: "", region: 2, level: "Sky", x: -1212, y: -1585, z: 1006, details: "Light, Rocket, Small Wheel, Time Bomb" },</t>
  </si>
  <si>
    <t>{ name: "Courage Island Dispenser", landmark: "Dispenser", type: "", region: 3, level: "Sky", x: -2370, y: 781, z: 610, details: "Balloon, Fan, Portable Pot, Time Bomb" },</t>
  </si>
  <si>
    <t>{ name: "Lightcast Island Dispenser", landmark: "Dispenser", type: "", region: 3, level: "Sky", x: -3612, y: 1066, z: 1655, details: "Balloon, Hover Stone, Mirror, Spring, Wing" },</t>
  </si>
  <si>
    <t>{ name: "Tabantha Sky Dispenser", landmark: "Dispenser", type: "", region: 3, level: "Sky", x: -3455, y: 393, z: 1694, details: "Frost Emitter, Mirror, Small Wheel, Wing" },</t>
  </si>
  <si>
    <t>{ name: "West Hebra Sky Dispenser", landmark: "Dispenser", type: "", region: 4, level: "Sky", x: -3803, y: 2766, z: 701, details: "Flame Emitter, Portable Pot, Rocket, Time Bomb" },</t>
  </si>
  <si>
    <t>{ name: "East Hebra Sky Dispenser", landmark: "Dispenser", type: "", region: 5, level: "Sky", x: -1705, y: 3371, z: 947, details: "Cart, Fan, Light, Sled, Wing" },</t>
  </si>
  <si>
    <t>{ name: "Bravery Island Dispenser", landmark: "Dispenser", type: "", region: 6, level: "Sky", x: 215, y: 1981, z: 754, details: "Battery, Construct Head, Flame Emitter, Light" },</t>
  </si>
  <si>
    <t>{ name: "North Hyrule Sky Dispenser", landmark: "Dispenser", type: "", region: 6, level: "Sky", x: 443, y: 2821, z: 1819, details: "Homing Cart, Light, Shock Emitter, Steering Stick" },</t>
  </si>
  <si>
    <t>{ name: "Death Mountain Depths Dispenser", landmark: "Dispenser", type: "", region: 7, level: "Depths", x: 2190, y: 2640, z: -963, details: "Battery, Big Wheel, Portable Pot, Steering Stick" },</t>
  </si>
  <si>
    <t>{ name: "South Eldin Sky Dispenser", landmark: "Dispenser", type: "", region: 7, level: "Sky", x: 1983, y: 1221, z: 1250, details: "Battery, Big Wheel, Fan, Hydrant" },</t>
  </si>
  <si>
    <t>{ name: "Sky Mine Dispenser", landmark: "Dispenser", type: "", region: 8, level: "Sky", x: 4557, y: 2076, z: 1154, details: "Homing Cart, Hover Stone, Hydrant, Time Bomb" },</t>
  </si>
  <si>
    <t>{ name: "Sokkala Sky Dispenser", landmark: "Dispenser", type: "", region: 8, level: "Sky", x: 3755, y: 1542, z: 1156, details: "Cannon, Cart, Construct Head, Homing Cart, Stake" },</t>
  </si>
  <si>
    <t>{ name: "Hudson Construction Site Dispenser", landmark: "Dispenser", type: "", region: 8, level: "Surface", x: 3807, y: 1561, z: 89, details: "Balloon, Big Wheel, Small Wheel, Fan, Rocket, Steering Stick" },</t>
  </si>
  <si>
    <t>{ name: "Lanayru Sky Dispenser", landmark: "Dispenser", type: "", region: 9, level: "Sky", x: 2915, y: 502, z: 950, details: "Beam Emitter, Cart, Fan, Wing" },</t>
  </si>
  <si>
    <t>{ name: "Wellspring Island Dispenser", landmark: "Dispenser", type: "", region: 9, level: "Sky", x: 3430, y: 636, z: 1316, details: "Battery, Fan, Hover Stone, Stabilizer, Wing" },</t>
  </si>
  <si>
    <t>{ name: "Kakariko Village Dispenser", landmark: "Dispenser", type: "", region: 10, level: "Surface", x: 1838, y: -1093, z: 154, details: "Balloon, Big Wheel, Fan, Stabilizer" },</t>
  </si>
  <si>
    <t>{ name: "North Necluda Sky Dispenser", landmark: "Dispenser", type: "", region: 10, level: "Sky", x: 1778, y: -1096, z: 917, details: "Cannon, Spring, Time Bomb, Wing" },</t>
  </si>
  <si>
    <t>{ name: "West Necluda Sky Dispenser", landmark: "Dispenser", type: "", region: 10, level: "Sky", x: 1344, y: -2151, z: 584, details: "Balloon, Cart, Construct Head, Hydrant, Stabilizer" },</t>
  </si>
  <si>
    <t>{ name: "Zonaite Forge Island Dispenser", landmark: "Dispenser", type: "", region: 10, level: "Sky", x: 2320, y: -1718, z: 1484, details: "Beam Emitter, Flame Emitter, Frost Emitter, Homing Cart, Time Bomb" },</t>
  </si>
  <si>
    <t>{ name: "South Lanayru Sky Dispenser", landmark: "Dispenser", type: "", region: 11, level: "Sky", x: 4675, y: -1029, z: 1788, details: "Battery, Frost Emitter, Mirror, Wing" },</t>
  </si>
  <si>
    <t>{ name: "Valor Island Dispenser", landmark: "Dispenser", type: "", region: 11, level: "Sky", x: 4510, y: -805, z: 1116, details: "Beam Emitter, Hydrant, Spring, Steering Stick" },</t>
  </si>
  <si>
    <t>{ name: "South Necluda Sky Dispenser", landmark: "Dispenser", type: "", region: 12, level: "Sky", x: 2851, y: -2958, z: 1211, details: "Cannon, Light, Small Wheel, Steering Stick" },</t>
  </si>
  <si>
    <t>{ name: "Left-Leg Depot Dispenser", landmark: "Dispenser", type: "", region: 13, level: "Depths", x: 1058, y: -2320, z: -553, details: "Big Wheel, Construct Head, Rocket, Small Wheel, Steering Stick, Wing" },</t>
  </si>
  <si>
    <t>{ name: "Dragonhead Island Dispenser", landmark: "Dispenser", type: "", region: 13, level: "Sky", x: 1390, y: -3239, z: 416, details: "Cart, Fan, Steering Stick, Wing" },</t>
  </si>
  <si>
    <t>{ name: "Great Sky Island East Dispenser", landmark: "Dispenser", type: "", region: 13, level: "Sky", x: 769, y: -1259, z: 1578, details: "Fan, Flame Emitter, Portable Pot, Wing" },</t>
  </si>
  <si>
    <t>{ name: "Great Sky Island South Dispenser", landmark: "Dispenser", type: "", region: 13, level: "Sky", x: 435, y: -1686, z: 1442, details: "Fan, Flame Emitter, Portable Pot" },</t>
  </si>
  <si>
    <t>{ name: "Thunderhead Isles Dispenser", landmark: "Dispenser", type: "", region: 13, level: "Sky", x: 1104, y: -3331, z: 827, details: "Battery, Fan, Portable Pot, Shock Emitter" },</t>
  </si>
  <si>
    <t>{ name: "East Gerudo Sky Dispenser", landmark: "Dispenser", type: "", region: 14, level: "Sky", x: -1771, y: -2019, z: 1147, details: "Beam Emitter, Mirror, Sled, Stake, Steering Stick" },</t>
  </si>
  <si>
    <t>{ name: "Starview Island Dispenser", landmark: "Dispenser", type: "", region: 15, level: "Sky", x: -3457, y: -373, z: 1942, details: "Frost Emitter, Shock Emitter, Sled, Stabilizer, Stake" },</t>
  </si>
  <si>
    <t>DETAILS</t>
  </si>
  <si>
    <t>Hudson Sign</t>
  </si>
  <si>
    <t>Treasure</t>
  </si>
  <si>
    <t>Korok Mask</t>
  </si>
  <si>
    <t>Cap of Time</t>
  </si>
  <si>
    <t>South Hyrule Sky Archipelago 1</t>
  </si>
  <si>
    <t>Trousers of the Hero</t>
  </si>
  <si>
    <t>South Hyrule Sky Archipelago 2</t>
  </si>
  <si>
    <t>Tunic of the Hero</t>
  </si>
  <si>
    <t>South Hyrule Sky Archipelago 3</t>
  </si>
  <si>
    <t>Cap of the Hero</t>
  </si>
  <si>
    <t>South Hyrule Sky Archipelago 4</t>
  </si>
  <si>
    <t>Sheik's Mask</t>
  </si>
  <si>
    <t>Rising Island Chain</t>
  </si>
  <si>
    <t>Miner's Mask</t>
  </si>
  <si>
    <t>West Hebra Sky Archipelago 1</t>
  </si>
  <si>
    <t>Miner's Top</t>
  </si>
  <si>
    <t>West Hebra Sky Archipelago 2</t>
  </si>
  <si>
    <t>Miner's Trousers</t>
  </si>
  <si>
    <t>Ravio's Hood</t>
  </si>
  <si>
    <t>Biggoron's Sword</t>
  </si>
  <si>
    <t>North Akkala Sky Archipelago 1</t>
  </si>
  <si>
    <t>Trousers of Twilight</t>
  </si>
  <si>
    <t>North Akkala Sky Archipelago 2</t>
  </si>
  <si>
    <t>Cap of Twilight</t>
  </si>
  <si>
    <t>Tunic of Twilight</t>
  </si>
  <si>
    <t>Wellspring Island 1</t>
  </si>
  <si>
    <t>Trousers of the Wind</t>
  </si>
  <si>
    <t>Wellspring Island 2</t>
  </si>
  <si>
    <t>Cap of the Wind</t>
  </si>
  <si>
    <t>Tunic of the Wind</t>
  </si>
  <si>
    <t>South Lanayru Sky Archipelago 1</t>
  </si>
  <si>
    <t>Midna's Helmet</t>
  </si>
  <si>
    <t>South Lanayru Sky Archipelago 2</t>
  </si>
  <si>
    <t>Zant's Helmet</t>
  </si>
  <si>
    <t>North Necluda Sky Archipelago 1</t>
  </si>
  <si>
    <t>Tunic of Time</t>
  </si>
  <si>
    <t>North Necluda Sky Archipelago 2</t>
  </si>
  <si>
    <t>Trousers of Time</t>
  </si>
  <si>
    <t>East Necluda Sky</t>
  </si>
  <si>
    <t>Sea-Breeze Shield</t>
  </si>
  <si>
    <t>Sea-Breeze Boomerang</t>
  </si>
  <si>
    <t>Tunic of the Sky</t>
  </si>
  <si>
    <t>Thunderhead Isles 1</t>
  </si>
  <si>
    <t>Trousers of the Sky</t>
  </si>
  <si>
    <t>Thunderhead Isles 2</t>
  </si>
  <si>
    <t>Cap of the Sky</t>
  </si>
  <si>
    <t>Majora's Mask</t>
  </si>
  <si>
    <t>Sword of the Hero</t>
  </si>
  <si>
    <t>Tunic of the Wild</t>
  </si>
  <si>
    <t>Tabantha Sky Archipelago 1</t>
  </si>
  <si>
    <t>Trousers of the Wild</t>
  </si>
  <si>
    <t>Tabantha Sky Archipelago 2</t>
  </si>
  <si>
    <t>Cap of the Wild</t>
  </si>
  <si>
    <t>Old Map</t>
  </si>
  <si>
    <t>&lt;strong&gt;Treasure:&lt;/strong&gt; Korok Mask</t>
  </si>
  <si>
    <t>&lt;strong&gt;Treasure:&lt;/strong&gt; Cap of Time</t>
  </si>
  <si>
    <t>&lt;strong&gt;Treasure:&lt;/strong&gt; Trousers of the Hero</t>
  </si>
  <si>
    <t>&lt;strong&gt;Treasure:&lt;/strong&gt; Tunic of the Hero</t>
  </si>
  <si>
    <t>&lt;strong&gt;Treasure:&lt;/strong&gt; Cap of the Hero</t>
  </si>
  <si>
    <t>&lt;strong&gt;Treasure:&lt;/strong&gt; Sheik's Mask</t>
  </si>
  <si>
    <t>&lt;strong&gt;Treasure:&lt;/strong&gt; Miner's Mask</t>
  </si>
  <si>
    <t>&lt;strong&gt;Treasure:&lt;/strong&gt; Miner's Top</t>
  </si>
  <si>
    <t>&lt;strong&gt;Treasure:&lt;/strong&gt; Miner's Trousers</t>
  </si>
  <si>
    <t>&lt;strong&gt;Treasure:&lt;/strong&gt; Ravio's Hood</t>
  </si>
  <si>
    <t>&lt;strong&gt;Treasure:&lt;/strong&gt; Biggoron's Sword</t>
  </si>
  <si>
    <t>&lt;strong&gt;Treasure:&lt;/strong&gt; Trousers of Twilight</t>
  </si>
  <si>
    <t>&lt;strong&gt;Treasure:&lt;/strong&gt; Cap of Twilight</t>
  </si>
  <si>
    <t>&lt;strong&gt;Treasure:&lt;/strong&gt; Tunic of Twilight</t>
  </si>
  <si>
    <t>&lt;strong&gt;Treasure:&lt;/strong&gt; Trousers of the Wind</t>
  </si>
  <si>
    <t>&lt;strong&gt;Treasure:&lt;/strong&gt; Cap of the Wind</t>
  </si>
  <si>
    <t>&lt;strong&gt;Treasure:&lt;/strong&gt; Tunic of the Wind</t>
  </si>
  <si>
    <t>&lt;strong&gt;Treasure:&lt;/strong&gt; Midna's Helmet</t>
  </si>
  <si>
    <t>&lt;strong&gt;Treasure:&lt;/strong&gt; Zant's Helmet</t>
  </si>
  <si>
    <t>&lt;strong&gt;Treasure:&lt;/strong&gt; Tunic of Time</t>
  </si>
  <si>
    <t>&lt;strong&gt;Treasure:&lt;/strong&gt; Trousers of Time</t>
  </si>
  <si>
    <t>&lt;strong&gt;Treasure:&lt;/strong&gt; Sea-Breeze Boomerang</t>
  </si>
  <si>
    <t>&lt;strong&gt;Treasure:&lt;/strong&gt; Tunic of the Sky</t>
  </si>
  <si>
    <t>&lt;strong&gt;Treasure:&lt;/strong&gt; Trousers of the Sky</t>
  </si>
  <si>
    <t>&lt;strong&gt;Treasure:&lt;/strong&gt; Cap of the Sky</t>
  </si>
  <si>
    <t>&lt;strong&gt;Treasure:&lt;/strong&gt; Majora's Mask</t>
  </si>
  <si>
    <t>&lt;strong&gt;Treasure:&lt;/strong&gt; Sword of the Hero</t>
  </si>
  <si>
    <t>&lt;strong&gt;Treasure:&lt;/strong&gt; Tunic of the Wild</t>
  </si>
  <si>
    <t>&lt;strong&gt;Treasure:&lt;/strong&gt; Trousers of the Wild</t>
  </si>
  <si>
    <t>&lt;strong&gt;Treasure:&lt;/strong&gt; Cap of the Wild</t>
  </si>
  <si>
    <t>&lt;strong&gt;Old Map:&lt;/strong&gt; North Hyrule Sky Archipelago</t>
  </si>
  <si>
    <t>&lt;strong&gt;Old Map:&lt;/strong&gt; Central Hyrule Sky Archipelago</t>
  </si>
  <si>
    <t>&lt;strong&gt;Old Map:&lt;/strong&gt; South Hyrule Sky Archipelago 1</t>
  </si>
  <si>
    <t>&lt;strong&gt;Old Map:&lt;/strong&gt; South Hyrule Sky Archipelago 2</t>
  </si>
  <si>
    <t>&lt;strong&gt;Old Map:&lt;/strong&gt; South Hyrule Sky Archipelago 3</t>
  </si>
  <si>
    <t>&lt;strong&gt;Old Map:&lt;/strong&gt; South Hyrule Sky Archipelago 4</t>
  </si>
  <si>
    <t>&lt;strong&gt;Old Map:&lt;/strong&gt; Rising Island Chain</t>
  </si>
  <si>
    <t>&lt;strong&gt;Old Map:&lt;/strong&gt; West Hebra Sky Archipelago 1</t>
  </si>
  <si>
    <t>&lt;strong&gt;Old Map:&lt;/strong&gt; West Hebra Sky Archipelago 2</t>
  </si>
  <si>
    <t>&lt;strong&gt;Old Map:&lt;/strong&gt; East Hebra Sky Archipelago</t>
  </si>
  <si>
    <t>&lt;strong&gt;Old Map:&lt;/strong&gt; South Eldin Sky Archipelago</t>
  </si>
  <si>
    <t>&lt;strong&gt;Old Map:&lt;/strong&gt; North Akkala Sky Archipelago 1</t>
  </si>
  <si>
    <t>&lt;strong&gt;Old Map:&lt;/strong&gt; North Akkala Sky Archipelago 2</t>
  </si>
  <si>
    <t>&lt;strong&gt;Old Map:&lt;/strong&gt; Sokkala Sky Archipelago</t>
  </si>
  <si>
    <t>&lt;strong&gt;Old Map:&lt;/strong&gt; Wellspring Island 1</t>
  </si>
  <si>
    <t>&lt;strong&gt;Old Map:&lt;/strong&gt; Wellspring Island 2</t>
  </si>
  <si>
    <t>&lt;strong&gt;Old Map:&lt;/strong&gt; Lanayru Sky Archipelago</t>
  </si>
  <si>
    <t>&lt;strong&gt;Old Map:&lt;/strong&gt; South Lanayru Sky Archipelago 1</t>
  </si>
  <si>
    <t>&lt;strong&gt;Old Map:&lt;/strong&gt; South Lanayru Sky Archipelago 2</t>
  </si>
  <si>
    <t>&lt;strong&gt;Old Map:&lt;/strong&gt; North Necluda Sky Archipelago 1</t>
  </si>
  <si>
    <t>&lt;strong&gt;Old Map:&lt;/strong&gt; North Necluda Sky Archipelago 2</t>
  </si>
  <si>
    <t>&lt;strong&gt;Old Map:&lt;/strong&gt; Necluda Sky Archipelago</t>
  </si>
  <si>
    <t>&lt;strong&gt;Old Map:&lt;/strong&gt; West Necluda Sky Archipelago</t>
  </si>
  <si>
    <t>&lt;strong&gt;Old Map:&lt;/strong&gt; Thunderhead Isles 1</t>
  </si>
  <si>
    <t>&lt;strong&gt;Old Map:&lt;/strong&gt; Thunderhead Isles 2</t>
  </si>
  <si>
    <t>&lt;strong&gt;Old Map:&lt;/strong&gt; North Gerudo Sky Archipelago</t>
  </si>
  <si>
    <t>&lt;strong&gt;Old Map:&lt;/strong&gt; East Gerudo Sky Archipelago</t>
  </si>
  <si>
    <t>&lt;strong&gt;Old Map:&lt;/strong&gt; North Tabantha Sky Archipelago</t>
  </si>
  <si>
    <t>&lt;strong&gt;Old Map:&lt;/strong&gt; Tabantha Sky Archipelago 1</t>
  </si>
  <si>
    <t>&lt;strong&gt;Old Map:&lt;/strong&gt; Tabantha Sky Archipelago 2</t>
  </si>
  <si>
    <t>{ name: "Hyrule Castle Town Ruins", landmark: "Hudson Sign", type: "Hudson Sign", region: 1, level: "Surface", x: -268, y: 383, z: 33, details: "" },</t>
  </si>
  <si>
    <t>{ name: "Mabe Prairie", landmark: "Hudson Sign", type: "Hudson Sign", region: 1, level: "Surface", x: 186, y: 268, z: 39, details: "" },</t>
  </si>
  <si>
    <t>{ name: "Mount Gustaf", landmark: "Hudson Sign", type: "Hudson Sign", region: 1, level: "Surface", x: -755, y: 243, z: 31, details: "" },</t>
  </si>
  <si>
    <t>{ name: "Rebonae Bridge", landmark: "Hudson Sign", type: "Hudson Sign", region: 1, level: "Surface", x: 674, y: 138, z: 38, details: "" },</t>
  </si>
  <si>
    <t>{ name: "Exchange Ruins", landmark: "Hudson Sign", type: "Hudson Sign", region: 2, level: "Surface", x: -678, y: -864, z: 53, details: "" },</t>
  </si>
  <si>
    <t>{ name: "Forest of Spirits", landmark: "Hudson Sign", type: "Hudson Sign", region: 2, level: "Surface", x: -873, y: -1472, z: 35, details: "" },</t>
  </si>
  <si>
    <t>{ name: "Manhala Bridge", landmark: "Hudson Sign", type: "Hudson Sign", region: 2, level: "Surface", x: -1437, y: -1059, z: 50, details: "" },</t>
  </si>
  <si>
    <t>{ name: "Nima Plain", landmark: "Hudson Sign", type: "Hudson Sign", region: 2, level: "Surface", x: -1603, y: -490, z: 125, details: "" },</t>
  </si>
  <si>
    <t>{ name: "Scout's Hill", landmark: "Hudson Sign", type: "Hudson Sign", region: 2, level: "Surface", x: -150, y: -2125, z: 30, details: "" },</t>
  </si>
  <si>
    <t>{ name: "Hyrule Ridge", landmark: "Hudson Sign", type: "Hudson Sign", region: 3, level: "Surface", x: -2504, y: 190, z: 155, details: "" },</t>
  </si>
  <si>
    <t>{ name: "Kolami Bridge", landmark: "Hudson Sign", type: "Hudson Sign", region: 3, level: "Surface", x: -3134, y: 1224, z: 227, details: "" },</t>
  </si>
  <si>
    <t>{ name: "Lake Totori", landmark: "Hudson Sign", type: "Hudson Sign", region: 3, level: "Surface", x: -3559, y: 1549, z: 148, details: "" },</t>
  </si>
  <si>
    <t>{ name: "Ludfo's Bog", landmark: "Hudson Sign", type: "Hudson Sign", region: 3, level: "Surface", x: -1783, y: 660, z: 160, details: "" },</t>
  </si>
  <si>
    <t>{ name: "Mount Rhoam", landmark: "Hudson Sign", type: "Hudson Sign", region: 3, level: "Surface", x: -2700, y: 771, z: 315, details: "" },</t>
  </si>
  <si>
    <t>{ name: "Rowan Plain", landmark: "Hudson Sign", type: "Hudson Sign", region: 3, level: "Surface", x: -1011, y: 2023, z: 126, details: "" },</t>
  </si>
  <si>
    <t>{ name: "Salari Hill", landmark: "Hudson Sign", type: "Hudson Sign", region: 3, level: "Surface", x: -1451, y: 1177, z: 150, details: "" },</t>
  </si>
  <si>
    <t>{ name: "Tabantha Great Bridge", landmark: "Hudson Sign", type: "Hudson Sign", region: 3, level: "Surface", x: -3321, y: 505, z: 179, details: "" },</t>
  </si>
  <si>
    <t>{ name: "Hebra Trailhead Lodge", landmark: "Hudson Sign", type: "Hudson Sign", region: 4, level: "Surface", x: -3613, y: 2188, z: 154, details: "" },</t>
  </si>
  <si>
    <t>{ name: "Sturnida Secret Hot Spring", landmark: "Hudson Sign", type: "Hudson Sign", region: 4, level: "Surface", x: -4113, y: 2759, z: 37, details: "" },</t>
  </si>
  <si>
    <t>{ name: "Talonto Peak", landmark: "Hudson Sign", type: "Hudson Sign", region: 4, level: "Surface", x: -3256, y: 2571, z: 452, details: "" },</t>
  </si>
  <si>
    <t>{ name: "Mount Drena", landmark: "Hudson Sign", type: "Hudson Sign", region: 5, level: "Surface", x: -1075, y: 2797, z: 190, details: "" },</t>
  </si>
  <si>
    <t>{ name: "North Tabantha Snowfield", landmark: "Hudson Sign", type: "Hudson Sign", region: 5, level: "Surface", x: -1612, y: 3339, z: 250, details: "" },</t>
  </si>
  <si>
    <t>{ name: "Pikida Stonegrove", landmark: "Hudson Sign", type: "Hudson Sign", region: 5, level: "Surface", x: -2211, y: 2929, z: 396, details: "" },</t>
  </si>
  <si>
    <t>{ name: "South Tabantha Snowfield", landmark: "Hudson Sign", type: "Hudson Sign", region: 5, level: "Surface", x: -1870, y: 2324, z: 246, details: "" },</t>
  </si>
  <si>
    <t>{ name: "Drenan Highlands", landmark: "Hudson Sign", type: "Hudson Sign", region: 6, level: "Surface", x: -458, y: 3042, z: 119, details: "" },</t>
  </si>
  <si>
    <t>{ name: "Eldin Mountains", landmark: "Hudson Sign", type: "Hudson Sign", region: 6, level: "Surface", x: 1024, y: 3110, z: 282, details: "" },</t>
  </si>
  <si>
    <t>{ name: "Hyrule Castle Moat", landmark: "Hudson Sign", type: "Hudson Sign", region: 6, level: "Surface", x: -333, y: 1344, z: 22, details: "" },</t>
  </si>
  <si>
    <t>{ name: "Thyphlo Ruins", landmark: "Hudson Sign", type: "Hudson Sign", region: 6, level: "Surface", x: 493, y: 2939, z: 187, details: "" },</t>
  </si>
  <si>
    <t>{ name: "Bridge of Eldin", landmark: "Hudson Sign", type: "Hudson Sign", region: 7, level: "Surface", x: 2268, y: 2317, z: 523, details: "" },</t>
  </si>
  <si>
    <t>{ name: "Death Mountain", landmark: "Hudson Sign", type: "Hudson Sign", region: 7, level: "Surface", x: 2797, y: 2655, z: 670, details: "" },</t>
  </si>
  <si>
    <t>{ name: "Death Mountain West Site", landmark: "Hudson Sign", type: "Hudson Sign", region: 7, level: "Surface", x: 1980, y: 2656, z: 463, details: "" },</t>
  </si>
  <si>
    <t>{ name: "Foothill Stable", landmark: "Hudson Sign", type: "Hudson Sign", region: 7, level: "Surface", x: 2572, y: 1100, z: 147, details: "" },</t>
  </si>
  <si>
    <t>{ name: "Gut Check Rock", landmark: "Hudson Sign", type: "Hudson Sign", region: 7, level: "Surface", x: 2820, y: 3549, z: 247, details: "" },</t>
  </si>
  <si>
    <t>{ name: "Mercay Island", landmark: "Hudson Sign", type: "Hudson Sign", region: 7, level: "Surface", x: 1710, y: 965, z: 59, details: "" },</t>
  </si>
  <si>
    <t>{ name: "Pico Pond", landmark: "Hudson Sign", type: "Hudson Sign", region: 7, level: "Surface", x: 1310, y: 1222, z: 126, details: "" },</t>
  </si>
  <si>
    <t>{ name: "Southern Mine", landmark: "Hudson Sign", type: "Hudson Sign", region: 7, level: "Surface", x: 1573, y: 2164, z: 346, details: "" },</t>
  </si>
  <si>
    <t>{ name: "Thims Bridge", landmark: "Hudson Sign", type: "Hudson Sign", region: 7, level: "Surface", x: 1346, y: 800, z: 33, details: "" },</t>
  </si>
  <si>
    <t>{ name: "Akkala Ancient Tech Lab", landmark: "Hudson Sign", type: "Hudson Sign", region: 8, level: "Surface", x: 4450, y: 3075, z: 225, details: "" },</t>
  </si>
  <si>
    <t>{ name: "East Akkala Stable", landmark: "Hudson Sign", type: "Hudson Sign", region: 8, level: "Surface", x: 4237, y: 2648, z: 129, details: "" },</t>
  </si>
  <si>
    <t>{ name: "Lake Akkala", landmark: "Hudson Sign", type: "Hudson Sign", region: 8, level: "Surface", x: 4086, y: 1874, z: 107, details: "" },</t>
  </si>
  <si>
    <t>{ name: "Octorok Lake", landmark: "Hudson Sign", type: "Hudson Sign", region: 8, level: "Surface", x: 3873, y: 2476, z: 65, details: "" },</t>
  </si>
  <si>
    <t>{ name: "Skull Lake", landmark: "Hudson Sign", type: "Hudson Sign", region: 8, level: "Surface", x: 3422, y: 3526, z: 218, details: "" },</t>
  </si>
  <si>
    <t>{ name: "South Akkala Stable", landmark: "Hudson Sign", type: "Hudson Sign", region: 8, level: "Surface", x: 3163, y: 1625, z: 212, details: "" },</t>
  </si>
  <si>
    <t>{ name: "Brynna Plain", landmark: "Hudson Sign", type: "Hudson Sign", region: 9, level: "Surface", x: 3973, y: -295, z: 43, details: "" },</t>
  </si>
  <si>
    <t>{ name: "Lodrum Headland", landmark: "Hudson Sign", type: "Hudson Sign", region: 9, level: "Surface", x: 4334, y: -570, z: 71, details: "" },</t>
  </si>
  <si>
    <t>{ name: "Ruto Lake", landmark: "Hudson Sign", type: "Hudson Sign", region: 9, level: "Surface", x: 3208, y: 131, z: 147, details: "" },</t>
  </si>
  <si>
    <t>{ name: "Samasa Plain", landmark: "Hudson Sign", type: "Hudson Sign", region: 9, level: "Surface", x: 3229, y: -656, z: 13, details: "" },</t>
  </si>
  <si>
    <t>{ name: "Ulria Grotto", landmark: "Hudson Sign", type: "Hudson Sign", region: 9, level: "Surface", x: 4296, y: 578, z: 283, details: "" },</t>
  </si>
  <si>
    <t>{ name: "Upland Zorana", landmark: "Hudson Sign", type: "Hudson Sign", region: 9, level: "Surface", x: 2933, y: 704, z: 359, details: "" },</t>
  </si>
  <si>
    <t>{ name: "Zora River", landmark: "Hudson Sign", type: "Hudson Sign", region: 9, level: "Surface", x: 2094, y: 216, z: 28, details: "" },</t>
  </si>
  <si>
    <t>{ name: "Lanayru Road - West Gate", landmark: "Hudson Sign", type: "Hudson Sign", region: 10, level: "Surface", x: 2374, y: -679, z: 133, details: "" },</t>
  </si>
  <si>
    <t>{ name: "Pillars of Levia", landmark: "Hudson Sign", type: "Hudson Sign", region: 10, level: "Surface", x: 2097, y: -1265, z: 143, details: "" },</t>
  </si>
  <si>
    <t>{ name: "Sahasra Slope", landmark: "Hudson Sign", type: "Hudson Sign", region: 10, level: "Surface", x: 1490, y: -989, z: 164, details: "" },</t>
  </si>
  <si>
    <t>{ name: "Cliffs of Quince", landmark: "Hudson Sign", type: "Hudson Sign", region: 11, level: "Surface", x: 2674, y: -1722, z: 52, details: "" },</t>
  </si>
  <si>
    <t>{ name: "Mapla Point", landmark: "Hudson Sign", type: "Hudson Sign", region: 11, level: "Surface", x: 4651, y: -2337, z: 67, details: "" },</t>
  </si>
  <si>
    <t>{ name: "Midla Woods", landmark: "Hudson Sign", type: "Hudson Sign", region: 11, level: "Surface", x: 3142, y: -2138, z: 74, details: "" },</t>
  </si>
  <si>
    <t>{ name: "Mount Lanayru", landmark: "Hudson Sign", type: "Hudson Sign", region: 11, level: "Surface", x: 4103, y: -1144, z: 325, details: "" },</t>
  </si>
  <si>
    <t>{ name: "Nirvata Lake", landmark: "Hudson Sign", type: "Hudson Sign", region: 11, level: "Surface", x: 3145, y: -1819, z: 81, details: "" },</t>
  </si>
  <si>
    <t>{ name: "Ash Swamp", landmark: "Hudson Sign", type: "Hudson Sign", region: 12, level: "Surface", x: 1969, y: -1899, z: 36, details: "" },</t>
  </si>
  <si>
    <t>{ name: "Koto Pond", landmark: "Hudson Sign", type: "Hudson Sign", region: 12, level: "Surface", x: 2616, y: -2595, z: 163, details: "" },</t>
  </si>
  <si>
    <t>{ name: "Palmorae Beach", landmark: "Hudson Sign", type: "Hudson Sign", region: 12, level: "Surface", x: 3359, y: -3494, z: 50, details: "" },</t>
  </si>
  <si>
    <t>{ name: "Temto Hill", landmark: "Hudson Sign", type: "Hudson Sign", region: 12, level: "Surface", x: 2214, y: -3369, z: 41, details: "" },</t>
  </si>
  <si>
    <t>{ name: "Eagus Bridge", landmark: "Hudson Sign", type: "Hudson Sign", region: 13, level: "Surface", x: 922, y: -995, z: 48, details: "" },</t>
  </si>
  <si>
    <t>{ name: "Haran Lake", landmark: "Hudson Sign", type: "Hudson Sign", region: 13, level: "Surface", x: 254, y: -3456, z: 89, details: "" },</t>
  </si>
  <si>
    <t>{ name: "Lake Hylia", landmark: "Hudson Sign", type: "Hudson Sign", region: 13, level: "Surface", x: 104, y: -2674, z: -2, details: "" },</t>
  </si>
  <si>
    <t>{ name: "Lakeside Stable", landmark: "Hudson Sign", type: "Hudson Sign", region: 13, level: "Surface", x: 1595, y: -3470, z: 71, details: "" },</t>
  </si>
  <si>
    <t>{ name: "Owlan Bridge", landmark: "Hudson Sign", type: "Hudson Sign", region: 13, level: "Surface", x: 389, y: -1273, z: 27, details: "" },</t>
  </si>
  <si>
    <t>{ name: "Pappetto Grove", landmark: "Hudson Sign", type: "Hudson Sign", region: 13, level: "Surface", x: -204, y: -3488, z: 35, details: "" },</t>
  </si>
  <si>
    <t>{ name: "Spring of Courage", landmark: "Hudson Sign", type: "Hudson Sign", region: 13, level: "Surface", x: 824, y: -2329, z: 131, details: "" },</t>
  </si>
  <si>
    <t>{ name: "East Barrens", landmark: "Hudson Sign", type: "Hudson Sign", region: 14, level: "Surface", x: -2963, y: -3793, z: 42, details: "" },</t>
  </si>
  <si>
    <t>{ name: "Gerudo Canyon", landmark: "Hudson Sign", type: "Hudson Sign", region: 14, level: "Surface", x: -2396, y: -2161, z: 276, details: "" },</t>
  </si>
  <si>
    <t>{ name: "Gerudo Canyon Pass", landmark: "Hudson Sign", type: "Hudson Sign", region: 14, level: "Surface", x: -1609, y: -2249, z: -4, details: "" },</t>
  </si>
  <si>
    <t>{ name: "Gerudo Canyon Stable", landmark: "Hudson Sign", type: "Hudson Sign", region: 14, level: "Surface", x: -2758, y: -2263, z: 46, details: "" },</t>
  </si>
  <si>
    <t>{ name: "Koukot Plateau", landmark: "Hudson Sign", type: "Hudson Sign", region: 14, level: "Surface", x: -2087, y: -1952, z: 149, details: "" },</t>
  </si>
  <si>
    <t>{ name: "Mount Granajh", landmark: "Hudson Sign", type: "Hudson Sign", region: 14, level: "Surface", x: -1076, y: -3351, z: 166, details: "" },</t>
  </si>
  <si>
    <t>{ name: "Palu Wasteland", landmark: "Hudson Sign", type: "Hudson Sign", region: 14, level: "Surface", x: -3438, y: -3123, z: 66, details: "" },</t>
  </si>
  <si>
    <t>{ name: "Yarna Valley", landmark: "Hudson Sign", type: "Hudson Sign", region: 14, level: "Surface", x: -1800, y: -2616, z: 169, details: "" },</t>
  </si>
  <si>
    <t>{ name: "Lake Illumeni", landmark: "Hudson Sign", type: "Hudson Sign", region: 15, level: "Surface", x: -3382, y: -220, z: 79, details: "" },</t>
  </si>
  <si>
    <t>{ name: "Meadela's Mantle", landmark: "Hudson Sign", type: "Hudson Sign", region: 15, level: "Surface", x: -4108, y: -1389, z: 459, details: "" },</t>
  </si>
  <si>
    <t>{ name: "Tamio River", landmark: "Hudson Sign", type: "Hudson Sign", region: 15, level: "Surface", x: -2676, y: -426, z: 22, details: "" },</t>
  </si>
  <si>
    <t>East Necluda Sky Archipelago</t>
  </si>
  <si>
    <t>&lt;strong&gt;Treasure:&lt;/strong&gt; Sea-Breeze Shield</t>
  </si>
  <si>
    <t>&lt;strong&gt;Old Map:&lt;/strong&gt; East Necluda Sky Archipelago</t>
  </si>
  <si>
    <t>Yiga Schematic</t>
  </si>
  <si>
    <t>Schema Stone</t>
  </si>
  <si>
    <t>Complete &lt;em&gt;Mystery in the Depths&lt;/em&gt; Quest</t>
  </si>
  <si>
    <t>Found in the &lt;em&gt;Cave of Resurrection&lt;/em&gt;</t>
  </si>
  <si>
    <t>{ name: "Beam Cycle", landmark: "Schematic", type: "Schema Stone", region: 2, level: "Surface", x: -1122, y: -1902, z: 101, details: "Found in the &lt;em&gt;Cave of Resurrection&lt;/em&gt;" },</t>
  </si>
  <si>
    <t>{ name: "Fanplane", landmark: "Schematic", type: "Schema Stone", region: 2, level: "Depths", x: -821, y: -1940, z: -523, details: "" },</t>
  </si>
  <si>
    <t>{ name: "Three Wheeler", landmark: "Schematic", type: "Yiga Schematic", region: 2, level: "Depths", x: -1856, y: -735, z: -527, details: "" },</t>
  </si>
  <si>
    <t>{ name: "All-Purpose Raft", landmark: "Schematic", type: "Yiga Schematic", region: 3, level: "Depths", x: -3380, y: 665, z: -619, details: "" },</t>
  </si>
  <si>
    <t>{ name: "Bomb Boquet", landmark: "Schematic", type: "Yiga Schematic", region: 3, level: "Depths", x: -1620, y: 247, z: -482, details: "" },</t>
  </si>
  <si>
    <t>{ name: "Cargo Carrier", landmark: "Schematic", type: "Yiga Schematic", region: 3, level: "Depths", x: -1332, y: 1496, z: -597, details: "" },</t>
  </si>
  <si>
    <t>{ name: "Flamethrower Baloon", landmark: "Schematic", type: "Yiga Schematic", region: 3, level: "Depths", x: -2822, y: 902, z: -565, details: "" },</t>
  </si>
  <si>
    <t>{ name: "Excavator", landmark: "Schematic", type: "Yiga Schematic", region: 4, level: "Depths", x: -3708, y: 3099, z: -782, details: "" },</t>
  </si>
  <si>
    <t>{ name: "Floodlights", landmark: "Schematic", type: "Yiga Schematic", region: 4, level: "Depths", x: -2865, y: 2918, z: -931, details: "" },</t>
  </si>
  <si>
    <t>{ name: "Rocket Platform", landmark: "Schematic", type: "Schema Stone", region: 4, level: "Depths", x: -3480, y: 1883, z: -417, details: "" },</t>
  </si>
  <si>
    <t>{ name: "Sprinkler System", landmark: "Schematic", type: "Yiga Schematic", region: 5, level: "Depths", x: -1903, y: 2095, z: -682, details: "" },</t>
  </si>
  <si>
    <t>{ name: "Whirling Basher", landmark: "Schematic", type: "Yiga Schematic", region: 5, level: "Depths", x: -1751, y: 3107, z: -679, details: "" },</t>
  </si>
  <si>
    <t>{ name: "Aerial Cannon", landmark: "Schematic", type: "Yiga Schematic", region: 6, level: "Depths", x: -130, y: 2867, z: -634, details: "" },</t>
  </si>
  <si>
    <t>{ name: "Charged Charger", landmark: "Schematic", type: "Yiga Schematic", region: 6, level: "Depths", x: 622, y: 3698, z: -540, details: "" },</t>
  </si>
  <si>
    <t>{ name: "Fishing Trawler", landmark: "Schematic", type: "Yiga Schematic", region: 6, level: "Depths", x: -397, y: 1776, z: -623, details: "" },</t>
  </si>
  <si>
    <t>{ name: "Automated Ally", landmark: "Schematic", type: "Schema Stone", region: 7, level: "Depths", x: 1641, y: 2397, z: -824, details: "" },</t>
  </si>
  <si>
    <t>{ name: "Big Rig", landmark: "Schematic", type: "Yiga Schematic", region: 7, level: "Depths", x: 2667, y: 1578, z: -591, details: "" },</t>
  </si>
  <si>
    <t>{ name: "Rainmaker", landmark: "Schematic", type: "Yiga Schematic", region: 7, level: "Depths", x: 1539, y: 692, z: -439, details: "" },</t>
  </si>
  <si>
    <t>{ name: "Assault Cart", landmark: "Schematic", type: "Yiga Schematic", region: 8, level: "Depths", x: 3273, y: 3697, z: -660, details: "" },</t>
  </si>
  <si>
    <t>{ name: "Headlight Raft", landmark: "Schematic", type: "Yiga Schematic", region: 8, level: "Depths", x: 4112, y: 3215, z: -611, details: "" },</t>
  </si>
  <si>
    <t>{ name: "Instant Cannon", landmark: "Schematic", type: "Schema Stone", region: 8, level: "Depths", x: 3986, y: 1583, z: -576, details: "" },</t>
  </si>
  <si>
    <t>{ name: "Wagon", landmark: "Schematic", type: "Yiga Schematic", region: 8, level: "Depths", x: 3606, y: 2281, z: -478, details: "" },</t>
  </si>
  <si>
    <t>{ name: "Bolt Boat", landmark: "Schematic", type: "Schema Stone", region: 9, level: "Depths", x: 3257, y: 593, z: -750, details: "" },</t>
  </si>
  <si>
    <t>{ name: "Icebreaker", landmark: "Schematic", type: "Yiga Schematic", region: 9, level: "Depths", x: 3618, y: -569, z: -455, details: "" },</t>
  </si>
  <si>
    <t>{ name: "Triple Cannon", landmark: "Schematic", type: "Yiga Schematic", region: 9, level: "Depths", x: 4412, y: 637, z: -709, details: "" },</t>
  </si>
  <si>
    <t>{ name: "Instant Kitchen", landmark: "Schematic", type: "Yiga Schematic", region: 10, level: "Depths", x: 1168, y: 600, z: -408, details: "" },</t>
  </si>
  <si>
    <t>{ name: "Launch Pad", landmark: "Schematic", type: "Schema Stone", region: 10, level: "Depths", x: 1796, y: -1226, z: -629, details: "" },</t>
  </si>
  <si>
    <t>{ name: "Scatter Trap", landmark: "Schematic", type: "Yiga Schematic", region: 10, level: "Depths", x: 2078, y: -1625, z: -464, details: "" },</t>
  </si>
  <si>
    <t>{ name: "Super Spring", landmark: "Schematic", type: "Yiga Schematic", region: 10, level: "Depths", x: 2542, y: -544, z: -476, details: "" },</t>
  </si>
  <si>
    <t>{ name: "Bridge", landmark: "Schematic", type: "Schema Stone", region: 11, level: "Depths", x: 3562, y: -2209, z: -588, details: "" },</t>
  </si>
  <si>
    <t>{ name: "Tank", landmark: "Schematic", type: "Yiga Schematic", region: 11, level: "Depths", x: 3261, y: -1445, z: -657, details: "" },</t>
  </si>
  <si>
    <t>{ name: "Dirigible", landmark: "Schematic", type: "Schema Stone", region: 12, level: "Depths", x: 2946, y: -3338, z: -453, details: "" },</t>
  </si>
  <si>
    <t>{ name: "Liftoff Glider", landmark: "Schematic", type: "Yiga Schematic", region: 12, level: "Depths", x: 2963, y: -2571, z: -507, details: "" },</t>
  </si>
  <si>
    <t>{ name: "Beam Spinner", landmark: "Schematic", type: "Yiga Schematic", region: 13, level: "Depths", x: 246, y: -2170, z: -486, details: "" },</t>
  </si>
  <si>
    <t>{ name: "Monocycle", landmark: "Schematic", type: "Yiga Schematic", region: 13, level: "Depths", x: -1225, y: -2611, z: -480, details: "" },</t>
  </si>
  <si>
    <t>{ name: "Water Freezer", landmark: "Schematic", type: "Yiga Schematic", region: 13, level: "Depths", x: 417, y: -3673, z: -498, details: "" },</t>
  </si>
  <si>
    <t>{ name: "Beam Turret", landmark: "Schematic", type: "Yiga Schematic", region: 14, level: "Depths", x: -2409, y: -3485, z: -394, details: "" },</t>
  </si>
  <si>
    <t>{ name: "Hovercraft", landmark: "Schematic", type: "Schema Stone", region: 14, level: "Depths", x: -3846, y: -2941, z: -487, details: "" },</t>
  </si>
  <si>
    <t>{ name: "Instant Scaffold (pillar)", landmark: "Schematic", type: "Schema Stone", region: 14, level: "Depths", x: -3210, y: -2473, z: -475, details: "" },</t>
  </si>
  <si>
    <t>{ name: "Raiding Plane", landmark: "Schematic", type: "Yiga Schematic", region: 14, level: "Depths", x: -4546, y: -2170, z: -489, details: "" },</t>
  </si>
  <si>
    <t>{ name: "Shock Trap", landmark: "Schematic", type: "Yiga Schematic", region: 14, level: "Depths", x: -2694, y: -2882, z: -467, details: "" },</t>
  </si>
  <si>
    <t>{ name: "Vertical Escape", landmark: "Schematic", type: "Yiga Schematic", region: 14, level: "Depths", x: -3262, y: -3780, z: -494, details: "" },</t>
  </si>
  <si>
    <t>{ name: "Fanboat", landmark: "Schematic", type: "Yiga Schematic", region: 15, level: "Depths", x: -3075, y: -1580, z: -913, details: "" },</t>
  </si>
  <si>
    <t>{ name: "Instant Scaffold (stairs)", landmark: "Schematic", type: "Yiga Schematic", region: 15, level: "Depths", x: -3403, y: -222, z: -482, details: "" },</t>
  </si>
  <si>
    <t>{ name: "Smoke Rocket", landmark: "Schematic", type: "Yiga Schematic", region: 15, level: "Depths", x: -4457, y: -994, z: -861, details: "" },</t>
  </si>
  <si>
    <t xml:space="preserve">North Hyrule Field </t>
  </si>
  <si>
    <t xml:space="preserve"> Hyrule Castle</t>
  </si>
  <si>
    <t xml:space="preserve">Hebra Mountains </t>
  </si>
  <si>
    <t xml:space="preserve"> Rito Village</t>
  </si>
  <si>
    <t xml:space="preserve">Eldin Canyon </t>
  </si>
  <si>
    <t xml:space="preserve"> Death Mountain</t>
  </si>
  <si>
    <t xml:space="preserve">Akkala Highlands </t>
  </si>
  <si>
    <t xml:space="preserve"> Deep Akkala</t>
  </si>
  <si>
    <t xml:space="preserve">Zora's Domain </t>
  </si>
  <si>
    <t xml:space="preserve"> Lanayru Great Spring</t>
  </si>
  <si>
    <t xml:space="preserve">Mount Lanayru </t>
  </si>
  <si>
    <t xml:space="preserve"> Naydra Snowfield</t>
  </si>
  <si>
    <t xml:space="preserve">East Necluda </t>
  </si>
  <si>
    <t xml:space="preserve"> Eventide Island</t>
  </si>
  <si>
    <t xml:space="preserve">Faron Grasslands </t>
  </si>
  <si>
    <t xml:space="preserve"> Lake Hylia</t>
  </si>
  <si>
    <t xml:space="preserve">Gerudo Canyon </t>
  </si>
  <si>
    <t xml:space="preserve"> Gerudo Desert</t>
  </si>
  <si>
    <t>Brazen Beak</t>
  </si>
  <si>
    <t>Enchanted</t>
  </si>
  <si>
    <t>Mubs's Armor Shop</t>
  </si>
  <si>
    <t>Rogaro's Shop</t>
  </si>
  <si>
    <t>Saula's Shop</t>
  </si>
  <si>
    <t>Ventest Clothing Boutique</t>
  </si>
  <si>
    <t>Central Hyrule Depths</t>
  </si>
  <si>
    <t>Gerudo Desert Depths</t>
  </si>
  <si>
    <t>Coliseum</t>
  </si>
  <si>
    <t>Great Hyrule Forest Depths</t>
  </si>
  <si>
    <t>Necluda Sea Depths</t>
  </si>
  <si>
    <t>West Necluda Depths</t>
  </si>
  <si>
    <t>Abandoned Central Mine</t>
  </si>
  <si>
    <t>Depths Mine</t>
  </si>
  <si>
    <t>Eldin Canyon Depths</t>
  </si>
  <si>
    <t>East Necluda Depths</t>
  </si>
  <si>
    <t>Tabantha Frontier Depths</t>
  </si>
  <si>
    <t>Lanayru Great Spring Depths</t>
  </si>
  <si>
    <t>Akkala Highlands Depths</t>
  </si>
  <si>
    <t>Hebra Mountains Depths</t>
  </si>
  <si>
    <t>Gerudo Highlands Depths</t>
  </si>
  <si>
    <t>Faron Grasslands Depths</t>
  </si>
  <si>
    <t>Gerudo Canyon Mine (the Depths)</t>
  </si>
  <si>
    <t>Hyrule Ridge Depths</t>
  </si>
  <si>
    <t>Mount Lanayru Depths</t>
  </si>
  <si>
    <t>Ardin's Shop</t>
  </si>
  <si>
    <t>Danda's Shop</t>
  </si>
  <si>
    <t>Daz's Shop and Natie's Shop</t>
  </si>
  <si>
    <t>East Wind: General Goods</t>
  </si>
  <si>
    <t>Emri's Shop</t>
  </si>
  <si>
    <t>Estan's Shop</t>
  </si>
  <si>
    <t>Fyson's Shop</t>
  </si>
  <si>
    <t>Garini's Shop</t>
  </si>
  <si>
    <t>High Spirits Produce</t>
  </si>
  <si>
    <t>Kachoo's Shop</t>
  </si>
  <si>
    <t>Lorn's Shop</t>
  </si>
  <si>
    <t>Maike's Shop</t>
  </si>
  <si>
    <t>Marot Mart</t>
  </si>
  <si>
    <t>Mubs's General Store</t>
  </si>
  <si>
    <t>Spera's Shop</t>
  </si>
  <si>
    <t>Tanko's Shop</t>
  </si>
  <si>
    <t>The Curious Quiver</t>
  </si>
  <si>
    <t>The Slippery Falcon</t>
  </si>
  <si>
    <t>Chessica's Inn</t>
  </si>
  <si>
    <t>Hotel Oasis</t>
  </si>
  <si>
    <t>Kapson's Inn</t>
  </si>
  <si>
    <t>Pepp's Inn</t>
  </si>
  <si>
    <t>Pyle's Inn</t>
  </si>
  <si>
    <t>Seabed Inn</t>
  </si>
  <si>
    <t>Shaillu's Inn</t>
  </si>
  <si>
    <t>Shuteye Inn</t>
  </si>
  <si>
    <t>Swallow's Roost</t>
  </si>
  <si>
    <t>The Great Ton Pu Inn</t>
  </si>
  <si>
    <t>Akkala Sea Depths</t>
  </si>
  <si>
    <t>Labyrinth</t>
  </si>
  <si>
    <t>Akkala Sea Sky</t>
  </si>
  <si>
    <t>Hebra Mountains Sky</t>
  </si>
  <si>
    <t>Gerudo Highlands Sky</t>
  </si>
  <si>
    <t>Lake Hylia Depths</t>
  </si>
  <si>
    <t>Eldin Mountains Depths</t>
  </si>
  <si>
    <t>Lanayru Wetlands Depths</t>
  </si>
  <si>
    <t>Deep Akkala Depths</t>
  </si>
  <si>
    <t>Ancient Tablet #1</t>
  </si>
  <si>
    <t>Ancient Tablet #10</t>
  </si>
  <si>
    <t>Ancient Tablet #11</t>
  </si>
  <si>
    <t>Ancient Tablet #12</t>
  </si>
  <si>
    <t>Ancient Tablet #2</t>
  </si>
  <si>
    <t>Ancient Tablet #3</t>
  </si>
  <si>
    <t>Ancient Tablet #4</t>
  </si>
  <si>
    <t>Ancient Tablet #5</t>
  </si>
  <si>
    <t>Ancient Tablet #6</t>
  </si>
  <si>
    <t>Ancient Tablet #7</t>
  </si>
  <si>
    <t>Ancient Tablet #8</t>
  </si>
  <si>
    <t>Ancient Tablet #9</t>
  </si>
  <si>
    <t>Hyrule Ridge Sky</t>
  </si>
  <si>
    <t>Device Dispenser</t>
  </si>
  <si>
    <t>Thunderhead Isles (Central)</t>
  </si>
  <si>
    <t>Thunderhead Isles (East)</t>
  </si>
  <si>
    <t>Beneath Water Temple</t>
  </si>
  <si>
    <t>Emergency Shelter</t>
  </si>
  <si>
    <t>Lake Hylia Sky</t>
  </si>
  <si>
    <t>Forgotten Foundation</t>
  </si>
  <si>
    <t>Gloom's Approach</t>
  </si>
  <si>
    <t>Gloom's Lair</t>
  </si>
  <si>
    <t>Imprisoning Chamber</t>
  </si>
  <si>
    <t>Tabantha Frontier Sky</t>
  </si>
  <si>
    <t>Lost Woods</t>
  </si>
  <si>
    <t>Deep Akkala Sky</t>
  </si>
  <si>
    <t>Room of Awakening</t>
  </si>
  <si>
    <t>Faron Grassland</t>
  </si>
  <si>
    <t>Statue of the Eighth Heroine Room</t>
  </si>
  <si>
    <t>Settlement</t>
  </si>
  <si>
    <t>Azure Bay Restaurant</t>
  </si>
  <si>
    <t>Shop</t>
  </si>
  <si>
    <t>East Sand-Seal Rental Shop</t>
  </si>
  <si>
    <t>Gerudo Secret Club</t>
  </si>
  <si>
    <t>Kochi Dye Shop</t>
  </si>
  <si>
    <t>Northeast Sand-Seal Rental Shop</t>
  </si>
  <si>
    <t>Spirit Temple</t>
  </si>
  <si>
    <t>Starlight Memories: A Jewelry Shop</t>
  </si>
  <si>
    <t>The Noble Canteen</t>
  </si>
  <si>
    <t>West Sand-Seal Rental Shop</t>
  </si>
  <si>
    <t>Fire Temple</t>
  </si>
  <si>
    <t>Lightning Temple</t>
  </si>
  <si>
    <t>Water Temple</t>
  </si>
  <si>
    <t>Wind Temple</t>
  </si>
  <si>
    <t>Lanayru Great Spring Sky</t>
  </si>
  <si>
    <t>Faron Grasslands Sky</t>
  </si>
  <si>
    <t>Eldin Canyon Sky</t>
  </si>
  <si>
    <t>Great Hyrule Forest Sky</t>
  </si>
  <si>
    <t>IGN Thinks</t>
  </si>
  <si>
    <t>approx 35%</t>
  </si>
  <si>
    <t>Specialty Shops &amp; Bargainer Statues</t>
  </si>
  <si>
    <t>approx 1.72%</t>
  </si>
  <si>
    <t>Akkala Highlands Sky</t>
  </si>
  <si>
    <t>Map Completion</t>
  </si>
  <si>
    <t>Manually Enter</t>
  </si>
  <si>
    <t>Koroks</t>
  </si>
  <si>
    <t>Bargainer Statues</t>
  </si>
  <si>
    <t>Buildings</t>
  </si>
  <si>
    <t>Constructs</t>
  </si>
  <si>
    <t>Device Dispensers</t>
  </si>
  <si>
    <t>Fairy Fountains</t>
  </si>
  <si>
    <t>Landmarks</t>
  </si>
  <si>
    <t>Main Stables</t>
  </si>
  <si>
    <t>Skyview Towers</t>
  </si>
  <si>
    <t>Temples</t>
  </si>
  <si>
    <t>Villages</t>
  </si>
  <si>
    <t>Cherry Trees</t>
  </si>
  <si>
    <t>Recipes</t>
  </si>
  <si>
    <t>Signs</t>
  </si>
  <si>
    <t>Should be 2500 things</t>
  </si>
  <si>
    <t>Cherry Blossom Tree</t>
  </si>
  <si>
    <t>Eldin Mountain Flank</t>
  </si>
  <si>
    <t>{ name: "Satori Mountain", landmark: "Cherry Tree", type: "Cherry Blossom Tree", region: 2, level: "Surface", x: -2299, y: -341, z: 336, details: "" },</t>
  </si>
  <si>
    <t>{ name: "Passer Hill", landmark: "Cherry Tree", type: "Cherry Blossom Tree", region: 4, level: "Surface", x: -4050, y: 1690, z: 185, details: "" },</t>
  </si>
  <si>
    <t>{ name: "Eldin Mountain Flank", landmark: "Cherry Tree", type: "Cherry Blossom Tree", region: 7, level: "Surface", x: 1239, y: 2957, z: 406, details: "" },</t>
  </si>
  <si>
    <t>{ name: "Zodobon Highlands", landmark: "Cherry Tree", type: "Cherry Blossom Tree", region: 9, level: "Surface", x: 2531, y: -5, z: 130, details: "" },</t>
  </si>
  <si>
    <t>{ name: "Ebon Mountain", landmark: "Cherry Tree", type: "Cherry Blossom Tree", region: 11, level: "Surface", x: 3358, y: -2479, z: 267, details: "" },</t>
  </si>
  <si>
    <t>{ name: "Guchini Plain", landmark: "Cherry Tree", type: "Cherry Blossom Tree", region: 13, level: "Surface", x: 799, y: -3502, z: 45, details: "" },</t>
  </si>
  <si>
    <t>{ name: "Gerudo Canyon", landmark: "Cherry Tree", type: "Cherry Blossom Tree", region: 14, level: "Surface", x: -2315, y: -2158, z: 237, details: "" },</t>
  </si>
  <si>
    <t>Village</t>
  </si>
  <si>
    <t>Gerudo Town Shelter</t>
  </si>
  <si>
    <t>Great Fairy Mija</t>
  </si>
  <si>
    <t>Great Fairy Kaysa</t>
  </si>
  <si>
    <t>Great Fairy Cotera</t>
  </si>
  <si>
    <t>Great Fairy Tera</t>
  </si>
  <si>
    <t>{ name: "Rito Village", landmark: "Village", type: "Village", region: 4, level: "Surface", x: -3621, y: 1800, z: 103, details: "" },</t>
  </si>
  <si>
    <t>{ name: "Korok Forest", landmark: "Village", type: "Village", region: 6, level: "Surface", x: 419, y: 2140, z: -106, details: "" },</t>
  </si>
  <si>
    <t>{ name: "Goron City", landmark: "Village", type: "Village", region: 7, level: "Surface", x: 1657, y: 2440, z: 340, details: "" },</t>
  </si>
  <si>
    <t>{ name: "Tarrey Town", landmark: "Village", type: "Village", region: 8, level: "Surface", x: 3966, y: 1611, z: 128, details: "" },</t>
  </si>
  <si>
    <t>{ name: "Zora's Domain", landmark: "Village", type: "Village", region: 9, level: "Surface", x: 3331, y: 545, z: 137, details: "" },</t>
  </si>
  <si>
    <t>{ name: "Kakariko Village", landmark: "Village", type: "Village", region: 10, level: "Surface", x: 1800, y: -1067, z: 115, details: "" },</t>
  </si>
  <si>
    <t>{ name: "Hateno Village", landmark: "Village", type: "Village", region: 11, level: "Surface", x: 3545, y: -2090, z: 232, details: "" },</t>
  </si>
  <si>
    <t>{ name: "Lurelin Village", landmark: "Village", type: "Village", region: 12, level: "Surface", x: 2850, y: -3321, z: 60, details: "" },</t>
  </si>
  <si>
    <t>{ name: "Gerudo Town", landmark: "Village", type: "Village", region: 14, level: "Surface", x: -3859, y: -2941, z: 33, details: "" },</t>
  </si>
  <si>
    <t>{ name: "Kara Kara Bazaar", landmark: "Village", type: "Village", region: 14, level: "Surface", x: -3269, y: -2558, z: 23, details: "" },</t>
  </si>
  <si>
    <t>Unknown</t>
  </si>
  <si>
    <t>{ name: "Ranch Ruins Cave", landmark: "Cave", type: "(Entrance 1 of 2)", region: 1, level: "Surface", x: 6, y: -157, z: 30, details: "" },</t>
  </si>
  <si>
    <t>{ name: "Ranch Ruins Cave", landmark: "Cave", type: "(Entrance 2 of 2)", region: 1, level: "Surface", x: 37, y: -198, z: 18, details: "" },</t>
  </si>
  <si>
    <t>{ name: "Royal Hidden Passage", landmark: "Cave", type: "(Entrance 1 of 3)", region: 1, level: "Surface", x: -325, y: 802, z: 54, details: "" },</t>
  </si>
  <si>
    <t>{ name: "Royal Hidden Passage", landmark: "Cave", type: "(Entrance 2 of 3)", region: 1, level: "Surface", x: -253, y: 767, z: 27, details: "" },</t>
  </si>
  <si>
    <t>{ name: "Royal Hidden Passage", landmark: "Cave", type: "(Entrance 3 of 3)", region: 1, level: "Surface", x: -254, y: 129, z: 8, details: "" },</t>
  </si>
  <si>
    <t>{ name: "Pondside Cave", landmark: "Cave", type: "(Entrance 1 of 2)", region: 2, level: "Sky", x: 260, y: -1557, z: 1361, details: "" },</t>
  </si>
  <si>
    <t>{ name: "Pondside Cave", landmark: "Cave", type: "(Entrance 2 of 2)", region: 2, level: "Sky", x: 170, y: -1633, z: 1377, details: "" },</t>
  </si>
  <si>
    <t>{ name: "Gisa Crater Cave", landmark: "Cave", type: "(Entrance 1 of 2)", region: 3, level: "Surface", x: -3865, y: 1011, z: 72, details: "" },</t>
  </si>
  <si>
    <t>{ name: "Gisa Crater Cave", landmark: "Cave", type: "(Entrance 2 of 2)", region: 3, level: "Surface", x: -3931, y: 1090, z: 72, details: "" },</t>
  </si>
  <si>
    <t>{ name: "North Hyrule Plain Cave", landmark: "Cave", type: "(Entrance 1 of 2)", region: 3, level: "Surface", x: -1234, y: 770, z: 77, details: "" },</t>
  </si>
  <si>
    <t>{ name: "North Hyrule Plain Cave", landmark: "Cave", type: "(Entrance 2 of 2)", region: 3, level: "Surface", x: -1188, y: 644, z: 72, details: "" },</t>
  </si>
  <si>
    <t>{ name: "East Biron Snowshelf Cave", landmark: "Cave", type: "(Entrance 1 of 2)", region: 4, level: "Surface", x: -3989, y: 3062, z: 138, details: "" },</t>
  </si>
  <si>
    <t>{ name: "East Biron Snowshelf Cave", landmark: "Cave", type: "(Entrance 2 of 2)", region: 4, level: "Surface", x: -3555, y: 3088, z: 273, details: "" },</t>
  </si>
  <si>
    <t>{ name: "Hebra South Summit Cave", landmark: "Cave", type: "(Entrance 1 of 2)", region: 4, level: "Surface", x: -3398, y: 2499, z: 313, details: "" },</t>
  </si>
  <si>
    <t>{ name: "Hebra South Summit Cave", landmark: "Cave", type: "(Entrance 2 of 2)", region: 4, level: "Surface", x: -3227, y: 2535, z: 441, details: "" },</t>
  </si>
  <si>
    <t>{ name: "Pikida Stonegrove Northwest Cave", landmark: "Cave", type: "(Entrance 1 of 2)", region: 5, level: "Surface", x: -2642, y: 3268, z: 249, details: "" },</t>
  </si>
  <si>
    <t>{ name: "Pikida Stonegrove Northwest Cave", landmark: "Cave", type: "(Entrance 2 of 2)", region: 5, level: "Surface", x: -2414, y: 3136, z: 372, details: "" },</t>
  </si>
  <si>
    <t>{ name: "Lake Ferona Cave", landmark: "Cave", type: "(Entrance 1 of 2)", region: 7, level: "Surface", x: 1929, y: 1271, z: 121, details: "" },</t>
  </si>
  <si>
    <t>{ name: "Lake Ferona Cave", landmark: "Cave", type: "(Entrance 2 of 2)", region: 7, level: "Surface", x: 1931, y: 1304, z: 168, details: "" },</t>
  </si>
  <si>
    <t>{ name: "Akkala Citadel Ruins Cave", landmark: "Cave", type: "", region: 8, level: "Surface", x: 3243, y: 1456, z: 294, details: "" },</t>
  </si>
  <si>
    <t>{ name: "Construction Site Cave", landmark: "Cave", type: "(Entrance 1 of 2)", region: 8, level: "Surface", x: 3678, y: 1538, z: 74, details: "" },</t>
  </si>
  <si>
    <t>{ name: "Construction Site Cave", landmark: "Cave", type: "(Entrance 2 of 2)", region: 8, level: "Surface", x: 3735, y: 1534, z: 80, details: "" },</t>
  </si>
  <si>
    <t>{ name: "North Akkala Beach Cave", landmark: "Cave", type: "(Entrance 1 of 2)", region: 8, level: "Surface", x: 4650, y: 3584, z: -51, details: "" },</t>
  </si>
  <si>
    <t>{ name: "North Akkala Beach Cave", landmark: "Cave", type: "(Entrance 2 of 2)", region: 8, level: "Surface", x: 4645, y: 3206, z: 6, details: "" },</t>
  </si>
  <si>
    <t>{ name: "Bone Pond East Cave", landmark: "Cave", type: "(Entrance 1 of 4)", region: 9, level: "Surface", x: 2185, y: 142, z: 37, details: "" },</t>
  </si>
  <si>
    <t>{ name: "Bone Pond East Cave", landmark: "Cave", type: "(Entrance 2 of 4)", region: 9, level: "Surface", x: 2215, y: 100, z: 71, details: "" },</t>
  </si>
  <si>
    <t>{ name: "Bone Pond East Cave", landmark: "Cave", type: "(Entrance 3 of 4)", region: 9, level: "Surface", x: 2260, y: 108, z: 110, details: "" },</t>
  </si>
  <si>
    <t>{ name: "Bone Pond East Cave", landmark: "Cave", type: "(Entrance 4 of 4)", region: 9, level: "Surface", x: 2253, y: 14, z: 16, details: "" },</t>
  </si>
  <si>
    <t>{ name: "Pristine Sanctum", landmark: "Cave", type: "(Entrance 1 of 2)", region: 9, level: "Surface", x: 3708, y: 608, z: 343, details: "" },</t>
  </si>
  <si>
    <t>{ name: "Pristine Sanctum", landmark: "Cave", type: "(Entrance 2 of 2)", region: 9, level: "Surface", x: 3622, y: 583, z: 169, details: "" },</t>
  </si>
  <si>
    <t>{ name: "Ralis Channel", landmark: "Cave", type: "(Entrance 1 of 2)", region: 9, level: "Surface", x: 2958, y: 253, z: 202, details: "" },</t>
  </si>
  <si>
    <t>{ name: "Ralis Channel", landmark: "Cave", type: "(Entrance 2 of 2)", region: 9, level: "Surface", x: 2912, y: 170, z: 157, details: "" },</t>
  </si>
  <si>
    <t>{ name: "Tabahl Woods Cave", landmark: "Cave", type: "(Entrance 1 of 3)", region: 9, level: "Surface", x: 2674, y: 287, z: 89, details: "" },</t>
  </si>
  <si>
    <t>{ name: "Tabahl Woods Cave", landmark: "Cave", type: "(Entrance 2 of 3)", region: 9, level: "Surface", x: 2605, y: 227, z: 75, details: "" },</t>
  </si>
  <si>
    <t>{ name: "Tabahl Woods Cave", landmark: "Cave", type: "(Entrance 3 of 3)", region: 9, level: "Surface", x: 2679, y: 217, z: 92, details: "" },</t>
  </si>
  <si>
    <t>{ name: "Ulria Grotto East Cave", landmark: "Cave", type: "(Entrance 1 of 2)", region: 9, level: "Surface", x: 4272, y: 774, z: 144, details: "" },</t>
  </si>
  <si>
    <t>{ name: "Ulria Grotto East Cave", landmark: "Cave", type: "(Entrance 2 of 2)", region: 9, level: "Surface", x: 4505, y: 705, z: 96, details: "" },</t>
  </si>
  <si>
    <t>{ name: "Upland Zorana Byroad Cave", landmark: "Cave", type: "(Entrance 1 of 2)", region: 9, level: "Surface", x: 2863, y: 346, z: 227, details: "" },</t>
  </si>
  <si>
    <t>{ name: "Upland Zorana Byroad Cave", landmark: "Cave", type: "(Entrance 2 of 2)", region: 9, level: "Surface", x: 2700, y: 479, z: 201, details: "" },</t>
  </si>
  <si>
    <t>{ name: "Upland Zorana Mountainside Cave", landmark: "Cave", type: "(Entrance 1 of 2)", region: 9, level: "Surface", x: 2570, y: 517, z: 164, details: "" },</t>
  </si>
  <si>
    <t>{ name: "Upland Zorana Mountainside Cave", landmark: "Cave", type: "(Entrance 2 of 2)", region: 9, level: "Surface", x: 2633, y: 526, z: 188, details: "" },</t>
  </si>
  <si>
    <t>{ name: "Byroad to Lanayru Wetlands Cave", landmark: "Cave", type: "(Entrance 1 of 2)", region: 10, level: "Surface", x: 1617, y: -1260, z: 6, details: "" },</t>
  </si>
  <si>
    <t>{ name: "Byroad to Lanayru Wetlands Cave", landmark: "Cave", type: "(Entrance 1 of 2)", region: 10, level: "Surface", x: 1587, y: -812, z: 6, details: "" },</t>
  </si>
  <si>
    <t>{ name: "Crenel Hills Cave", landmark: "Cave", type: "", region: 10, level: "Surface", x: 493, y: 730, z: 40, details: "" },</t>
  </si>
  <si>
    <t>{ name: "Crenel Peak Cave", landmark: "Cave", type: "(Entrance 1 of 2)", region: 10, level: "Surface", x: 1144, y: 247, z: 57, details: "" },</t>
  </si>
  <si>
    <t>{ name: "Crenel Peak Cave", landmark: "Cave", type: "(Entrance 2 of 2)", region: 10, level: "Surface", x: 1349, y: 296, z: 28, details: "" },</t>
  </si>
  <si>
    <t>{ name: "Rebonae Bridge Cave", landmark: "Cave", type: "", region: 10, level: "Surface", x: 845, y: 31, z: 15, details: "" },</t>
  </si>
  <si>
    <t>{ name: "Sahasra Slope Cave", landmark: "Cave", type: "(Entrance 1 of 2)", region: 10, level: "Surface", x: 1328, y: -1156, z: 134, details: "" },</t>
  </si>
  <si>
    <t>{ name: "Sahasra Slope Cave", landmark: "Cave", type: "(Entrance 2 of 2)", region: 10, level: "Surface", x: 1373, y: -1197, z: 129, details: "" },</t>
  </si>
  <si>
    <t>{ name: "Lanayru Road East Cave", landmark: "Cave", type: "(Entrance 1 of 2)", region: 11, level: "Surface", x: 3073, y: -1137, z: 91, details: "" },</t>
  </si>
  <si>
    <t>{ name: "Lanayru Road East Cave", landmark: "Cave", type: "(Entrance 2 of 2)", region: 11, level: "Surface", x: 3476, y: -968, z: -8, details: "" },</t>
  </si>
  <si>
    <t>{ name: "Retsam Forest Cave", landmark: "Cave", type: "(Entrance 1 of 2)", region: 11, level: "Surface", x: 3748, y: -2026, z: 190, details: "" },</t>
  </si>
  <si>
    <t>{ name: "Retsam Forest Cave", landmark: "Cave", type: "(Entrance 2 of 2)", region: 11, level: "Surface", x: 3757, y: -2066, z: 214, details: "" },</t>
  </si>
  <si>
    <t>{ name: "Walnot Mountain Cave", landmark: "Cave", type: "(Entrance 1 of 2)", region: 11, level: "Surface", x: 4225, y: -1738, z: 180, details: "" },</t>
  </si>
  <si>
    <t>{ name: "Walnot Mountain Cave", landmark: "Cave", type: "(Entrance 2 of 2)", region: 11, level: "Surface", x: 3933, y: -2069, z: 127, details: "" },</t>
  </si>
  <si>
    <t>{ name: "Mount Dunsel Cave", landmark: "Cave", type: "(Entrance 1 of 2)", region: 12, level: "Surface", x: 3224, y: -3017, z: 59, details: "" },</t>
  </si>
  <si>
    <t>{ name: "Mount Dunsel Cave", landmark: "Cave", type: "(Entrance 2 of 2)", region: 12, level: "Surface", x: 3291, y: -3296, z: 64, details: "" },</t>
  </si>
  <si>
    <t>{ name: "Bottomless Cave", landmark: "Cave", type: "(Entrance 1 of 2)", region: 13, level: "Sky", x: 739, y: -1358, z: 1542, details: "" },</t>
  </si>
  <si>
    <t>{ name: "Bottomless Cave", landmark: "Cave", type: "(Entrance 2 of 2)", region: 13, level: "Sky", x: 711, y: -1449, z: 1485, details: "" },</t>
  </si>
  <si>
    <t>{ name: "Calora Lake Cave", landmark: "Cave", type: "(Entrance 1 of 2)", region: 13, level: "Surface", x: 1958, y: -3032, z: 192, details: "" },</t>
  </si>
  <si>
    <t>{ name: "Calora Lake Cave", landmark: "Cave", type: "(Entrance 2 of 2)", region: 13, level: "Surface", x: 2009, y: -3164, z: 176, details: "" },</t>
  </si>
  <si>
    <t>{ name: "Cora Lakefront Cave", landmark: "Cave", type: "(Entrance 1 of 2)", region: 13, level: "Surface", x: -171, y: -3067, z: -13, details: "" },</t>
  </si>
  <si>
    <t>{ name: "Cora Lakefront Cave", landmark: "Cave", type: "(Entrance 2 of 2)", region: 13, level: "Surface", x: -256, y: -2940, z: -18, details: "" },</t>
  </si>
  <si>
    <t>{ name: "Mining Cave", landmark: "Cave", type: "(Entrance 1 of 2)", region: 13, level: "Sky", x: 380, y: -1631, z: 1411, details: "" },</t>
  </si>
  <si>
    <t>{ name: "Mining Cave", landmark: "Cave", type: "(Entrance 2 of 2)", region: 13, level: "Sky", x: 489, y: -1625, z: 1367, details: "" },</t>
  </si>
  <si>
    <t>{ name: "Mount Floria Cave", landmark: "Cave", type: "(Entrance 1 of 2)", region: 13, level: "Surface", x: 1959, y: -2611, z: 71, details: "" },</t>
  </si>
  <si>
    <t>{ name: "Mount Floria Cave", landmark: "Cave", type: "(Entrance 2 of 2)", region: 13, level: "Surface", x: 1789, y: -2985, z: 80, details: "" },</t>
  </si>
  <si>
    <t>{ name: "Pit Cave", landmark: "Cave", type: "(Entrance 1 of 2)", region: 13, level: "Sky", x: 587, y: -1624, z: 1442, details: "" },</t>
  </si>
  <si>
    <t>{ name: "Pit Cave", landmark: "Cave", type: "(Entrance 2 of 2)", region: 13, level: "Sky", x: 632, y: -1638, z: 1483, details: "" },</t>
  </si>
  <si>
    <t>{ name: "Ancient Altar Ruins", landmark: "Cave", type: "(Entrance 1 of 12)", region: 14, level: "Surface", x: -2584, y: -3638, z: -47, details: "" },</t>
  </si>
  <si>
    <t>{ name: "Ancient Altar Ruins", landmark: "Cave", type: "(Entrance 2 of 12)", region: 14, level: "Surface", x: -2535, y: -3626, z: -48, details: "" },</t>
  </si>
  <si>
    <t>{ name: "Ancient Altar Ruins", landmark: "Cave", type: "(Entrance 3 of 12)", region: 14, level: "Surface", x: -2480, y: -3632, z: -46, details: "" },</t>
  </si>
  <si>
    <t>{ name: "Ancient Altar Ruins", landmark: "Cave", type: "(Entrance 4 of 12)", region: 14, level: "Surface", x: -2604, y: -3709, z: -49, details: "" },</t>
  </si>
  <si>
    <t>{ name: "Ancient Altar Ruins", landmark: "Cave", type: "(Entrance 5 of 12)", region: 14, level: "Surface", x: -2564, y: -3681, z: -48, details: "" },</t>
  </si>
  <si>
    <t>{ name: "Ancient Altar Ruins", landmark: "Cave", type: "(Entrance 6 of 12)", region: 14, level: "Surface", x: -2518, y: -3671, z: -47, details: "" },</t>
  </si>
  <si>
    <t>{ name: "Ancient Altar Ruins", landmark: "Cave", type: "(Entrance 7 of 12)", region: 14, level: "Surface", x: -2451, y: -3676, z: -46, details: "" },</t>
  </si>
  <si>
    <t>{ name: "Ancient Altar Ruins", landmark: "Cave", type: "(Entrance 8 of 12)", region: 14, level: "Surface", x: -2570, y: -3744, z: -51, details: "" },</t>
  </si>
  <si>
    <t>{ name: "Ancient Altar Ruins", landmark: "Cave", type: "(Entrance 9 of 12)", region: 14, level: "Surface", x: -2521, y: -3724, z: -47, details: "" },</t>
  </si>
  <si>
    <t>{ name: "Ancient Altar Ruins", landmark: "Cave", type: "(Entrance 10 of 12)", region: 14, level: "Surface", x: -2477, y: -3709, z: -47, details: "" },</t>
  </si>
  <si>
    <t>{ name: "Ancient Altar Ruins", landmark: "Cave", type: "(Entrance 11 of 12)", region: 14, level: "Surface", x: -2530, y: -3769, z: -46, details: "" },</t>
  </si>
  <si>
    <t>{ name: "Ancient Altar Ruins", landmark: "Cave", type: "(Entrance 12 of 12)", region: 14, level: "Surface", x: -2480, y: -3758, z: -46, details: "" },</t>
  </si>
  <si>
    <t>{ name: "Gerudo Canyon Mine", landmark: "Cave", type: "(Entrance 1 of 2)", region: 14, level: "Surface", x: -2676, y: -2402, z: 79, details: "" },</t>
  </si>
  <si>
    <t>{ name: "Gerudo Canyon Mine", landmark: "Cave", type: "(Entrance 2 of 2)", region: 14, level: "Surface", x: -2611, y: -2604, z: 112, details: "" },</t>
  </si>
  <si>
    <t>{ name: "Gerudo Sanctuary", landmark: "Cave", type: "(Entrance 1 of 2)", region: 14, level: "Surface", x: -3763, y: -2420, z: 24, details: "" },</t>
  </si>
  <si>
    <t>{ name: "Gerudo Sanctuary", landmark: "Cave", type: "(Entrance 2 of 2)", region: 14, level: "Surface", x: -3763, y: -2698, z: 35, details: "" },</t>
  </si>
  <si>
    <t>{ name: "Koukot Plateau Cave", landmark: "Cave", type: "(Entrance 1 of 2)", region: 14, level: "Surface", x: -2258, y: -1759, z: 56, details: "" },</t>
  </si>
  <si>
    <t>{ name: "Koukot Plateau Cave", landmark: "Cave", type: "(Entrance 2 of 2)", region: 14, level: "Surface", x: -2173, y: -1841, z: 126, details: "" },</t>
  </si>
  <si>
    <t>{ name: "Mount Nabooru Cave", landmark: "Cave", type: "(Entrance 1 of 2)", region: 14, level: "Surface", x: -1967, y: -2059, z: 30, details: "" },</t>
  </si>
  <si>
    <t>{ name: "Mount Nabooru Cave", landmark: "Cave", type: "(Entrance 2 of 2)", region: 14, level: "Surface", x: -1795, y: -1961, z: 31, details: "" },</t>
  </si>
  <si>
    <t>Eldin Mine Forge</t>
  </si>
  <si>
    <t>Mining Cave Forge</t>
  </si>
  <si>
    <t>Construct</t>
  </si>
  <si>
    <t>Gerudo Mine Forge</t>
  </si>
  <si>
    <t>Hateno Mine Forge</t>
  </si>
  <si>
    <t>Hebra Mine Forge</t>
  </si>
  <si>
    <t>Kakariko Mine Forge</t>
  </si>
  <si>
    <t>Kara Kara Mine Forge</t>
  </si>
  <si>
    <t>Lanayru Mine Forge</t>
  </si>
  <si>
    <t>Lurelin Mine Forge</t>
  </si>
  <si>
    <t>Great Central Mine Forge</t>
  </si>
  <si>
    <t>Tarrey Mine Forge</t>
  </si>
  <si>
    <t>{ name: "Great Central Mine Forge", landmark: "Forge Construct", type: "Construct", region: 2, level: "Depths", x: -851, y: -1944, z: -522, details: "" },</t>
  </si>
  <si>
    <t>{ name: "Hebra Mine Forge", landmark: "Forge Construct", type: "Construct", region: 4, level: "Depths", x: -3463, y: 1915, z: -416, details: "" },</t>
  </si>
  <si>
    <t>{ name: "Eldin Mine Forge", landmark: "Forge Construct", type: "Construct", region: 7, level: "Depths", x: 1689, y: 2387, z: -824, details: "" },</t>
  </si>
  <si>
    <t>{ name: "Tarrey Mine Forge", landmark: "Forge Construct", type: "Construct", region: 8, level: "Depths", x: 3959, y: 1566, z: -576, details: "" },</t>
  </si>
  <si>
    <t>{ name: "Lanayru Mine Forge", landmark: "Forge Construct", type: "Construct", region: 9, level: "Depths", x: 3253, y: 559, z: -750, details: "" },</t>
  </si>
  <si>
    <t>{ name: "Kakariko Mine Forge", landmark: "Forge Construct", type: "Construct", region: 10, level: "Depths", x: 1777, y: -1183, z: -629, details: "" },</t>
  </si>
  <si>
    <t>{ name: "Hateno Mine Forge", landmark: "Forge Construct", type: "Construct", region: 11, level: "Depths", x: 3529, y: -2914, z: -587, details: "" },</t>
  </si>
  <si>
    <t>{ name: "Lurelin Mine Forge", landmark: "Forge Construct", type: "Construct", region: 12, level: "Depths", x: 2942, y: -3378, z: -452, details: "" },</t>
  </si>
  <si>
    <t>{ name: "Gerudo Mine Forge", landmark: "Forge Construct", type: "Construct", region: 14, level: "Depths", x: -3815, y: -2952, z: -487, details: "" },</t>
  </si>
  <si>
    <t>{ name: "Kara Kara Mine Forge", landmark: "Forge Construct", type: "Construct", region: 14, level: "Depths", x: -3196, y: -2508, z: -475, details: "" },</t>
  </si>
  <si>
    <t>Rauru Geoglyph</t>
  </si>
  <si>
    <t>Dragon Tear #1</t>
  </si>
  <si>
    <t>Dragon Tear #2</t>
  </si>
  <si>
    <t>Dragon Tear #3</t>
  </si>
  <si>
    <t>Dragon Tear #4</t>
  </si>
  <si>
    <t>Dragon Tear #5</t>
  </si>
  <si>
    <t>Dragon Tear #6</t>
  </si>
  <si>
    <t>Dragon Tear #7</t>
  </si>
  <si>
    <t>Dragon Tear #8</t>
  </si>
  <si>
    <t>Dragon Tear #9</t>
  </si>
  <si>
    <t>Dragon Tear #10</t>
  </si>
  <si>
    <t>Dragon Tear #11</t>
  </si>
  <si>
    <t>Dragon Tear #12</t>
  </si>
  <si>
    <t>Castle Geoglyph</t>
  </si>
  <si>
    <t>Purah Pad Geoglyph</t>
  </si>
  <si>
    <t>Molduga Geoglyph</t>
  </si>
  <si>
    <t>Demon King Geoglyph</t>
  </si>
  <si>
    <t>Shrine Geoglyph</t>
  </si>
  <si>
    <t>Master Sword Geoglyph</t>
  </si>
  <si>
    <t>Final Tear Geoglyph</t>
  </si>
  <si>
    <t>Sonia Geoglyph</t>
  </si>
  <si>
    <t>Ganondorf Geoglyph</t>
  </si>
  <si>
    <t>Scimitar Geoglyph</t>
  </si>
  <si>
    <t>Sacred Stone Geoglyph</t>
  </si>
  <si>
    <t>CHASM</t>
  </si>
  <si>
    <t>Also a &lt;span style="color: #de878b; font-weight: bold;"&gt;CHASM&lt;/span&gt;</t>
  </si>
  <si>
    <t>Bargainer and Goddess</t>
  </si>
  <si>
    <t>West Hebra Sky Tablet</t>
  </si>
  <si>
    <t>East Hebra Sky Tablet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</si>
</sst>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  <font>
      <sz val="12"/>
      <color theme="1"/>
      <name val="Aptos Narrow"/>
    </font>
    <font>
      <b/>
      <sz val="12"/>
      <color rgb="FFFF0000"/>
      <name val="Aptos Narrow"/>
    </font>
    <font>
      <sz val="12"/>
      <color rgb="FF000000"/>
      <name val="Aptos Narrow"/>
      <family val="2"/>
      <scheme val="minor"/>
    </font>
    <font>
      <sz val="11"/>
      <color theme="1"/>
      <name val="Calibri"/>
      <family val="2"/>
    </font>
    <font>
      <sz val="20"/>
      <color theme="1"/>
      <name val="Calibri"/>
      <family val="2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35">
    <xf numFmtId="0" fontId="0" fillId="0" borderId="0" xfId="0"/>
    <xf numFmtId="0" fontId="3" fillId="0" borderId="0" xfId="0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 applyAlignment="1">
      <alignment horizontal="center"/>
    </xf>
    <xf numFmtId="0" fontId="4" fillId="0" borderId="0" xfId="0" applyFont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6" fillId="0" borderId="0" xfId="2"/>
    <xf numFmtId="0" fontId="7" fillId="0" borderId="0" xfId="0" applyFont="1"/>
    <xf numFmtId="0" fontId="8" fillId="0" borderId="0" xfId="0" applyFont="1"/>
    <xf numFmtId="0" fontId="4" fillId="0" borderId="0" xfId="0" applyFont="1" applyAlignment="1">
      <alignment horizontal="left"/>
    </xf>
    <xf numFmtId="10" fontId="4" fillId="0" borderId="0" xfId="1" applyNumberFormat="1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0" fillId="0" borderId="0" xfId="0" applyFill="1"/>
    <xf numFmtId="0" fontId="0" fillId="3" borderId="0" xfId="0" applyFill="1"/>
    <xf numFmtId="10" fontId="0" fillId="0" borderId="0" xfId="1" applyNumberFormat="1" applyFont="1"/>
    <xf numFmtId="0" fontId="0" fillId="3" borderId="0" xfId="0" applyFill="1" applyAlignment="1">
      <alignment horizontal="center"/>
    </xf>
    <xf numFmtId="0" fontId="4" fillId="0" borderId="0" xfId="0" applyFont="1" applyFill="1" applyAlignment="1">
      <alignment horizontal="center"/>
    </xf>
    <xf numFmtId="0" fontId="0" fillId="0" borderId="0" xfId="0" applyFill="1" applyAlignment="1">
      <alignment horizontal="center"/>
    </xf>
    <xf numFmtId="10" fontId="0" fillId="0" borderId="0" xfId="0" applyNumberFormat="1" applyFill="1" applyAlignment="1">
      <alignment horizontal="center"/>
    </xf>
    <xf numFmtId="0" fontId="12" fillId="0" borderId="0" xfId="0" applyFont="1"/>
    <xf numFmtId="0" fontId="13" fillId="0" borderId="0" xfId="0" applyFont="1"/>
    <xf numFmtId="10" fontId="12" fillId="0" borderId="0" xfId="0" applyNumberFormat="1" applyFont="1"/>
    <xf numFmtId="0" fontId="12" fillId="0" borderId="0" xfId="0" applyFont="1" applyAlignment="1">
      <alignment textRotation="90"/>
    </xf>
    <xf numFmtId="0" fontId="0" fillId="0" borderId="0" xfId="0" applyAlignment="1">
      <alignment textRotation="90"/>
    </xf>
    <xf numFmtId="0" fontId="12" fillId="2" borderId="0" xfId="0" applyFont="1" applyFill="1"/>
    <xf numFmtId="0" fontId="12" fillId="3" borderId="0" xfId="0" applyFont="1" applyFill="1"/>
  </cellXfs>
  <cellStyles count="3">
    <cellStyle name="Hyperlink" xfId="2" builtinId="8"/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FBDCB5-C3D8-824B-9479-5BE47318D9F1}">
  <sheetPr codeName="Sheet1"/>
  <dimension ref="A1:I21"/>
  <sheetViews>
    <sheetView workbookViewId="0">
      <selection activeCell="B7" sqref="B7"/>
    </sheetView>
  </sheetViews>
  <sheetFormatPr baseColWidth="10" defaultRowHeight="16" x14ac:dyDescent="0.2"/>
  <cols>
    <col min="1" max="1" width="30.5" bestFit="1" customWidth="1"/>
    <col min="2" max="2" width="10.83203125" style="2"/>
    <col min="3" max="4" width="10.83203125" style="26"/>
    <col min="5" max="5" width="10.83203125" style="2"/>
    <col min="6" max="6" width="10.83203125" style="14"/>
  </cols>
  <sheetData>
    <row r="1" spans="1:7" x14ac:dyDescent="0.2">
      <c r="A1" s="6" t="s">
        <v>850</v>
      </c>
      <c r="B1" s="4" t="s">
        <v>2098</v>
      </c>
      <c r="C1" s="25"/>
      <c r="D1" s="25"/>
      <c r="E1" s="4" t="s">
        <v>3047</v>
      </c>
      <c r="F1" s="13" t="s">
        <v>2094</v>
      </c>
    </row>
    <row r="2" spans="1:7" x14ac:dyDescent="0.2">
      <c r="A2" t="s">
        <v>2093</v>
      </c>
      <c r="B2" s="2">
        <v>900</v>
      </c>
      <c r="C2" s="14">
        <f>B2*0.0004</f>
        <v>0.36000000000000004</v>
      </c>
      <c r="E2" s="2">
        <v>900</v>
      </c>
      <c r="F2" s="14">
        <f>E2*0.0004</f>
        <v>0.36000000000000004</v>
      </c>
    </row>
    <row r="3" spans="1:7" x14ac:dyDescent="0.2">
      <c r="A3" t="s">
        <v>2095</v>
      </c>
      <c r="B3" s="2">
        <f>COUNTA('Named Locations'!A:A)</f>
        <v>945</v>
      </c>
      <c r="C3" s="14">
        <f t="shared" ref="C3:C16" si="0">B3*0.0004</f>
        <v>0.378</v>
      </c>
      <c r="E3" s="2">
        <v>700</v>
      </c>
      <c r="F3" s="14">
        <f t="shared" ref="F3:F16" si="1">E3*0.0004</f>
        <v>0.28000000000000003</v>
      </c>
      <c r="G3" t="s">
        <v>3048</v>
      </c>
    </row>
    <row r="4" spans="1:7" x14ac:dyDescent="0.2">
      <c r="A4" t="s">
        <v>848</v>
      </c>
      <c r="B4" s="24">
        <v>197</v>
      </c>
      <c r="C4" s="14">
        <f t="shared" si="0"/>
        <v>7.8800000000000009E-2</v>
      </c>
      <c r="E4" s="24">
        <v>194</v>
      </c>
      <c r="F4" s="14">
        <f t="shared" si="1"/>
        <v>7.7600000000000002E-2</v>
      </c>
    </row>
    <row r="5" spans="1:7" x14ac:dyDescent="0.2">
      <c r="A5" t="s">
        <v>2096</v>
      </c>
      <c r="B5" s="15">
        <v>152</v>
      </c>
      <c r="C5" s="14">
        <f t="shared" si="0"/>
        <v>6.08E-2</v>
      </c>
      <c r="E5" s="15">
        <v>152</v>
      </c>
      <c r="F5" s="14">
        <f t="shared" si="1"/>
        <v>6.08E-2</v>
      </c>
    </row>
    <row r="6" spans="1:7" x14ac:dyDescent="0.2">
      <c r="A6" t="s">
        <v>2097</v>
      </c>
      <c r="B6" s="15">
        <v>120</v>
      </c>
      <c r="C6" s="14">
        <f t="shared" si="0"/>
        <v>4.8000000000000001E-2</v>
      </c>
      <c r="E6" s="15">
        <v>120</v>
      </c>
      <c r="F6" s="14">
        <f t="shared" si="1"/>
        <v>4.8000000000000001E-2</v>
      </c>
    </row>
    <row r="7" spans="1:7" x14ac:dyDescent="0.2">
      <c r="A7" t="s">
        <v>2099</v>
      </c>
      <c r="B7" s="15">
        <v>58</v>
      </c>
      <c r="C7" s="14">
        <f t="shared" si="0"/>
        <v>2.3200000000000002E-2</v>
      </c>
      <c r="E7" s="15">
        <v>58</v>
      </c>
      <c r="F7" s="14">
        <f t="shared" si="1"/>
        <v>2.3200000000000002E-2</v>
      </c>
    </row>
    <row r="8" spans="1:7" x14ac:dyDescent="0.2">
      <c r="A8" t="s">
        <v>2100</v>
      </c>
      <c r="B8" s="24">
        <v>36</v>
      </c>
      <c r="C8" s="14">
        <f t="shared" si="0"/>
        <v>1.4400000000000001E-2</v>
      </c>
      <c r="E8" s="24">
        <v>35</v>
      </c>
      <c r="F8" s="14">
        <f t="shared" si="1"/>
        <v>1.4E-2</v>
      </c>
    </row>
    <row r="9" spans="1:7" x14ac:dyDescent="0.2">
      <c r="A9" t="s">
        <v>2101</v>
      </c>
      <c r="B9" s="2">
        <v>27</v>
      </c>
      <c r="C9" s="14">
        <f t="shared" si="0"/>
        <v>1.0800000000000001E-2</v>
      </c>
      <c r="E9" s="2">
        <v>35</v>
      </c>
      <c r="F9" s="14">
        <f t="shared" si="1"/>
        <v>1.4E-2</v>
      </c>
    </row>
    <row r="10" spans="1:7" x14ac:dyDescent="0.2">
      <c r="A10" t="s">
        <v>3049</v>
      </c>
      <c r="C10" s="14">
        <f t="shared" si="0"/>
        <v>0</v>
      </c>
      <c r="E10" s="2">
        <v>43</v>
      </c>
      <c r="F10" s="14">
        <f t="shared" si="1"/>
        <v>1.72E-2</v>
      </c>
      <c r="G10" t="s">
        <v>3050</v>
      </c>
    </row>
    <row r="11" spans="1:7" x14ac:dyDescent="0.2">
      <c r="A11" t="s">
        <v>2102</v>
      </c>
      <c r="B11" s="15">
        <v>30</v>
      </c>
      <c r="C11" s="14">
        <f t="shared" si="0"/>
        <v>1.2E-2</v>
      </c>
      <c r="E11" s="15">
        <v>30</v>
      </c>
      <c r="F11" s="14">
        <f t="shared" si="1"/>
        <v>1.2E-2</v>
      </c>
    </row>
    <row r="12" spans="1:7" x14ac:dyDescent="0.2">
      <c r="A12" t="s">
        <v>2103</v>
      </c>
      <c r="B12" s="15">
        <v>15</v>
      </c>
      <c r="C12" s="14">
        <f t="shared" si="0"/>
        <v>6.0000000000000001E-3</v>
      </c>
      <c r="E12" s="15">
        <v>15</v>
      </c>
      <c r="F12" s="14">
        <f t="shared" si="1"/>
        <v>6.0000000000000001E-3</v>
      </c>
    </row>
    <row r="13" spans="1:7" x14ac:dyDescent="0.2">
      <c r="A13" t="s">
        <v>2104</v>
      </c>
      <c r="B13" s="24">
        <v>11</v>
      </c>
      <c r="C13" s="14">
        <f t="shared" si="0"/>
        <v>4.4000000000000003E-3</v>
      </c>
      <c r="E13" s="24">
        <v>14</v>
      </c>
      <c r="F13" s="14">
        <f t="shared" si="1"/>
        <v>5.5999999999999999E-3</v>
      </c>
    </row>
    <row r="14" spans="1:7" x14ac:dyDescent="0.2">
      <c r="A14" t="s">
        <v>2105</v>
      </c>
      <c r="B14" s="15">
        <v>12</v>
      </c>
      <c r="C14" s="14">
        <f t="shared" si="0"/>
        <v>4.8000000000000004E-3</v>
      </c>
      <c r="E14" s="15">
        <v>12</v>
      </c>
      <c r="F14" s="14">
        <f t="shared" si="1"/>
        <v>4.8000000000000004E-3</v>
      </c>
    </row>
    <row r="15" spans="1:7" x14ac:dyDescent="0.2">
      <c r="A15" t="s">
        <v>2106</v>
      </c>
      <c r="C15" s="14">
        <f t="shared" si="0"/>
        <v>0</v>
      </c>
      <c r="E15" s="2">
        <v>12</v>
      </c>
      <c r="F15" s="14">
        <f t="shared" si="1"/>
        <v>4.8000000000000004E-3</v>
      </c>
    </row>
    <row r="16" spans="1:7" x14ac:dyDescent="0.2">
      <c r="A16" t="s">
        <v>2107</v>
      </c>
      <c r="C16" s="14">
        <f t="shared" si="0"/>
        <v>0</v>
      </c>
      <c r="E16" s="2">
        <v>5</v>
      </c>
      <c r="F16" s="14">
        <f t="shared" si="1"/>
        <v>2E-3</v>
      </c>
    </row>
    <row r="17" spans="2:9" x14ac:dyDescent="0.2">
      <c r="B17" s="2">
        <f>SUM(B2:B16)</f>
        <v>2503</v>
      </c>
      <c r="C17" s="27">
        <f>SUM(C2:C16)</f>
        <v>1.0011999999999999</v>
      </c>
      <c r="E17" s="2">
        <f>SUM(E2:E16)</f>
        <v>2325</v>
      </c>
      <c r="F17" s="14">
        <f>SUM(F2:F16)</f>
        <v>0.93000000000000027</v>
      </c>
    </row>
    <row r="21" spans="2:9" x14ac:dyDescent="0.2">
      <c r="I21" t="s">
        <v>3068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966E-68E9-AC47-ABDE-A41FF98303E5}">
  <sheetPr codeName="Sheet4"/>
  <dimension ref="A1:BL23"/>
  <sheetViews>
    <sheetView workbookViewId="0">
      <selection activeCell="G8" sqref="G8:BL8"/>
    </sheetView>
  </sheetViews>
  <sheetFormatPr baseColWidth="10" defaultRowHeight="16" x14ac:dyDescent="0.2"/>
  <cols>
    <col min="2" max="2" width="15.1640625" bestFit="1" customWidth="1"/>
    <col min="3" max="3" width="10.83203125" style="23"/>
    <col min="7" max="20" width="3.5" bestFit="1" customWidth="1"/>
    <col min="22" max="42" width="3.5" bestFit="1" customWidth="1"/>
    <col min="44" max="64" width="3.5" bestFit="1" customWidth="1"/>
  </cols>
  <sheetData>
    <row r="1" spans="1:64" s="32" customFormat="1" ht="137" x14ac:dyDescent="0.2">
      <c r="A1" s="31"/>
      <c r="B1" s="31"/>
      <c r="C1" s="31"/>
      <c r="D1" s="31"/>
      <c r="E1" s="31"/>
      <c r="F1" s="31"/>
      <c r="G1" s="31" t="s">
        <v>3051</v>
      </c>
      <c r="H1" s="31" t="s">
        <v>2992</v>
      </c>
      <c r="I1" s="31" t="s">
        <v>1173</v>
      </c>
      <c r="J1" s="31" t="s">
        <v>2711</v>
      </c>
      <c r="K1" s="31" t="s">
        <v>3045</v>
      </c>
      <c r="L1" s="31" t="s">
        <v>3044</v>
      </c>
      <c r="M1" s="31" t="s">
        <v>2994</v>
      </c>
      <c r="N1" s="31" t="s">
        <v>3046</v>
      </c>
      <c r="O1" s="31" t="s">
        <v>997</v>
      </c>
      <c r="P1" s="31" t="s">
        <v>2993</v>
      </c>
      <c r="Q1" s="31" t="s">
        <v>3011</v>
      </c>
      <c r="R1" s="31" t="s">
        <v>3043</v>
      </c>
      <c r="S1" s="31" t="s">
        <v>3022</v>
      </c>
      <c r="T1" s="31" t="s">
        <v>2577</v>
      </c>
      <c r="U1" s="31"/>
      <c r="V1" s="31" t="s">
        <v>782</v>
      </c>
      <c r="W1" s="31" t="s">
        <v>784</v>
      </c>
      <c r="X1" s="31" t="s">
        <v>793</v>
      </c>
      <c r="Y1" s="31" t="s">
        <v>786</v>
      </c>
      <c r="Z1" s="31" t="s">
        <v>805</v>
      </c>
      <c r="AA1" s="31" t="s">
        <v>791</v>
      </c>
      <c r="AB1" s="31" t="s">
        <v>792</v>
      </c>
      <c r="AC1" s="31" t="s">
        <v>794</v>
      </c>
      <c r="AD1" s="31" t="s">
        <v>798</v>
      </c>
      <c r="AE1" s="31" t="s">
        <v>797</v>
      </c>
      <c r="AF1" s="31" t="s">
        <v>789</v>
      </c>
      <c r="AG1" s="31" t="s">
        <v>800</v>
      </c>
      <c r="AH1" s="31" t="s">
        <v>790</v>
      </c>
      <c r="AI1" s="31" t="s">
        <v>787</v>
      </c>
      <c r="AJ1" s="31" t="s">
        <v>796</v>
      </c>
      <c r="AK1" s="31" t="s">
        <v>801</v>
      </c>
      <c r="AL1" s="31" t="s">
        <v>803</v>
      </c>
      <c r="AM1" s="31" t="s">
        <v>804</v>
      </c>
      <c r="AN1" s="31" t="s">
        <v>807</v>
      </c>
      <c r="AO1" s="31" t="s">
        <v>799</v>
      </c>
      <c r="AP1" s="31" t="s">
        <v>806</v>
      </c>
      <c r="AQ1" s="31"/>
      <c r="AR1" s="31" t="s">
        <v>2955</v>
      </c>
      <c r="AS1" s="31" t="s">
        <v>2990</v>
      </c>
      <c r="AT1" s="31" t="s">
        <v>2943</v>
      </c>
      <c r="AU1" s="31" t="s">
        <v>1001</v>
      </c>
      <c r="AV1" s="31" t="s">
        <v>2998</v>
      </c>
      <c r="AW1" s="31" t="s">
        <v>2952</v>
      </c>
      <c r="AX1" s="31" t="s">
        <v>2951</v>
      </c>
      <c r="AY1" s="31" t="s">
        <v>2996</v>
      </c>
      <c r="AZ1" s="31" t="s">
        <v>2958</v>
      </c>
      <c r="BA1" s="31" t="s">
        <v>2944</v>
      </c>
      <c r="BB1" s="31" t="s">
        <v>2957</v>
      </c>
      <c r="BC1" s="31" t="s">
        <v>2946</v>
      </c>
      <c r="BD1" s="31" t="s">
        <v>2956</v>
      </c>
      <c r="BE1" s="31" t="s">
        <v>2960</v>
      </c>
      <c r="BF1" s="31" t="s">
        <v>2995</v>
      </c>
      <c r="BG1" s="31" t="s">
        <v>2954</v>
      </c>
      <c r="BH1" s="31" t="s">
        <v>2997</v>
      </c>
      <c r="BI1" s="31" t="s">
        <v>2961</v>
      </c>
      <c r="BJ1" s="31" t="s">
        <v>2947</v>
      </c>
      <c r="BK1" s="31" t="s">
        <v>2953</v>
      </c>
      <c r="BL1" s="31" t="s">
        <v>2948</v>
      </c>
    </row>
    <row r="2" spans="1:64" ht="26" x14ac:dyDescent="0.3">
      <c r="A2" s="28"/>
      <c r="B2" s="29" t="s">
        <v>3052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</row>
    <row r="3" spans="1:64" x14ac:dyDescent="0.2">
      <c r="A3" s="28" t="s">
        <v>3053</v>
      </c>
      <c r="B3" s="28" t="s">
        <v>3054</v>
      </c>
      <c r="C3" s="28">
        <v>0</v>
      </c>
      <c r="D3" s="28">
        <v>1000</v>
      </c>
      <c r="E3" s="30">
        <f t="shared" ref="E3:E18" si="0">C3*0.0004</f>
        <v>0</v>
      </c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</row>
    <row r="4" spans="1:64" x14ac:dyDescent="0.2">
      <c r="A4" s="28"/>
      <c r="B4" s="28" t="s">
        <v>3055</v>
      </c>
      <c r="C4" s="28">
        <v>0</v>
      </c>
      <c r="D4" s="28">
        <v>7</v>
      </c>
      <c r="E4" s="30">
        <f t="shared" si="0"/>
        <v>0</v>
      </c>
      <c r="F4" s="28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>
        <v>1</v>
      </c>
      <c r="AI4" s="28"/>
      <c r="AJ4" s="28"/>
      <c r="AK4" s="28"/>
      <c r="AL4" s="28"/>
      <c r="AM4" s="28"/>
      <c r="AN4" s="28"/>
      <c r="AO4" s="28"/>
      <c r="AP4" s="28"/>
      <c r="AQ4" s="28"/>
      <c r="AR4" s="28">
        <v>1</v>
      </c>
      <c r="AS4" s="28"/>
      <c r="AT4" s="28">
        <v>2</v>
      </c>
      <c r="AU4" s="28"/>
      <c r="AV4" s="28"/>
      <c r="AW4" s="28"/>
      <c r="AX4" s="28"/>
      <c r="AY4" s="28"/>
      <c r="AZ4" s="28">
        <v>1</v>
      </c>
      <c r="BA4" s="28"/>
      <c r="BB4" s="28"/>
      <c r="BC4" s="28"/>
      <c r="BD4" s="28"/>
      <c r="BE4" s="28"/>
      <c r="BF4" s="28"/>
      <c r="BG4" s="28"/>
      <c r="BH4" s="28"/>
      <c r="BI4" s="28">
        <v>1</v>
      </c>
      <c r="BJ4" s="28"/>
      <c r="BK4" s="28">
        <v>1</v>
      </c>
      <c r="BL4" s="28"/>
    </row>
    <row r="5" spans="1:64" x14ac:dyDescent="0.2">
      <c r="A5" s="28"/>
      <c r="B5" s="28" t="s">
        <v>3056</v>
      </c>
      <c r="C5" s="28">
        <v>0</v>
      </c>
      <c r="D5" s="28">
        <v>62</v>
      </c>
      <c r="E5" s="30">
        <f t="shared" si="0"/>
        <v>0</v>
      </c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>
        <v>7</v>
      </c>
      <c r="W5" s="28"/>
      <c r="X5" s="28"/>
      <c r="Y5" s="28"/>
      <c r="Z5" s="28">
        <v>12</v>
      </c>
      <c r="AA5" s="28">
        <v>6</v>
      </c>
      <c r="AB5" s="28"/>
      <c r="AC5" s="28"/>
      <c r="AD5" s="28">
        <v>17</v>
      </c>
      <c r="AE5" s="28">
        <v>1</v>
      </c>
      <c r="AF5" s="28">
        <v>2</v>
      </c>
      <c r="AG5" s="28">
        <v>1</v>
      </c>
      <c r="AH5" s="28">
        <v>3</v>
      </c>
      <c r="AI5" s="28"/>
      <c r="AJ5" s="28"/>
      <c r="AK5" s="28">
        <v>2</v>
      </c>
      <c r="AL5" s="28"/>
      <c r="AM5" s="28"/>
      <c r="AN5" s="28"/>
      <c r="AO5" s="28">
        <v>6</v>
      </c>
      <c r="AP5" s="28">
        <v>5</v>
      </c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</row>
    <row r="6" spans="1:64" x14ac:dyDescent="0.2">
      <c r="A6" s="28"/>
      <c r="B6" s="33" t="s">
        <v>848</v>
      </c>
      <c r="C6" s="33">
        <v>197</v>
      </c>
      <c r="D6" s="33">
        <v>197</v>
      </c>
      <c r="E6" s="30">
        <f t="shared" si="0"/>
        <v>7.8800000000000009E-2</v>
      </c>
      <c r="F6" s="28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8"/>
      <c r="BD6" s="28"/>
      <c r="BE6" s="28"/>
      <c r="BF6" s="28"/>
      <c r="BG6" s="28"/>
      <c r="BH6" s="28"/>
      <c r="BI6" s="28"/>
      <c r="BJ6" s="28"/>
      <c r="BK6" s="28"/>
      <c r="BL6" s="28"/>
    </row>
    <row r="7" spans="1:64" x14ac:dyDescent="0.2">
      <c r="A7" s="28"/>
      <c r="B7" s="33" t="s">
        <v>2100</v>
      </c>
      <c r="C7" s="33">
        <v>36</v>
      </c>
      <c r="D7" s="33">
        <v>36</v>
      </c>
      <c r="E7" s="30">
        <f t="shared" si="0"/>
        <v>1.4400000000000001E-2</v>
      </c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>
        <v>2</v>
      </c>
      <c r="W7" s="28">
        <v>2</v>
      </c>
      <c r="X7" s="28">
        <v>1</v>
      </c>
      <c r="Y7" s="28">
        <v>1</v>
      </c>
      <c r="Z7" s="28">
        <v>1</v>
      </c>
      <c r="AA7" s="28"/>
      <c r="AB7" s="28"/>
      <c r="AC7" s="28"/>
      <c r="AD7" s="28"/>
      <c r="AE7" s="28">
        <v>5</v>
      </c>
      <c r="AF7" s="28">
        <v>4</v>
      </c>
      <c r="AG7" s="28">
        <v>1</v>
      </c>
      <c r="AH7" s="28">
        <v>9</v>
      </c>
      <c r="AI7" s="28">
        <v>1</v>
      </c>
      <c r="AJ7" s="28">
        <v>1</v>
      </c>
      <c r="AK7" s="28">
        <v>1</v>
      </c>
      <c r="AL7" s="28">
        <v>1</v>
      </c>
      <c r="AM7" s="28">
        <v>1</v>
      </c>
      <c r="AN7" s="28">
        <v>1</v>
      </c>
      <c r="AO7" s="28">
        <v>1</v>
      </c>
      <c r="AP7" s="28">
        <v>3</v>
      </c>
      <c r="AQ7" s="28"/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8"/>
      <c r="BD7" s="28"/>
      <c r="BE7" s="28"/>
      <c r="BF7" s="28"/>
      <c r="BG7" s="28"/>
      <c r="BH7" s="28"/>
      <c r="BI7" s="28"/>
      <c r="BJ7" s="28"/>
      <c r="BK7" s="28"/>
      <c r="BL7" s="28"/>
    </row>
    <row r="8" spans="1:64" x14ac:dyDescent="0.2">
      <c r="A8" s="28"/>
      <c r="B8" s="28" t="s">
        <v>3057</v>
      </c>
      <c r="C8" s="28">
        <v>0</v>
      </c>
      <c r="D8" s="28">
        <v>14</v>
      </c>
      <c r="E8" s="30">
        <f t="shared" si="0"/>
        <v>0</v>
      </c>
      <c r="F8" s="28"/>
      <c r="G8" s="28"/>
      <c r="H8" s="28"/>
      <c r="I8" s="28"/>
      <c r="J8" s="28"/>
      <c r="K8" s="28"/>
      <c r="L8" s="28"/>
      <c r="M8" s="28"/>
      <c r="N8" s="28"/>
      <c r="O8" s="28">
        <v>2</v>
      </c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>
        <v>1</v>
      </c>
      <c r="AS8" s="28"/>
      <c r="AT8" s="28">
        <v>1</v>
      </c>
      <c r="AU8" s="28"/>
      <c r="AV8" s="28"/>
      <c r="AW8" s="28">
        <v>2</v>
      </c>
      <c r="AX8" s="28">
        <v>1</v>
      </c>
      <c r="AY8" s="28"/>
      <c r="AZ8" s="28">
        <v>1</v>
      </c>
      <c r="BA8" s="28">
        <v>2</v>
      </c>
      <c r="BB8" s="28"/>
      <c r="BC8" s="28"/>
      <c r="BD8" s="28"/>
      <c r="BE8" s="28"/>
      <c r="BF8" s="28"/>
      <c r="BG8" s="28">
        <v>1</v>
      </c>
      <c r="BH8" s="28"/>
      <c r="BI8" s="28"/>
      <c r="BJ8" s="28"/>
      <c r="BK8" s="28">
        <v>1</v>
      </c>
      <c r="BL8" s="28">
        <v>1</v>
      </c>
    </row>
    <row r="9" spans="1:64" x14ac:dyDescent="0.2">
      <c r="A9" s="28"/>
      <c r="B9" s="33" t="s">
        <v>3058</v>
      </c>
      <c r="C9" s="33">
        <v>30</v>
      </c>
      <c r="D9" s="33">
        <v>30</v>
      </c>
      <c r="E9" s="30">
        <f t="shared" si="0"/>
        <v>1.2E-2</v>
      </c>
      <c r="F9" s="28"/>
      <c r="G9" s="33">
        <v>1</v>
      </c>
      <c r="H9" s="33">
        <v>1</v>
      </c>
      <c r="I9" s="33">
        <v>1</v>
      </c>
      <c r="J9" s="33">
        <v>2</v>
      </c>
      <c r="K9" s="33">
        <v>1</v>
      </c>
      <c r="L9" s="33">
        <v>2</v>
      </c>
      <c r="M9" s="33">
        <v>2</v>
      </c>
      <c r="N9" s="33">
        <v>2</v>
      </c>
      <c r="O9" s="33">
        <v>2</v>
      </c>
      <c r="P9" s="33">
        <v>2</v>
      </c>
      <c r="Q9" s="33">
        <v>1</v>
      </c>
      <c r="R9" s="33">
        <v>4</v>
      </c>
      <c r="S9" s="33">
        <v>2</v>
      </c>
      <c r="T9" s="33">
        <v>2</v>
      </c>
      <c r="U9" s="28"/>
      <c r="V9" s="33">
        <v>1</v>
      </c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>
        <v>1</v>
      </c>
      <c r="AI9" s="33"/>
      <c r="AJ9" s="33"/>
      <c r="AK9" s="33"/>
      <c r="AL9" s="33"/>
      <c r="AM9" s="33"/>
      <c r="AN9" s="33"/>
      <c r="AO9" s="33"/>
      <c r="AP9" s="33">
        <v>1</v>
      </c>
      <c r="AQ9" s="28"/>
      <c r="AR9" s="33"/>
      <c r="AS9" s="33"/>
      <c r="AT9" s="33"/>
      <c r="AU9" s="33">
        <v>1</v>
      </c>
      <c r="AV9" s="33"/>
      <c r="AW9" s="33"/>
      <c r="AX9" s="33"/>
      <c r="AY9" s="33"/>
      <c r="AZ9" s="33">
        <v>1</v>
      </c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</row>
    <row r="10" spans="1:64" x14ac:dyDescent="0.2">
      <c r="A10" s="28"/>
      <c r="B10" s="28" t="s">
        <v>3059</v>
      </c>
      <c r="C10" s="28">
        <v>0</v>
      </c>
      <c r="D10" s="28">
        <v>5</v>
      </c>
      <c r="E10" s="30">
        <f t="shared" si="0"/>
        <v>0</v>
      </c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>
        <v>1</v>
      </c>
      <c r="Z10" s="28"/>
      <c r="AA10" s="28">
        <v>1</v>
      </c>
      <c r="AB10" s="28"/>
      <c r="AC10" s="28"/>
      <c r="AD10" s="28"/>
      <c r="AE10" s="28"/>
      <c r="AF10" s="28"/>
      <c r="AG10" s="28">
        <v>1</v>
      </c>
      <c r="AH10" s="28">
        <v>1</v>
      </c>
      <c r="AI10" s="28"/>
      <c r="AJ10" s="28"/>
      <c r="AK10" s="28"/>
      <c r="AL10" s="28"/>
      <c r="AM10" s="28"/>
      <c r="AN10" s="28"/>
      <c r="AO10" s="28"/>
      <c r="AP10" s="28">
        <v>1</v>
      </c>
      <c r="AQ10" s="28"/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  <c r="BC10" s="28"/>
      <c r="BD10" s="28"/>
      <c r="BE10" s="28"/>
      <c r="BF10" s="28"/>
      <c r="BG10" s="28"/>
      <c r="BH10" s="28"/>
      <c r="BI10" s="28"/>
      <c r="BJ10" s="28"/>
      <c r="BK10" s="28"/>
      <c r="BL10" s="28"/>
    </row>
    <row r="11" spans="1:64" x14ac:dyDescent="0.2">
      <c r="A11" s="28"/>
      <c r="B11" s="28" t="s">
        <v>3060</v>
      </c>
      <c r="C11" s="28">
        <v>0</v>
      </c>
      <c r="D11" s="28">
        <v>258</v>
      </c>
      <c r="E11" s="30">
        <f t="shared" si="0"/>
        <v>0</v>
      </c>
      <c r="F11" s="28"/>
      <c r="G11" s="28">
        <v>3</v>
      </c>
      <c r="H11" s="28">
        <v>1</v>
      </c>
      <c r="I11" s="28">
        <v>1</v>
      </c>
      <c r="J11" s="28">
        <v>2</v>
      </c>
      <c r="K11" s="28">
        <v>2</v>
      </c>
      <c r="L11" s="28">
        <v>2</v>
      </c>
      <c r="M11" s="28">
        <v>2</v>
      </c>
      <c r="N11" s="28">
        <v>3</v>
      </c>
      <c r="O11" s="28">
        <v>1</v>
      </c>
      <c r="P11" s="28">
        <v>5</v>
      </c>
      <c r="Q11" s="28">
        <v>1</v>
      </c>
      <c r="R11" s="28">
        <v>4</v>
      </c>
      <c r="S11" s="28">
        <v>5</v>
      </c>
      <c r="T11" s="28">
        <v>4</v>
      </c>
      <c r="U11" s="28"/>
      <c r="V11" s="28">
        <v>7</v>
      </c>
      <c r="W11" s="28">
        <v>1</v>
      </c>
      <c r="X11" s="28"/>
      <c r="Y11" s="28">
        <v>0</v>
      </c>
      <c r="Z11" s="28">
        <v>4</v>
      </c>
      <c r="AA11" s="28">
        <v>6</v>
      </c>
      <c r="AB11" s="28">
        <v>1</v>
      </c>
      <c r="AC11" s="28">
        <v>5</v>
      </c>
      <c r="AD11" s="28">
        <v>8</v>
      </c>
      <c r="AE11" s="28">
        <v>3</v>
      </c>
      <c r="AF11" s="28">
        <v>2</v>
      </c>
      <c r="AG11" s="28">
        <v>6</v>
      </c>
      <c r="AH11" s="28">
        <v>51</v>
      </c>
      <c r="AI11" s="28">
        <v>5</v>
      </c>
      <c r="AJ11" s="28">
        <v>1</v>
      </c>
      <c r="AK11" s="28">
        <v>6</v>
      </c>
      <c r="AL11" s="28">
        <v>2</v>
      </c>
      <c r="AM11" s="28"/>
      <c r="AN11" s="28">
        <v>1</v>
      </c>
      <c r="AO11" s="28">
        <v>6</v>
      </c>
      <c r="AP11" s="28">
        <v>12</v>
      </c>
      <c r="AQ11" s="28"/>
      <c r="AR11" s="28">
        <v>5</v>
      </c>
      <c r="AS11" s="28"/>
      <c r="AT11" s="28">
        <v>11</v>
      </c>
      <c r="AU11" s="28"/>
      <c r="AV11" s="28">
        <v>2</v>
      </c>
      <c r="AW11" s="28">
        <v>14</v>
      </c>
      <c r="AX11" s="28">
        <v>2</v>
      </c>
      <c r="AY11" s="28">
        <v>1</v>
      </c>
      <c r="AZ11" s="28">
        <v>7</v>
      </c>
      <c r="BA11" s="28">
        <v>5</v>
      </c>
      <c r="BB11" s="28">
        <v>6</v>
      </c>
      <c r="BC11" s="28">
        <v>4</v>
      </c>
      <c r="BD11" s="28">
        <v>7</v>
      </c>
      <c r="BE11" s="28">
        <v>4</v>
      </c>
      <c r="BF11" s="28"/>
      <c r="BG11" s="28">
        <v>4</v>
      </c>
      <c r="BH11" s="28"/>
      <c r="BI11" s="28">
        <v>4</v>
      </c>
      <c r="BJ11" s="28">
        <v>1</v>
      </c>
      <c r="BK11" s="28">
        <v>2</v>
      </c>
      <c r="BL11" s="28">
        <v>9</v>
      </c>
    </row>
    <row r="12" spans="1:64" x14ac:dyDescent="0.2">
      <c r="A12" s="28"/>
      <c r="B12" s="33" t="s">
        <v>2097</v>
      </c>
      <c r="C12" s="33">
        <v>120</v>
      </c>
      <c r="D12" s="33">
        <v>120</v>
      </c>
      <c r="E12" s="30">
        <f t="shared" si="0"/>
        <v>4.8000000000000001E-2</v>
      </c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>
        <v>5</v>
      </c>
      <c r="AS12" s="28">
        <v>3</v>
      </c>
      <c r="AT12" s="28">
        <v>19</v>
      </c>
      <c r="AU12" s="28">
        <v>1</v>
      </c>
      <c r="AV12" s="28">
        <v>2</v>
      </c>
      <c r="AW12" s="28">
        <v>7</v>
      </c>
      <c r="AX12" s="28">
        <v>10</v>
      </c>
      <c r="AY12" s="28">
        <v>3</v>
      </c>
      <c r="AZ12" s="28">
        <v>3</v>
      </c>
      <c r="BA12" s="28">
        <v>8</v>
      </c>
      <c r="BB12" s="28">
        <v>8</v>
      </c>
      <c r="BC12" s="28">
        <v>7</v>
      </c>
      <c r="BD12" s="28">
        <v>10</v>
      </c>
      <c r="BE12" s="28">
        <v>5</v>
      </c>
      <c r="BF12" s="28">
        <v>1</v>
      </c>
      <c r="BG12" s="28">
        <v>7</v>
      </c>
      <c r="BH12" s="28">
        <v>4</v>
      </c>
      <c r="BI12" s="28">
        <v>2</v>
      </c>
      <c r="BJ12" s="28">
        <v>1</v>
      </c>
      <c r="BK12" s="28">
        <v>8</v>
      </c>
      <c r="BL12" s="28">
        <v>6</v>
      </c>
    </row>
    <row r="13" spans="1:64" x14ac:dyDescent="0.2">
      <c r="A13" s="28"/>
      <c r="B13" s="34" t="s">
        <v>3061</v>
      </c>
      <c r="C13" s="34">
        <v>17</v>
      </c>
      <c r="D13" s="34">
        <v>16</v>
      </c>
      <c r="E13" s="30">
        <f t="shared" si="0"/>
        <v>6.8000000000000005E-3</v>
      </c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>
        <v>1</v>
      </c>
      <c r="W13" s="28"/>
      <c r="X13" s="28"/>
      <c r="Y13" s="28">
        <v>1</v>
      </c>
      <c r="Z13" s="28"/>
      <c r="AA13" s="28">
        <v>2</v>
      </c>
      <c r="AB13" s="28"/>
      <c r="AC13" s="28">
        <v>2</v>
      </c>
      <c r="AD13" s="28"/>
      <c r="AE13" s="28">
        <v>1</v>
      </c>
      <c r="AF13" s="28"/>
      <c r="AG13" s="28">
        <v>1</v>
      </c>
      <c r="AH13" s="28">
        <v>5</v>
      </c>
      <c r="AI13" s="28">
        <v>1</v>
      </c>
      <c r="AJ13" s="28"/>
      <c r="AK13" s="28"/>
      <c r="AL13" s="28">
        <v>1</v>
      </c>
      <c r="AM13" s="28"/>
      <c r="AN13" s="28"/>
      <c r="AO13" s="28"/>
      <c r="AP13" s="28">
        <v>1</v>
      </c>
      <c r="AQ13" s="28"/>
      <c r="AR13" s="28"/>
      <c r="AS13" s="28"/>
      <c r="AT13" s="28"/>
      <c r="AU13" s="28"/>
      <c r="AV13" s="28"/>
      <c r="AW13" s="28"/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8"/>
      <c r="BI13" s="28"/>
      <c r="BJ13" s="28"/>
      <c r="BK13" s="28"/>
      <c r="BL13" s="28"/>
    </row>
    <row r="14" spans="1:64" x14ac:dyDescent="0.2">
      <c r="A14" s="28"/>
      <c r="B14" s="33" t="s">
        <v>2096</v>
      </c>
      <c r="C14" s="33">
        <v>152</v>
      </c>
      <c r="D14" s="33">
        <v>152</v>
      </c>
      <c r="E14" s="30">
        <f t="shared" si="0"/>
        <v>6.08E-2</v>
      </c>
      <c r="F14" s="28"/>
      <c r="G14" s="33">
        <v>1</v>
      </c>
      <c r="H14" s="33">
        <v>2</v>
      </c>
      <c r="I14" s="33">
        <v>1</v>
      </c>
      <c r="J14" s="33">
        <v>2</v>
      </c>
      <c r="K14" s="33">
        <v>1</v>
      </c>
      <c r="L14" s="33">
        <v>2</v>
      </c>
      <c r="M14" s="33">
        <v>3</v>
      </c>
      <c r="N14" s="33">
        <v>2</v>
      </c>
      <c r="O14" s="33">
        <v>4</v>
      </c>
      <c r="P14" s="33">
        <v>5</v>
      </c>
      <c r="Q14" s="33">
        <v>1</v>
      </c>
      <c r="R14" s="33">
        <v>4</v>
      </c>
      <c r="S14" s="33">
        <v>2</v>
      </c>
      <c r="T14" s="33">
        <v>2</v>
      </c>
      <c r="U14" s="28"/>
      <c r="V14" s="33">
        <v>5</v>
      </c>
      <c r="W14" s="33"/>
      <c r="X14" s="33"/>
      <c r="Y14" s="33">
        <v>7</v>
      </c>
      <c r="Z14" s="33">
        <v>7</v>
      </c>
      <c r="AA14" s="33">
        <v>7</v>
      </c>
      <c r="AB14" s="33">
        <v>4</v>
      </c>
      <c r="AC14" s="33">
        <v>3</v>
      </c>
      <c r="AD14" s="33">
        <v>9</v>
      </c>
      <c r="AE14" s="33">
        <v>7</v>
      </c>
      <c r="AF14" s="33">
        <v>8</v>
      </c>
      <c r="AG14" s="33">
        <v>10</v>
      </c>
      <c r="AH14" s="33">
        <v>19</v>
      </c>
      <c r="AI14" s="33">
        <v>7</v>
      </c>
      <c r="AJ14" s="33"/>
      <c r="AK14" s="33">
        <v>5</v>
      </c>
      <c r="AL14" s="33">
        <v>4</v>
      </c>
      <c r="AM14" s="33">
        <v>3</v>
      </c>
      <c r="AN14" s="33"/>
      <c r="AO14" s="33">
        <v>6</v>
      </c>
      <c r="AP14" s="33">
        <v>9</v>
      </c>
      <c r="AQ14" s="28"/>
      <c r="AR14" s="28"/>
      <c r="AS14" s="28"/>
      <c r="AT14" s="28"/>
      <c r="AU14" s="28"/>
      <c r="AV14" s="28"/>
      <c r="AW14" s="28"/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</row>
    <row r="15" spans="1:64" x14ac:dyDescent="0.2">
      <c r="A15" s="28"/>
      <c r="B15" s="33" t="s">
        <v>3062</v>
      </c>
      <c r="C15" s="33">
        <v>15</v>
      </c>
      <c r="D15" s="33">
        <v>15</v>
      </c>
      <c r="E15" s="30">
        <f t="shared" si="0"/>
        <v>6.0000000000000001E-3</v>
      </c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>
        <v>1</v>
      </c>
      <c r="W15" s="28"/>
      <c r="X15" s="28"/>
      <c r="Y15" s="28"/>
      <c r="Z15" s="28">
        <v>1</v>
      </c>
      <c r="AA15" s="28">
        <v>1</v>
      </c>
      <c r="AB15" s="28"/>
      <c r="AC15" s="28"/>
      <c r="AD15" s="28"/>
      <c r="AE15" s="28">
        <v>2</v>
      </c>
      <c r="AF15" s="28">
        <v>1</v>
      </c>
      <c r="AG15" s="28">
        <v>2</v>
      </c>
      <c r="AH15" s="28">
        <v>2</v>
      </c>
      <c r="AI15" s="28">
        <v>1</v>
      </c>
      <c r="AJ15" s="28"/>
      <c r="AK15" s="28">
        <v>1</v>
      </c>
      <c r="AL15" s="28"/>
      <c r="AM15" s="28">
        <v>1</v>
      </c>
      <c r="AN15" s="28"/>
      <c r="AO15" s="28"/>
      <c r="AP15" s="28">
        <v>2</v>
      </c>
      <c r="AQ15" s="28"/>
      <c r="AR15" s="28"/>
      <c r="AS15" s="28"/>
      <c r="AT15" s="28"/>
      <c r="AU15" s="28"/>
      <c r="AV15" s="28"/>
      <c r="AW15" s="28"/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</row>
    <row r="16" spans="1:64" x14ac:dyDescent="0.2">
      <c r="A16" s="28"/>
      <c r="B16" s="28" t="s">
        <v>3063</v>
      </c>
      <c r="C16" s="28">
        <v>0</v>
      </c>
      <c r="D16" s="28">
        <v>5</v>
      </c>
      <c r="E16" s="30">
        <f t="shared" si="0"/>
        <v>0</v>
      </c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>
        <v>1</v>
      </c>
      <c r="Q16" s="28"/>
      <c r="R16" s="28">
        <v>1</v>
      </c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>
        <v>1</v>
      </c>
      <c r="AD16" s="28">
        <v>1</v>
      </c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>
        <v>1</v>
      </c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</row>
    <row r="17" spans="1:64" x14ac:dyDescent="0.2">
      <c r="A17" s="28"/>
      <c r="B17" s="28" t="s">
        <v>3064</v>
      </c>
      <c r="C17" s="28">
        <v>0</v>
      </c>
      <c r="D17" s="28">
        <v>11</v>
      </c>
      <c r="E17" s="30">
        <f t="shared" si="0"/>
        <v>0</v>
      </c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>
        <v>1</v>
      </c>
      <c r="W17" s="28"/>
      <c r="X17" s="28"/>
      <c r="Y17" s="28"/>
      <c r="Z17" s="28">
        <v>2</v>
      </c>
      <c r="AA17" s="28">
        <v>1</v>
      </c>
      <c r="AB17" s="28"/>
      <c r="AC17" s="28"/>
      <c r="AD17" s="28">
        <v>2</v>
      </c>
      <c r="AE17" s="28">
        <v>1</v>
      </c>
      <c r="AF17" s="28"/>
      <c r="AG17" s="28"/>
      <c r="AH17" s="28">
        <v>1</v>
      </c>
      <c r="AI17" s="28"/>
      <c r="AJ17" s="28"/>
      <c r="AK17" s="28">
        <v>1</v>
      </c>
      <c r="AL17" s="28"/>
      <c r="AM17" s="28"/>
      <c r="AN17" s="28"/>
      <c r="AO17" s="28">
        <v>1</v>
      </c>
      <c r="AP17" s="28">
        <v>1</v>
      </c>
      <c r="AQ17" s="28"/>
      <c r="AR17" s="28"/>
      <c r="AS17" s="28"/>
      <c r="AT17" s="28"/>
      <c r="AU17" s="28"/>
      <c r="AV17" s="28"/>
      <c r="AW17" s="28"/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</row>
    <row r="18" spans="1:64" x14ac:dyDescent="0.2">
      <c r="A18" s="28"/>
      <c r="B18" s="28" t="s">
        <v>2099</v>
      </c>
      <c r="C18" s="28">
        <v>0</v>
      </c>
      <c r="D18" s="28">
        <v>58</v>
      </c>
      <c r="E18" s="30">
        <f t="shared" si="0"/>
        <v>0</v>
      </c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</row>
    <row r="19" spans="1:64" x14ac:dyDescent="0.2">
      <c r="A19" s="28"/>
      <c r="B19" s="28" t="s">
        <v>2094</v>
      </c>
      <c r="C19" s="28">
        <v>1928</v>
      </c>
      <c r="D19" s="28">
        <v>1928</v>
      </c>
      <c r="E19" s="30">
        <f>C19*0.0004</f>
        <v>0.7712</v>
      </c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</row>
    <row r="20" spans="1:64" x14ac:dyDescent="0.2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</row>
    <row r="21" spans="1:64" x14ac:dyDescent="0.2">
      <c r="A21" s="28"/>
      <c r="B21" s="28" t="s">
        <v>3065</v>
      </c>
      <c r="C21" s="28">
        <v>0</v>
      </c>
      <c r="D21" s="28">
        <v>8</v>
      </c>
      <c r="E21" s="30">
        <v>0</v>
      </c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>
        <v>1</v>
      </c>
      <c r="AA21" s="28"/>
      <c r="AB21" s="28">
        <v>1</v>
      </c>
      <c r="AC21" s="28">
        <v>1</v>
      </c>
      <c r="AD21" s="28"/>
      <c r="AE21" s="28">
        <v>1</v>
      </c>
      <c r="AF21" s="28"/>
      <c r="AG21" s="28"/>
      <c r="AH21" s="28">
        <v>1</v>
      </c>
      <c r="AI21" s="28">
        <v>1</v>
      </c>
      <c r="AJ21" s="28"/>
      <c r="AK21" s="28">
        <v>1</v>
      </c>
      <c r="AL21" s="28"/>
      <c r="AM21" s="28"/>
      <c r="AN21" s="28"/>
      <c r="AO21" s="28">
        <v>1</v>
      </c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</row>
    <row r="22" spans="1:64" x14ac:dyDescent="0.2">
      <c r="A22" s="28"/>
      <c r="B22" s="28" t="s">
        <v>3066</v>
      </c>
      <c r="C22" s="28">
        <v>0</v>
      </c>
      <c r="D22" s="28">
        <v>228</v>
      </c>
      <c r="E22" s="30">
        <v>0</v>
      </c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</row>
    <row r="23" spans="1:64" x14ac:dyDescent="0.2">
      <c r="A23" s="28"/>
      <c r="B23" s="28" t="s">
        <v>3067</v>
      </c>
      <c r="C23" s="28"/>
      <c r="D23" s="28">
        <v>81</v>
      </c>
      <c r="E23" s="30">
        <v>0</v>
      </c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B4AFB-DF97-BA49-BAA4-4AA7FEBCD18E}">
  <sheetPr codeName="Sheet3"/>
  <dimension ref="A1:J945"/>
  <sheetViews>
    <sheetView topLeftCell="A336" workbookViewId="0">
      <selection activeCell="B357" sqref="B357"/>
    </sheetView>
  </sheetViews>
  <sheetFormatPr baseColWidth="10" defaultRowHeight="16" x14ac:dyDescent="0.2"/>
  <cols>
    <col min="1" max="1" width="33.83203125" bestFit="1" customWidth="1"/>
    <col min="2" max="2" width="17.83203125" bestFit="1" customWidth="1"/>
    <col min="3" max="3" width="26.33203125" bestFit="1" customWidth="1"/>
  </cols>
  <sheetData>
    <row r="1" spans="1:10" s="6" customFormat="1" x14ac:dyDescent="0.2">
      <c r="A1" s="6" t="s">
        <v>781</v>
      </c>
      <c r="B1" s="6" t="s">
        <v>2129</v>
      </c>
      <c r="C1" s="6" t="s">
        <v>8</v>
      </c>
      <c r="D1" s="6" t="s">
        <v>2120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2127</v>
      </c>
      <c r="J1" s="6" t="s">
        <v>2121</v>
      </c>
    </row>
    <row r="2" spans="1:10" x14ac:dyDescent="0.2">
      <c r="A2" t="s">
        <v>1140</v>
      </c>
      <c r="B2" t="s">
        <v>1140</v>
      </c>
      <c r="C2" t="s">
        <v>1738</v>
      </c>
      <c r="E2" t="s">
        <v>785</v>
      </c>
    </row>
    <row r="3" spans="1:10" x14ac:dyDescent="0.2">
      <c r="A3" t="s">
        <v>1140</v>
      </c>
      <c r="B3" t="s">
        <v>1140</v>
      </c>
      <c r="C3" t="s">
        <v>1325</v>
      </c>
      <c r="E3" t="s">
        <v>785</v>
      </c>
    </row>
    <row r="4" spans="1:10" x14ac:dyDescent="0.2">
      <c r="A4" t="s">
        <v>1140</v>
      </c>
      <c r="B4" t="s">
        <v>1140</v>
      </c>
      <c r="C4" t="s">
        <v>1736</v>
      </c>
      <c r="E4" t="s">
        <v>785</v>
      </c>
    </row>
    <row r="5" spans="1:10" x14ac:dyDescent="0.2">
      <c r="A5" t="s">
        <v>1140</v>
      </c>
      <c r="B5" t="s">
        <v>1140</v>
      </c>
      <c r="C5" t="s">
        <v>1737</v>
      </c>
      <c r="E5" t="s">
        <v>785</v>
      </c>
    </row>
    <row r="6" spans="1:10" x14ac:dyDescent="0.2">
      <c r="A6" t="s">
        <v>1140</v>
      </c>
      <c r="B6" t="s">
        <v>1140</v>
      </c>
      <c r="C6" t="s">
        <v>1460</v>
      </c>
      <c r="E6" t="s">
        <v>785</v>
      </c>
      <c r="F6">
        <v>-251</v>
      </c>
      <c r="G6">
        <v>155</v>
      </c>
      <c r="H6">
        <v>21</v>
      </c>
    </row>
    <row r="7" spans="1:10" x14ac:dyDescent="0.2">
      <c r="A7" t="s">
        <v>1179</v>
      </c>
      <c r="B7" t="s">
        <v>1140</v>
      </c>
      <c r="E7" t="s">
        <v>2525</v>
      </c>
      <c r="F7">
        <v>-1034</v>
      </c>
      <c r="G7">
        <v>2679</v>
      </c>
      <c r="H7">
        <v>-238</v>
      </c>
    </row>
    <row r="8" spans="1:10" x14ac:dyDescent="0.2">
      <c r="A8" t="s">
        <v>1565</v>
      </c>
      <c r="B8" t="s">
        <v>1140</v>
      </c>
      <c r="C8" t="s">
        <v>2943</v>
      </c>
      <c r="E8" t="s">
        <v>1002</v>
      </c>
      <c r="F8">
        <v>456</v>
      </c>
      <c r="G8">
        <v>-831</v>
      </c>
      <c r="H8">
        <v>-457</v>
      </c>
    </row>
    <row r="9" spans="1:10" x14ac:dyDescent="0.2">
      <c r="A9" t="s">
        <v>1211</v>
      </c>
      <c r="B9" t="s">
        <v>2945</v>
      </c>
      <c r="C9" t="s">
        <v>2944</v>
      </c>
      <c r="E9" t="s">
        <v>1002</v>
      </c>
      <c r="F9">
        <v>-4243</v>
      </c>
      <c r="G9">
        <v>-3721</v>
      </c>
      <c r="H9">
        <v>-469</v>
      </c>
    </row>
    <row r="10" spans="1:10" x14ac:dyDescent="0.2">
      <c r="A10" t="s">
        <v>1277</v>
      </c>
      <c r="B10" t="s">
        <v>2945</v>
      </c>
      <c r="C10" t="s">
        <v>2943</v>
      </c>
      <c r="E10" t="s">
        <v>1002</v>
      </c>
      <c r="F10">
        <v>-1127</v>
      </c>
      <c r="G10">
        <v>-1174</v>
      </c>
      <c r="H10">
        <v>-499</v>
      </c>
    </row>
    <row r="11" spans="1:10" x14ac:dyDescent="0.2">
      <c r="A11" t="s">
        <v>1285</v>
      </c>
      <c r="B11" t="s">
        <v>2945</v>
      </c>
      <c r="C11" t="s">
        <v>2946</v>
      </c>
      <c r="E11" t="s">
        <v>1002</v>
      </c>
      <c r="F11">
        <v>-121</v>
      </c>
      <c r="G11">
        <v>2449</v>
      </c>
      <c r="H11">
        <v>-621</v>
      </c>
    </row>
    <row r="12" spans="1:10" x14ac:dyDescent="0.2">
      <c r="A12" t="s">
        <v>1459</v>
      </c>
      <c r="B12" t="s">
        <v>2945</v>
      </c>
      <c r="C12" t="s">
        <v>2947</v>
      </c>
      <c r="E12" t="s">
        <v>1002</v>
      </c>
      <c r="F12">
        <v>4585</v>
      </c>
      <c r="G12">
        <v>-3608</v>
      </c>
      <c r="H12">
        <v>-378</v>
      </c>
    </row>
    <row r="13" spans="1:10" x14ac:dyDescent="0.2">
      <c r="A13" t="s">
        <v>1636</v>
      </c>
      <c r="B13" t="s">
        <v>2945</v>
      </c>
      <c r="C13" t="s">
        <v>1001</v>
      </c>
      <c r="E13" t="s">
        <v>1002</v>
      </c>
      <c r="F13">
        <v>2145</v>
      </c>
      <c r="G13">
        <v>3182</v>
      </c>
      <c r="H13">
        <v>-838</v>
      </c>
    </row>
    <row r="14" spans="1:10" x14ac:dyDescent="0.2">
      <c r="A14" t="s">
        <v>1637</v>
      </c>
      <c r="B14" t="s">
        <v>2945</v>
      </c>
      <c r="C14" t="s">
        <v>2948</v>
      </c>
      <c r="E14" t="s">
        <v>1002</v>
      </c>
      <c r="F14">
        <v>2165</v>
      </c>
      <c r="G14">
        <v>-1862</v>
      </c>
      <c r="H14">
        <v>-467</v>
      </c>
    </row>
    <row r="15" spans="1:10" x14ac:dyDescent="0.2">
      <c r="A15" t="s">
        <v>2949</v>
      </c>
      <c r="B15" t="s">
        <v>2950</v>
      </c>
      <c r="E15" t="s">
        <v>2525</v>
      </c>
      <c r="F15" t="s">
        <v>2525</v>
      </c>
      <c r="G15" t="s">
        <v>2525</v>
      </c>
      <c r="H15" t="s">
        <v>2525</v>
      </c>
    </row>
    <row r="16" spans="1:10" x14ac:dyDescent="0.2">
      <c r="A16" t="s">
        <v>1102</v>
      </c>
      <c r="B16" t="s">
        <v>2950</v>
      </c>
      <c r="C16" t="s">
        <v>2951</v>
      </c>
      <c r="E16" t="s">
        <v>1002</v>
      </c>
      <c r="F16">
        <v>1649</v>
      </c>
      <c r="G16">
        <v>2364</v>
      </c>
      <c r="H16">
        <v>-749</v>
      </c>
    </row>
    <row r="17" spans="1:8" x14ac:dyDescent="0.2">
      <c r="A17" t="s">
        <v>1103</v>
      </c>
      <c r="B17" t="s">
        <v>2950</v>
      </c>
      <c r="C17" t="s">
        <v>2944</v>
      </c>
      <c r="E17" t="s">
        <v>1002</v>
      </c>
      <c r="F17">
        <v>-3816</v>
      </c>
      <c r="G17">
        <v>-2890</v>
      </c>
      <c r="H17">
        <v>-383</v>
      </c>
    </row>
    <row r="18" spans="1:8" x14ac:dyDescent="0.2">
      <c r="A18" t="s">
        <v>1104</v>
      </c>
      <c r="B18" t="s">
        <v>2950</v>
      </c>
      <c r="C18" t="s">
        <v>2952</v>
      </c>
      <c r="E18" t="s">
        <v>1002</v>
      </c>
      <c r="F18">
        <v>3548</v>
      </c>
      <c r="G18">
        <v>-2228</v>
      </c>
      <c r="H18">
        <v>-485</v>
      </c>
    </row>
    <row r="19" spans="1:8" x14ac:dyDescent="0.2">
      <c r="A19" t="s">
        <v>1105</v>
      </c>
      <c r="B19" t="s">
        <v>2950</v>
      </c>
      <c r="C19" t="s">
        <v>2953</v>
      </c>
      <c r="E19" t="s">
        <v>1002</v>
      </c>
      <c r="F19">
        <v>-3596</v>
      </c>
      <c r="G19">
        <v>1800</v>
      </c>
      <c r="H19">
        <v>-415</v>
      </c>
    </row>
    <row r="20" spans="1:8" x14ac:dyDescent="0.2">
      <c r="A20" t="s">
        <v>1106</v>
      </c>
      <c r="B20" t="s">
        <v>2950</v>
      </c>
      <c r="C20" t="s">
        <v>2948</v>
      </c>
      <c r="E20" t="s">
        <v>1002</v>
      </c>
      <c r="F20">
        <v>1819</v>
      </c>
      <c r="G20">
        <v>-1299</v>
      </c>
      <c r="H20">
        <v>-566</v>
      </c>
    </row>
    <row r="21" spans="1:8" x14ac:dyDescent="0.2">
      <c r="A21" t="s">
        <v>1107</v>
      </c>
      <c r="B21" t="s">
        <v>2950</v>
      </c>
      <c r="C21" t="s">
        <v>2944</v>
      </c>
      <c r="E21" t="s">
        <v>1002</v>
      </c>
      <c r="F21">
        <v>-3171</v>
      </c>
      <c r="G21">
        <v>-2311</v>
      </c>
      <c r="H21">
        <v>-475</v>
      </c>
    </row>
    <row r="22" spans="1:8" x14ac:dyDescent="0.2">
      <c r="A22" t="s">
        <v>1108</v>
      </c>
      <c r="B22" t="s">
        <v>2950</v>
      </c>
      <c r="C22" t="s">
        <v>2954</v>
      </c>
      <c r="E22" t="s">
        <v>1002</v>
      </c>
      <c r="F22">
        <v>3223</v>
      </c>
      <c r="G22">
        <v>581</v>
      </c>
      <c r="H22">
        <v>-741</v>
      </c>
    </row>
    <row r="23" spans="1:8" x14ac:dyDescent="0.2">
      <c r="A23" t="s">
        <v>1109</v>
      </c>
      <c r="B23" t="s">
        <v>2950</v>
      </c>
      <c r="C23" t="s">
        <v>2952</v>
      </c>
      <c r="E23" t="s">
        <v>1002</v>
      </c>
      <c r="F23">
        <v>2967</v>
      </c>
      <c r="G23">
        <v>-3606</v>
      </c>
      <c r="H23">
        <v>-306</v>
      </c>
    </row>
    <row r="24" spans="1:8" x14ac:dyDescent="0.2">
      <c r="A24" t="s">
        <v>1110</v>
      </c>
      <c r="B24" t="s">
        <v>2950</v>
      </c>
      <c r="C24" t="s">
        <v>2955</v>
      </c>
      <c r="E24" t="s">
        <v>1002</v>
      </c>
      <c r="F24">
        <v>3969</v>
      </c>
      <c r="G24">
        <v>1715</v>
      </c>
      <c r="H24">
        <v>-306</v>
      </c>
    </row>
    <row r="25" spans="1:8" x14ac:dyDescent="0.2">
      <c r="A25" t="s">
        <v>1127</v>
      </c>
      <c r="B25" t="s">
        <v>2950</v>
      </c>
      <c r="C25" t="s">
        <v>2955</v>
      </c>
      <c r="E25" t="s">
        <v>1002</v>
      </c>
      <c r="F25">
        <v>3338</v>
      </c>
      <c r="G25">
        <v>1517</v>
      </c>
      <c r="H25">
        <v>-851</v>
      </c>
    </row>
    <row r="26" spans="1:8" x14ac:dyDescent="0.2">
      <c r="A26" t="s">
        <v>1166</v>
      </c>
      <c r="B26" t="s">
        <v>2950</v>
      </c>
      <c r="C26" t="s">
        <v>2952</v>
      </c>
      <c r="E26" t="s">
        <v>1002</v>
      </c>
      <c r="F26">
        <v>2935</v>
      </c>
      <c r="G26">
        <v>-1404</v>
      </c>
      <c r="H26">
        <v>-839</v>
      </c>
    </row>
    <row r="27" spans="1:8" x14ac:dyDescent="0.2">
      <c r="A27" t="s">
        <v>1187</v>
      </c>
      <c r="B27" t="s">
        <v>2950</v>
      </c>
      <c r="C27" t="s">
        <v>2956</v>
      </c>
      <c r="E27" t="s">
        <v>1002</v>
      </c>
      <c r="F27">
        <v>-3335</v>
      </c>
      <c r="G27">
        <v>2353</v>
      </c>
      <c r="H27">
        <v>-805</v>
      </c>
    </row>
    <row r="28" spans="1:8" x14ac:dyDescent="0.2">
      <c r="A28" t="s">
        <v>1190</v>
      </c>
      <c r="B28" t="s">
        <v>2950</v>
      </c>
      <c r="C28" t="s">
        <v>2943</v>
      </c>
      <c r="E28" t="s">
        <v>1002</v>
      </c>
      <c r="F28">
        <v>1154</v>
      </c>
      <c r="G28">
        <v>381</v>
      </c>
      <c r="H28">
        <v>-523</v>
      </c>
    </row>
    <row r="29" spans="1:8" x14ac:dyDescent="0.2">
      <c r="A29" t="s">
        <v>1193</v>
      </c>
      <c r="B29" t="s">
        <v>2950</v>
      </c>
      <c r="C29" t="s">
        <v>2952</v>
      </c>
      <c r="E29" t="s">
        <v>1002</v>
      </c>
      <c r="F29">
        <v>3574</v>
      </c>
      <c r="G29">
        <v>-3792</v>
      </c>
      <c r="H29">
        <v>-452</v>
      </c>
    </row>
    <row r="30" spans="1:8" x14ac:dyDescent="0.2">
      <c r="A30" t="s">
        <v>1195</v>
      </c>
      <c r="B30" t="s">
        <v>2950</v>
      </c>
      <c r="C30" t="s">
        <v>2953</v>
      </c>
      <c r="E30" t="s">
        <v>1002</v>
      </c>
      <c r="F30">
        <v>-3789</v>
      </c>
      <c r="G30">
        <v>1343</v>
      </c>
      <c r="H30">
        <v>-682</v>
      </c>
    </row>
    <row r="31" spans="1:8" x14ac:dyDescent="0.2">
      <c r="A31" t="s">
        <v>1200</v>
      </c>
      <c r="B31" t="s">
        <v>2950</v>
      </c>
      <c r="C31" t="s">
        <v>2943</v>
      </c>
      <c r="E31" t="s">
        <v>1002</v>
      </c>
      <c r="F31">
        <v>-1065</v>
      </c>
      <c r="G31">
        <v>-574</v>
      </c>
      <c r="H31">
        <v>-482</v>
      </c>
    </row>
    <row r="32" spans="1:8" x14ac:dyDescent="0.2">
      <c r="A32" t="s">
        <v>1204</v>
      </c>
      <c r="B32" t="s">
        <v>2950</v>
      </c>
      <c r="C32" t="s">
        <v>2957</v>
      </c>
      <c r="E32" t="s">
        <v>1002</v>
      </c>
      <c r="F32">
        <v>-1391</v>
      </c>
      <c r="G32">
        <v>-3604</v>
      </c>
      <c r="H32">
        <v>-917</v>
      </c>
    </row>
    <row r="33" spans="1:8" x14ac:dyDescent="0.2">
      <c r="A33" t="s">
        <v>1227</v>
      </c>
      <c r="B33" t="s">
        <v>2950</v>
      </c>
      <c r="C33" t="s">
        <v>2946</v>
      </c>
      <c r="E33" t="s">
        <v>1002</v>
      </c>
      <c r="F33">
        <v>-561</v>
      </c>
      <c r="G33">
        <v>2584</v>
      </c>
      <c r="H33">
        <v>-844</v>
      </c>
    </row>
    <row r="34" spans="1:8" x14ac:dyDescent="0.2">
      <c r="A34" t="s">
        <v>1231</v>
      </c>
      <c r="B34" t="s">
        <v>2950</v>
      </c>
      <c r="C34" t="s">
        <v>2948</v>
      </c>
      <c r="E34" t="s">
        <v>1002</v>
      </c>
      <c r="F34">
        <v>1285</v>
      </c>
      <c r="G34">
        <v>-1811</v>
      </c>
      <c r="H34">
        <v>-784</v>
      </c>
    </row>
    <row r="35" spans="1:8" x14ac:dyDescent="0.2">
      <c r="A35" t="s">
        <v>1235</v>
      </c>
      <c r="B35" t="s">
        <v>2950</v>
      </c>
      <c r="C35" t="s">
        <v>2952</v>
      </c>
      <c r="E35" t="s">
        <v>1002</v>
      </c>
      <c r="F35">
        <v>3153</v>
      </c>
      <c r="G35">
        <v>-3276</v>
      </c>
      <c r="H35">
        <v>-709</v>
      </c>
    </row>
    <row r="36" spans="1:8" x14ac:dyDescent="0.2">
      <c r="A36" t="s">
        <v>1250</v>
      </c>
      <c r="B36" t="s">
        <v>2950</v>
      </c>
      <c r="C36" t="s">
        <v>2952</v>
      </c>
      <c r="E36" t="s">
        <v>1002</v>
      </c>
      <c r="F36">
        <v>3329</v>
      </c>
      <c r="G36">
        <v>-2514</v>
      </c>
      <c r="H36">
        <v>-777</v>
      </c>
    </row>
    <row r="37" spans="1:8" x14ac:dyDescent="0.2">
      <c r="A37" t="s">
        <v>1264</v>
      </c>
      <c r="B37" t="s">
        <v>2950</v>
      </c>
      <c r="C37" t="s">
        <v>2958</v>
      </c>
      <c r="E37" t="s">
        <v>1002</v>
      </c>
      <c r="F37">
        <v>-971</v>
      </c>
      <c r="G37">
        <v>-2601</v>
      </c>
      <c r="H37">
        <v>-683</v>
      </c>
    </row>
    <row r="38" spans="1:8" x14ac:dyDescent="0.2">
      <c r="A38" t="s">
        <v>2959</v>
      </c>
      <c r="B38" t="s">
        <v>2950</v>
      </c>
      <c r="C38" t="s">
        <v>2957</v>
      </c>
      <c r="E38" t="s">
        <v>1002</v>
      </c>
      <c r="F38">
        <v>-4084</v>
      </c>
      <c r="G38">
        <v>-842</v>
      </c>
      <c r="H38">
        <v>-1113</v>
      </c>
    </row>
    <row r="39" spans="1:8" x14ac:dyDescent="0.2">
      <c r="A39" t="s">
        <v>1324</v>
      </c>
      <c r="B39" t="s">
        <v>2950</v>
      </c>
      <c r="C39" t="s">
        <v>2957</v>
      </c>
      <c r="E39" t="s">
        <v>1002</v>
      </c>
      <c r="F39">
        <v>-1317</v>
      </c>
      <c r="G39">
        <v>-3432</v>
      </c>
      <c r="H39">
        <v>-819</v>
      </c>
    </row>
    <row r="40" spans="1:8" x14ac:dyDescent="0.2">
      <c r="A40" t="s">
        <v>1325</v>
      </c>
      <c r="B40" t="s">
        <v>2950</v>
      </c>
      <c r="C40" t="s">
        <v>2943</v>
      </c>
      <c r="E40" t="s">
        <v>1002</v>
      </c>
      <c r="F40">
        <v>-731</v>
      </c>
      <c r="G40">
        <v>-1861</v>
      </c>
      <c r="H40">
        <v>-405</v>
      </c>
    </row>
    <row r="41" spans="1:8" x14ac:dyDescent="0.2">
      <c r="A41" t="s">
        <v>1352</v>
      </c>
      <c r="B41" t="s">
        <v>2950</v>
      </c>
      <c r="C41" t="s">
        <v>2956</v>
      </c>
      <c r="E41" t="s">
        <v>1002</v>
      </c>
      <c r="F41">
        <v>-2733</v>
      </c>
      <c r="G41">
        <v>2918</v>
      </c>
      <c r="H41">
        <v>-1100</v>
      </c>
    </row>
    <row r="42" spans="1:8" x14ac:dyDescent="0.2">
      <c r="A42" t="s">
        <v>1377</v>
      </c>
      <c r="B42" t="s">
        <v>2950</v>
      </c>
      <c r="C42" t="s">
        <v>2943</v>
      </c>
      <c r="E42" t="s">
        <v>1002</v>
      </c>
      <c r="F42">
        <v>-1293</v>
      </c>
      <c r="G42">
        <v>-2194</v>
      </c>
      <c r="H42">
        <v>-605</v>
      </c>
    </row>
    <row r="43" spans="1:8" x14ac:dyDescent="0.2">
      <c r="A43" t="s">
        <v>1449</v>
      </c>
      <c r="B43" t="s">
        <v>2950</v>
      </c>
      <c r="C43" t="s">
        <v>2960</v>
      </c>
      <c r="E43" t="s">
        <v>1002</v>
      </c>
      <c r="F43">
        <v>-2079</v>
      </c>
      <c r="G43">
        <v>1323</v>
      </c>
      <c r="H43">
        <v>-687</v>
      </c>
    </row>
    <row r="44" spans="1:8" x14ac:dyDescent="0.2">
      <c r="A44" t="s">
        <v>1476</v>
      </c>
      <c r="B44" t="s">
        <v>2950</v>
      </c>
      <c r="C44" t="s">
        <v>2961</v>
      </c>
      <c r="E44" t="s">
        <v>1002</v>
      </c>
      <c r="F44">
        <v>3889</v>
      </c>
      <c r="G44">
        <v>-1668</v>
      </c>
      <c r="H44">
        <v>-865</v>
      </c>
    </row>
    <row r="45" spans="1:8" x14ac:dyDescent="0.2">
      <c r="A45" t="s">
        <v>1485</v>
      </c>
      <c r="B45" t="s">
        <v>2950</v>
      </c>
      <c r="C45" t="s">
        <v>2952</v>
      </c>
      <c r="E45" t="s">
        <v>1002</v>
      </c>
      <c r="F45">
        <v>2512</v>
      </c>
      <c r="G45">
        <v>-2483</v>
      </c>
      <c r="H45">
        <v>-503</v>
      </c>
    </row>
    <row r="46" spans="1:8" x14ac:dyDescent="0.2">
      <c r="A46" t="s">
        <v>1521</v>
      </c>
      <c r="B46" t="s">
        <v>2950</v>
      </c>
      <c r="C46" t="s">
        <v>2957</v>
      </c>
      <c r="E46" t="s">
        <v>1002</v>
      </c>
      <c r="F46">
        <v>-1802</v>
      </c>
      <c r="G46">
        <v>-2089</v>
      </c>
      <c r="H46">
        <v>-603</v>
      </c>
    </row>
    <row r="47" spans="1:8" x14ac:dyDescent="0.2">
      <c r="A47" t="s">
        <v>1566</v>
      </c>
      <c r="B47" t="s">
        <v>2950</v>
      </c>
      <c r="C47" t="s">
        <v>2954</v>
      </c>
      <c r="E47" t="s">
        <v>1002</v>
      </c>
      <c r="F47">
        <v>3790</v>
      </c>
      <c r="G47">
        <v>560</v>
      </c>
      <c r="H47">
        <v>-859</v>
      </c>
    </row>
    <row r="48" spans="1:8" x14ac:dyDescent="0.2">
      <c r="A48" t="s">
        <v>1594</v>
      </c>
      <c r="B48" t="s">
        <v>2950</v>
      </c>
      <c r="C48" t="s">
        <v>2960</v>
      </c>
      <c r="E48" t="s">
        <v>1002</v>
      </c>
      <c r="F48">
        <v>-2687</v>
      </c>
      <c r="G48">
        <v>785</v>
      </c>
      <c r="H48">
        <v>-783</v>
      </c>
    </row>
    <row r="49" spans="1:8" x14ac:dyDescent="0.2">
      <c r="A49" t="s">
        <v>1603</v>
      </c>
      <c r="B49" t="s">
        <v>2950</v>
      </c>
      <c r="C49" t="s">
        <v>2955</v>
      </c>
      <c r="E49" t="s">
        <v>1002</v>
      </c>
      <c r="F49">
        <v>4719</v>
      </c>
      <c r="G49">
        <v>1940</v>
      </c>
      <c r="H49">
        <v>-454</v>
      </c>
    </row>
    <row r="50" spans="1:8" x14ac:dyDescent="0.2">
      <c r="A50" t="s">
        <v>1617</v>
      </c>
      <c r="B50" t="s">
        <v>2950</v>
      </c>
      <c r="C50" t="s">
        <v>2948</v>
      </c>
      <c r="E50" t="s">
        <v>1002</v>
      </c>
      <c r="F50">
        <v>2368</v>
      </c>
      <c r="G50">
        <v>-2201</v>
      </c>
      <c r="H50">
        <v>-597</v>
      </c>
    </row>
    <row r="51" spans="1:8" x14ac:dyDescent="0.2">
      <c r="A51" t="s">
        <v>1622</v>
      </c>
      <c r="B51" t="s">
        <v>2950</v>
      </c>
      <c r="C51" t="s">
        <v>2954</v>
      </c>
      <c r="E51" t="s">
        <v>1002</v>
      </c>
      <c r="F51">
        <v>3294</v>
      </c>
      <c r="G51">
        <v>-32</v>
      </c>
      <c r="H51">
        <v>-841</v>
      </c>
    </row>
    <row r="52" spans="1:8" x14ac:dyDescent="0.2">
      <c r="A52" t="s">
        <v>1718</v>
      </c>
      <c r="B52" t="s">
        <v>2950</v>
      </c>
      <c r="C52" t="s">
        <v>2952</v>
      </c>
      <c r="E52" t="s">
        <v>1002</v>
      </c>
      <c r="F52">
        <v>2520</v>
      </c>
      <c r="G52">
        <v>-3602</v>
      </c>
      <c r="H52">
        <v>-626</v>
      </c>
    </row>
    <row r="53" spans="1:8" x14ac:dyDescent="0.2">
      <c r="A53" t="s">
        <v>1732</v>
      </c>
      <c r="B53" t="s">
        <v>2950</v>
      </c>
      <c r="C53" t="s">
        <v>2961</v>
      </c>
      <c r="E53" t="s">
        <v>1002</v>
      </c>
      <c r="F53">
        <v>4223</v>
      </c>
      <c r="G53">
        <v>-1912</v>
      </c>
      <c r="H53">
        <v>-804</v>
      </c>
    </row>
    <row r="54" spans="1:8" x14ac:dyDescent="0.2">
      <c r="A54" t="s">
        <v>2980</v>
      </c>
      <c r="B54" t="s">
        <v>1389</v>
      </c>
      <c r="C54" t="s">
        <v>1468</v>
      </c>
      <c r="E54" t="s">
        <v>785</v>
      </c>
      <c r="F54">
        <v>2943</v>
      </c>
      <c r="G54">
        <v>-3433</v>
      </c>
      <c r="H54">
        <v>6</v>
      </c>
    </row>
    <row r="55" spans="1:8" x14ac:dyDescent="0.2">
      <c r="A55" t="s">
        <v>2981</v>
      </c>
      <c r="B55" t="s">
        <v>1389</v>
      </c>
      <c r="C55" t="s">
        <v>1301</v>
      </c>
      <c r="E55" t="s">
        <v>785</v>
      </c>
      <c r="F55">
        <v>-3839</v>
      </c>
      <c r="G55">
        <v>-2897</v>
      </c>
      <c r="H55">
        <v>43</v>
      </c>
    </row>
    <row r="56" spans="1:8" x14ac:dyDescent="0.2">
      <c r="A56" t="s">
        <v>2982</v>
      </c>
      <c r="B56" t="s">
        <v>1389</v>
      </c>
      <c r="C56" t="s">
        <v>1695</v>
      </c>
      <c r="E56" t="s">
        <v>785</v>
      </c>
      <c r="F56">
        <v>3996</v>
      </c>
      <c r="G56">
        <v>1598</v>
      </c>
      <c r="H56">
        <v>129</v>
      </c>
    </row>
    <row r="57" spans="1:8" x14ac:dyDescent="0.2">
      <c r="A57" t="s">
        <v>2983</v>
      </c>
      <c r="B57" t="s">
        <v>1389</v>
      </c>
      <c r="C57" t="s">
        <v>1417</v>
      </c>
      <c r="E57" t="s">
        <v>785</v>
      </c>
      <c r="F57">
        <v>413</v>
      </c>
      <c r="G57">
        <v>2177</v>
      </c>
      <c r="H57">
        <v>154</v>
      </c>
    </row>
    <row r="58" spans="1:8" x14ac:dyDescent="0.2">
      <c r="A58" t="s">
        <v>2984</v>
      </c>
      <c r="B58" t="s">
        <v>1389</v>
      </c>
      <c r="C58" t="s">
        <v>1319</v>
      </c>
      <c r="E58" t="s">
        <v>785</v>
      </c>
      <c r="F58">
        <v>1683</v>
      </c>
      <c r="G58">
        <v>2421</v>
      </c>
      <c r="H58">
        <v>384</v>
      </c>
    </row>
    <row r="59" spans="1:8" x14ac:dyDescent="0.2">
      <c r="A59" t="s">
        <v>2985</v>
      </c>
      <c r="B59" t="s">
        <v>1389</v>
      </c>
      <c r="C59" t="s">
        <v>1768</v>
      </c>
      <c r="E59" t="s">
        <v>785</v>
      </c>
      <c r="F59" t="s">
        <v>2525</v>
      </c>
      <c r="G59" t="s">
        <v>2525</v>
      </c>
      <c r="H59" t="s">
        <v>2525</v>
      </c>
    </row>
    <row r="60" spans="1:8" x14ac:dyDescent="0.2">
      <c r="A60" t="s">
        <v>2986</v>
      </c>
      <c r="B60" t="s">
        <v>1389</v>
      </c>
      <c r="C60" t="s">
        <v>1403</v>
      </c>
      <c r="E60" t="s">
        <v>785</v>
      </c>
      <c r="F60">
        <v>-3267</v>
      </c>
      <c r="G60">
        <v>-2608</v>
      </c>
      <c r="H60">
        <v>25</v>
      </c>
    </row>
    <row r="61" spans="1:8" x14ac:dyDescent="0.2">
      <c r="A61" t="s">
        <v>2987</v>
      </c>
      <c r="B61" t="s">
        <v>1389</v>
      </c>
      <c r="C61" t="s">
        <v>1009</v>
      </c>
      <c r="E61" t="s">
        <v>785</v>
      </c>
      <c r="F61">
        <v>1825</v>
      </c>
      <c r="G61">
        <v>-1012</v>
      </c>
      <c r="H61">
        <v>114</v>
      </c>
    </row>
    <row r="62" spans="1:8" x14ac:dyDescent="0.2">
      <c r="A62" t="s">
        <v>2988</v>
      </c>
      <c r="B62" t="s">
        <v>1389</v>
      </c>
      <c r="C62" t="s">
        <v>847</v>
      </c>
      <c r="E62" t="s">
        <v>785</v>
      </c>
      <c r="F62">
        <v>-3610</v>
      </c>
      <c r="G62">
        <v>1827</v>
      </c>
      <c r="H62">
        <v>182</v>
      </c>
    </row>
    <row r="63" spans="1:8" x14ac:dyDescent="0.2">
      <c r="A63" t="s">
        <v>2989</v>
      </c>
      <c r="B63" t="s">
        <v>1389</v>
      </c>
      <c r="C63" t="s">
        <v>1346</v>
      </c>
      <c r="E63" t="s">
        <v>785</v>
      </c>
      <c r="F63" t="s">
        <v>2525</v>
      </c>
      <c r="G63" t="s">
        <v>2525</v>
      </c>
      <c r="H63" t="s">
        <v>2525</v>
      </c>
    </row>
    <row r="64" spans="1:8" x14ac:dyDescent="0.2">
      <c r="A64" t="s">
        <v>1456</v>
      </c>
      <c r="B64" t="s">
        <v>2991</v>
      </c>
      <c r="C64" t="s">
        <v>2990</v>
      </c>
      <c r="E64" t="s">
        <v>1002</v>
      </c>
      <c r="F64">
        <v>4655</v>
      </c>
      <c r="G64">
        <v>3699</v>
      </c>
      <c r="H64">
        <v>-403</v>
      </c>
    </row>
    <row r="65" spans="1:8" x14ac:dyDescent="0.2">
      <c r="A65" t="s">
        <v>1458</v>
      </c>
      <c r="B65" t="s">
        <v>2991</v>
      </c>
      <c r="C65" t="s">
        <v>2992</v>
      </c>
      <c r="E65" t="s">
        <v>783</v>
      </c>
      <c r="F65">
        <v>4655</v>
      </c>
      <c r="G65">
        <v>3515</v>
      </c>
      <c r="H65">
        <v>1010</v>
      </c>
    </row>
    <row r="66" spans="1:8" x14ac:dyDescent="0.2">
      <c r="A66" t="s">
        <v>1539</v>
      </c>
      <c r="B66" t="s">
        <v>2991</v>
      </c>
      <c r="C66" t="s">
        <v>2993</v>
      </c>
      <c r="E66" t="s">
        <v>783</v>
      </c>
      <c r="F66">
        <v>-1048</v>
      </c>
      <c r="G66">
        <v>3541</v>
      </c>
      <c r="H66">
        <v>972</v>
      </c>
    </row>
    <row r="67" spans="1:8" x14ac:dyDescent="0.2">
      <c r="A67" t="s">
        <v>1540</v>
      </c>
      <c r="B67" t="s">
        <v>2991</v>
      </c>
      <c r="C67" t="s">
        <v>2956</v>
      </c>
      <c r="E67" t="s">
        <v>1002</v>
      </c>
      <c r="F67">
        <v>-910</v>
      </c>
      <c r="G67">
        <v>3515</v>
      </c>
      <c r="H67">
        <v>-682</v>
      </c>
    </row>
    <row r="68" spans="1:8" x14ac:dyDescent="0.2">
      <c r="A68" t="s">
        <v>1541</v>
      </c>
      <c r="B68" t="s">
        <v>2991</v>
      </c>
      <c r="C68" t="s">
        <v>800</v>
      </c>
      <c r="E68" t="s">
        <v>785</v>
      </c>
      <c r="F68">
        <v>-1004</v>
      </c>
      <c r="G68">
        <v>3529</v>
      </c>
      <c r="H68">
        <v>227</v>
      </c>
    </row>
    <row r="69" spans="1:8" x14ac:dyDescent="0.2">
      <c r="A69" t="s">
        <v>1658</v>
      </c>
      <c r="B69" t="s">
        <v>2991</v>
      </c>
      <c r="C69" t="s">
        <v>2994</v>
      </c>
      <c r="E69" t="s">
        <v>783</v>
      </c>
      <c r="F69">
        <v>-1815</v>
      </c>
      <c r="G69">
        <v>-3235</v>
      </c>
      <c r="H69">
        <v>1208</v>
      </c>
    </row>
    <row r="70" spans="1:8" x14ac:dyDescent="0.2">
      <c r="A70" t="s">
        <v>1659</v>
      </c>
      <c r="B70" t="s">
        <v>2991</v>
      </c>
      <c r="C70" t="s">
        <v>2957</v>
      </c>
      <c r="E70" t="s">
        <v>1002</v>
      </c>
      <c r="F70">
        <v>-1795</v>
      </c>
      <c r="G70">
        <v>-3579</v>
      </c>
      <c r="H70">
        <v>-539</v>
      </c>
    </row>
    <row r="71" spans="1:8" x14ac:dyDescent="0.2">
      <c r="A71" t="s">
        <v>1115</v>
      </c>
      <c r="B71" t="s">
        <v>850</v>
      </c>
      <c r="C71" t="s">
        <v>782</v>
      </c>
      <c r="E71" t="s">
        <v>785</v>
      </c>
      <c r="F71">
        <v>3324</v>
      </c>
      <c r="G71">
        <v>1535</v>
      </c>
      <c r="H71">
        <v>508</v>
      </c>
    </row>
    <row r="72" spans="1:8" x14ac:dyDescent="0.2">
      <c r="A72" t="s">
        <v>1118</v>
      </c>
      <c r="B72" t="s">
        <v>850</v>
      </c>
      <c r="C72" t="s">
        <v>782</v>
      </c>
      <c r="E72" t="s">
        <v>785</v>
      </c>
      <c r="F72">
        <v>3308</v>
      </c>
      <c r="G72">
        <v>1236</v>
      </c>
      <c r="H72">
        <v>112</v>
      </c>
    </row>
    <row r="73" spans="1:8" x14ac:dyDescent="0.2">
      <c r="A73" t="s">
        <v>1123</v>
      </c>
      <c r="B73" t="s">
        <v>850</v>
      </c>
      <c r="C73" t="s">
        <v>799</v>
      </c>
      <c r="E73" t="s">
        <v>785</v>
      </c>
      <c r="F73">
        <v>-3478</v>
      </c>
      <c r="G73">
        <v>480</v>
      </c>
      <c r="H73">
        <v>275</v>
      </c>
    </row>
    <row r="74" spans="1:8" x14ac:dyDescent="0.2">
      <c r="A74" t="s">
        <v>1124</v>
      </c>
      <c r="B74" t="s">
        <v>850</v>
      </c>
      <c r="C74" t="s">
        <v>2952</v>
      </c>
      <c r="E74" t="s">
        <v>1002</v>
      </c>
      <c r="F74">
        <v>2589</v>
      </c>
      <c r="G74">
        <v>-3504</v>
      </c>
      <c r="H74">
        <v>-630</v>
      </c>
    </row>
    <row r="75" spans="1:8" x14ac:dyDescent="0.2">
      <c r="A75" t="s">
        <v>2999</v>
      </c>
      <c r="B75" t="s">
        <v>850</v>
      </c>
      <c r="E75" t="s">
        <v>2525</v>
      </c>
      <c r="F75" t="s">
        <v>2525</v>
      </c>
      <c r="G75" t="s">
        <v>2525</v>
      </c>
      <c r="H75" t="s">
        <v>2525</v>
      </c>
    </row>
    <row r="76" spans="1:8" x14ac:dyDescent="0.2">
      <c r="A76" t="s">
        <v>3000</v>
      </c>
      <c r="B76" t="s">
        <v>850</v>
      </c>
      <c r="E76" t="s">
        <v>2525</v>
      </c>
      <c r="F76" t="s">
        <v>2525</v>
      </c>
      <c r="G76" t="s">
        <v>2525</v>
      </c>
      <c r="H76" t="s">
        <v>2525</v>
      </c>
    </row>
    <row r="77" spans="1:8" x14ac:dyDescent="0.2">
      <c r="A77" t="s">
        <v>3001</v>
      </c>
      <c r="B77" t="s">
        <v>850</v>
      </c>
      <c r="E77" t="s">
        <v>2525</v>
      </c>
      <c r="F77" t="s">
        <v>2525</v>
      </c>
      <c r="G77" t="s">
        <v>2525</v>
      </c>
      <c r="H77" t="s">
        <v>2525</v>
      </c>
    </row>
    <row r="78" spans="1:8" x14ac:dyDescent="0.2">
      <c r="A78" t="s">
        <v>3002</v>
      </c>
      <c r="B78" t="s">
        <v>850</v>
      </c>
      <c r="E78" t="s">
        <v>2525</v>
      </c>
      <c r="F78" t="s">
        <v>2525</v>
      </c>
      <c r="G78" t="s">
        <v>2525</v>
      </c>
      <c r="H78" t="s">
        <v>2525</v>
      </c>
    </row>
    <row r="79" spans="1:8" x14ac:dyDescent="0.2">
      <c r="A79" t="s">
        <v>3003</v>
      </c>
      <c r="B79" t="s">
        <v>850</v>
      </c>
      <c r="E79" t="s">
        <v>2525</v>
      </c>
      <c r="F79" t="s">
        <v>2525</v>
      </c>
      <c r="G79" t="s">
        <v>2525</v>
      </c>
      <c r="H79" t="s">
        <v>2525</v>
      </c>
    </row>
    <row r="80" spans="1:8" x14ac:dyDescent="0.2">
      <c r="A80" t="s">
        <v>3004</v>
      </c>
      <c r="B80" t="s">
        <v>850</v>
      </c>
      <c r="E80" t="s">
        <v>2525</v>
      </c>
      <c r="F80" t="s">
        <v>2525</v>
      </c>
      <c r="G80" t="s">
        <v>2525</v>
      </c>
      <c r="H80" t="s">
        <v>2525</v>
      </c>
    </row>
    <row r="81" spans="1:8" x14ac:dyDescent="0.2">
      <c r="A81" t="s">
        <v>3005</v>
      </c>
      <c r="B81" t="s">
        <v>850</v>
      </c>
      <c r="E81" t="s">
        <v>2525</v>
      </c>
      <c r="F81" t="s">
        <v>2525</v>
      </c>
      <c r="G81" t="s">
        <v>2525</v>
      </c>
      <c r="H81" t="s">
        <v>2525</v>
      </c>
    </row>
    <row r="82" spans="1:8" x14ac:dyDescent="0.2">
      <c r="A82" t="s">
        <v>3006</v>
      </c>
      <c r="B82" t="s">
        <v>850</v>
      </c>
      <c r="E82" t="s">
        <v>2525</v>
      </c>
      <c r="F82" t="s">
        <v>2525</v>
      </c>
      <c r="G82" t="s">
        <v>2525</v>
      </c>
      <c r="H82" t="s">
        <v>2525</v>
      </c>
    </row>
    <row r="83" spans="1:8" x14ac:dyDescent="0.2">
      <c r="A83" t="s">
        <v>3007</v>
      </c>
      <c r="B83" t="s">
        <v>850</v>
      </c>
      <c r="E83" t="s">
        <v>2525</v>
      </c>
      <c r="F83" t="s">
        <v>2525</v>
      </c>
      <c r="G83" t="s">
        <v>2525</v>
      </c>
      <c r="H83" t="s">
        <v>2525</v>
      </c>
    </row>
    <row r="84" spans="1:8" x14ac:dyDescent="0.2">
      <c r="A84" t="s">
        <v>3008</v>
      </c>
      <c r="B84" t="s">
        <v>850</v>
      </c>
      <c r="E84" t="s">
        <v>2525</v>
      </c>
      <c r="F84" t="s">
        <v>2525</v>
      </c>
      <c r="G84" t="s">
        <v>2525</v>
      </c>
      <c r="H84" t="s">
        <v>2525</v>
      </c>
    </row>
    <row r="85" spans="1:8" x14ac:dyDescent="0.2">
      <c r="A85" t="s">
        <v>3009</v>
      </c>
      <c r="B85" t="s">
        <v>850</v>
      </c>
      <c r="E85" t="s">
        <v>2525</v>
      </c>
      <c r="F85" t="s">
        <v>2525</v>
      </c>
      <c r="G85" t="s">
        <v>2525</v>
      </c>
      <c r="H85" t="s">
        <v>2525</v>
      </c>
    </row>
    <row r="86" spans="1:8" x14ac:dyDescent="0.2">
      <c r="A86" t="s">
        <v>3010</v>
      </c>
      <c r="B86" t="s">
        <v>850</v>
      </c>
      <c r="E86" t="s">
        <v>2525</v>
      </c>
      <c r="F86" t="s">
        <v>2525</v>
      </c>
      <c r="G86" t="s">
        <v>2525</v>
      </c>
      <c r="H86" t="s">
        <v>2525</v>
      </c>
    </row>
    <row r="87" spans="1:8" x14ac:dyDescent="0.2">
      <c r="A87" t="s">
        <v>1126</v>
      </c>
      <c r="B87" t="s">
        <v>850</v>
      </c>
      <c r="C87" t="s">
        <v>790</v>
      </c>
      <c r="E87" t="s">
        <v>785</v>
      </c>
      <c r="F87">
        <v>-1112</v>
      </c>
      <c r="G87">
        <v>-415</v>
      </c>
      <c r="H87">
        <v>63</v>
      </c>
    </row>
    <row r="88" spans="1:8" x14ac:dyDescent="0.2">
      <c r="A88" t="s">
        <v>1131</v>
      </c>
      <c r="B88" t="s">
        <v>850</v>
      </c>
      <c r="C88" t="s">
        <v>790</v>
      </c>
      <c r="E88" t="s">
        <v>785</v>
      </c>
      <c r="F88">
        <v>-1128</v>
      </c>
      <c r="G88">
        <v>-956</v>
      </c>
      <c r="H88">
        <v>46</v>
      </c>
    </row>
    <row r="89" spans="1:8" x14ac:dyDescent="0.2">
      <c r="A89" t="s">
        <v>1148</v>
      </c>
      <c r="B89" t="s">
        <v>850</v>
      </c>
      <c r="C89" t="s">
        <v>2960</v>
      </c>
      <c r="E89" t="s">
        <v>1002</v>
      </c>
      <c r="F89">
        <v>-2232</v>
      </c>
      <c r="G89">
        <v>-385</v>
      </c>
      <c r="H89">
        <v>-750</v>
      </c>
    </row>
    <row r="90" spans="1:8" x14ac:dyDescent="0.2">
      <c r="A90" t="s">
        <v>1151</v>
      </c>
      <c r="B90" t="s">
        <v>850</v>
      </c>
      <c r="C90" t="s">
        <v>790</v>
      </c>
      <c r="E90" t="s">
        <v>785</v>
      </c>
      <c r="F90">
        <v>270</v>
      </c>
      <c r="G90">
        <v>712</v>
      </c>
      <c r="H90">
        <v>4</v>
      </c>
    </row>
    <row r="91" spans="1:8" x14ac:dyDescent="0.2">
      <c r="A91" t="s">
        <v>999</v>
      </c>
      <c r="B91" t="s">
        <v>850</v>
      </c>
      <c r="C91" t="s">
        <v>1013</v>
      </c>
      <c r="E91" t="s">
        <v>783</v>
      </c>
      <c r="F91">
        <v>210</v>
      </c>
      <c r="G91">
        <v>2037</v>
      </c>
      <c r="H91">
        <v>1989</v>
      </c>
    </row>
    <row r="92" spans="1:8" x14ac:dyDescent="0.2">
      <c r="A92" t="s">
        <v>1032</v>
      </c>
      <c r="B92" t="s">
        <v>850</v>
      </c>
      <c r="C92" t="s">
        <v>791</v>
      </c>
      <c r="E92" t="s">
        <v>785</v>
      </c>
      <c r="F92">
        <v>2214</v>
      </c>
      <c r="G92">
        <v>2356</v>
      </c>
      <c r="H92">
        <v>526</v>
      </c>
    </row>
    <row r="93" spans="1:8" x14ac:dyDescent="0.2">
      <c r="A93" t="s">
        <v>1158</v>
      </c>
      <c r="B93" t="s">
        <v>850</v>
      </c>
      <c r="C93" t="s">
        <v>790</v>
      </c>
      <c r="E93" t="s">
        <v>785</v>
      </c>
      <c r="F93">
        <v>-134</v>
      </c>
      <c r="G93">
        <v>-2293</v>
      </c>
      <c r="H93">
        <v>39</v>
      </c>
    </row>
    <row r="94" spans="1:8" x14ac:dyDescent="0.2">
      <c r="A94" t="s">
        <v>1162</v>
      </c>
      <c r="B94" t="s">
        <v>850</v>
      </c>
      <c r="C94" t="s">
        <v>2948</v>
      </c>
      <c r="E94" t="s">
        <v>1002</v>
      </c>
      <c r="F94">
        <v>2020</v>
      </c>
      <c r="G94">
        <v>-2102</v>
      </c>
      <c r="H94">
        <v>-601</v>
      </c>
    </row>
    <row r="95" spans="1:8" x14ac:dyDescent="0.2">
      <c r="A95" t="s">
        <v>1169</v>
      </c>
      <c r="B95" t="s">
        <v>850</v>
      </c>
      <c r="C95" t="s">
        <v>790</v>
      </c>
      <c r="E95" t="s">
        <v>785</v>
      </c>
      <c r="F95">
        <v>-1044</v>
      </c>
      <c r="G95">
        <v>427</v>
      </c>
      <c r="H95">
        <v>35</v>
      </c>
    </row>
    <row r="96" spans="1:8" x14ac:dyDescent="0.2">
      <c r="A96" t="s">
        <v>1175</v>
      </c>
      <c r="B96" t="s">
        <v>850</v>
      </c>
      <c r="C96" t="s">
        <v>790</v>
      </c>
      <c r="E96" t="s">
        <v>785</v>
      </c>
      <c r="F96">
        <v>-224</v>
      </c>
      <c r="G96">
        <v>446</v>
      </c>
      <c r="H96">
        <v>21</v>
      </c>
    </row>
    <row r="97" spans="1:8" x14ac:dyDescent="0.2">
      <c r="A97" t="s">
        <v>1182</v>
      </c>
      <c r="B97" t="s">
        <v>850</v>
      </c>
      <c r="C97" t="s">
        <v>790</v>
      </c>
      <c r="E97" t="s">
        <v>785</v>
      </c>
      <c r="F97">
        <v>-1136</v>
      </c>
      <c r="G97">
        <v>-1233</v>
      </c>
      <c r="H97">
        <v>156</v>
      </c>
    </row>
    <row r="98" spans="1:8" x14ac:dyDescent="0.2">
      <c r="A98" t="s">
        <v>1000</v>
      </c>
      <c r="B98" t="s">
        <v>850</v>
      </c>
      <c r="C98" t="s">
        <v>3011</v>
      </c>
      <c r="E98" t="s">
        <v>783</v>
      </c>
      <c r="F98">
        <v>-2266</v>
      </c>
      <c r="G98">
        <v>728</v>
      </c>
      <c r="H98">
        <v>1895</v>
      </c>
    </row>
    <row r="99" spans="1:8" x14ac:dyDescent="0.2">
      <c r="A99" t="s">
        <v>1198</v>
      </c>
      <c r="B99" t="s">
        <v>850</v>
      </c>
      <c r="C99" t="s">
        <v>2960</v>
      </c>
      <c r="E99" t="s">
        <v>1002</v>
      </c>
      <c r="F99">
        <v>-2219</v>
      </c>
      <c r="G99">
        <v>-957</v>
      </c>
      <c r="H99">
        <v>-542</v>
      </c>
    </row>
    <row r="100" spans="1:8" x14ac:dyDescent="0.2">
      <c r="A100" t="s">
        <v>1212</v>
      </c>
      <c r="B100" t="s">
        <v>850</v>
      </c>
      <c r="C100" t="s">
        <v>798</v>
      </c>
      <c r="E100" t="s">
        <v>785</v>
      </c>
      <c r="F100">
        <v>-3515</v>
      </c>
      <c r="G100">
        <v>-2731</v>
      </c>
      <c r="H100">
        <v>-26</v>
      </c>
    </row>
    <row r="101" spans="1:8" x14ac:dyDescent="0.2">
      <c r="A101" t="s">
        <v>3012</v>
      </c>
      <c r="B101" t="s">
        <v>850</v>
      </c>
      <c r="C101" t="s">
        <v>3013</v>
      </c>
      <c r="E101" t="s">
        <v>785</v>
      </c>
      <c r="F101" t="s">
        <v>2525</v>
      </c>
      <c r="G101" t="s">
        <v>2525</v>
      </c>
      <c r="H101" t="s">
        <v>2525</v>
      </c>
    </row>
    <row r="102" spans="1:8" x14ac:dyDescent="0.2">
      <c r="A102" t="s">
        <v>3012</v>
      </c>
      <c r="B102" t="s">
        <v>850</v>
      </c>
      <c r="C102" t="s">
        <v>1014</v>
      </c>
      <c r="E102" t="s">
        <v>783</v>
      </c>
      <c r="F102" t="s">
        <v>2525</v>
      </c>
      <c r="G102" t="s">
        <v>2525</v>
      </c>
      <c r="H102" t="s">
        <v>2525</v>
      </c>
    </row>
    <row r="103" spans="1:8" x14ac:dyDescent="0.2">
      <c r="A103" t="s">
        <v>3012</v>
      </c>
      <c r="B103" t="s">
        <v>850</v>
      </c>
      <c r="C103" t="s">
        <v>1219</v>
      </c>
      <c r="E103" t="s">
        <v>785</v>
      </c>
      <c r="F103">
        <v>-1626</v>
      </c>
      <c r="G103">
        <v>-1888</v>
      </c>
      <c r="H103">
        <v>2</v>
      </c>
    </row>
    <row r="104" spans="1:8" x14ac:dyDescent="0.2">
      <c r="A104" t="s">
        <v>3012</v>
      </c>
      <c r="B104" t="s">
        <v>850</v>
      </c>
      <c r="C104" t="s">
        <v>1009</v>
      </c>
      <c r="E104" t="s">
        <v>785</v>
      </c>
      <c r="F104" t="s">
        <v>2525</v>
      </c>
      <c r="G104" t="s">
        <v>2525</v>
      </c>
      <c r="H104" t="s">
        <v>2525</v>
      </c>
    </row>
    <row r="105" spans="1:8" x14ac:dyDescent="0.2">
      <c r="A105" t="s">
        <v>3012</v>
      </c>
      <c r="B105" t="s">
        <v>850</v>
      </c>
      <c r="C105" t="s">
        <v>1695</v>
      </c>
      <c r="E105" t="s">
        <v>785</v>
      </c>
      <c r="F105" t="s">
        <v>2525</v>
      </c>
      <c r="G105" t="s">
        <v>2525</v>
      </c>
      <c r="H105" t="s">
        <v>2525</v>
      </c>
    </row>
    <row r="106" spans="1:8" x14ac:dyDescent="0.2">
      <c r="A106" t="s">
        <v>3012</v>
      </c>
      <c r="B106" t="s">
        <v>850</v>
      </c>
      <c r="C106" t="s">
        <v>1525</v>
      </c>
      <c r="E106" t="s">
        <v>783</v>
      </c>
      <c r="F106" t="s">
        <v>2525</v>
      </c>
      <c r="G106" t="s">
        <v>2525</v>
      </c>
      <c r="H106" t="s">
        <v>2525</v>
      </c>
    </row>
    <row r="107" spans="1:8" x14ac:dyDescent="0.2">
      <c r="A107" t="s">
        <v>3012</v>
      </c>
      <c r="B107" t="s">
        <v>850</v>
      </c>
      <c r="C107" t="s">
        <v>1012</v>
      </c>
      <c r="E107" t="s">
        <v>785</v>
      </c>
      <c r="F107" t="s">
        <v>2525</v>
      </c>
      <c r="G107" t="s">
        <v>2525</v>
      </c>
      <c r="H107" t="s">
        <v>2525</v>
      </c>
    </row>
    <row r="108" spans="1:8" x14ac:dyDescent="0.2">
      <c r="A108" t="s">
        <v>3012</v>
      </c>
      <c r="B108" t="s">
        <v>850</v>
      </c>
      <c r="C108" t="s">
        <v>1010</v>
      </c>
      <c r="E108" t="s">
        <v>783</v>
      </c>
      <c r="F108" t="s">
        <v>2525</v>
      </c>
      <c r="G108" t="s">
        <v>2525</v>
      </c>
      <c r="H108" t="s">
        <v>2525</v>
      </c>
    </row>
    <row r="109" spans="1:8" x14ac:dyDescent="0.2">
      <c r="A109" t="s">
        <v>3012</v>
      </c>
      <c r="B109" t="s">
        <v>850</v>
      </c>
      <c r="C109" t="s">
        <v>1006</v>
      </c>
      <c r="E109" t="s">
        <v>783</v>
      </c>
      <c r="F109" t="s">
        <v>2525</v>
      </c>
      <c r="G109" t="s">
        <v>2525</v>
      </c>
      <c r="H109" t="s">
        <v>2525</v>
      </c>
    </row>
    <row r="110" spans="1:8" x14ac:dyDescent="0.2">
      <c r="A110" t="s">
        <v>3012</v>
      </c>
      <c r="B110" t="s">
        <v>850</v>
      </c>
      <c r="C110" t="s">
        <v>1007</v>
      </c>
      <c r="E110" t="s">
        <v>783</v>
      </c>
      <c r="F110" t="s">
        <v>2525</v>
      </c>
      <c r="G110" t="s">
        <v>2525</v>
      </c>
      <c r="H110" t="s">
        <v>2525</v>
      </c>
    </row>
    <row r="111" spans="1:8" x14ac:dyDescent="0.2">
      <c r="A111" t="s">
        <v>3012</v>
      </c>
      <c r="B111" t="s">
        <v>850</v>
      </c>
      <c r="C111" t="s">
        <v>1022</v>
      </c>
      <c r="E111" t="s">
        <v>783</v>
      </c>
      <c r="F111" t="s">
        <v>2525</v>
      </c>
      <c r="G111" t="s">
        <v>2525</v>
      </c>
      <c r="H111" t="s">
        <v>2525</v>
      </c>
    </row>
    <row r="112" spans="1:8" x14ac:dyDescent="0.2">
      <c r="A112" t="s">
        <v>3012</v>
      </c>
      <c r="B112" t="s">
        <v>850</v>
      </c>
      <c r="C112" t="s">
        <v>3014</v>
      </c>
      <c r="E112" t="s">
        <v>785</v>
      </c>
      <c r="F112" t="s">
        <v>2525</v>
      </c>
      <c r="G112" t="s">
        <v>2525</v>
      </c>
      <c r="H112" t="s">
        <v>2525</v>
      </c>
    </row>
    <row r="113" spans="1:8" x14ac:dyDescent="0.2">
      <c r="A113" t="s">
        <v>3012</v>
      </c>
      <c r="B113" t="s">
        <v>850</v>
      </c>
      <c r="C113" t="s">
        <v>3015</v>
      </c>
      <c r="E113" t="s">
        <v>785</v>
      </c>
      <c r="F113" t="s">
        <v>2525</v>
      </c>
      <c r="G113" t="s">
        <v>2525</v>
      </c>
      <c r="H113" t="s">
        <v>2525</v>
      </c>
    </row>
    <row r="114" spans="1:8" x14ac:dyDescent="0.2">
      <c r="A114" t="s">
        <v>3012</v>
      </c>
      <c r="B114" t="s">
        <v>850</v>
      </c>
      <c r="C114" t="s">
        <v>1016</v>
      </c>
      <c r="E114" t="s">
        <v>783</v>
      </c>
      <c r="F114" t="s">
        <v>2525</v>
      </c>
      <c r="G114" t="s">
        <v>2525</v>
      </c>
      <c r="H114" t="s">
        <v>2525</v>
      </c>
    </row>
    <row r="115" spans="1:8" x14ac:dyDescent="0.2">
      <c r="A115" t="s">
        <v>3012</v>
      </c>
      <c r="B115" t="s">
        <v>850</v>
      </c>
      <c r="C115" t="s">
        <v>1015</v>
      </c>
      <c r="E115" t="s">
        <v>783</v>
      </c>
      <c r="F115" t="s">
        <v>2525</v>
      </c>
      <c r="G115" t="s">
        <v>2525</v>
      </c>
      <c r="H115" t="s">
        <v>2525</v>
      </c>
    </row>
    <row r="116" spans="1:8" x14ac:dyDescent="0.2">
      <c r="A116" t="s">
        <v>3012</v>
      </c>
      <c r="B116" t="s">
        <v>850</v>
      </c>
      <c r="C116" t="s">
        <v>1024</v>
      </c>
      <c r="E116" t="s">
        <v>785</v>
      </c>
      <c r="F116" t="s">
        <v>2525</v>
      </c>
      <c r="G116" t="s">
        <v>2525</v>
      </c>
      <c r="H116" t="s">
        <v>2525</v>
      </c>
    </row>
    <row r="117" spans="1:8" x14ac:dyDescent="0.2">
      <c r="A117" t="s">
        <v>3012</v>
      </c>
      <c r="B117" t="s">
        <v>850</v>
      </c>
      <c r="C117" t="s">
        <v>1018</v>
      </c>
      <c r="E117" t="s">
        <v>783</v>
      </c>
      <c r="F117" t="s">
        <v>2525</v>
      </c>
      <c r="G117" t="s">
        <v>2525</v>
      </c>
      <c r="H117" t="s">
        <v>2525</v>
      </c>
    </row>
    <row r="118" spans="1:8" x14ac:dyDescent="0.2">
      <c r="A118" t="s">
        <v>3012</v>
      </c>
      <c r="B118" t="s">
        <v>850</v>
      </c>
      <c r="C118" t="s">
        <v>1021</v>
      </c>
      <c r="E118" t="s">
        <v>785</v>
      </c>
      <c r="F118" t="s">
        <v>2525</v>
      </c>
      <c r="G118" t="s">
        <v>2525</v>
      </c>
      <c r="H118" t="s">
        <v>2525</v>
      </c>
    </row>
    <row r="119" spans="1:8" x14ac:dyDescent="0.2">
      <c r="A119" t="s">
        <v>3012</v>
      </c>
      <c r="B119" t="s">
        <v>850</v>
      </c>
      <c r="C119" t="s">
        <v>1017</v>
      </c>
      <c r="E119" t="s">
        <v>783</v>
      </c>
      <c r="F119" t="s">
        <v>2525</v>
      </c>
      <c r="G119" t="s">
        <v>2525</v>
      </c>
      <c r="H119" t="s">
        <v>2525</v>
      </c>
    </row>
    <row r="120" spans="1:8" x14ac:dyDescent="0.2">
      <c r="A120" t="s">
        <v>3012</v>
      </c>
      <c r="B120" t="s">
        <v>850</v>
      </c>
      <c r="C120" t="s">
        <v>1019</v>
      </c>
      <c r="E120" t="s">
        <v>783</v>
      </c>
      <c r="F120" t="s">
        <v>2525</v>
      </c>
      <c r="G120" t="s">
        <v>2525</v>
      </c>
      <c r="H120" t="s">
        <v>2525</v>
      </c>
    </row>
    <row r="121" spans="1:8" x14ac:dyDescent="0.2">
      <c r="A121" t="s">
        <v>3012</v>
      </c>
      <c r="B121" t="s">
        <v>850</v>
      </c>
      <c r="C121" t="s">
        <v>1028</v>
      </c>
      <c r="E121" t="s">
        <v>785</v>
      </c>
      <c r="F121" t="s">
        <v>2525</v>
      </c>
      <c r="G121" t="s">
        <v>2525</v>
      </c>
      <c r="H121" t="s">
        <v>2525</v>
      </c>
    </row>
    <row r="122" spans="1:8" x14ac:dyDescent="0.2">
      <c r="A122" t="s">
        <v>3012</v>
      </c>
      <c r="B122" t="s">
        <v>850</v>
      </c>
      <c r="C122" t="s">
        <v>1003</v>
      </c>
      <c r="E122" t="s">
        <v>783</v>
      </c>
      <c r="F122" t="s">
        <v>2525</v>
      </c>
      <c r="G122" t="s">
        <v>2525</v>
      </c>
      <c r="H122" t="s">
        <v>2525</v>
      </c>
    </row>
    <row r="123" spans="1:8" x14ac:dyDescent="0.2">
      <c r="A123" t="s">
        <v>3012</v>
      </c>
      <c r="B123" t="s">
        <v>850</v>
      </c>
      <c r="C123" t="s">
        <v>1013</v>
      </c>
      <c r="E123" t="s">
        <v>783</v>
      </c>
      <c r="F123" t="s">
        <v>2525</v>
      </c>
      <c r="G123" t="s">
        <v>2525</v>
      </c>
      <c r="H123" t="s">
        <v>2525</v>
      </c>
    </row>
    <row r="124" spans="1:8" x14ac:dyDescent="0.2">
      <c r="A124" t="s">
        <v>3012</v>
      </c>
      <c r="B124" t="s">
        <v>850</v>
      </c>
      <c r="C124" t="s">
        <v>1026</v>
      </c>
      <c r="E124" t="s">
        <v>783</v>
      </c>
      <c r="F124" t="s">
        <v>2525</v>
      </c>
      <c r="G124" t="s">
        <v>2525</v>
      </c>
      <c r="H124" t="s">
        <v>2525</v>
      </c>
    </row>
    <row r="125" spans="1:8" x14ac:dyDescent="0.2">
      <c r="A125" t="s">
        <v>3012</v>
      </c>
      <c r="B125" t="s">
        <v>850</v>
      </c>
      <c r="C125" t="s">
        <v>1183</v>
      </c>
      <c r="E125" t="s">
        <v>785</v>
      </c>
      <c r="F125" t="s">
        <v>2525</v>
      </c>
      <c r="G125" t="s">
        <v>2525</v>
      </c>
      <c r="H125" t="s">
        <v>2525</v>
      </c>
    </row>
    <row r="126" spans="1:8" x14ac:dyDescent="0.2">
      <c r="A126" t="s">
        <v>3012</v>
      </c>
      <c r="B126" t="s">
        <v>850</v>
      </c>
      <c r="C126" t="s">
        <v>1001</v>
      </c>
      <c r="E126" t="s">
        <v>1002</v>
      </c>
      <c r="F126" t="s">
        <v>2525</v>
      </c>
      <c r="G126" t="s">
        <v>2525</v>
      </c>
      <c r="H126" t="s">
        <v>2525</v>
      </c>
    </row>
    <row r="127" spans="1:8" x14ac:dyDescent="0.2">
      <c r="A127" t="s">
        <v>3012</v>
      </c>
      <c r="B127" t="s">
        <v>850</v>
      </c>
      <c r="C127" t="s">
        <v>999</v>
      </c>
      <c r="E127" t="s">
        <v>785</v>
      </c>
      <c r="F127" t="s">
        <v>2525</v>
      </c>
      <c r="G127" t="s">
        <v>2525</v>
      </c>
      <c r="H127" t="s">
        <v>2525</v>
      </c>
    </row>
    <row r="128" spans="1:8" x14ac:dyDescent="0.2">
      <c r="A128" t="s">
        <v>3012</v>
      </c>
      <c r="B128" t="s">
        <v>850</v>
      </c>
      <c r="C128" t="s">
        <v>1000</v>
      </c>
      <c r="E128" t="s">
        <v>785</v>
      </c>
      <c r="F128" t="s">
        <v>2525</v>
      </c>
      <c r="G128" t="s">
        <v>2525</v>
      </c>
      <c r="H128" t="s">
        <v>2525</v>
      </c>
    </row>
    <row r="129" spans="1:8" x14ac:dyDescent="0.2">
      <c r="A129" t="s">
        <v>3012</v>
      </c>
      <c r="B129" t="s">
        <v>850</v>
      </c>
      <c r="C129" t="s">
        <v>1004</v>
      </c>
      <c r="E129" t="s">
        <v>783</v>
      </c>
      <c r="F129" t="s">
        <v>2525</v>
      </c>
      <c r="G129" t="s">
        <v>2525</v>
      </c>
      <c r="H129" t="s">
        <v>2525</v>
      </c>
    </row>
    <row r="130" spans="1:8" x14ac:dyDescent="0.2">
      <c r="A130" t="s">
        <v>1214</v>
      </c>
      <c r="B130" t="s">
        <v>850</v>
      </c>
      <c r="C130" t="s">
        <v>806</v>
      </c>
      <c r="E130" t="s">
        <v>785</v>
      </c>
      <c r="F130">
        <v>291</v>
      </c>
      <c r="G130">
        <v>-1869</v>
      </c>
      <c r="H130">
        <v>22</v>
      </c>
    </row>
    <row r="131" spans="1:8" x14ac:dyDescent="0.2">
      <c r="A131" t="s">
        <v>1219</v>
      </c>
      <c r="B131" t="s">
        <v>850</v>
      </c>
      <c r="C131" t="s">
        <v>790</v>
      </c>
      <c r="E131" t="s">
        <v>785</v>
      </c>
      <c r="F131">
        <v>-1661</v>
      </c>
      <c r="G131">
        <v>-1531</v>
      </c>
      <c r="H131">
        <v>55</v>
      </c>
    </row>
    <row r="132" spans="1:8" x14ac:dyDescent="0.2">
      <c r="A132" t="s">
        <v>1220</v>
      </c>
      <c r="B132" t="s">
        <v>850</v>
      </c>
      <c r="C132" t="s">
        <v>790</v>
      </c>
      <c r="E132" t="s">
        <v>785</v>
      </c>
      <c r="F132">
        <v>-112</v>
      </c>
      <c r="G132">
        <v>852</v>
      </c>
      <c r="H132">
        <v>105</v>
      </c>
    </row>
    <row r="133" spans="1:8" x14ac:dyDescent="0.2">
      <c r="A133" t="s">
        <v>1225</v>
      </c>
      <c r="B133" t="s">
        <v>850</v>
      </c>
      <c r="C133" t="s">
        <v>799</v>
      </c>
      <c r="E133" t="s">
        <v>785</v>
      </c>
      <c r="F133">
        <v>-4140</v>
      </c>
      <c r="G133">
        <v>1677</v>
      </c>
      <c r="H133">
        <v>130</v>
      </c>
    </row>
    <row r="134" spans="1:8" x14ac:dyDescent="0.2">
      <c r="A134" t="s">
        <v>1037</v>
      </c>
      <c r="B134" t="s">
        <v>850</v>
      </c>
      <c r="C134" t="s">
        <v>2117</v>
      </c>
      <c r="E134" t="s">
        <v>785</v>
      </c>
      <c r="F134">
        <v>1006</v>
      </c>
      <c r="G134">
        <v>-886</v>
      </c>
      <c r="H134">
        <v>36</v>
      </c>
    </row>
    <row r="135" spans="1:8" x14ac:dyDescent="0.2">
      <c r="A135" t="s">
        <v>1243</v>
      </c>
      <c r="B135" t="s">
        <v>850</v>
      </c>
      <c r="C135" t="s">
        <v>798</v>
      </c>
      <c r="E135" t="s">
        <v>785</v>
      </c>
      <c r="F135">
        <v>-2799</v>
      </c>
      <c r="G135">
        <v>-2855</v>
      </c>
      <c r="H135">
        <v>23</v>
      </c>
    </row>
    <row r="136" spans="1:8" x14ac:dyDescent="0.2">
      <c r="A136" t="s">
        <v>845</v>
      </c>
      <c r="B136" t="s">
        <v>850</v>
      </c>
      <c r="C136" t="s">
        <v>806</v>
      </c>
      <c r="E136" t="s">
        <v>785</v>
      </c>
      <c r="F136">
        <v>1844</v>
      </c>
      <c r="G136">
        <v>-903</v>
      </c>
      <c r="H136">
        <v>154</v>
      </c>
    </row>
    <row r="137" spans="1:8" x14ac:dyDescent="0.2">
      <c r="A137" t="s">
        <v>1245</v>
      </c>
      <c r="B137" t="s">
        <v>850</v>
      </c>
      <c r="C137" t="s">
        <v>790</v>
      </c>
      <c r="E137" t="s">
        <v>785</v>
      </c>
      <c r="F137">
        <v>18</v>
      </c>
      <c r="G137">
        <v>-1561</v>
      </c>
      <c r="H137">
        <v>-47</v>
      </c>
    </row>
    <row r="138" spans="1:8" x14ac:dyDescent="0.2">
      <c r="A138" t="s">
        <v>1254</v>
      </c>
      <c r="B138" t="s">
        <v>850</v>
      </c>
      <c r="C138" t="s">
        <v>2996</v>
      </c>
      <c r="E138" t="s">
        <v>1002</v>
      </c>
      <c r="F138">
        <v>1327</v>
      </c>
      <c r="G138">
        <v>3730</v>
      </c>
      <c r="H138">
        <v>-560</v>
      </c>
    </row>
    <row r="139" spans="1:8" x14ac:dyDescent="0.2">
      <c r="A139" t="s">
        <v>1255</v>
      </c>
      <c r="B139" t="s">
        <v>850</v>
      </c>
      <c r="C139" t="s">
        <v>792</v>
      </c>
      <c r="E139" t="s">
        <v>785</v>
      </c>
      <c r="F139">
        <v>1502</v>
      </c>
      <c r="G139">
        <v>3763</v>
      </c>
      <c r="H139">
        <v>104</v>
      </c>
    </row>
    <row r="140" spans="1:8" x14ac:dyDescent="0.2">
      <c r="A140" s="16" t="s">
        <v>3016</v>
      </c>
      <c r="B140" t="s">
        <v>850</v>
      </c>
      <c r="C140" t="s">
        <v>790</v>
      </c>
      <c r="E140" t="s">
        <v>785</v>
      </c>
      <c r="F140" t="s">
        <v>2525</v>
      </c>
      <c r="G140" t="s">
        <v>2525</v>
      </c>
      <c r="H140" t="s">
        <v>2525</v>
      </c>
    </row>
    <row r="141" spans="1:8" x14ac:dyDescent="0.2">
      <c r="A141" t="s">
        <v>1262</v>
      </c>
      <c r="B141" t="s">
        <v>850</v>
      </c>
      <c r="C141" t="s">
        <v>807</v>
      </c>
      <c r="E141" t="s">
        <v>785</v>
      </c>
      <c r="F141">
        <v>4527</v>
      </c>
      <c r="G141">
        <v>-3343</v>
      </c>
      <c r="H141">
        <v>0</v>
      </c>
    </row>
    <row r="142" spans="1:8" x14ac:dyDescent="0.2">
      <c r="A142" t="s">
        <v>1268</v>
      </c>
      <c r="B142" t="s">
        <v>850</v>
      </c>
      <c r="C142" t="s">
        <v>3017</v>
      </c>
      <c r="E142" t="s">
        <v>783</v>
      </c>
      <c r="F142">
        <v>144</v>
      </c>
      <c r="G142">
        <v>-2473</v>
      </c>
      <c r="H142">
        <v>959</v>
      </c>
    </row>
    <row r="143" spans="1:8" x14ac:dyDescent="0.2">
      <c r="A143" t="s">
        <v>1269</v>
      </c>
      <c r="B143" t="s">
        <v>850</v>
      </c>
      <c r="C143" t="s">
        <v>806</v>
      </c>
      <c r="E143" t="s">
        <v>785</v>
      </c>
      <c r="F143">
        <v>407</v>
      </c>
      <c r="G143">
        <v>-3002</v>
      </c>
      <c r="H143">
        <v>12</v>
      </c>
    </row>
    <row r="144" spans="1:8" x14ac:dyDescent="0.2">
      <c r="A144" t="s">
        <v>1275</v>
      </c>
      <c r="B144" t="s">
        <v>850</v>
      </c>
      <c r="C144" t="s">
        <v>790</v>
      </c>
      <c r="E144" t="s">
        <v>785</v>
      </c>
      <c r="F144">
        <v>-356</v>
      </c>
      <c r="G144">
        <v>829</v>
      </c>
      <c r="H144">
        <v>110</v>
      </c>
    </row>
    <row r="145" spans="1:8" x14ac:dyDescent="0.2">
      <c r="A145" t="s">
        <v>3018</v>
      </c>
      <c r="B145" t="s">
        <v>850</v>
      </c>
      <c r="C145" t="s">
        <v>2943</v>
      </c>
      <c r="E145" t="s">
        <v>1002</v>
      </c>
      <c r="F145">
        <v>-332</v>
      </c>
      <c r="G145">
        <v>787</v>
      </c>
      <c r="H145">
        <v>-1249</v>
      </c>
    </row>
    <row r="146" spans="1:8" x14ac:dyDescent="0.2">
      <c r="A146" t="s">
        <v>1005</v>
      </c>
      <c r="B146" t="s">
        <v>850</v>
      </c>
      <c r="C146" t="s">
        <v>790</v>
      </c>
      <c r="E146" t="s">
        <v>785</v>
      </c>
      <c r="F146">
        <v>-1652</v>
      </c>
      <c r="G146">
        <v>-2012</v>
      </c>
      <c r="H146">
        <v>-15</v>
      </c>
    </row>
    <row r="147" spans="1:8" x14ac:dyDescent="0.2">
      <c r="A147" t="s">
        <v>1297</v>
      </c>
      <c r="B147" t="s">
        <v>850</v>
      </c>
      <c r="C147" t="s">
        <v>2944</v>
      </c>
      <c r="E147" t="s">
        <v>1002</v>
      </c>
      <c r="F147">
        <v>-4548</v>
      </c>
      <c r="G147">
        <v>-3718</v>
      </c>
      <c r="H147">
        <v>-477</v>
      </c>
    </row>
    <row r="148" spans="1:8" x14ac:dyDescent="0.2">
      <c r="A148" s="16" t="s">
        <v>3079</v>
      </c>
      <c r="B148" t="s">
        <v>850</v>
      </c>
      <c r="D148">
        <v>14</v>
      </c>
      <c r="E148" t="s">
        <v>785</v>
      </c>
      <c r="F148">
        <v>-3888</v>
      </c>
      <c r="G148">
        <v>-2970</v>
      </c>
      <c r="H148">
        <v>33</v>
      </c>
    </row>
    <row r="149" spans="1:8" x14ac:dyDescent="0.2">
      <c r="A149" t="s">
        <v>1302</v>
      </c>
      <c r="B149" t="s">
        <v>850</v>
      </c>
      <c r="C149" t="s">
        <v>2944</v>
      </c>
      <c r="E149" t="s">
        <v>1002</v>
      </c>
      <c r="F149">
        <v>-4124</v>
      </c>
      <c r="G149">
        <v>-3798</v>
      </c>
      <c r="H149">
        <v>-471</v>
      </c>
    </row>
    <row r="150" spans="1:8" x14ac:dyDescent="0.2">
      <c r="A150" t="s">
        <v>1307</v>
      </c>
      <c r="B150" t="s">
        <v>850</v>
      </c>
      <c r="C150" t="s">
        <v>799</v>
      </c>
      <c r="E150" t="s">
        <v>785</v>
      </c>
      <c r="F150">
        <v>-3947</v>
      </c>
      <c r="G150">
        <v>1127</v>
      </c>
      <c r="H150">
        <v>102</v>
      </c>
    </row>
    <row r="151" spans="1:8" x14ac:dyDescent="0.2">
      <c r="A151" t="s">
        <v>1309</v>
      </c>
      <c r="B151" t="s">
        <v>850</v>
      </c>
      <c r="C151" t="s">
        <v>2946</v>
      </c>
      <c r="E151" t="s">
        <v>1002</v>
      </c>
      <c r="F151">
        <v>133</v>
      </c>
      <c r="G151">
        <v>3125</v>
      </c>
      <c r="H151">
        <v>-622</v>
      </c>
    </row>
    <row r="152" spans="1:8" x14ac:dyDescent="0.2">
      <c r="A152" t="s">
        <v>3019</v>
      </c>
      <c r="B152" t="s">
        <v>850</v>
      </c>
      <c r="C152" t="s">
        <v>2943</v>
      </c>
      <c r="E152" t="s">
        <v>1002</v>
      </c>
      <c r="F152" t="s">
        <v>2525</v>
      </c>
      <c r="G152" t="s">
        <v>2525</v>
      </c>
      <c r="H152" t="s">
        <v>2525</v>
      </c>
    </row>
    <row r="153" spans="1:8" x14ac:dyDescent="0.2">
      <c r="A153" t="s">
        <v>3020</v>
      </c>
      <c r="B153" t="s">
        <v>850</v>
      </c>
      <c r="C153" t="s">
        <v>2943</v>
      </c>
      <c r="E153" t="s">
        <v>1002</v>
      </c>
      <c r="F153">
        <v>-263</v>
      </c>
      <c r="G153">
        <v>1035</v>
      </c>
      <c r="H153">
        <v>-1614</v>
      </c>
    </row>
    <row r="154" spans="1:8" x14ac:dyDescent="0.2">
      <c r="A154" t="s">
        <v>1311</v>
      </c>
      <c r="B154" t="s">
        <v>850</v>
      </c>
      <c r="C154" t="s">
        <v>800</v>
      </c>
      <c r="E154" t="s">
        <v>785</v>
      </c>
      <c r="F154">
        <v>-3442</v>
      </c>
      <c r="G154">
        <v>3546</v>
      </c>
      <c r="H154">
        <v>-106</v>
      </c>
    </row>
    <row r="155" spans="1:8" x14ac:dyDescent="0.2">
      <c r="A155" t="s">
        <v>1315</v>
      </c>
      <c r="B155" t="s">
        <v>850</v>
      </c>
      <c r="C155" t="s">
        <v>803</v>
      </c>
      <c r="E155" t="s">
        <v>785</v>
      </c>
      <c r="F155">
        <v>1620</v>
      </c>
      <c r="G155">
        <v>-282</v>
      </c>
      <c r="H155">
        <v>4</v>
      </c>
    </row>
    <row r="156" spans="1:8" x14ac:dyDescent="0.2">
      <c r="A156" t="s">
        <v>1333</v>
      </c>
      <c r="B156" t="s">
        <v>850</v>
      </c>
      <c r="C156" t="s">
        <v>790</v>
      </c>
      <c r="E156" t="s">
        <v>785</v>
      </c>
      <c r="F156">
        <v>-369</v>
      </c>
      <c r="G156">
        <v>847</v>
      </c>
      <c r="H156">
        <v>72</v>
      </c>
    </row>
    <row r="157" spans="1:8" x14ac:dyDescent="0.2">
      <c r="A157" t="s">
        <v>1335</v>
      </c>
      <c r="B157" t="s">
        <v>850</v>
      </c>
      <c r="C157" t="s">
        <v>794</v>
      </c>
      <c r="E157" t="s">
        <v>785</v>
      </c>
      <c r="F157">
        <v>1004</v>
      </c>
      <c r="G157">
        <v>-3457</v>
      </c>
      <c r="H157">
        <v>-91</v>
      </c>
    </row>
    <row r="158" spans="1:8" x14ac:dyDescent="0.2">
      <c r="A158" t="s">
        <v>1045</v>
      </c>
      <c r="B158" t="s">
        <v>850</v>
      </c>
      <c r="C158" t="s">
        <v>791</v>
      </c>
      <c r="E158" t="s">
        <v>785</v>
      </c>
      <c r="F158">
        <v>2616</v>
      </c>
      <c r="G158">
        <v>3464</v>
      </c>
      <c r="H158">
        <v>338</v>
      </c>
    </row>
    <row r="159" spans="1:8" x14ac:dyDescent="0.2">
      <c r="A159" t="s">
        <v>1341</v>
      </c>
      <c r="B159" t="s">
        <v>850</v>
      </c>
      <c r="C159" t="s">
        <v>805</v>
      </c>
      <c r="E159" t="s">
        <v>785</v>
      </c>
      <c r="F159">
        <v>3778</v>
      </c>
      <c r="G159">
        <v>-2127</v>
      </c>
      <c r="H159">
        <v>230</v>
      </c>
    </row>
    <row r="160" spans="1:8" x14ac:dyDescent="0.2">
      <c r="A160" t="s">
        <v>1344</v>
      </c>
      <c r="B160" t="s">
        <v>850</v>
      </c>
      <c r="C160" t="s">
        <v>1346</v>
      </c>
      <c r="E160" t="s">
        <v>785</v>
      </c>
      <c r="F160">
        <v>3619</v>
      </c>
      <c r="G160">
        <v>-2095</v>
      </c>
      <c r="H160">
        <v>178</v>
      </c>
    </row>
    <row r="161" spans="1:8" x14ac:dyDescent="0.2">
      <c r="A161" t="s">
        <v>1345</v>
      </c>
      <c r="B161" t="s">
        <v>850</v>
      </c>
      <c r="C161" t="s">
        <v>1346</v>
      </c>
      <c r="E161" t="s">
        <v>785</v>
      </c>
      <c r="F161">
        <v>3367</v>
      </c>
      <c r="G161">
        <v>-1975</v>
      </c>
      <c r="H161">
        <v>142</v>
      </c>
    </row>
    <row r="162" spans="1:8" x14ac:dyDescent="0.2">
      <c r="A162" t="s">
        <v>1353</v>
      </c>
      <c r="B162" t="s">
        <v>850</v>
      </c>
      <c r="C162" t="s">
        <v>2956</v>
      </c>
      <c r="E162" t="s">
        <v>1002</v>
      </c>
      <c r="F162">
        <v>-3633</v>
      </c>
      <c r="G162">
        <v>3708</v>
      </c>
      <c r="H162">
        <v>-785</v>
      </c>
    </row>
    <row r="163" spans="1:8" x14ac:dyDescent="0.2">
      <c r="A163" t="s">
        <v>1047</v>
      </c>
      <c r="B163" t="s">
        <v>850</v>
      </c>
      <c r="C163" t="s">
        <v>800</v>
      </c>
      <c r="E163" t="s">
        <v>785</v>
      </c>
      <c r="F163">
        <v>-3584</v>
      </c>
      <c r="G163">
        <v>2246</v>
      </c>
      <c r="H163">
        <v>140</v>
      </c>
    </row>
    <row r="164" spans="1:8" x14ac:dyDescent="0.2">
      <c r="A164" t="s">
        <v>1365</v>
      </c>
      <c r="B164" t="s">
        <v>850</v>
      </c>
      <c r="C164" t="s">
        <v>789</v>
      </c>
      <c r="E164" t="s">
        <v>785</v>
      </c>
      <c r="F164">
        <v>396</v>
      </c>
      <c r="G164">
        <v>1154</v>
      </c>
      <c r="H164">
        <v>20</v>
      </c>
    </row>
    <row r="165" spans="1:8" x14ac:dyDescent="0.2">
      <c r="A165" t="s">
        <v>1376</v>
      </c>
      <c r="B165" t="s">
        <v>850</v>
      </c>
      <c r="C165" t="s">
        <v>806</v>
      </c>
      <c r="E165" t="s">
        <v>785</v>
      </c>
      <c r="F165">
        <v>709</v>
      </c>
      <c r="G165">
        <v>-993</v>
      </c>
      <c r="H165">
        <v>12</v>
      </c>
    </row>
    <row r="166" spans="1:8" x14ac:dyDescent="0.2">
      <c r="A166" t="s">
        <v>1049</v>
      </c>
      <c r="B166" t="s">
        <v>850</v>
      </c>
      <c r="C166" t="s">
        <v>790</v>
      </c>
      <c r="E166" t="s">
        <v>785</v>
      </c>
      <c r="F166">
        <v>-254</v>
      </c>
      <c r="G166">
        <v>376</v>
      </c>
      <c r="H166">
        <v>-147</v>
      </c>
    </row>
    <row r="167" spans="1:8" x14ac:dyDescent="0.2">
      <c r="A167" t="s">
        <v>1384</v>
      </c>
      <c r="B167" t="s">
        <v>850</v>
      </c>
      <c r="C167" t="s">
        <v>790</v>
      </c>
      <c r="E167" t="s">
        <v>785</v>
      </c>
      <c r="F167">
        <v>192</v>
      </c>
      <c r="G167">
        <v>926</v>
      </c>
      <c r="H167">
        <v>47</v>
      </c>
    </row>
    <row r="168" spans="1:8" x14ac:dyDescent="0.2">
      <c r="A168" t="s">
        <v>3021</v>
      </c>
      <c r="B168" t="s">
        <v>850</v>
      </c>
      <c r="C168" t="s">
        <v>2943</v>
      </c>
      <c r="E168" t="s">
        <v>1002</v>
      </c>
      <c r="F168">
        <v>-267</v>
      </c>
      <c r="G168">
        <v>997</v>
      </c>
      <c r="H168">
        <v>-1294</v>
      </c>
    </row>
    <row r="169" spans="1:8" x14ac:dyDescent="0.2">
      <c r="A169" t="s">
        <v>1390</v>
      </c>
      <c r="B169" t="s">
        <v>850</v>
      </c>
      <c r="C169" t="s">
        <v>801</v>
      </c>
      <c r="E169" t="s">
        <v>785</v>
      </c>
      <c r="F169">
        <v>2344</v>
      </c>
      <c r="G169">
        <v>249</v>
      </c>
      <c r="H169">
        <v>14</v>
      </c>
    </row>
    <row r="170" spans="1:8" x14ac:dyDescent="0.2">
      <c r="A170" t="s">
        <v>1395</v>
      </c>
      <c r="B170" t="s">
        <v>850</v>
      </c>
      <c r="C170" t="s">
        <v>790</v>
      </c>
      <c r="E170" t="s">
        <v>785</v>
      </c>
      <c r="F170">
        <v>-1690</v>
      </c>
      <c r="G170">
        <v>-131</v>
      </c>
      <c r="H170">
        <v>85</v>
      </c>
    </row>
    <row r="171" spans="1:8" x14ac:dyDescent="0.2">
      <c r="A171" t="s">
        <v>1399</v>
      </c>
      <c r="B171" t="s">
        <v>850</v>
      </c>
      <c r="C171" t="s">
        <v>806</v>
      </c>
      <c r="E171" t="s">
        <v>785</v>
      </c>
      <c r="F171">
        <v>1800</v>
      </c>
      <c r="G171">
        <v>-1484</v>
      </c>
      <c r="H171">
        <v>26</v>
      </c>
    </row>
    <row r="172" spans="1:8" x14ac:dyDescent="0.2">
      <c r="A172" t="s">
        <v>1413</v>
      </c>
      <c r="B172" t="s">
        <v>850</v>
      </c>
      <c r="C172" t="s">
        <v>790</v>
      </c>
      <c r="E172" t="s">
        <v>785</v>
      </c>
      <c r="F172">
        <v>-436</v>
      </c>
      <c r="G172">
        <v>-1278</v>
      </c>
      <c r="H172">
        <v>30</v>
      </c>
    </row>
    <row r="173" spans="1:8" x14ac:dyDescent="0.2">
      <c r="A173" t="s">
        <v>1417</v>
      </c>
      <c r="B173" t="s">
        <v>850</v>
      </c>
      <c r="C173" t="s">
        <v>789</v>
      </c>
      <c r="E173" t="s">
        <v>785</v>
      </c>
      <c r="F173">
        <v>419</v>
      </c>
      <c r="G173">
        <v>2140</v>
      </c>
      <c r="H173">
        <v>-106</v>
      </c>
    </row>
    <row r="174" spans="1:8" x14ac:dyDescent="0.2">
      <c r="A174" t="s">
        <v>1418</v>
      </c>
      <c r="B174" t="s">
        <v>850</v>
      </c>
      <c r="C174" t="s">
        <v>2946</v>
      </c>
      <c r="E174" t="s">
        <v>1002</v>
      </c>
      <c r="F174">
        <v>406</v>
      </c>
      <c r="G174">
        <v>2100</v>
      </c>
      <c r="H174">
        <v>-560</v>
      </c>
    </row>
    <row r="175" spans="1:8" x14ac:dyDescent="0.2">
      <c r="A175" t="s">
        <v>1440</v>
      </c>
      <c r="B175" t="s">
        <v>850</v>
      </c>
      <c r="C175" t="s">
        <v>805</v>
      </c>
      <c r="E175" t="s">
        <v>785</v>
      </c>
      <c r="F175">
        <v>3222</v>
      </c>
      <c r="G175">
        <v>-1172</v>
      </c>
      <c r="H175">
        <v>157</v>
      </c>
    </row>
    <row r="176" spans="1:8" x14ac:dyDescent="0.2">
      <c r="A176" t="s">
        <v>1447</v>
      </c>
      <c r="B176" t="s">
        <v>850</v>
      </c>
      <c r="C176" t="s">
        <v>2958</v>
      </c>
      <c r="E176" t="s">
        <v>1002</v>
      </c>
      <c r="F176">
        <v>706</v>
      </c>
      <c r="G176">
        <v>-2432</v>
      </c>
      <c r="H176">
        <v>-524</v>
      </c>
    </row>
    <row r="177" spans="1:8" x14ac:dyDescent="0.2">
      <c r="A177" t="s">
        <v>1011</v>
      </c>
      <c r="B177" t="s">
        <v>850</v>
      </c>
      <c r="C177" t="s">
        <v>2958</v>
      </c>
      <c r="E177" t="s">
        <v>1002</v>
      </c>
      <c r="F177">
        <v>1016</v>
      </c>
      <c r="G177">
        <v>-2293</v>
      </c>
      <c r="H177">
        <v>-533</v>
      </c>
    </row>
    <row r="178" spans="1:8" x14ac:dyDescent="0.2">
      <c r="A178" t="s">
        <v>1012</v>
      </c>
      <c r="B178" t="s">
        <v>850</v>
      </c>
      <c r="C178" t="s">
        <v>3022</v>
      </c>
      <c r="E178" t="s">
        <v>783</v>
      </c>
      <c r="F178">
        <v>-3593</v>
      </c>
      <c r="G178">
        <v>943</v>
      </c>
      <c r="H178">
        <v>1731</v>
      </c>
    </row>
    <row r="179" spans="1:8" x14ac:dyDescent="0.2">
      <c r="A179" t="s">
        <v>1453</v>
      </c>
      <c r="B179" t="s">
        <v>850</v>
      </c>
      <c r="C179" t="s">
        <v>782</v>
      </c>
      <c r="E179" t="s">
        <v>785</v>
      </c>
      <c r="F179">
        <v>4208</v>
      </c>
      <c r="G179">
        <v>1380</v>
      </c>
      <c r="H179">
        <v>208</v>
      </c>
    </row>
    <row r="180" spans="1:8" x14ac:dyDescent="0.2">
      <c r="A180" t="s">
        <v>3023</v>
      </c>
      <c r="B180" t="s">
        <v>850</v>
      </c>
      <c r="C180" t="s">
        <v>789</v>
      </c>
      <c r="E180" t="s">
        <v>785</v>
      </c>
      <c r="F180" t="s">
        <v>2525</v>
      </c>
      <c r="G180" t="s">
        <v>2525</v>
      </c>
      <c r="H180" t="s">
        <v>2525</v>
      </c>
    </row>
    <row r="181" spans="1:8" x14ac:dyDescent="0.2">
      <c r="A181" s="16" t="s">
        <v>1465</v>
      </c>
      <c r="B181" t="s">
        <v>850</v>
      </c>
      <c r="C181" t="s">
        <v>799</v>
      </c>
      <c r="E181" t="s">
        <v>785</v>
      </c>
      <c r="F181">
        <v>-3256</v>
      </c>
      <c r="G181">
        <v>1758</v>
      </c>
      <c r="H181">
        <v>151</v>
      </c>
    </row>
    <row r="182" spans="1:8" x14ac:dyDescent="0.2">
      <c r="A182" t="s">
        <v>1470</v>
      </c>
      <c r="B182" t="s">
        <v>850</v>
      </c>
      <c r="C182" t="s">
        <v>1468</v>
      </c>
      <c r="E182" t="s">
        <v>785</v>
      </c>
      <c r="F182">
        <v>2978</v>
      </c>
      <c r="G182">
        <v>-3690</v>
      </c>
      <c r="H182">
        <v>2</v>
      </c>
    </row>
    <row r="183" spans="1:8" x14ac:dyDescent="0.2">
      <c r="A183" t="s">
        <v>1473</v>
      </c>
      <c r="B183" t="s">
        <v>850</v>
      </c>
      <c r="C183" t="s">
        <v>790</v>
      </c>
      <c r="E183" t="s">
        <v>785</v>
      </c>
      <c r="F183">
        <v>-37</v>
      </c>
      <c r="G183">
        <v>-186</v>
      </c>
      <c r="H183">
        <v>-106</v>
      </c>
    </row>
    <row r="184" spans="1:8" x14ac:dyDescent="0.2">
      <c r="A184" t="s">
        <v>1481</v>
      </c>
      <c r="B184" t="s">
        <v>850</v>
      </c>
      <c r="C184" t="s">
        <v>790</v>
      </c>
      <c r="E184" t="s">
        <v>785</v>
      </c>
      <c r="F184">
        <v>-1813</v>
      </c>
      <c r="G184">
        <v>1612</v>
      </c>
      <c r="H184">
        <v>106</v>
      </c>
    </row>
    <row r="185" spans="1:8" x14ac:dyDescent="0.2">
      <c r="A185" t="s">
        <v>1486</v>
      </c>
      <c r="B185" t="s">
        <v>850</v>
      </c>
      <c r="C185" t="s">
        <v>2948</v>
      </c>
      <c r="E185" t="s">
        <v>1002</v>
      </c>
      <c r="F185">
        <v>2253</v>
      </c>
      <c r="G185">
        <v>-2366</v>
      </c>
      <c r="H185">
        <v>-556</v>
      </c>
    </row>
    <row r="186" spans="1:8" x14ac:dyDescent="0.2">
      <c r="A186" t="s">
        <v>1497</v>
      </c>
      <c r="B186" t="s">
        <v>850</v>
      </c>
      <c r="C186" t="s">
        <v>790</v>
      </c>
      <c r="E186" t="s">
        <v>785</v>
      </c>
      <c r="F186">
        <v>-1687</v>
      </c>
      <c r="G186">
        <v>-1668</v>
      </c>
      <c r="H186">
        <v>20</v>
      </c>
    </row>
    <row r="187" spans="1:8" x14ac:dyDescent="0.2">
      <c r="A187" t="s">
        <v>1502</v>
      </c>
      <c r="B187" t="s">
        <v>850</v>
      </c>
      <c r="C187" t="s">
        <v>790</v>
      </c>
      <c r="E187" t="s">
        <v>785</v>
      </c>
      <c r="F187">
        <v>599</v>
      </c>
      <c r="G187">
        <v>660</v>
      </c>
      <c r="H187">
        <v>21</v>
      </c>
    </row>
    <row r="188" spans="1:8" x14ac:dyDescent="0.2">
      <c r="A188" t="s">
        <v>1504</v>
      </c>
      <c r="B188" t="s">
        <v>850</v>
      </c>
      <c r="C188" t="s">
        <v>1695</v>
      </c>
      <c r="E188" t="s">
        <v>785</v>
      </c>
      <c r="F188">
        <v>3960</v>
      </c>
      <c r="G188">
        <v>1653</v>
      </c>
      <c r="H188">
        <v>129</v>
      </c>
    </row>
    <row r="189" spans="1:8" x14ac:dyDescent="0.2">
      <c r="A189" t="s">
        <v>1505</v>
      </c>
      <c r="B189" t="s">
        <v>850</v>
      </c>
      <c r="C189" t="s">
        <v>803</v>
      </c>
      <c r="E189" t="s">
        <v>785</v>
      </c>
      <c r="F189">
        <v>1527</v>
      </c>
      <c r="G189">
        <v>218</v>
      </c>
      <c r="H189">
        <v>-38</v>
      </c>
    </row>
    <row r="190" spans="1:8" x14ac:dyDescent="0.2">
      <c r="A190" t="s">
        <v>1534</v>
      </c>
      <c r="B190" t="s">
        <v>850</v>
      </c>
      <c r="C190" t="s">
        <v>3024</v>
      </c>
      <c r="E190" t="s">
        <v>783</v>
      </c>
      <c r="F190">
        <v>4310</v>
      </c>
      <c r="G190">
        <v>2930</v>
      </c>
      <c r="H190">
        <v>1008</v>
      </c>
    </row>
    <row r="191" spans="1:8" x14ac:dyDescent="0.2">
      <c r="A191" t="s">
        <v>1536</v>
      </c>
      <c r="B191" t="s">
        <v>850</v>
      </c>
      <c r="C191" t="s">
        <v>798</v>
      </c>
      <c r="E191" t="s">
        <v>785</v>
      </c>
      <c r="F191">
        <v>-3763</v>
      </c>
      <c r="G191">
        <v>-2701</v>
      </c>
      <c r="H191">
        <v>35</v>
      </c>
    </row>
    <row r="192" spans="1:8" x14ac:dyDescent="0.2">
      <c r="A192" t="s">
        <v>1543</v>
      </c>
      <c r="B192" t="s">
        <v>850</v>
      </c>
      <c r="C192" t="s">
        <v>798</v>
      </c>
      <c r="E192" t="s">
        <v>785</v>
      </c>
      <c r="F192">
        <v>-3749</v>
      </c>
      <c r="G192">
        <v>-2291</v>
      </c>
      <c r="H192">
        <v>26</v>
      </c>
    </row>
    <row r="193" spans="1:8" x14ac:dyDescent="0.2">
      <c r="A193" t="s">
        <v>1548</v>
      </c>
      <c r="B193" t="s">
        <v>850</v>
      </c>
      <c r="C193" t="s">
        <v>790</v>
      </c>
      <c r="E193" t="s">
        <v>785</v>
      </c>
      <c r="F193">
        <v>517</v>
      </c>
      <c r="G193">
        <v>497</v>
      </c>
      <c r="H193">
        <v>-15</v>
      </c>
    </row>
    <row r="194" spans="1:8" x14ac:dyDescent="0.2">
      <c r="A194" t="s">
        <v>1556</v>
      </c>
      <c r="B194" t="s">
        <v>850</v>
      </c>
      <c r="C194" t="s">
        <v>805</v>
      </c>
      <c r="E194" t="s">
        <v>785</v>
      </c>
      <c r="F194">
        <v>3548</v>
      </c>
      <c r="G194">
        <v>-3407</v>
      </c>
      <c r="H194">
        <v>8</v>
      </c>
    </row>
    <row r="195" spans="1:8" x14ac:dyDescent="0.2">
      <c r="A195" t="s">
        <v>1574</v>
      </c>
      <c r="B195" t="s">
        <v>850</v>
      </c>
      <c r="C195" t="s">
        <v>790</v>
      </c>
      <c r="E195" t="s">
        <v>785</v>
      </c>
      <c r="F195">
        <v>153</v>
      </c>
      <c r="G195">
        <v>-1604</v>
      </c>
      <c r="H195">
        <v>23</v>
      </c>
    </row>
    <row r="196" spans="1:8" x14ac:dyDescent="0.2">
      <c r="A196" t="s">
        <v>1586</v>
      </c>
      <c r="B196" t="s">
        <v>850</v>
      </c>
      <c r="C196" t="s">
        <v>789</v>
      </c>
      <c r="E196" t="s">
        <v>785</v>
      </c>
      <c r="F196">
        <v>676</v>
      </c>
      <c r="G196">
        <v>1283</v>
      </c>
      <c r="H196">
        <v>40</v>
      </c>
    </row>
    <row r="197" spans="1:8" x14ac:dyDescent="0.2">
      <c r="A197" t="s">
        <v>1081</v>
      </c>
      <c r="B197" t="s">
        <v>850</v>
      </c>
      <c r="C197" t="s">
        <v>790</v>
      </c>
      <c r="E197" t="s">
        <v>785</v>
      </c>
      <c r="F197">
        <v>821</v>
      </c>
      <c r="G197">
        <v>-21</v>
      </c>
      <c r="H197">
        <v>26</v>
      </c>
    </row>
    <row r="198" spans="1:8" x14ac:dyDescent="0.2">
      <c r="A198" t="s">
        <v>1593</v>
      </c>
      <c r="B198" t="s">
        <v>850</v>
      </c>
      <c r="C198" t="s">
        <v>2952</v>
      </c>
      <c r="E198" t="s">
        <v>1002</v>
      </c>
      <c r="F198">
        <v>3832</v>
      </c>
      <c r="G198">
        <v>-2028</v>
      </c>
      <c r="H198">
        <v>-458</v>
      </c>
    </row>
    <row r="199" spans="1:8" x14ac:dyDescent="0.2">
      <c r="A199" t="s">
        <v>1595</v>
      </c>
      <c r="B199" t="s">
        <v>850</v>
      </c>
      <c r="C199" t="s">
        <v>2948</v>
      </c>
      <c r="E199" t="s">
        <v>1002</v>
      </c>
      <c r="F199">
        <v>569</v>
      </c>
      <c r="G199">
        <v>-2112</v>
      </c>
      <c r="H199">
        <v>-509</v>
      </c>
    </row>
    <row r="200" spans="1:8" x14ac:dyDescent="0.2">
      <c r="A200" t="s">
        <v>1596</v>
      </c>
      <c r="B200" t="s">
        <v>850</v>
      </c>
      <c r="C200" t="s">
        <v>2948</v>
      </c>
      <c r="E200" t="s">
        <v>1002</v>
      </c>
      <c r="F200">
        <v>1144</v>
      </c>
      <c r="G200">
        <v>-2117</v>
      </c>
      <c r="H200">
        <v>-440</v>
      </c>
    </row>
    <row r="201" spans="1:8" x14ac:dyDescent="0.2">
      <c r="A201" t="s">
        <v>1600</v>
      </c>
      <c r="B201" t="s">
        <v>850</v>
      </c>
      <c r="C201" t="s">
        <v>806</v>
      </c>
      <c r="E201" t="s">
        <v>785</v>
      </c>
      <c r="F201">
        <v>1812</v>
      </c>
      <c r="G201">
        <v>-952</v>
      </c>
      <c r="H201">
        <v>113</v>
      </c>
    </row>
    <row r="202" spans="1:8" x14ac:dyDescent="0.2">
      <c r="A202" t="s">
        <v>2685</v>
      </c>
      <c r="B202" t="s">
        <v>850</v>
      </c>
      <c r="C202" t="s">
        <v>2993</v>
      </c>
      <c r="E202" t="s">
        <v>783</v>
      </c>
      <c r="F202">
        <v>-2721</v>
      </c>
      <c r="G202">
        <v>2941</v>
      </c>
      <c r="H202">
        <v>890</v>
      </c>
    </row>
    <row r="203" spans="1:8" x14ac:dyDescent="0.2">
      <c r="A203" t="s">
        <v>3025</v>
      </c>
      <c r="B203" t="s">
        <v>850</v>
      </c>
      <c r="C203" t="s">
        <v>997</v>
      </c>
      <c r="E203" t="s">
        <v>783</v>
      </c>
      <c r="F203" t="s">
        <v>2525</v>
      </c>
      <c r="G203" t="s">
        <v>2525</v>
      </c>
      <c r="H203" t="s">
        <v>2525</v>
      </c>
    </row>
    <row r="204" spans="1:8" x14ac:dyDescent="0.2">
      <c r="A204" t="s">
        <v>1616</v>
      </c>
      <c r="B204" t="s">
        <v>850</v>
      </c>
      <c r="C204" t="s">
        <v>790</v>
      </c>
      <c r="E204" t="s">
        <v>785</v>
      </c>
      <c r="F204">
        <v>-1210</v>
      </c>
      <c r="G204">
        <v>1118</v>
      </c>
      <c r="H204">
        <v>102</v>
      </c>
    </row>
    <row r="205" spans="1:8" x14ac:dyDescent="0.2">
      <c r="A205" t="s">
        <v>1626</v>
      </c>
      <c r="B205" t="s">
        <v>850</v>
      </c>
      <c r="C205" t="s">
        <v>790</v>
      </c>
      <c r="E205" t="s">
        <v>785</v>
      </c>
      <c r="F205">
        <v>-1352</v>
      </c>
      <c r="G205">
        <v>-217</v>
      </c>
      <c r="H205">
        <v>-106</v>
      </c>
    </row>
    <row r="206" spans="1:8" x14ac:dyDescent="0.2">
      <c r="A206" t="s">
        <v>1633</v>
      </c>
      <c r="B206" t="s">
        <v>850</v>
      </c>
      <c r="C206" t="s">
        <v>806</v>
      </c>
      <c r="E206" t="s">
        <v>785</v>
      </c>
      <c r="F206">
        <v>1025</v>
      </c>
      <c r="G206">
        <v>-3235</v>
      </c>
      <c r="H206">
        <v>20</v>
      </c>
    </row>
    <row r="207" spans="1:8" x14ac:dyDescent="0.2">
      <c r="A207" t="s">
        <v>1638</v>
      </c>
      <c r="B207" t="s">
        <v>850</v>
      </c>
      <c r="C207" t="s">
        <v>790</v>
      </c>
      <c r="E207" t="s">
        <v>785</v>
      </c>
      <c r="F207">
        <v>-179</v>
      </c>
      <c r="G207">
        <v>872</v>
      </c>
      <c r="H207">
        <v>292</v>
      </c>
    </row>
    <row r="208" spans="1:8" x14ac:dyDescent="0.2">
      <c r="A208" t="s">
        <v>1639</v>
      </c>
      <c r="B208" t="s">
        <v>850</v>
      </c>
      <c r="C208" t="s">
        <v>2943</v>
      </c>
      <c r="E208" t="s">
        <v>1002</v>
      </c>
      <c r="F208">
        <v>-1099</v>
      </c>
      <c r="G208">
        <v>-1898</v>
      </c>
      <c r="H208">
        <v>-745</v>
      </c>
    </row>
    <row r="209" spans="1:8" x14ac:dyDescent="0.2">
      <c r="A209" t="s">
        <v>1640</v>
      </c>
      <c r="B209" t="s">
        <v>850</v>
      </c>
      <c r="E209" t="s">
        <v>2525</v>
      </c>
      <c r="F209">
        <v>-2958</v>
      </c>
      <c r="G209">
        <v>3136</v>
      </c>
      <c r="H209">
        <v>571</v>
      </c>
    </row>
    <row r="210" spans="1:8" x14ac:dyDescent="0.2">
      <c r="A210" t="s">
        <v>1642</v>
      </c>
      <c r="B210" t="s">
        <v>850</v>
      </c>
      <c r="C210" t="s">
        <v>791</v>
      </c>
      <c r="E210" t="s">
        <v>785</v>
      </c>
      <c r="F210">
        <v>3045</v>
      </c>
      <c r="G210">
        <v>2281</v>
      </c>
      <c r="H210">
        <v>339</v>
      </c>
    </row>
    <row r="211" spans="1:8" x14ac:dyDescent="0.2">
      <c r="A211" t="s">
        <v>1647</v>
      </c>
      <c r="B211" t="s">
        <v>850</v>
      </c>
      <c r="C211" t="s">
        <v>800</v>
      </c>
      <c r="E211" t="s">
        <v>785</v>
      </c>
      <c r="F211">
        <v>-4320</v>
      </c>
      <c r="G211">
        <v>3495</v>
      </c>
      <c r="H211">
        <v>355</v>
      </c>
    </row>
    <row r="212" spans="1:8" x14ac:dyDescent="0.2">
      <c r="A212" t="s">
        <v>1015</v>
      </c>
      <c r="B212" t="s">
        <v>850</v>
      </c>
      <c r="C212" t="s">
        <v>2992</v>
      </c>
      <c r="E212" t="s">
        <v>783</v>
      </c>
      <c r="F212">
        <v>4603</v>
      </c>
      <c r="G212">
        <v>2129</v>
      </c>
      <c r="H212">
        <v>1302</v>
      </c>
    </row>
    <row r="213" spans="1:8" x14ac:dyDescent="0.2">
      <c r="A213" t="s">
        <v>1656</v>
      </c>
      <c r="B213" t="s">
        <v>850</v>
      </c>
      <c r="C213" t="s">
        <v>3022</v>
      </c>
      <c r="E213" t="s">
        <v>783</v>
      </c>
      <c r="F213">
        <v>-3079</v>
      </c>
      <c r="G213">
        <v>2142</v>
      </c>
      <c r="H213">
        <v>647</v>
      </c>
    </row>
    <row r="214" spans="1:8" x14ac:dyDescent="0.2">
      <c r="A214" t="s">
        <v>1664</v>
      </c>
      <c r="B214" t="s">
        <v>850</v>
      </c>
      <c r="C214" t="s">
        <v>798</v>
      </c>
      <c r="E214" t="s">
        <v>785</v>
      </c>
      <c r="F214">
        <v>-3665</v>
      </c>
      <c r="G214">
        <v>-3631</v>
      </c>
      <c r="H214">
        <v>34</v>
      </c>
    </row>
    <row r="215" spans="1:8" x14ac:dyDescent="0.2">
      <c r="A215" t="s">
        <v>1090</v>
      </c>
      <c r="B215" t="s">
        <v>850</v>
      </c>
      <c r="C215" t="s">
        <v>3026</v>
      </c>
      <c r="E215" t="s">
        <v>785</v>
      </c>
      <c r="F215">
        <v>880</v>
      </c>
      <c r="G215">
        <v>-2388</v>
      </c>
      <c r="H215">
        <v>18</v>
      </c>
    </row>
    <row r="216" spans="1:8" x14ac:dyDescent="0.2">
      <c r="A216" t="s">
        <v>1021</v>
      </c>
      <c r="B216" t="s">
        <v>850</v>
      </c>
      <c r="C216" t="s">
        <v>2994</v>
      </c>
      <c r="E216" t="s">
        <v>783</v>
      </c>
      <c r="F216">
        <v>-3489</v>
      </c>
      <c r="G216">
        <v>-317</v>
      </c>
      <c r="H216">
        <v>1906</v>
      </c>
    </row>
    <row r="217" spans="1:8" x14ac:dyDescent="0.2">
      <c r="A217" t="s">
        <v>1671</v>
      </c>
      <c r="B217" t="s">
        <v>850</v>
      </c>
      <c r="C217" t="s">
        <v>797</v>
      </c>
      <c r="E217" t="s">
        <v>785</v>
      </c>
      <c r="F217">
        <v>-4363</v>
      </c>
      <c r="G217">
        <v>-502</v>
      </c>
      <c r="H217">
        <v>465</v>
      </c>
    </row>
    <row r="218" spans="1:8" x14ac:dyDescent="0.2">
      <c r="A218" t="s">
        <v>3027</v>
      </c>
      <c r="B218" t="s">
        <v>850</v>
      </c>
      <c r="C218" t="s">
        <v>798</v>
      </c>
      <c r="E218" t="s">
        <v>785</v>
      </c>
      <c r="F218" t="s">
        <v>2525</v>
      </c>
      <c r="G218" t="s">
        <v>2525</v>
      </c>
      <c r="H218" t="s">
        <v>2525</v>
      </c>
    </row>
    <row r="219" spans="1:8" x14ac:dyDescent="0.2">
      <c r="A219" t="s">
        <v>1673</v>
      </c>
      <c r="B219" t="s">
        <v>850</v>
      </c>
      <c r="C219" t="s">
        <v>791</v>
      </c>
      <c r="E219" t="s">
        <v>785</v>
      </c>
      <c r="F219">
        <v>1627</v>
      </c>
      <c r="G219">
        <v>2478</v>
      </c>
      <c r="H219">
        <v>454</v>
      </c>
    </row>
    <row r="220" spans="1:8" x14ac:dyDescent="0.2">
      <c r="A220" t="s">
        <v>1676</v>
      </c>
      <c r="B220" t="s">
        <v>850</v>
      </c>
      <c r="C220" t="s">
        <v>2956</v>
      </c>
      <c r="E220" t="s">
        <v>1002</v>
      </c>
      <c r="F220">
        <v>-4186</v>
      </c>
      <c r="G220">
        <v>2663</v>
      </c>
      <c r="H220">
        <v>-564</v>
      </c>
    </row>
    <row r="221" spans="1:8" x14ac:dyDescent="0.2">
      <c r="A221" t="s">
        <v>1092</v>
      </c>
      <c r="B221" t="s">
        <v>850</v>
      </c>
      <c r="C221" t="s">
        <v>787</v>
      </c>
      <c r="E221" t="s">
        <v>785</v>
      </c>
      <c r="F221">
        <v>-3111</v>
      </c>
      <c r="G221">
        <v>584</v>
      </c>
      <c r="H221">
        <v>159</v>
      </c>
    </row>
    <row r="222" spans="1:8" x14ac:dyDescent="0.2">
      <c r="A222" t="s">
        <v>1685</v>
      </c>
      <c r="B222" t="s">
        <v>850</v>
      </c>
      <c r="C222" t="s">
        <v>799</v>
      </c>
      <c r="E222" t="s">
        <v>785</v>
      </c>
      <c r="F222">
        <v>-2324</v>
      </c>
      <c r="G222">
        <v>1895</v>
      </c>
      <c r="H222">
        <v>172</v>
      </c>
    </row>
    <row r="223" spans="1:8" x14ac:dyDescent="0.2">
      <c r="A223" t="s">
        <v>1690</v>
      </c>
      <c r="B223" t="s">
        <v>850</v>
      </c>
      <c r="C223" t="s">
        <v>799</v>
      </c>
      <c r="E223" t="s">
        <v>785</v>
      </c>
      <c r="F223">
        <v>-2918</v>
      </c>
      <c r="G223">
        <v>1181</v>
      </c>
      <c r="H223">
        <v>-106</v>
      </c>
    </row>
    <row r="224" spans="1:8" x14ac:dyDescent="0.2">
      <c r="A224" t="s">
        <v>1696</v>
      </c>
      <c r="B224" t="s">
        <v>850</v>
      </c>
      <c r="C224" t="s">
        <v>1695</v>
      </c>
      <c r="E224" t="s">
        <v>785</v>
      </c>
      <c r="F224">
        <v>3744</v>
      </c>
      <c r="G224">
        <v>1679</v>
      </c>
      <c r="H224">
        <v>93</v>
      </c>
    </row>
    <row r="225" spans="1:8" x14ac:dyDescent="0.2">
      <c r="A225" t="s">
        <v>1700</v>
      </c>
      <c r="B225" t="s">
        <v>850</v>
      </c>
      <c r="C225" t="s">
        <v>790</v>
      </c>
      <c r="E225" t="s">
        <v>785</v>
      </c>
      <c r="F225">
        <v>-859</v>
      </c>
      <c r="G225">
        <v>-2035</v>
      </c>
      <c r="H225">
        <v>144</v>
      </c>
    </row>
    <row r="226" spans="1:8" x14ac:dyDescent="0.2">
      <c r="A226" t="s">
        <v>1096</v>
      </c>
      <c r="B226" t="s">
        <v>850</v>
      </c>
      <c r="C226" t="s">
        <v>790</v>
      </c>
      <c r="E226" t="s">
        <v>785</v>
      </c>
      <c r="F226">
        <v>1284</v>
      </c>
      <c r="G226">
        <v>690</v>
      </c>
      <c r="H226">
        <v>22</v>
      </c>
    </row>
    <row r="227" spans="1:8" x14ac:dyDescent="0.2">
      <c r="A227" t="s">
        <v>1097</v>
      </c>
      <c r="B227" t="s">
        <v>850</v>
      </c>
      <c r="C227" t="s">
        <v>789</v>
      </c>
      <c r="E227" t="s">
        <v>785</v>
      </c>
      <c r="F227">
        <v>327</v>
      </c>
      <c r="G227">
        <v>3080</v>
      </c>
      <c r="H227">
        <v>-106</v>
      </c>
    </row>
    <row r="228" spans="1:8" x14ac:dyDescent="0.2">
      <c r="A228" t="s">
        <v>1726</v>
      </c>
      <c r="B228" t="s">
        <v>850</v>
      </c>
      <c r="C228" t="s">
        <v>799</v>
      </c>
      <c r="E228" t="s">
        <v>785</v>
      </c>
      <c r="F228">
        <v>-3169</v>
      </c>
      <c r="G228">
        <v>678</v>
      </c>
      <c r="H228">
        <v>-98</v>
      </c>
    </row>
    <row r="229" spans="1:8" x14ac:dyDescent="0.2">
      <c r="A229" t="s">
        <v>1766</v>
      </c>
      <c r="B229" t="s">
        <v>850</v>
      </c>
      <c r="C229" t="s">
        <v>794</v>
      </c>
      <c r="E229" t="s">
        <v>785</v>
      </c>
      <c r="F229">
        <v>898</v>
      </c>
      <c r="G229">
        <v>-2987</v>
      </c>
      <c r="H229">
        <v>16</v>
      </c>
    </row>
    <row r="230" spans="1:8" x14ac:dyDescent="0.2">
      <c r="A230" t="s">
        <v>1767</v>
      </c>
      <c r="B230" t="s">
        <v>850</v>
      </c>
      <c r="C230" t="s">
        <v>1009</v>
      </c>
      <c r="E230" t="s">
        <v>785</v>
      </c>
      <c r="F230">
        <v>1829</v>
      </c>
      <c r="G230">
        <v>-956</v>
      </c>
      <c r="H230">
        <v>116</v>
      </c>
    </row>
    <row r="231" spans="1:8" x14ac:dyDescent="0.2">
      <c r="A231" t="s">
        <v>1028</v>
      </c>
      <c r="B231" t="s">
        <v>850</v>
      </c>
      <c r="C231" t="s">
        <v>1525</v>
      </c>
      <c r="E231" t="s">
        <v>783</v>
      </c>
      <c r="F231">
        <v>2315</v>
      </c>
      <c r="G231">
        <v>-1736</v>
      </c>
      <c r="H231">
        <v>1475</v>
      </c>
    </row>
    <row r="232" spans="1:8" x14ac:dyDescent="0.2">
      <c r="A232" t="s">
        <v>1768</v>
      </c>
      <c r="B232" t="s">
        <v>850</v>
      </c>
      <c r="C232" t="s">
        <v>801</v>
      </c>
      <c r="E232" t="s">
        <v>785</v>
      </c>
      <c r="F232">
        <v>3331</v>
      </c>
      <c r="G232">
        <v>545</v>
      </c>
      <c r="H232">
        <v>137</v>
      </c>
    </row>
    <row r="233" spans="1:8" x14ac:dyDescent="0.2">
      <c r="A233" s="16" t="s">
        <v>1143</v>
      </c>
      <c r="B233" t="s">
        <v>3028</v>
      </c>
      <c r="C233" t="s">
        <v>791</v>
      </c>
      <c r="E233" t="s">
        <v>785</v>
      </c>
      <c r="F233">
        <v>1689</v>
      </c>
      <c r="G233">
        <v>1555</v>
      </c>
      <c r="H233">
        <v>279</v>
      </c>
    </row>
    <row r="234" spans="1:8" x14ac:dyDescent="0.2">
      <c r="A234" s="16" t="s">
        <v>1276</v>
      </c>
      <c r="B234" t="s">
        <v>3028</v>
      </c>
      <c r="C234" t="s">
        <v>800</v>
      </c>
      <c r="E234" t="s">
        <v>785</v>
      </c>
      <c r="F234">
        <v>-3839</v>
      </c>
      <c r="G234">
        <v>2302</v>
      </c>
      <c r="H234">
        <v>180</v>
      </c>
    </row>
    <row r="235" spans="1:8" x14ac:dyDescent="0.2">
      <c r="A235" s="16" t="s">
        <v>1287</v>
      </c>
      <c r="B235" t="s">
        <v>3028</v>
      </c>
      <c r="C235" t="s">
        <v>799</v>
      </c>
      <c r="E235" t="s">
        <v>785</v>
      </c>
      <c r="F235">
        <v>-1578</v>
      </c>
      <c r="G235">
        <v>2107</v>
      </c>
      <c r="H235">
        <v>-106</v>
      </c>
    </row>
    <row r="236" spans="1:8" x14ac:dyDescent="0.2">
      <c r="A236" s="16" t="s">
        <v>1008</v>
      </c>
      <c r="B236" t="s">
        <v>3028</v>
      </c>
      <c r="C236" t="s">
        <v>782</v>
      </c>
      <c r="E236" t="s">
        <v>785</v>
      </c>
      <c r="F236">
        <v>3724</v>
      </c>
      <c r="G236">
        <v>1612</v>
      </c>
      <c r="H236">
        <v>114</v>
      </c>
    </row>
    <row r="237" spans="1:8" x14ac:dyDescent="0.2">
      <c r="A237" s="16" t="s">
        <v>964</v>
      </c>
      <c r="B237" t="s">
        <v>3028</v>
      </c>
      <c r="C237" t="s">
        <v>791</v>
      </c>
      <c r="E237" t="s">
        <v>785</v>
      </c>
      <c r="F237">
        <v>1801</v>
      </c>
      <c r="G237">
        <v>1983</v>
      </c>
      <c r="H237">
        <v>320</v>
      </c>
    </row>
    <row r="238" spans="1:8" x14ac:dyDescent="0.2">
      <c r="A238" s="16" t="s">
        <v>840</v>
      </c>
      <c r="B238" t="s">
        <v>3028</v>
      </c>
      <c r="C238" t="s">
        <v>797</v>
      </c>
      <c r="E238" t="s">
        <v>785</v>
      </c>
      <c r="F238">
        <v>-3686</v>
      </c>
      <c r="G238">
        <v>-1366</v>
      </c>
      <c r="H238">
        <v>331</v>
      </c>
    </row>
    <row r="239" spans="1:8" x14ac:dyDescent="0.2">
      <c r="A239" s="16" t="s">
        <v>1757</v>
      </c>
      <c r="B239" t="s">
        <v>3028</v>
      </c>
      <c r="C239" t="s">
        <v>791</v>
      </c>
      <c r="E239" t="s">
        <v>785</v>
      </c>
      <c r="F239">
        <v>1602</v>
      </c>
      <c r="G239">
        <v>2832</v>
      </c>
      <c r="H239">
        <v>412</v>
      </c>
    </row>
    <row r="240" spans="1:8" x14ac:dyDescent="0.2">
      <c r="A240" t="s">
        <v>1111</v>
      </c>
      <c r="B240" t="s">
        <v>3094</v>
      </c>
      <c r="E240" t="s">
        <v>785</v>
      </c>
      <c r="F240">
        <v>4603</v>
      </c>
      <c r="G240">
        <v>-1830</v>
      </c>
      <c r="H240">
        <v>-106</v>
      </c>
    </row>
    <row r="241" spans="1:8" x14ac:dyDescent="0.2">
      <c r="A241" t="s">
        <v>1112</v>
      </c>
      <c r="B241" t="s">
        <v>3094</v>
      </c>
      <c r="E241" t="s">
        <v>1002</v>
      </c>
      <c r="F241">
        <v>-4786</v>
      </c>
      <c r="G241">
        <v>-728</v>
      </c>
      <c r="H241">
        <v>-1215</v>
      </c>
    </row>
    <row r="242" spans="1:8" x14ac:dyDescent="0.2">
      <c r="A242" t="s">
        <v>1113</v>
      </c>
      <c r="B242" t="s">
        <v>3094</v>
      </c>
      <c r="E242" t="s">
        <v>785</v>
      </c>
      <c r="F242">
        <v>3557</v>
      </c>
      <c r="G242">
        <v>3039</v>
      </c>
      <c r="H242">
        <v>-106</v>
      </c>
    </row>
    <row r="243" spans="1:8" x14ac:dyDescent="0.2">
      <c r="A243" t="s">
        <v>1029</v>
      </c>
      <c r="B243" t="s">
        <v>3094</v>
      </c>
      <c r="E243" t="s">
        <v>785</v>
      </c>
      <c r="F243">
        <v>4522</v>
      </c>
      <c r="G243">
        <v>3167</v>
      </c>
      <c r="H243">
        <v>199</v>
      </c>
    </row>
    <row r="244" spans="1:8" x14ac:dyDescent="0.2">
      <c r="A244" t="s">
        <v>1114</v>
      </c>
      <c r="B244" t="s">
        <v>3094</v>
      </c>
      <c r="E244" t="s">
        <v>785</v>
      </c>
      <c r="F244">
        <v>3162</v>
      </c>
      <c r="G244">
        <v>1417</v>
      </c>
      <c r="H244">
        <v>277</v>
      </c>
    </row>
    <row r="245" spans="1:8" x14ac:dyDescent="0.2">
      <c r="A245" t="s">
        <v>849</v>
      </c>
      <c r="B245" t="s">
        <v>3094</v>
      </c>
      <c r="E245" t="s">
        <v>785</v>
      </c>
      <c r="F245">
        <v>3244</v>
      </c>
      <c r="G245">
        <v>1457</v>
      </c>
      <c r="H245">
        <v>294</v>
      </c>
    </row>
    <row r="246" spans="1:8" x14ac:dyDescent="0.2">
      <c r="A246" t="s">
        <v>851</v>
      </c>
      <c r="B246" t="s">
        <v>3094</v>
      </c>
      <c r="E246" t="s">
        <v>785</v>
      </c>
      <c r="F246">
        <v>3293</v>
      </c>
      <c r="G246">
        <v>1492</v>
      </c>
      <c r="H246">
        <v>395</v>
      </c>
    </row>
    <row r="247" spans="1:8" x14ac:dyDescent="0.2">
      <c r="A247" t="s">
        <v>1116</v>
      </c>
      <c r="B247" t="s">
        <v>3094</v>
      </c>
      <c r="E247" t="s">
        <v>785</v>
      </c>
      <c r="F247">
        <v>3732</v>
      </c>
      <c r="G247">
        <v>1171</v>
      </c>
      <c r="H247">
        <v>-106</v>
      </c>
    </row>
    <row r="248" spans="1:8" x14ac:dyDescent="0.2">
      <c r="A248" t="s">
        <v>782</v>
      </c>
      <c r="B248" t="s">
        <v>3094</v>
      </c>
      <c r="E248" t="s">
        <v>785</v>
      </c>
      <c r="F248">
        <v>3477</v>
      </c>
      <c r="G248">
        <v>2206</v>
      </c>
      <c r="H248">
        <v>-106</v>
      </c>
    </row>
    <row r="249" spans="1:8" x14ac:dyDescent="0.2">
      <c r="A249" t="s">
        <v>1117</v>
      </c>
      <c r="B249" t="s">
        <v>3094</v>
      </c>
      <c r="E249" t="s">
        <v>1002</v>
      </c>
      <c r="F249">
        <v>3254</v>
      </c>
      <c r="G249">
        <v>3493</v>
      </c>
      <c r="H249">
        <v>-320</v>
      </c>
    </row>
    <row r="250" spans="1:8" x14ac:dyDescent="0.2">
      <c r="A250" t="s">
        <v>784</v>
      </c>
      <c r="B250" t="s">
        <v>3094</v>
      </c>
      <c r="E250" t="s">
        <v>785</v>
      </c>
      <c r="F250">
        <v>4812</v>
      </c>
      <c r="G250">
        <v>3429</v>
      </c>
      <c r="H250">
        <v>-106</v>
      </c>
    </row>
    <row r="251" spans="1:8" x14ac:dyDescent="0.2">
      <c r="A251" t="s">
        <v>1119</v>
      </c>
      <c r="B251" t="s">
        <v>3094</v>
      </c>
      <c r="E251" t="s">
        <v>783</v>
      </c>
      <c r="F251">
        <v>3950</v>
      </c>
      <c r="G251">
        <v>2576</v>
      </c>
      <c r="H251">
        <v>1895</v>
      </c>
    </row>
    <row r="252" spans="1:8" x14ac:dyDescent="0.2">
      <c r="A252" t="s">
        <v>1120</v>
      </c>
      <c r="B252" t="s">
        <v>3094</v>
      </c>
      <c r="E252" t="s">
        <v>785</v>
      </c>
      <c r="F252">
        <v>3009</v>
      </c>
      <c r="G252">
        <v>1232</v>
      </c>
      <c r="H252">
        <v>226</v>
      </c>
    </row>
    <row r="253" spans="1:8" x14ac:dyDescent="0.2">
      <c r="A253" t="s">
        <v>1121</v>
      </c>
      <c r="B253" t="s">
        <v>3094</v>
      </c>
      <c r="E253" t="s">
        <v>785</v>
      </c>
      <c r="F253">
        <v>3744</v>
      </c>
      <c r="G253">
        <v>3349</v>
      </c>
      <c r="H253">
        <v>-106</v>
      </c>
    </row>
    <row r="254" spans="1:8" x14ac:dyDescent="0.2">
      <c r="A254" t="s">
        <v>1122</v>
      </c>
      <c r="B254" t="s">
        <v>3094</v>
      </c>
      <c r="E254" t="s">
        <v>785</v>
      </c>
      <c r="F254">
        <v>-736</v>
      </c>
      <c r="G254">
        <v>2080</v>
      </c>
      <c r="H254">
        <v>-106</v>
      </c>
    </row>
    <row r="255" spans="1:8" x14ac:dyDescent="0.2">
      <c r="A255" t="s">
        <v>852</v>
      </c>
      <c r="B255" t="s">
        <v>3094</v>
      </c>
      <c r="E255" t="s">
        <v>785</v>
      </c>
      <c r="F255">
        <v>-2536</v>
      </c>
      <c r="G255">
        <v>-3626</v>
      </c>
      <c r="H255">
        <v>-48</v>
      </c>
    </row>
    <row r="256" spans="1:8" x14ac:dyDescent="0.2">
      <c r="A256" t="s">
        <v>853</v>
      </c>
      <c r="B256" t="s">
        <v>3094</v>
      </c>
      <c r="E256" t="s">
        <v>785</v>
      </c>
      <c r="F256">
        <v>-3465</v>
      </c>
      <c r="G256">
        <v>449</v>
      </c>
      <c r="H256">
        <v>254</v>
      </c>
    </row>
    <row r="257" spans="1:8" x14ac:dyDescent="0.2">
      <c r="A257" t="s">
        <v>854</v>
      </c>
      <c r="B257" t="s">
        <v>3094</v>
      </c>
      <c r="E257" t="s">
        <v>785</v>
      </c>
      <c r="F257">
        <v>-3099</v>
      </c>
      <c r="G257">
        <v>-3064</v>
      </c>
      <c r="H257">
        <v>-52</v>
      </c>
    </row>
    <row r="258" spans="1:8" x14ac:dyDescent="0.2">
      <c r="A258" t="s">
        <v>1125</v>
      </c>
      <c r="B258" t="s">
        <v>3094</v>
      </c>
      <c r="E258" t="s">
        <v>783</v>
      </c>
      <c r="F258">
        <v>2217</v>
      </c>
      <c r="G258">
        <v>989</v>
      </c>
      <c r="H258">
        <v>1149</v>
      </c>
    </row>
    <row r="259" spans="1:8" x14ac:dyDescent="0.2">
      <c r="A259" t="s">
        <v>855</v>
      </c>
      <c r="B259" t="s">
        <v>3094</v>
      </c>
      <c r="E259" t="s">
        <v>785</v>
      </c>
      <c r="F259">
        <v>-1112</v>
      </c>
      <c r="G259">
        <v>-432</v>
      </c>
      <c r="H259">
        <v>23</v>
      </c>
    </row>
    <row r="260" spans="1:8" x14ac:dyDescent="0.2">
      <c r="A260" t="s">
        <v>856</v>
      </c>
      <c r="B260" t="s">
        <v>3094</v>
      </c>
      <c r="E260" t="s">
        <v>785</v>
      </c>
      <c r="F260">
        <v>3607</v>
      </c>
      <c r="G260">
        <v>122</v>
      </c>
      <c r="H260">
        <v>-2</v>
      </c>
    </row>
    <row r="261" spans="1:8" x14ac:dyDescent="0.2">
      <c r="A261" t="s">
        <v>1128</v>
      </c>
      <c r="B261" t="s">
        <v>3094</v>
      </c>
      <c r="E261" t="s">
        <v>785</v>
      </c>
      <c r="F261">
        <v>1716</v>
      </c>
      <c r="G261">
        <v>-2620</v>
      </c>
      <c r="H261">
        <v>-106</v>
      </c>
    </row>
    <row r="262" spans="1:8" x14ac:dyDescent="0.2">
      <c r="A262" t="s">
        <v>1129</v>
      </c>
      <c r="B262" t="s">
        <v>3094</v>
      </c>
      <c r="E262" t="s">
        <v>785</v>
      </c>
      <c r="F262">
        <v>4652</v>
      </c>
      <c r="G262">
        <v>1027</v>
      </c>
      <c r="H262">
        <v>-106</v>
      </c>
    </row>
    <row r="263" spans="1:8" x14ac:dyDescent="0.2">
      <c r="A263" t="s">
        <v>1030</v>
      </c>
      <c r="B263" t="s">
        <v>3094</v>
      </c>
      <c r="E263" t="s">
        <v>785</v>
      </c>
      <c r="F263">
        <v>553</v>
      </c>
      <c r="G263">
        <v>289</v>
      </c>
      <c r="H263">
        <v>-106</v>
      </c>
    </row>
    <row r="264" spans="1:8" x14ac:dyDescent="0.2">
      <c r="A264" t="s">
        <v>1130</v>
      </c>
      <c r="B264" t="s">
        <v>3094</v>
      </c>
      <c r="E264" t="s">
        <v>1002</v>
      </c>
      <c r="F264">
        <v>553</v>
      </c>
      <c r="G264">
        <v>260</v>
      </c>
      <c r="H264">
        <v>-610</v>
      </c>
    </row>
    <row r="265" spans="1:8" x14ac:dyDescent="0.2">
      <c r="A265" t="s">
        <v>1132</v>
      </c>
      <c r="B265" t="s">
        <v>3094</v>
      </c>
      <c r="E265" t="s">
        <v>785</v>
      </c>
      <c r="F265">
        <v>-1304</v>
      </c>
      <c r="G265">
        <v>-1095</v>
      </c>
      <c r="H265">
        <v>-106</v>
      </c>
    </row>
    <row r="266" spans="1:8" x14ac:dyDescent="0.2">
      <c r="A266" t="s">
        <v>1134</v>
      </c>
      <c r="B266" t="s">
        <v>3094</v>
      </c>
      <c r="E266" t="s">
        <v>785</v>
      </c>
      <c r="F266">
        <v>-4157</v>
      </c>
      <c r="G266">
        <v>-3803</v>
      </c>
      <c r="H266">
        <v>28</v>
      </c>
    </row>
    <row r="267" spans="1:8" x14ac:dyDescent="0.2">
      <c r="A267" t="s">
        <v>1135</v>
      </c>
      <c r="B267" t="s">
        <v>3094</v>
      </c>
      <c r="E267" t="s">
        <v>785</v>
      </c>
      <c r="F267">
        <v>1936</v>
      </c>
      <c r="G267">
        <v>-3879</v>
      </c>
      <c r="H267">
        <v>-106</v>
      </c>
    </row>
    <row r="268" spans="1:8" x14ac:dyDescent="0.2">
      <c r="A268" t="s">
        <v>1136</v>
      </c>
      <c r="B268" t="s">
        <v>3094</v>
      </c>
      <c r="E268" t="s">
        <v>785</v>
      </c>
      <c r="F268">
        <v>-206</v>
      </c>
      <c r="G268" t="s">
        <v>1769</v>
      </c>
      <c r="H268">
        <v>20</v>
      </c>
    </row>
    <row r="269" spans="1:8" x14ac:dyDescent="0.2">
      <c r="A269" t="s">
        <v>1031</v>
      </c>
      <c r="B269" t="s">
        <v>3094</v>
      </c>
      <c r="E269" t="s">
        <v>785</v>
      </c>
      <c r="F269">
        <v>1978</v>
      </c>
      <c r="G269">
        <v>-1842</v>
      </c>
      <c r="H269">
        <v>-106</v>
      </c>
    </row>
    <row r="270" spans="1:8" x14ac:dyDescent="0.2">
      <c r="A270" t="s">
        <v>1137</v>
      </c>
      <c r="B270" t="s">
        <v>3094</v>
      </c>
      <c r="E270" t="s">
        <v>785</v>
      </c>
      <c r="F270">
        <v>2469</v>
      </c>
      <c r="G270">
        <v>-3260</v>
      </c>
      <c r="H270">
        <v>-106</v>
      </c>
    </row>
    <row r="271" spans="1:8" x14ac:dyDescent="0.2">
      <c r="A271" t="s">
        <v>857</v>
      </c>
      <c r="B271" t="s">
        <v>3094</v>
      </c>
      <c r="E271" t="s">
        <v>785</v>
      </c>
      <c r="F271">
        <v>2454</v>
      </c>
      <c r="G271">
        <v>-3193</v>
      </c>
      <c r="H271">
        <v>65</v>
      </c>
    </row>
    <row r="272" spans="1:8" x14ac:dyDescent="0.2">
      <c r="A272" t="s">
        <v>1138</v>
      </c>
      <c r="B272" t="s">
        <v>3094</v>
      </c>
      <c r="E272" t="s">
        <v>785</v>
      </c>
      <c r="F272">
        <v>2752</v>
      </c>
      <c r="G272" t="s">
        <v>1770</v>
      </c>
      <c r="H272">
        <v>-106</v>
      </c>
    </row>
    <row r="273" spans="1:8" x14ac:dyDescent="0.2">
      <c r="A273" t="s">
        <v>1139</v>
      </c>
      <c r="B273" t="s">
        <v>3094</v>
      </c>
      <c r="E273" t="s">
        <v>785</v>
      </c>
      <c r="F273">
        <v>1774</v>
      </c>
      <c r="G273">
        <v>-384</v>
      </c>
      <c r="H273">
        <v>-106</v>
      </c>
    </row>
    <row r="274" spans="1:8" x14ac:dyDescent="0.2">
      <c r="A274" t="s">
        <v>1141</v>
      </c>
      <c r="B274" t="s">
        <v>3094</v>
      </c>
      <c r="E274" t="s">
        <v>785</v>
      </c>
      <c r="F274">
        <v>193</v>
      </c>
      <c r="G274">
        <v>-3135</v>
      </c>
      <c r="H274">
        <v>-106</v>
      </c>
    </row>
    <row r="275" spans="1:8" x14ac:dyDescent="0.2">
      <c r="A275" t="s">
        <v>1142</v>
      </c>
      <c r="B275" t="s">
        <v>3094</v>
      </c>
      <c r="E275" t="s">
        <v>785</v>
      </c>
      <c r="F275">
        <v>563</v>
      </c>
      <c r="G275">
        <v>-1234</v>
      </c>
      <c r="H275">
        <v>-106</v>
      </c>
    </row>
    <row r="276" spans="1:8" x14ac:dyDescent="0.2">
      <c r="A276" t="s">
        <v>1144</v>
      </c>
      <c r="B276" t="s">
        <v>3094</v>
      </c>
      <c r="E276" t="s">
        <v>785</v>
      </c>
      <c r="F276">
        <v>1673</v>
      </c>
      <c r="G276">
        <v>-2033</v>
      </c>
      <c r="H276">
        <v>-22</v>
      </c>
    </row>
    <row r="277" spans="1:8" x14ac:dyDescent="0.2">
      <c r="A277" t="s">
        <v>838</v>
      </c>
      <c r="B277" t="s">
        <v>3094</v>
      </c>
      <c r="E277" t="s">
        <v>785</v>
      </c>
      <c r="F277">
        <v>-3476</v>
      </c>
      <c r="G277">
        <v>-1868</v>
      </c>
      <c r="H277">
        <v>-106</v>
      </c>
    </row>
    <row r="278" spans="1:8" x14ac:dyDescent="0.2">
      <c r="A278" t="s">
        <v>1145</v>
      </c>
      <c r="B278" t="s">
        <v>3094</v>
      </c>
      <c r="E278" t="s">
        <v>785</v>
      </c>
      <c r="F278">
        <v>-3719</v>
      </c>
      <c r="G278">
        <v>2982</v>
      </c>
      <c r="H278">
        <v>-106</v>
      </c>
    </row>
    <row r="279" spans="1:8" x14ac:dyDescent="0.2">
      <c r="A279" t="s">
        <v>1146</v>
      </c>
      <c r="B279" t="s">
        <v>3094</v>
      </c>
      <c r="E279" t="s">
        <v>785</v>
      </c>
      <c r="F279">
        <v>2133</v>
      </c>
      <c r="G279">
        <v>-1914</v>
      </c>
      <c r="H279">
        <v>-106</v>
      </c>
    </row>
    <row r="280" spans="1:8" x14ac:dyDescent="0.2">
      <c r="A280" t="s">
        <v>1147</v>
      </c>
      <c r="B280" t="s">
        <v>3094</v>
      </c>
      <c r="E280" t="s">
        <v>785</v>
      </c>
      <c r="F280">
        <v>4268</v>
      </c>
      <c r="G280">
        <v>3017</v>
      </c>
      <c r="H280">
        <v>-106</v>
      </c>
    </row>
    <row r="281" spans="1:8" x14ac:dyDescent="0.2">
      <c r="A281" t="s">
        <v>1149</v>
      </c>
      <c r="B281" t="s">
        <v>3094</v>
      </c>
      <c r="E281" t="s">
        <v>785</v>
      </c>
      <c r="F281">
        <v>2084</v>
      </c>
      <c r="G281" t="s">
        <v>1771</v>
      </c>
      <c r="H281">
        <v>-106</v>
      </c>
    </row>
    <row r="282" spans="1:8" x14ac:dyDescent="0.2">
      <c r="A282" t="s">
        <v>1150</v>
      </c>
      <c r="B282" t="s">
        <v>3094</v>
      </c>
      <c r="E282" t="s">
        <v>785</v>
      </c>
      <c r="F282">
        <v>2185</v>
      </c>
      <c r="G282">
        <v>142</v>
      </c>
      <c r="H282">
        <v>37</v>
      </c>
    </row>
    <row r="283" spans="1:8" x14ac:dyDescent="0.2">
      <c r="A283" t="s">
        <v>1152</v>
      </c>
      <c r="B283" t="s">
        <v>3094</v>
      </c>
      <c r="E283" t="s">
        <v>785</v>
      </c>
      <c r="F283">
        <v>2153</v>
      </c>
      <c r="G283">
        <v>-1130</v>
      </c>
      <c r="H283">
        <v>-106</v>
      </c>
    </row>
    <row r="284" spans="1:8" x14ac:dyDescent="0.2">
      <c r="A284" t="s">
        <v>859</v>
      </c>
      <c r="B284" t="s">
        <v>3094</v>
      </c>
      <c r="E284" t="s">
        <v>783</v>
      </c>
      <c r="F284">
        <v>712</v>
      </c>
      <c r="G284">
        <v>-1449</v>
      </c>
      <c r="H284">
        <v>1486</v>
      </c>
    </row>
    <row r="285" spans="1:8" x14ac:dyDescent="0.2">
      <c r="A285" t="s">
        <v>1153</v>
      </c>
      <c r="B285" t="s">
        <v>3094</v>
      </c>
      <c r="E285" t="s">
        <v>785</v>
      </c>
      <c r="F285">
        <v>510</v>
      </c>
      <c r="G285">
        <v>-582</v>
      </c>
      <c r="H285">
        <v>-106</v>
      </c>
    </row>
    <row r="286" spans="1:8" x14ac:dyDescent="0.2">
      <c r="A286" t="s">
        <v>1155</v>
      </c>
      <c r="B286" t="s">
        <v>3094</v>
      </c>
      <c r="E286" t="s">
        <v>785</v>
      </c>
      <c r="F286">
        <v>-1437</v>
      </c>
      <c r="G286">
        <v>554</v>
      </c>
      <c r="H286">
        <v>-106</v>
      </c>
    </row>
    <row r="287" spans="1:8" x14ac:dyDescent="0.2">
      <c r="A287" t="s">
        <v>1157</v>
      </c>
      <c r="B287" t="s">
        <v>3094</v>
      </c>
      <c r="E287" t="s">
        <v>785</v>
      </c>
      <c r="F287">
        <v>2135</v>
      </c>
      <c r="G287">
        <v>-2578</v>
      </c>
      <c r="H287">
        <v>-106</v>
      </c>
    </row>
    <row r="288" spans="1:8" x14ac:dyDescent="0.2">
      <c r="A288" t="s">
        <v>860</v>
      </c>
      <c r="B288" t="s">
        <v>3094</v>
      </c>
      <c r="E288" t="s">
        <v>785</v>
      </c>
      <c r="F288">
        <v>-3006</v>
      </c>
      <c r="G288">
        <v>1635</v>
      </c>
      <c r="H288">
        <v>199</v>
      </c>
    </row>
    <row r="289" spans="1:8" x14ac:dyDescent="0.2">
      <c r="A289" t="s">
        <v>1159</v>
      </c>
      <c r="B289" t="s">
        <v>3094</v>
      </c>
      <c r="E289" t="s">
        <v>785</v>
      </c>
      <c r="F289">
        <v>2701</v>
      </c>
      <c r="G289">
        <v>1770</v>
      </c>
      <c r="H289">
        <v>-106</v>
      </c>
    </row>
    <row r="290" spans="1:8" x14ac:dyDescent="0.2">
      <c r="A290" t="s">
        <v>1160</v>
      </c>
      <c r="B290" t="s">
        <v>3094</v>
      </c>
      <c r="E290" t="s">
        <v>785</v>
      </c>
      <c r="F290">
        <v>1478</v>
      </c>
      <c r="G290">
        <v>-3254</v>
      </c>
      <c r="H290">
        <v>-106</v>
      </c>
    </row>
    <row r="291" spans="1:8" x14ac:dyDescent="0.2">
      <c r="A291" t="s">
        <v>1033</v>
      </c>
      <c r="B291" t="s">
        <v>3094</v>
      </c>
      <c r="E291" t="s">
        <v>785</v>
      </c>
      <c r="F291">
        <v>3927</v>
      </c>
      <c r="G291">
        <v>-382</v>
      </c>
      <c r="H291">
        <v>-106</v>
      </c>
    </row>
    <row r="292" spans="1:8" x14ac:dyDescent="0.2">
      <c r="A292" t="s">
        <v>1161</v>
      </c>
      <c r="B292" t="s">
        <v>3094</v>
      </c>
      <c r="E292" t="s">
        <v>785</v>
      </c>
      <c r="F292">
        <v>2085</v>
      </c>
      <c r="G292">
        <v>-2094</v>
      </c>
      <c r="H292">
        <v>-106</v>
      </c>
    </row>
    <row r="293" spans="1:8" x14ac:dyDescent="0.2">
      <c r="A293" t="s">
        <v>861</v>
      </c>
      <c r="B293" t="s">
        <v>3094</v>
      </c>
      <c r="E293" t="s">
        <v>785</v>
      </c>
      <c r="F293">
        <v>1617</v>
      </c>
      <c r="G293">
        <v>-1260</v>
      </c>
      <c r="H293">
        <v>7</v>
      </c>
    </row>
    <row r="294" spans="1:8" x14ac:dyDescent="0.2">
      <c r="A294" t="s">
        <v>1163</v>
      </c>
      <c r="B294" t="s">
        <v>3094</v>
      </c>
      <c r="E294" t="s">
        <v>785</v>
      </c>
      <c r="F294">
        <v>2020</v>
      </c>
      <c r="G294">
        <v>-3216</v>
      </c>
      <c r="H294">
        <v>-106</v>
      </c>
    </row>
    <row r="295" spans="1:8" x14ac:dyDescent="0.2">
      <c r="A295" t="s">
        <v>862</v>
      </c>
      <c r="B295" t="s">
        <v>3094</v>
      </c>
      <c r="E295" t="s">
        <v>785</v>
      </c>
      <c r="F295">
        <v>1959</v>
      </c>
      <c r="G295">
        <v>-3033</v>
      </c>
      <c r="H295">
        <v>193</v>
      </c>
    </row>
    <row r="296" spans="1:8" x14ac:dyDescent="0.2">
      <c r="A296" t="s">
        <v>1164</v>
      </c>
      <c r="B296" t="s">
        <v>3094</v>
      </c>
      <c r="E296" t="s">
        <v>785</v>
      </c>
      <c r="F296">
        <v>3062</v>
      </c>
      <c r="G296">
        <v>-2042</v>
      </c>
      <c r="H296">
        <v>-106</v>
      </c>
    </row>
    <row r="297" spans="1:8" x14ac:dyDescent="0.2">
      <c r="A297" t="s">
        <v>1165</v>
      </c>
      <c r="B297" t="s">
        <v>3094</v>
      </c>
      <c r="E297" t="s">
        <v>785</v>
      </c>
      <c r="F297">
        <v>-3857</v>
      </c>
      <c r="G297">
        <v>-2857</v>
      </c>
      <c r="H297">
        <v>48</v>
      </c>
    </row>
    <row r="298" spans="1:8" x14ac:dyDescent="0.2">
      <c r="A298" t="s">
        <v>1167</v>
      </c>
      <c r="B298" t="s">
        <v>3094</v>
      </c>
      <c r="E298" t="s">
        <v>785</v>
      </c>
      <c r="F298">
        <v>3545</v>
      </c>
      <c r="G298">
        <v>-3261</v>
      </c>
      <c r="H298">
        <v>-106</v>
      </c>
    </row>
    <row r="299" spans="1:8" x14ac:dyDescent="0.2">
      <c r="A299" t="s">
        <v>863</v>
      </c>
      <c r="B299" t="s">
        <v>3094</v>
      </c>
      <c r="E299" t="s">
        <v>785</v>
      </c>
      <c r="F299">
        <v>3650</v>
      </c>
      <c r="G299">
        <v>-3211</v>
      </c>
      <c r="H299">
        <v>-6</v>
      </c>
    </row>
    <row r="300" spans="1:8" x14ac:dyDescent="0.2">
      <c r="A300" t="s">
        <v>1168</v>
      </c>
      <c r="B300" t="s">
        <v>3094</v>
      </c>
      <c r="E300" t="s">
        <v>785</v>
      </c>
      <c r="F300">
        <v>3421</v>
      </c>
      <c r="G300">
        <v>-3807</v>
      </c>
      <c r="H300">
        <v>-106</v>
      </c>
    </row>
    <row r="301" spans="1:8" x14ac:dyDescent="0.2">
      <c r="A301" t="s">
        <v>1171</v>
      </c>
      <c r="B301" t="s">
        <v>3094</v>
      </c>
      <c r="E301" t="s">
        <v>785</v>
      </c>
      <c r="F301">
        <v>-677</v>
      </c>
      <c r="G301">
        <v>837</v>
      </c>
      <c r="H301">
        <v>-13</v>
      </c>
    </row>
    <row r="302" spans="1:8" x14ac:dyDescent="0.2">
      <c r="A302" t="s">
        <v>1172</v>
      </c>
      <c r="B302" t="s">
        <v>3094</v>
      </c>
      <c r="E302" t="s">
        <v>785</v>
      </c>
      <c r="F302">
        <v>80</v>
      </c>
      <c r="G302">
        <v>411</v>
      </c>
      <c r="H302">
        <v>12</v>
      </c>
    </row>
    <row r="303" spans="1:8" x14ac:dyDescent="0.2">
      <c r="A303" t="s">
        <v>864</v>
      </c>
      <c r="B303" t="s">
        <v>3094</v>
      </c>
      <c r="E303" t="s">
        <v>785</v>
      </c>
      <c r="F303">
        <v>3241</v>
      </c>
      <c r="G303">
        <v>374</v>
      </c>
      <c r="H303">
        <v>76</v>
      </c>
    </row>
    <row r="304" spans="1:8" x14ac:dyDescent="0.2">
      <c r="A304" t="s">
        <v>865</v>
      </c>
      <c r="B304" t="s">
        <v>3094</v>
      </c>
      <c r="E304" t="s">
        <v>785</v>
      </c>
      <c r="F304">
        <v>-3679</v>
      </c>
      <c r="G304">
        <v>-3255</v>
      </c>
      <c r="H304">
        <v>-18</v>
      </c>
    </row>
    <row r="305" spans="1:8" x14ac:dyDescent="0.2">
      <c r="A305" t="s">
        <v>788</v>
      </c>
      <c r="B305" t="s">
        <v>3094</v>
      </c>
      <c r="E305" t="s">
        <v>785</v>
      </c>
      <c r="F305">
        <v>-256</v>
      </c>
      <c r="G305">
        <v>-116</v>
      </c>
      <c r="H305">
        <v>-106</v>
      </c>
    </row>
    <row r="306" spans="1:8" x14ac:dyDescent="0.2">
      <c r="A306" t="s">
        <v>1173</v>
      </c>
      <c r="B306" t="s">
        <v>3094</v>
      </c>
      <c r="E306" t="s">
        <v>783</v>
      </c>
      <c r="F306">
        <v>-248</v>
      </c>
      <c r="G306" t="s">
        <v>1772</v>
      </c>
      <c r="H306">
        <v>1895</v>
      </c>
    </row>
    <row r="307" spans="1:8" x14ac:dyDescent="0.2">
      <c r="A307" t="s">
        <v>1174</v>
      </c>
      <c r="B307" t="s">
        <v>3094</v>
      </c>
      <c r="E307" t="s">
        <v>783</v>
      </c>
      <c r="F307">
        <v>132</v>
      </c>
      <c r="G307">
        <v>-92</v>
      </c>
      <c r="H307">
        <v>1949</v>
      </c>
    </row>
    <row r="308" spans="1:8" x14ac:dyDescent="0.2">
      <c r="A308" t="s">
        <v>1176</v>
      </c>
      <c r="B308" t="s">
        <v>3094</v>
      </c>
      <c r="E308" t="s">
        <v>785</v>
      </c>
      <c r="F308">
        <v>2751</v>
      </c>
      <c r="G308">
        <v>1481</v>
      </c>
      <c r="H308">
        <v>-106</v>
      </c>
    </row>
    <row r="309" spans="1:8" x14ac:dyDescent="0.2">
      <c r="A309" t="s">
        <v>866</v>
      </c>
      <c r="B309" t="s">
        <v>3094</v>
      </c>
      <c r="E309" t="s">
        <v>785</v>
      </c>
      <c r="F309">
        <v>2594</v>
      </c>
      <c r="G309">
        <v>1330</v>
      </c>
      <c r="H309">
        <v>151</v>
      </c>
    </row>
    <row r="310" spans="1:8" x14ac:dyDescent="0.2">
      <c r="A310" t="s">
        <v>1177</v>
      </c>
      <c r="B310" t="s">
        <v>3094</v>
      </c>
      <c r="E310" t="s">
        <v>785</v>
      </c>
      <c r="F310">
        <v>-2042</v>
      </c>
      <c r="G310">
        <v>-3194</v>
      </c>
      <c r="H310">
        <v>-106</v>
      </c>
    </row>
    <row r="311" spans="1:8" x14ac:dyDescent="0.2">
      <c r="A311" t="s">
        <v>1178</v>
      </c>
      <c r="B311" t="s">
        <v>3094</v>
      </c>
      <c r="E311" t="s">
        <v>785</v>
      </c>
      <c r="F311">
        <v>2585</v>
      </c>
      <c r="G311">
        <v>-3897</v>
      </c>
      <c r="H311">
        <v>-106</v>
      </c>
    </row>
    <row r="312" spans="1:8" x14ac:dyDescent="0.2">
      <c r="A312" t="s">
        <v>1034</v>
      </c>
      <c r="B312" t="s">
        <v>3094</v>
      </c>
      <c r="E312" t="s">
        <v>785</v>
      </c>
      <c r="F312">
        <v>2601</v>
      </c>
      <c r="G312">
        <v>-1780</v>
      </c>
      <c r="H312">
        <v>-106</v>
      </c>
    </row>
    <row r="313" spans="1:8" x14ac:dyDescent="0.2">
      <c r="A313" t="s">
        <v>1180</v>
      </c>
      <c r="B313" t="s">
        <v>3094</v>
      </c>
      <c r="E313" t="s">
        <v>785</v>
      </c>
      <c r="F313">
        <v>-3392</v>
      </c>
      <c r="G313">
        <v>-610</v>
      </c>
      <c r="H313">
        <v>-106</v>
      </c>
    </row>
    <row r="314" spans="1:8" x14ac:dyDescent="0.2">
      <c r="A314" t="s">
        <v>1181</v>
      </c>
      <c r="B314" t="s">
        <v>3094</v>
      </c>
      <c r="E314" t="s">
        <v>785</v>
      </c>
      <c r="F314">
        <v>-3066</v>
      </c>
      <c r="G314">
        <v>2954</v>
      </c>
      <c r="H314">
        <v>-106</v>
      </c>
    </row>
    <row r="315" spans="1:8" x14ac:dyDescent="0.2">
      <c r="A315" t="s">
        <v>867</v>
      </c>
      <c r="B315" t="s">
        <v>3094</v>
      </c>
      <c r="E315" t="s">
        <v>785</v>
      </c>
      <c r="F315">
        <v>-1167</v>
      </c>
      <c r="G315">
        <v>-1311</v>
      </c>
      <c r="H315">
        <v>22</v>
      </c>
    </row>
    <row r="316" spans="1:8" x14ac:dyDescent="0.2">
      <c r="A316" t="s">
        <v>1183</v>
      </c>
      <c r="B316" t="s">
        <v>3094</v>
      </c>
      <c r="E316" t="s">
        <v>1002</v>
      </c>
      <c r="F316">
        <v>869</v>
      </c>
      <c r="G316">
        <v>-2174</v>
      </c>
      <c r="H316">
        <v>-571</v>
      </c>
    </row>
    <row r="317" spans="1:8" x14ac:dyDescent="0.2">
      <c r="A317" t="s">
        <v>868</v>
      </c>
      <c r="B317" t="s">
        <v>3094</v>
      </c>
      <c r="E317" t="s">
        <v>785</v>
      </c>
      <c r="F317">
        <v>3679</v>
      </c>
      <c r="G317">
        <v>1538</v>
      </c>
      <c r="H317">
        <v>74</v>
      </c>
    </row>
    <row r="318" spans="1:8" x14ac:dyDescent="0.2">
      <c r="A318" t="s">
        <v>1185</v>
      </c>
      <c r="B318" t="s">
        <v>3094</v>
      </c>
      <c r="E318" t="s">
        <v>785</v>
      </c>
      <c r="F318">
        <v>-48</v>
      </c>
      <c r="G318">
        <v>-3056</v>
      </c>
      <c r="H318">
        <v>-106</v>
      </c>
    </row>
    <row r="319" spans="1:8" x14ac:dyDescent="0.2">
      <c r="A319" t="s">
        <v>869</v>
      </c>
      <c r="B319" t="s">
        <v>3094</v>
      </c>
      <c r="E319" t="s">
        <v>785</v>
      </c>
      <c r="F319">
        <v>-256</v>
      </c>
      <c r="G319">
        <v>-2940</v>
      </c>
      <c r="H319">
        <v>-19</v>
      </c>
    </row>
    <row r="320" spans="1:8" x14ac:dyDescent="0.2">
      <c r="A320" t="s">
        <v>1186</v>
      </c>
      <c r="B320" t="s">
        <v>3094</v>
      </c>
      <c r="E320" t="s">
        <v>785</v>
      </c>
      <c r="F320">
        <v>1686</v>
      </c>
      <c r="G320">
        <v>-3089</v>
      </c>
      <c r="H320">
        <v>-106</v>
      </c>
    </row>
    <row r="321" spans="1:8" x14ac:dyDescent="0.2">
      <c r="A321" t="s">
        <v>870</v>
      </c>
      <c r="B321" t="s">
        <v>3094</v>
      </c>
      <c r="E321" t="s">
        <v>785</v>
      </c>
      <c r="F321">
        <v>1677</v>
      </c>
      <c r="G321">
        <v>-3039</v>
      </c>
      <c r="H321">
        <v>164</v>
      </c>
    </row>
    <row r="322" spans="1:8" x14ac:dyDescent="0.2">
      <c r="A322" t="s">
        <v>1188</v>
      </c>
      <c r="B322" t="s">
        <v>3094</v>
      </c>
      <c r="E322" t="s">
        <v>785</v>
      </c>
      <c r="F322">
        <v>-3243</v>
      </c>
      <c r="G322">
        <v>2423</v>
      </c>
      <c r="H322">
        <v>-106</v>
      </c>
    </row>
    <row r="323" spans="1:8" x14ac:dyDescent="0.2">
      <c r="A323" t="s">
        <v>1189</v>
      </c>
      <c r="B323" t="s">
        <v>3094</v>
      </c>
      <c r="E323" t="s">
        <v>785</v>
      </c>
      <c r="F323">
        <v>2270</v>
      </c>
      <c r="G323">
        <v>-2942</v>
      </c>
      <c r="H323">
        <v>-106</v>
      </c>
    </row>
    <row r="324" spans="1:8" x14ac:dyDescent="0.2">
      <c r="A324" t="s">
        <v>1191</v>
      </c>
      <c r="B324" t="s">
        <v>3094</v>
      </c>
      <c r="E324" t="s">
        <v>785</v>
      </c>
      <c r="F324">
        <v>681</v>
      </c>
      <c r="G324">
        <v>909</v>
      </c>
      <c r="H324">
        <v>-106</v>
      </c>
    </row>
    <row r="325" spans="1:8" x14ac:dyDescent="0.2">
      <c r="A325" t="s">
        <v>871</v>
      </c>
      <c r="B325" t="s">
        <v>3094</v>
      </c>
      <c r="E325" t="s">
        <v>785</v>
      </c>
      <c r="F325">
        <v>494</v>
      </c>
      <c r="G325">
        <v>731</v>
      </c>
      <c r="H325">
        <v>41</v>
      </c>
    </row>
    <row r="326" spans="1:8" x14ac:dyDescent="0.2">
      <c r="A326" t="s">
        <v>1192</v>
      </c>
      <c r="B326" t="s">
        <v>3094</v>
      </c>
      <c r="E326" t="s">
        <v>785</v>
      </c>
      <c r="F326">
        <v>1170</v>
      </c>
      <c r="G326">
        <v>419</v>
      </c>
      <c r="H326">
        <v>-106</v>
      </c>
    </row>
    <row r="327" spans="1:8" x14ac:dyDescent="0.2">
      <c r="A327" t="s">
        <v>872</v>
      </c>
      <c r="B327" t="s">
        <v>3094</v>
      </c>
      <c r="E327" t="s">
        <v>785</v>
      </c>
      <c r="F327">
        <v>1145</v>
      </c>
      <c r="G327">
        <v>247</v>
      </c>
      <c r="H327">
        <v>58</v>
      </c>
    </row>
    <row r="328" spans="1:8" x14ac:dyDescent="0.2">
      <c r="A328" t="s">
        <v>873</v>
      </c>
      <c r="B328" t="s">
        <v>3094</v>
      </c>
      <c r="E328" t="s">
        <v>785</v>
      </c>
      <c r="F328">
        <v>1877</v>
      </c>
      <c r="G328">
        <v>-1160</v>
      </c>
      <c r="H328">
        <v>199</v>
      </c>
    </row>
    <row r="329" spans="1:8" x14ac:dyDescent="0.2">
      <c r="A329" t="s">
        <v>1196</v>
      </c>
      <c r="B329" t="s">
        <v>3094</v>
      </c>
      <c r="E329" t="s">
        <v>785</v>
      </c>
      <c r="F329">
        <v>-3834</v>
      </c>
      <c r="G329">
        <v>1327</v>
      </c>
      <c r="H329">
        <v>-106</v>
      </c>
    </row>
    <row r="330" spans="1:8" x14ac:dyDescent="0.2">
      <c r="A330" t="s">
        <v>1197</v>
      </c>
      <c r="B330" t="s">
        <v>3094</v>
      </c>
      <c r="E330" t="s">
        <v>785</v>
      </c>
      <c r="F330">
        <v>-2051</v>
      </c>
      <c r="G330">
        <v>-1139</v>
      </c>
      <c r="H330">
        <v>-106</v>
      </c>
    </row>
    <row r="331" spans="1:8" x14ac:dyDescent="0.2">
      <c r="A331" t="s">
        <v>1199</v>
      </c>
      <c r="B331" t="s">
        <v>3094</v>
      </c>
      <c r="E331" t="s">
        <v>785</v>
      </c>
      <c r="F331">
        <v>832</v>
      </c>
      <c r="G331">
        <v>-2700</v>
      </c>
      <c r="H331">
        <v>-106</v>
      </c>
    </row>
    <row r="332" spans="1:8" x14ac:dyDescent="0.2">
      <c r="A332" t="s">
        <v>1201</v>
      </c>
      <c r="B332" t="s">
        <v>3094</v>
      </c>
      <c r="E332" t="s">
        <v>785</v>
      </c>
      <c r="F332">
        <v>2336</v>
      </c>
      <c r="G332">
        <v>2043</v>
      </c>
      <c r="H332">
        <v>-106</v>
      </c>
    </row>
    <row r="333" spans="1:8" x14ac:dyDescent="0.2">
      <c r="A333" t="s">
        <v>1202</v>
      </c>
      <c r="B333" t="s">
        <v>3094</v>
      </c>
      <c r="E333" t="s">
        <v>785</v>
      </c>
      <c r="F333">
        <v>1405</v>
      </c>
      <c r="G333">
        <v>2842</v>
      </c>
      <c r="H333">
        <v>-106</v>
      </c>
    </row>
    <row r="334" spans="1:8" x14ac:dyDescent="0.2">
      <c r="A334" t="s">
        <v>1203</v>
      </c>
      <c r="B334" t="s">
        <v>3094</v>
      </c>
      <c r="E334" t="s">
        <v>785</v>
      </c>
      <c r="F334">
        <v>-333</v>
      </c>
      <c r="G334">
        <v>-3683</v>
      </c>
      <c r="H334">
        <v>-106</v>
      </c>
    </row>
    <row r="335" spans="1:8" x14ac:dyDescent="0.2">
      <c r="A335" t="s">
        <v>1205</v>
      </c>
      <c r="B335" t="s">
        <v>3094</v>
      </c>
      <c r="E335" t="s">
        <v>785</v>
      </c>
      <c r="F335">
        <v>-1391</v>
      </c>
      <c r="G335">
        <v>-3600</v>
      </c>
      <c r="H335">
        <v>-106</v>
      </c>
    </row>
    <row r="336" spans="1:8" x14ac:dyDescent="0.2">
      <c r="A336" t="s">
        <v>1206</v>
      </c>
      <c r="B336" t="s">
        <v>3094</v>
      </c>
      <c r="E336" t="s">
        <v>785</v>
      </c>
      <c r="F336">
        <v>4637</v>
      </c>
      <c r="G336">
        <v>608</v>
      </c>
      <c r="H336">
        <v>-106</v>
      </c>
    </row>
    <row r="337" spans="1:8" x14ac:dyDescent="0.2">
      <c r="A337" t="s">
        <v>1207</v>
      </c>
      <c r="B337" t="s">
        <v>3094</v>
      </c>
      <c r="E337" t="s">
        <v>785</v>
      </c>
      <c r="F337">
        <v>2563</v>
      </c>
      <c r="G337">
        <v>2971</v>
      </c>
      <c r="H337">
        <v>-106</v>
      </c>
    </row>
    <row r="338" spans="1:8" x14ac:dyDescent="0.2">
      <c r="A338" t="s">
        <v>793</v>
      </c>
      <c r="B338" t="s">
        <v>3094</v>
      </c>
      <c r="E338" t="s">
        <v>785</v>
      </c>
      <c r="F338">
        <v>2530</v>
      </c>
      <c r="G338">
        <v>2479</v>
      </c>
      <c r="H338">
        <v>-106</v>
      </c>
    </row>
    <row r="339" spans="1:8" x14ac:dyDescent="0.2">
      <c r="A339" t="s">
        <v>874</v>
      </c>
      <c r="B339" t="s">
        <v>3094</v>
      </c>
      <c r="E339" t="s">
        <v>785</v>
      </c>
      <c r="F339">
        <v>2768</v>
      </c>
      <c r="G339">
        <v>2778</v>
      </c>
      <c r="H339">
        <v>521</v>
      </c>
    </row>
    <row r="340" spans="1:8" x14ac:dyDescent="0.2">
      <c r="A340" t="s">
        <v>875</v>
      </c>
      <c r="B340" t="s">
        <v>3094</v>
      </c>
      <c r="E340" t="s">
        <v>785</v>
      </c>
      <c r="F340">
        <v>1950</v>
      </c>
      <c r="G340">
        <v>2687</v>
      </c>
      <c r="H340">
        <v>426</v>
      </c>
    </row>
    <row r="341" spans="1:8" x14ac:dyDescent="0.2">
      <c r="A341" t="s">
        <v>1035</v>
      </c>
      <c r="B341" t="s">
        <v>3094</v>
      </c>
      <c r="E341" t="s">
        <v>785</v>
      </c>
      <c r="F341">
        <v>2169</v>
      </c>
      <c r="G341">
        <v>2730</v>
      </c>
      <c r="H341">
        <v>530</v>
      </c>
    </row>
    <row r="342" spans="1:8" x14ac:dyDescent="0.2">
      <c r="A342" t="s">
        <v>876</v>
      </c>
      <c r="B342" t="s">
        <v>3094</v>
      </c>
      <c r="E342" t="s">
        <v>785</v>
      </c>
      <c r="F342">
        <v>2239</v>
      </c>
      <c r="G342">
        <v>2682</v>
      </c>
      <c r="H342">
        <v>521</v>
      </c>
    </row>
    <row r="343" spans="1:8" x14ac:dyDescent="0.2">
      <c r="A343" t="s">
        <v>786</v>
      </c>
      <c r="B343" t="s">
        <v>3094</v>
      </c>
      <c r="E343" t="s">
        <v>785</v>
      </c>
      <c r="F343">
        <v>3602</v>
      </c>
      <c r="G343">
        <v>3186</v>
      </c>
      <c r="H343">
        <v>-106</v>
      </c>
    </row>
    <row r="344" spans="1:8" x14ac:dyDescent="0.2">
      <c r="A344" t="s">
        <v>1208</v>
      </c>
      <c r="B344" t="s">
        <v>3094</v>
      </c>
      <c r="E344" t="s">
        <v>785</v>
      </c>
      <c r="F344">
        <v>4283</v>
      </c>
      <c r="G344">
        <v>-2355</v>
      </c>
      <c r="H344">
        <v>-106</v>
      </c>
    </row>
    <row r="345" spans="1:8" x14ac:dyDescent="0.2">
      <c r="A345" t="s">
        <v>877</v>
      </c>
      <c r="B345" t="s">
        <v>3094</v>
      </c>
      <c r="E345" t="s">
        <v>785</v>
      </c>
      <c r="F345">
        <v>4213</v>
      </c>
      <c r="G345">
        <v>-2263</v>
      </c>
      <c r="H345">
        <v>0</v>
      </c>
    </row>
    <row r="346" spans="1:8" x14ac:dyDescent="0.2">
      <c r="A346" t="s">
        <v>1210</v>
      </c>
      <c r="B346" t="s">
        <v>3094</v>
      </c>
      <c r="E346" t="s">
        <v>785</v>
      </c>
      <c r="F346">
        <v>336</v>
      </c>
      <c r="G346">
        <v>3693</v>
      </c>
      <c r="H346">
        <v>-106</v>
      </c>
    </row>
    <row r="347" spans="1:8" x14ac:dyDescent="0.2">
      <c r="A347" t="s">
        <v>878</v>
      </c>
      <c r="B347" t="s">
        <v>3094</v>
      </c>
      <c r="E347" t="s">
        <v>785</v>
      </c>
      <c r="F347">
        <v>307</v>
      </c>
      <c r="G347">
        <v>3579</v>
      </c>
      <c r="H347">
        <v>88</v>
      </c>
    </row>
    <row r="348" spans="1:8" x14ac:dyDescent="0.2">
      <c r="A348" t="s">
        <v>1213</v>
      </c>
      <c r="B348" t="s">
        <v>3094</v>
      </c>
      <c r="E348" t="s">
        <v>785</v>
      </c>
      <c r="F348">
        <v>366</v>
      </c>
      <c r="G348">
        <v>-1883</v>
      </c>
      <c r="H348">
        <v>-106</v>
      </c>
    </row>
    <row r="349" spans="1:8" x14ac:dyDescent="0.2">
      <c r="A349" t="s">
        <v>1221</v>
      </c>
      <c r="B349" t="s">
        <v>3094</v>
      </c>
      <c r="E349" t="s">
        <v>785</v>
      </c>
      <c r="F349">
        <v>-252</v>
      </c>
      <c r="G349">
        <v>1188</v>
      </c>
      <c r="H349">
        <v>21</v>
      </c>
    </row>
    <row r="350" spans="1:8" x14ac:dyDescent="0.2">
      <c r="A350" t="s">
        <v>1222</v>
      </c>
      <c r="B350" t="s">
        <v>3094</v>
      </c>
      <c r="E350" t="s">
        <v>1002</v>
      </c>
      <c r="F350">
        <v>906</v>
      </c>
      <c r="G350">
        <v>-2556</v>
      </c>
      <c r="H350">
        <v>-467</v>
      </c>
    </row>
    <row r="351" spans="1:8" x14ac:dyDescent="0.2">
      <c r="A351" t="s">
        <v>1223</v>
      </c>
      <c r="B351" t="s">
        <v>3094</v>
      </c>
      <c r="E351" t="s">
        <v>785</v>
      </c>
      <c r="F351">
        <v>928</v>
      </c>
      <c r="G351">
        <v>-2583</v>
      </c>
      <c r="H351">
        <v>-106</v>
      </c>
    </row>
    <row r="352" spans="1:8" x14ac:dyDescent="0.2">
      <c r="A352" t="s">
        <v>1224</v>
      </c>
      <c r="B352" t="s">
        <v>3094</v>
      </c>
      <c r="E352" t="s">
        <v>785</v>
      </c>
      <c r="F352">
        <v>1024</v>
      </c>
      <c r="G352">
        <v>-2763</v>
      </c>
      <c r="H352">
        <v>-106</v>
      </c>
    </row>
    <row r="353" spans="1:8" x14ac:dyDescent="0.2">
      <c r="A353" t="s">
        <v>795</v>
      </c>
      <c r="B353" t="s">
        <v>3094</v>
      </c>
      <c r="E353" t="s">
        <v>783</v>
      </c>
      <c r="F353">
        <v>1460</v>
      </c>
      <c r="G353">
        <v>-3381</v>
      </c>
      <c r="H353">
        <v>1895</v>
      </c>
    </row>
    <row r="354" spans="1:8" x14ac:dyDescent="0.2">
      <c r="A354" t="s">
        <v>1226</v>
      </c>
      <c r="B354" t="s">
        <v>3094</v>
      </c>
      <c r="E354" t="s">
        <v>785</v>
      </c>
      <c r="F354">
        <v>-4785</v>
      </c>
      <c r="G354">
        <v>-3509</v>
      </c>
      <c r="H354">
        <v>-106</v>
      </c>
    </row>
    <row r="355" spans="1:8" x14ac:dyDescent="0.2">
      <c r="A355" t="s">
        <v>1036</v>
      </c>
      <c r="B355" t="s">
        <v>3094</v>
      </c>
      <c r="E355" t="s">
        <v>785</v>
      </c>
      <c r="F355">
        <v>-344</v>
      </c>
      <c r="G355">
        <v>3121</v>
      </c>
      <c r="H355">
        <v>-106</v>
      </c>
    </row>
    <row r="356" spans="1:8" x14ac:dyDescent="0.2">
      <c r="A356" t="s">
        <v>1229</v>
      </c>
      <c r="B356" t="s">
        <v>3094</v>
      </c>
      <c r="E356" t="s">
        <v>785</v>
      </c>
      <c r="F356">
        <v>-3793</v>
      </c>
      <c r="G356">
        <v>2236</v>
      </c>
      <c r="H356">
        <v>-106</v>
      </c>
    </row>
    <row r="357" spans="1:8" x14ac:dyDescent="0.2">
      <c r="A357" t="s">
        <v>1232</v>
      </c>
      <c r="B357" t="s">
        <v>3094</v>
      </c>
      <c r="E357" t="s">
        <v>785</v>
      </c>
      <c r="F357">
        <v>1358</v>
      </c>
      <c r="G357">
        <v>-1782</v>
      </c>
      <c r="H357">
        <v>-106</v>
      </c>
    </row>
    <row r="358" spans="1:8" x14ac:dyDescent="0.2">
      <c r="A358" t="s">
        <v>879</v>
      </c>
      <c r="B358" t="s">
        <v>3094</v>
      </c>
      <c r="E358" t="s">
        <v>785</v>
      </c>
      <c r="F358">
        <v>1194</v>
      </c>
      <c r="G358">
        <v>-1854</v>
      </c>
      <c r="H358">
        <v>158</v>
      </c>
    </row>
    <row r="359" spans="1:8" x14ac:dyDescent="0.2">
      <c r="A359" t="s">
        <v>880</v>
      </c>
      <c r="B359" t="s">
        <v>3094</v>
      </c>
      <c r="E359" t="s">
        <v>785</v>
      </c>
      <c r="F359">
        <v>1183</v>
      </c>
      <c r="G359">
        <v>-1948</v>
      </c>
      <c r="H359">
        <v>246</v>
      </c>
    </row>
    <row r="360" spans="1:8" x14ac:dyDescent="0.2">
      <c r="A360" t="s">
        <v>1233</v>
      </c>
      <c r="B360" t="s">
        <v>3094</v>
      </c>
      <c r="E360" t="s">
        <v>785</v>
      </c>
      <c r="F360">
        <v>1757</v>
      </c>
      <c r="G360">
        <v>-1924</v>
      </c>
      <c r="H360">
        <v>53</v>
      </c>
    </row>
    <row r="361" spans="1:8" x14ac:dyDescent="0.2">
      <c r="A361" t="s">
        <v>1236</v>
      </c>
      <c r="B361" t="s">
        <v>3094</v>
      </c>
      <c r="E361" t="s">
        <v>785</v>
      </c>
      <c r="F361">
        <v>3003</v>
      </c>
      <c r="G361">
        <v>-3082</v>
      </c>
      <c r="H361">
        <v>-106</v>
      </c>
    </row>
    <row r="362" spans="1:8" x14ac:dyDescent="0.2">
      <c r="A362" t="s">
        <v>1237</v>
      </c>
      <c r="B362" t="s">
        <v>3094</v>
      </c>
      <c r="E362" t="s">
        <v>785</v>
      </c>
      <c r="F362">
        <v>3404</v>
      </c>
      <c r="G362">
        <v>-2152</v>
      </c>
      <c r="H362">
        <v>133</v>
      </c>
    </row>
    <row r="363" spans="1:8" x14ac:dyDescent="0.2">
      <c r="A363" t="s">
        <v>1238</v>
      </c>
      <c r="B363" t="s">
        <v>3094</v>
      </c>
      <c r="E363" t="s">
        <v>785</v>
      </c>
      <c r="F363">
        <v>4354</v>
      </c>
      <c r="G363">
        <v>2400</v>
      </c>
      <c r="H363">
        <v>-106</v>
      </c>
    </row>
    <row r="364" spans="1:8" x14ac:dyDescent="0.2">
      <c r="A364" t="s">
        <v>834</v>
      </c>
      <c r="B364" t="s">
        <v>3094</v>
      </c>
      <c r="E364" t="s">
        <v>785</v>
      </c>
      <c r="F364">
        <v>4096</v>
      </c>
      <c r="G364">
        <v>2149</v>
      </c>
      <c r="H364">
        <v>-106</v>
      </c>
    </row>
    <row r="365" spans="1:8" x14ac:dyDescent="0.2">
      <c r="A365" t="s">
        <v>1038</v>
      </c>
      <c r="B365" t="s">
        <v>3094</v>
      </c>
      <c r="E365" t="s">
        <v>785</v>
      </c>
      <c r="F365">
        <v>4231</v>
      </c>
      <c r="G365">
        <v>2746</v>
      </c>
      <c r="H365">
        <v>170</v>
      </c>
    </row>
    <row r="366" spans="1:8" x14ac:dyDescent="0.2">
      <c r="A366" t="s">
        <v>1039</v>
      </c>
      <c r="B366" t="s">
        <v>3094</v>
      </c>
      <c r="E366" t="s">
        <v>785</v>
      </c>
      <c r="F366">
        <v>-2538</v>
      </c>
      <c r="G366">
        <v>-3539</v>
      </c>
      <c r="H366">
        <v>-106</v>
      </c>
    </row>
    <row r="367" spans="1:8" x14ac:dyDescent="0.2">
      <c r="A367" t="s">
        <v>881</v>
      </c>
      <c r="B367" t="s">
        <v>3094</v>
      </c>
      <c r="E367" t="s">
        <v>785</v>
      </c>
      <c r="F367">
        <v>-3555</v>
      </c>
      <c r="G367">
        <v>3088</v>
      </c>
      <c r="H367">
        <v>273</v>
      </c>
    </row>
    <row r="368" spans="1:8" x14ac:dyDescent="0.2">
      <c r="A368" t="s">
        <v>1240</v>
      </c>
      <c r="B368" t="s">
        <v>3094</v>
      </c>
      <c r="E368" t="s">
        <v>785</v>
      </c>
      <c r="F368">
        <v>-14</v>
      </c>
      <c r="G368">
        <v>458</v>
      </c>
      <c r="H368">
        <v>-106</v>
      </c>
    </row>
    <row r="369" spans="1:8" x14ac:dyDescent="0.2">
      <c r="A369" t="s">
        <v>1241</v>
      </c>
      <c r="B369" t="s">
        <v>3094</v>
      </c>
      <c r="E369" t="s">
        <v>785</v>
      </c>
      <c r="F369">
        <v>1126</v>
      </c>
      <c r="G369">
        <v>3673</v>
      </c>
      <c r="H369">
        <v>-106</v>
      </c>
    </row>
    <row r="370" spans="1:8" x14ac:dyDescent="0.2">
      <c r="A370" t="s">
        <v>1242</v>
      </c>
      <c r="B370" t="s">
        <v>3094</v>
      </c>
      <c r="E370" t="s">
        <v>785</v>
      </c>
      <c r="F370">
        <v>-1577</v>
      </c>
      <c r="G370">
        <v>-2988</v>
      </c>
      <c r="H370">
        <v>-106</v>
      </c>
    </row>
    <row r="371" spans="1:8" x14ac:dyDescent="0.2">
      <c r="A371" t="s">
        <v>882</v>
      </c>
      <c r="B371" t="s">
        <v>3094</v>
      </c>
      <c r="E371" t="s">
        <v>785</v>
      </c>
      <c r="F371">
        <v>-2696</v>
      </c>
      <c r="G371">
        <v>-2809</v>
      </c>
      <c r="H371">
        <v>-67</v>
      </c>
    </row>
    <row r="372" spans="1:8" x14ac:dyDescent="0.2">
      <c r="A372" t="s">
        <v>1003</v>
      </c>
      <c r="B372" t="s">
        <v>3094</v>
      </c>
      <c r="E372" t="s">
        <v>783</v>
      </c>
      <c r="F372">
        <v>-1866</v>
      </c>
      <c r="G372">
        <v>-2316</v>
      </c>
      <c r="H372">
        <v>1895</v>
      </c>
    </row>
    <row r="373" spans="1:8" x14ac:dyDescent="0.2">
      <c r="A373" t="s">
        <v>1004</v>
      </c>
      <c r="B373" t="s">
        <v>3094</v>
      </c>
      <c r="E373" t="s">
        <v>783</v>
      </c>
      <c r="F373">
        <v>-1729</v>
      </c>
      <c r="G373">
        <v>3171</v>
      </c>
      <c r="H373">
        <v>1895</v>
      </c>
    </row>
    <row r="374" spans="1:8" x14ac:dyDescent="0.2">
      <c r="A374" t="s">
        <v>805</v>
      </c>
      <c r="B374" t="s">
        <v>3094</v>
      </c>
      <c r="E374" t="s">
        <v>785</v>
      </c>
      <c r="F374">
        <v>2679</v>
      </c>
      <c r="G374">
        <v>-2507</v>
      </c>
      <c r="H374">
        <v>-106</v>
      </c>
    </row>
    <row r="375" spans="1:8" x14ac:dyDescent="0.2">
      <c r="A375" t="s">
        <v>1244</v>
      </c>
      <c r="B375" t="s">
        <v>3094</v>
      </c>
      <c r="E375" t="s">
        <v>785</v>
      </c>
      <c r="F375">
        <v>-120</v>
      </c>
      <c r="G375">
        <v>975</v>
      </c>
      <c r="H375">
        <v>27</v>
      </c>
    </row>
    <row r="376" spans="1:8" x14ac:dyDescent="0.2">
      <c r="A376" t="s">
        <v>1246</v>
      </c>
      <c r="B376" t="s">
        <v>3094</v>
      </c>
      <c r="E376" t="s">
        <v>785</v>
      </c>
      <c r="F376">
        <v>3668</v>
      </c>
      <c r="G376">
        <v>180</v>
      </c>
      <c r="H376">
        <v>219</v>
      </c>
    </row>
    <row r="377" spans="1:8" x14ac:dyDescent="0.2">
      <c r="A377" t="s">
        <v>883</v>
      </c>
      <c r="B377" t="s">
        <v>3094</v>
      </c>
      <c r="E377" t="s">
        <v>785</v>
      </c>
      <c r="F377">
        <v>1854</v>
      </c>
      <c r="G377">
        <v>1720</v>
      </c>
      <c r="H377">
        <v>292</v>
      </c>
    </row>
    <row r="378" spans="1:8" x14ac:dyDescent="0.2">
      <c r="A378" t="s">
        <v>1247</v>
      </c>
      <c r="B378" t="s">
        <v>3094</v>
      </c>
      <c r="E378" t="s">
        <v>785</v>
      </c>
      <c r="F378">
        <v>3861</v>
      </c>
      <c r="G378">
        <v>1095</v>
      </c>
      <c r="H378">
        <v>206</v>
      </c>
    </row>
    <row r="379" spans="1:8" x14ac:dyDescent="0.2">
      <c r="A379" t="s">
        <v>1248</v>
      </c>
      <c r="B379" t="s">
        <v>3094</v>
      </c>
      <c r="E379" t="s">
        <v>785</v>
      </c>
      <c r="F379">
        <v>-531</v>
      </c>
      <c r="G379">
        <v>-1960</v>
      </c>
      <c r="H379">
        <v>-106</v>
      </c>
    </row>
    <row r="380" spans="1:8" x14ac:dyDescent="0.2">
      <c r="A380" t="s">
        <v>1249</v>
      </c>
      <c r="B380" t="s">
        <v>3094</v>
      </c>
      <c r="E380" t="s">
        <v>785</v>
      </c>
      <c r="F380">
        <v>1885</v>
      </c>
      <c r="G380">
        <v>-3326</v>
      </c>
      <c r="H380">
        <v>-106</v>
      </c>
    </row>
    <row r="381" spans="1:8" x14ac:dyDescent="0.2">
      <c r="A381" t="s">
        <v>1251</v>
      </c>
      <c r="B381" t="s">
        <v>3094</v>
      </c>
      <c r="E381" t="s">
        <v>785</v>
      </c>
      <c r="F381">
        <v>3351</v>
      </c>
      <c r="G381">
        <v>-2531</v>
      </c>
      <c r="H381">
        <v>-106</v>
      </c>
    </row>
    <row r="382" spans="1:8" x14ac:dyDescent="0.2">
      <c r="A382" t="s">
        <v>1252</v>
      </c>
      <c r="B382" t="s">
        <v>3094</v>
      </c>
      <c r="E382" t="s">
        <v>785</v>
      </c>
      <c r="F382">
        <v>1935</v>
      </c>
      <c r="G382">
        <v>2232</v>
      </c>
      <c r="H382">
        <v>-106</v>
      </c>
    </row>
    <row r="383" spans="1:8" x14ac:dyDescent="0.2">
      <c r="A383" t="s">
        <v>791</v>
      </c>
      <c r="B383" t="s">
        <v>3094</v>
      </c>
      <c r="E383" t="s">
        <v>785</v>
      </c>
      <c r="F383">
        <v>1853</v>
      </c>
      <c r="G383">
        <v>1401</v>
      </c>
      <c r="H383">
        <v>-106</v>
      </c>
    </row>
    <row r="384" spans="1:8" x14ac:dyDescent="0.2">
      <c r="A384" t="s">
        <v>1253</v>
      </c>
      <c r="B384" t="s">
        <v>3094</v>
      </c>
      <c r="E384" t="s">
        <v>785</v>
      </c>
      <c r="F384">
        <v>1642</v>
      </c>
      <c r="G384">
        <v>1191</v>
      </c>
      <c r="H384">
        <v>219</v>
      </c>
    </row>
    <row r="385" spans="1:8" x14ac:dyDescent="0.2">
      <c r="A385" t="s">
        <v>792</v>
      </c>
      <c r="B385" t="s">
        <v>3094</v>
      </c>
      <c r="E385" t="s">
        <v>785</v>
      </c>
      <c r="F385">
        <v>1310</v>
      </c>
      <c r="G385">
        <v>3376</v>
      </c>
      <c r="H385">
        <v>-106</v>
      </c>
    </row>
    <row r="386" spans="1:8" x14ac:dyDescent="0.2">
      <c r="A386" t="s">
        <v>1256</v>
      </c>
      <c r="B386" t="s">
        <v>3094</v>
      </c>
      <c r="E386" t="s">
        <v>783</v>
      </c>
      <c r="F386">
        <v>1979</v>
      </c>
      <c r="G386">
        <v>2089</v>
      </c>
      <c r="H386">
        <v>1895</v>
      </c>
    </row>
    <row r="387" spans="1:8" x14ac:dyDescent="0.2">
      <c r="A387" t="s">
        <v>1257</v>
      </c>
      <c r="B387" t="s">
        <v>3094</v>
      </c>
      <c r="E387" t="s">
        <v>783</v>
      </c>
      <c r="F387">
        <v>1777</v>
      </c>
      <c r="G387">
        <v>2706</v>
      </c>
      <c r="H387">
        <v>1895</v>
      </c>
    </row>
    <row r="388" spans="1:8" x14ac:dyDescent="0.2">
      <c r="A388" t="s">
        <v>1258</v>
      </c>
      <c r="B388" t="s">
        <v>3094</v>
      </c>
      <c r="E388" t="s">
        <v>785</v>
      </c>
      <c r="F388">
        <v>2293</v>
      </c>
      <c r="G388">
        <v>3679</v>
      </c>
      <c r="H388">
        <v>-106</v>
      </c>
    </row>
    <row r="389" spans="1:8" x14ac:dyDescent="0.2">
      <c r="A389" t="s">
        <v>1259</v>
      </c>
      <c r="B389" t="s">
        <v>3094</v>
      </c>
      <c r="E389" t="s">
        <v>785</v>
      </c>
      <c r="F389">
        <v>-415</v>
      </c>
      <c r="G389">
        <v>1797</v>
      </c>
      <c r="H389">
        <v>-106</v>
      </c>
    </row>
    <row r="390" spans="1:8" x14ac:dyDescent="0.2">
      <c r="A390" t="s">
        <v>884</v>
      </c>
      <c r="B390" t="s">
        <v>3094</v>
      </c>
      <c r="E390" t="s">
        <v>785</v>
      </c>
      <c r="F390">
        <v>4753</v>
      </c>
      <c r="G390">
        <v>-3782</v>
      </c>
      <c r="H390">
        <v>-6</v>
      </c>
    </row>
    <row r="391" spans="1:8" x14ac:dyDescent="0.2">
      <c r="A391" t="s">
        <v>1040</v>
      </c>
      <c r="B391" t="s">
        <v>3094</v>
      </c>
      <c r="E391" t="s">
        <v>785</v>
      </c>
      <c r="F391">
        <v>-750</v>
      </c>
      <c r="G391">
        <v>-860</v>
      </c>
      <c r="H391">
        <v>191</v>
      </c>
    </row>
    <row r="392" spans="1:8" x14ac:dyDescent="0.2">
      <c r="A392" t="s">
        <v>1265</v>
      </c>
      <c r="B392" t="s">
        <v>3094</v>
      </c>
      <c r="E392" t="s">
        <v>785</v>
      </c>
      <c r="F392">
        <v>969</v>
      </c>
      <c r="G392">
        <v>-2825</v>
      </c>
      <c r="H392">
        <v>-106</v>
      </c>
    </row>
    <row r="393" spans="1:8" x14ac:dyDescent="0.2">
      <c r="A393" t="s">
        <v>794</v>
      </c>
      <c r="B393" t="s">
        <v>3094</v>
      </c>
      <c r="E393" t="s">
        <v>785</v>
      </c>
      <c r="F393">
        <v>-423</v>
      </c>
      <c r="G393">
        <v>-3156</v>
      </c>
      <c r="H393">
        <v>-106</v>
      </c>
    </row>
    <row r="394" spans="1:8" x14ac:dyDescent="0.2">
      <c r="A394" t="s">
        <v>1266</v>
      </c>
      <c r="B394" t="s">
        <v>3094</v>
      </c>
      <c r="E394" t="s">
        <v>785</v>
      </c>
      <c r="F394">
        <v>-51</v>
      </c>
      <c r="G394">
        <v>-3986</v>
      </c>
      <c r="H394">
        <v>-106</v>
      </c>
    </row>
    <row r="395" spans="1:8" x14ac:dyDescent="0.2">
      <c r="A395" t="s">
        <v>1267</v>
      </c>
      <c r="B395" t="s">
        <v>3094</v>
      </c>
      <c r="E395" t="s">
        <v>783</v>
      </c>
      <c r="F395">
        <v>969</v>
      </c>
      <c r="G395">
        <v>-2825</v>
      </c>
      <c r="H395">
        <v>895</v>
      </c>
    </row>
    <row r="396" spans="1:8" x14ac:dyDescent="0.2">
      <c r="A396" t="s">
        <v>1270</v>
      </c>
      <c r="B396" t="s">
        <v>3094</v>
      </c>
      <c r="E396" t="s">
        <v>785</v>
      </c>
      <c r="F396">
        <v>556</v>
      </c>
      <c r="G396">
        <v>-2488</v>
      </c>
      <c r="H396">
        <v>-106</v>
      </c>
    </row>
    <row r="397" spans="1:8" x14ac:dyDescent="0.2">
      <c r="A397" t="s">
        <v>1271</v>
      </c>
      <c r="B397" t="s">
        <v>3094</v>
      </c>
      <c r="E397" t="s">
        <v>785</v>
      </c>
      <c r="F397">
        <v>423</v>
      </c>
      <c r="G397">
        <v>-2953</v>
      </c>
      <c r="H397">
        <v>-106</v>
      </c>
    </row>
    <row r="398" spans="1:8" x14ac:dyDescent="0.2">
      <c r="A398" t="s">
        <v>885</v>
      </c>
      <c r="B398" t="s">
        <v>3094</v>
      </c>
      <c r="E398" t="s">
        <v>785</v>
      </c>
      <c r="F398">
        <v>569</v>
      </c>
      <c r="G398">
        <v>-2982</v>
      </c>
      <c r="H398">
        <v>13</v>
      </c>
    </row>
    <row r="399" spans="1:8" x14ac:dyDescent="0.2">
      <c r="A399" t="s">
        <v>1272</v>
      </c>
      <c r="B399" t="s">
        <v>3094</v>
      </c>
      <c r="E399" t="s">
        <v>785</v>
      </c>
      <c r="F399">
        <v>2822</v>
      </c>
      <c r="G399">
        <v>-1952</v>
      </c>
      <c r="H399">
        <v>-106</v>
      </c>
    </row>
    <row r="400" spans="1:8" x14ac:dyDescent="0.2">
      <c r="A400" t="s">
        <v>1273</v>
      </c>
      <c r="B400" t="s">
        <v>3094</v>
      </c>
      <c r="E400" t="s">
        <v>785</v>
      </c>
      <c r="F400">
        <v>2949</v>
      </c>
      <c r="G400">
        <v>-2380</v>
      </c>
      <c r="H400">
        <v>-106</v>
      </c>
    </row>
    <row r="401" spans="1:8" x14ac:dyDescent="0.2">
      <c r="A401" t="s">
        <v>1274</v>
      </c>
      <c r="B401" t="s">
        <v>3094</v>
      </c>
      <c r="E401" t="s">
        <v>785</v>
      </c>
      <c r="F401">
        <v>3266</v>
      </c>
      <c r="G401">
        <v>-2233</v>
      </c>
      <c r="H401">
        <v>-106</v>
      </c>
    </row>
    <row r="402" spans="1:8" x14ac:dyDescent="0.2">
      <c r="A402" t="s">
        <v>1278</v>
      </c>
      <c r="B402" t="s">
        <v>3094</v>
      </c>
      <c r="E402" t="s">
        <v>783</v>
      </c>
      <c r="F402">
        <v>4077</v>
      </c>
      <c r="G402">
        <v>536</v>
      </c>
      <c r="H402">
        <v>896</v>
      </c>
    </row>
    <row r="403" spans="1:8" x14ac:dyDescent="0.2">
      <c r="A403" t="s">
        <v>1279</v>
      </c>
      <c r="B403" t="s">
        <v>3094</v>
      </c>
      <c r="E403" t="s">
        <v>785</v>
      </c>
      <c r="F403">
        <v>854</v>
      </c>
      <c r="G403">
        <v>-837</v>
      </c>
      <c r="H403">
        <v>-46</v>
      </c>
    </row>
    <row r="404" spans="1:8" x14ac:dyDescent="0.2">
      <c r="A404" t="s">
        <v>1280</v>
      </c>
      <c r="B404" t="s">
        <v>3094</v>
      </c>
      <c r="E404" t="s">
        <v>785</v>
      </c>
      <c r="F404">
        <v>1731</v>
      </c>
      <c r="G404">
        <v>-3455</v>
      </c>
      <c r="H404">
        <v>54</v>
      </c>
    </row>
    <row r="405" spans="1:8" x14ac:dyDescent="0.2">
      <c r="A405" t="s">
        <v>1281</v>
      </c>
      <c r="B405" t="s">
        <v>3094</v>
      </c>
      <c r="E405" t="s">
        <v>1002</v>
      </c>
      <c r="F405">
        <v>1936</v>
      </c>
      <c r="G405">
        <v>-2779</v>
      </c>
      <c r="H405">
        <v>-854</v>
      </c>
    </row>
    <row r="406" spans="1:8" x14ac:dyDescent="0.2">
      <c r="A406" t="s">
        <v>1282</v>
      </c>
      <c r="B406" t="s">
        <v>3094</v>
      </c>
      <c r="E406" t="s">
        <v>785</v>
      </c>
      <c r="F406">
        <v>1773</v>
      </c>
      <c r="G406">
        <v>-3256</v>
      </c>
      <c r="H406">
        <v>-106</v>
      </c>
    </row>
    <row r="407" spans="1:8" x14ac:dyDescent="0.2">
      <c r="A407" t="s">
        <v>1283</v>
      </c>
      <c r="B407" t="s">
        <v>3094</v>
      </c>
      <c r="E407" t="s">
        <v>785</v>
      </c>
      <c r="F407">
        <v>1277</v>
      </c>
      <c r="G407">
        <v>-3327</v>
      </c>
      <c r="H407">
        <v>-106</v>
      </c>
    </row>
    <row r="408" spans="1:8" x14ac:dyDescent="0.2">
      <c r="A408" t="s">
        <v>886</v>
      </c>
      <c r="B408" t="s">
        <v>3094</v>
      </c>
      <c r="E408" t="s">
        <v>785</v>
      </c>
      <c r="F408">
        <v>810</v>
      </c>
      <c r="G408">
        <v>-2972</v>
      </c>
      <c r="H408">
        <v>11</v>
      </c>
    </row>
    <row r="409" spans="1:8" x14ac:dyDescent="0.2">
      <c r="A409" t="s">
        <v>887</v>
      </c>
      <c r="B409" t="s">
        <v>3094</v>
      </c>
      <c r="E409" t="s">
        <v>785</v>
      </c>
      <c r="F409">
        <v>2275</v>
      </c>
      <c r="G409">
        <v>1520</v>
      </c>
      <c r="H409">
        <v>157</v>
      </c>
    </row>
    <row r="410" spans="1:8" x14ac:dyDescent="0.2">
      <c r="A410" t="s">
        <v>1041</v>
      </c>
      <c r="B410" t="s">
        <v>3094</v>
      </c>
      <c r="E410" t="s">
        <v>785</v>
      </c>
      <c r="F410">
        <v>2613</v>
      </c>
      <c r="G410">
        <v>1144</v>
      </c>
      <c r="H410">
        <v>148</v>
      </c>
    </row>
    <row r="411" spans="1:8" x14ac:dyDescent="0.2">
      <c r="A411" t="s">
        <v>1042</v>
      </c>
      <c r="B411" t="s">
        <v>3094</v>
      </c>
      <c r="E411" t="s">
        <v>785</v>
      </c>
      <c r="F411">
        <v>-963</v>
      </c>
      <c r="G411">
        <v>-1705</v>
      </c>
      <c r="H411">
        <v>-106</v>
      </c>
    </row>
    <row r="412" spans="1:8" x14ac:dyDescent="0.2">
      <c r="A412" t="s">
        <v>841</v>
      </c>
      <c r="B412" t="s">
        <v>3094</v>
      </c>
      <c r="E412" t="s">
        <v>785</v>
      </c>
      <c r="F412">
        <v>-368</v>
      </c>
      <c r="G412">
        <v>-1525</v>
      </c>
      <c r="H412">
        <v>-106</v>
      </c>
    </row>
    <row r="413" spans="1:8" x14ac:dyDescent="0.2">
      <c r="A413" t="s">
        <v>1288</v>
      </c>
      <c r="B413" t="s">
        <v>3094</v>
      </c>
      <c r="E413" t="s">
        <v>785</v>
      </c>
      <c r="F413">
        <v>2324</v>
      </c>
      <c r="G413">
        <v>-1837</v>
      </c>
      <c r="H413">
        <v>-28</v>
      </c>
    </row>
    <row r="414" spans="1:8" x14ac:dyDescent="0.2">
      <c r="A414" t="s">
        <v>888</v>
      </c>
      <c r="B414" t="s">
        <v>3094</v>
      </c>
      <c r="E414" t="s">
        <v>785</v>
      </c>
      <c r="F414">
        <v>2243</v>
      </c>
      <c r="G414">
        <v>-1690</v>
      </c>
      <c r="H414">
        <v>24</v>
      </c>
    </row>
    <row r="415" spans="1:8" x14ac:dyDescent="0.2">
      <c r="A415" t="s">
        <v>1289</v>
      </c>
      <c r="B415" t="s">
        <v>3094</v>
      </c>
      <c r="E415" t="s">
        <v>785</v>
      </c>
      <c r="F415">
        <v>447</v>
      </c>
      <c r="G415">
        <v>-3335</v>
      </c>
      <c r="H415">
        <v>-106</v>
      </c>
    </row>
    <row r="416" spans="1:8" x14ac:dyDescent="0.2">
      <c r="A416" t="s">
        <v>1290</v>
      </c>
      <c r="B416" t="s">
        <v>3094</v>
      </c>
      <c r="E416" t="s">
        <v>785</v>
      </c>
      <c r="F416">
        <v>3274</v>
      </c>
      <c r="G416">
        <v>-3412</v>
      </c>
      <c r="H416">
        <v>-106</v>
      </c>
    </row>
    <row r="417" spans="1:8" x14ac:dyDescent="0.2">
      <c r="A417" t="s">
        <v>1291</v>
      </c>
      <c r="B417" t="s">
        <v>3094</v>
      </c>
      <c r="E417" t="s">
        <v>785</v>
      </c>
      <c r="F417">
        <v>-538</v>
      </c>
      <c r="G417">
        <v>-1445</v>
      </c>
      <c r="H417">
        <v>1</v>
      </c>
    </row>
    <row r="418" spans="1:8" x14ac:dyDescent="0.2">
      <c r="A418" t="s">
        <v>1292</v>
      </c>
      <c r="B418" t="s">
        <v>3094</v>
      </c>
      <c r="E418" t="s">
        <v>785</v>
      </c>
      <c r="F418">
        <v>-206</v>
      </c>
      <c r="G418" t="s">
        <v>1773</v>
      </c>
      <c r="H418">
        <v>20</v>
      </c>
    </row>
    <row r="419" spans="1:8" x14ac:dyDescent="0.2">
      <c r="A419" t="s">
        <v>1293</v>
      </c>
      <c r="B419" t="s">
        <v>3094</v>
      </c>
      <c r="E419" t="s">
        <v>785</v>
      </c>
      <c r="F419">
        <v>2428</v>
      </c>
      <c r="G419">
        <v>1729</v>
      </c>
      <c r="H419">
        <v>-106</v>
      </c>
    </row>
    <row r="420" spans="1:8" x14ac:dyDescent="0.2">
      <c r="A420" t="s">
        <v>1294</v>
      </c>
      <c r="B420" t="s">
        <v>3094</v>
      </c>
      <c r="E420" t="s">
        <v>785</v>
      </c>
      <c r="F420">
        <v>-3989</v>
      </c>
      <c r="G420">
        <v>-3257</v>
      </c>
      <c r="H420">
        <v>-106</v>
      </c>
    </row>
    <row r="421" spans="1:8" x14ac:dyDescent="0.2">
      <c r="A421" t="s">
        <v>1043</v>
      </c>
      <c r="B421" t="s">
        <v>3094</v>
      </c>
      <c r="E421" t="s">
        <v>785</v>
      </c>
      <c r="F421">
        <v>-2308</v>
      </c>
      <c r="G421">
        <v>-2216</v>
      </c>
      <c r="H421">
        <v>-106</v>
      </c>
    </row>
    <row r="422" spans="1:8" x14ac:dyDescent="0.2">
      <c r="A422" t="s">
        <v>889</v>
      </c>
      <c r="B422" t="s">
        <v>3094</v>
      </c>
      <c r="E422" t="s">
        <v>1002</v>
      </c>
      <c r="F422">
        <v>-4175</v>
      </c>
      <c r="G422">
        <v>-739</v>
      </c>
      <c r="H422">
        <v>-1063</v>
      </c>
    </row>
    <row r="423" spans="1:8" x14ac:dyDescent="0.2">
      <c r="A423" t="s">
        <v>1295</v>
      </c>
      <c r="B423" t="s">
        <v>3094</v>
      </c>
      <c r="E423" t="s">
        <v>785</v>
      </c>
      <c r="F423">
        <v>-2439</v>
      </c>
      <c r="G423">
        <v>-2183</v>
      </c>
      <c r="H423">
        <v>300</v>
      </c>
    </row>
    <row r="424" spans="1:8" x14ac:dyDescent="0.2">
      <c r="A424" t="s">
        <v>1044</v>
      </c>
      <c r="B424" t="s">
        <v>3094</v>
      </c>
      <c r="E424" t="s">
        <v>785</v>
      </c>
      <c r="F424">
        <v>-2804</v>
      </c>
      <c r="G424">
        <v>-2226</v>
      </c>
      <c r="H424">
        <v>73</v>
      </c>
    </row>
    <row r="425" spans="1:8" x14ac:dyDescent="0.2">
      <c r="A425" t="s">
        <v>798</v>
      </c>
      <c r="B425" t="s">
        <v>3094</v>
      </c>
      <c r="E425" t="s">
        <v>785</v>
      </c>
      <c r="F425">
        <v>-3682</v>
      </c>
      <c r="G425">
        <v>-3429</v>
      </c>
      <c r="H425">
        <v>-106</v>
      </c>
    </row>
    <row r="426" spans="1:8" x14ac:dyDescent="0.2">
      <c r="A426" t="s">
        <v>1298</v>
      </c>
      <c r="B426" t="s">
        <v>3094</v>
      </c>
      <c r="E426" t="s">
        <v>785</v>
      </c>
      <c r="F426">
        <v>-2924</v>
      </c>
      <c r="G426">
        <v>-2329</v>
      </c>
      <c r="H426">
        <v>33</v>
      </c>
    </row>
    <row r="427" spans="1:8" x14ac:dyDescent="0.2">
      <c r="A427" t="s">
        <v>890</v>
      </c>
      <c r="B427" t="s">
        <v>3094</v>
      </c>
      <c r="E427" t="s">
        <v>785</v>
      </c>
      <c r="F427">
        <v>-4814</v>
      </c>
      <c r="G427">
        <v>-3875</v>
      </c>
      <c r="H427">
        <v>-1</v>
      </c>
    </row>
    <row r="428" spans="1:8" x14ac:dyDescent="0.2">
      <c r="A428" t="s">
        <v>797</v>
      </c>
      <c r="B428" t="s">
        <v>3094</v>
      </c>
      <c r="E428" t="s">
        <v>785</v>
      </c>
      <c r="F428">
        <v>-4089</v>
      </c>
      <c r="G428">
        <v>-843</v>
      </c>
      <c r="H428">
        <v>-106</v>
      </c>
    </row>
    <row r="429" spans="1:8" x14ac:dyDescent="0.2">
      <c r="A429" t="s">
        <v>1299</v>
      </c>
      <c r="B429" t="s">
        <v>3094</v>
      </c>
      <c r="E429" t="s">
        <v>785</v>
      </c>
      <c r="F429">
        <v>-3961</v>
      </c>
      <c r="G429">
        <v>-1306</v>
      </c>
      <c r="H429">
        <v>416</v>
      </c>
    </row>
    <row r="430" spans="1:8" x14ac:dyDescent="0.2">
      <c r="A430" t="s">
        <v>891</v>
      </c>
      <c r="B430" t="s">
        <v>3094</v>
      </c>
      <c r="E430" t="s">
        <v>785</v>
      </c>
      <c r="F430">
        <v>-3763</v>
      </c>
      <c r="G430">
        <v>-2699</v>
      </c>
      <c r="H430">
        <v>15</v>
      </c>
    </row>
    <row r="431" spans="1:8" x14ac:dyDescent="0.2">
      <c r="A431" t="s">
        <v>1300</v>
      </c>
      <c r="B431" t="s">
        <v>3094</v>
      </c>
      <c r="E431" t="s">
        <v>783</v>
      </c>
      <c r="F431">
        <v>-3625</v>
      </c>
      <c r="G431">
        <v>-2759</v>
      </c>
      <c r="H431">
        <v>1895</v>
      </c>
    </row>
    <row r="432" spans="1:8" x14ac:dyDescent="0.2">
      <c r="A432" t="s">
        <v>839</v>
      </c>
      <c r="B432" t="s">
        <v>3094</v>
      </c>
      <c r="E432" t="s">
        <v>785</v>
      </c>
      <c r="F432">
        <v>-4105</v>
      </c>
      <c r="G432">
        <v>-699</v>
      </c>
      <c r="H432">
        <v>-106</v>
      </c>
    </row>
    <row r="433" spans="1:8" x14ac:dyDescent="0.2">
      <c r="A433" t="s">
        <v>1301</v>
      </c>
      <c r="B433" t="s">
        <v>3094</v>
      </c>
      <c r="E433" t="s">
        <v>785</v>
      </c>
      <c r="F433">
        <v>-3859</v>
      </c>
      <c r="G433">
        <v>-2941</v>
      </c>
      <c r="H433">
        <v>33</v>
      </c>
    </row>
    <row r="434" spans="1:8" x14ac:dyDescent="0.2">
      <c r="A434" t="s">
        <v>1303</v>
      </c>
      <c r="B434" t="s">
        <v>3094</v>
      </c>
      <c r="E434" t="s">
        <v>785</v>
      </c>
      <c r="F434">
        <v>-1185</v>
      </c>
      <c r="G434">
        <v>-114</v>
      </c>
      <c r="H434">
        <v>-106</v>
      </c>
    </row>
    <row r="435" spans="1:8" x14ac:dyDescent="0.2">
      <c r="A435" t="s">
        <v>1304</v>
      </c>
      <c r="B435" t="s">
        <v>3094</v>
      </c>
      <c r="E435" t="s">
        <v>1002</v>
      </c>
      <c r="F435">
        <v>-1165</v>
      </c>
      <c r="G435">
        <v>-152</v>
      </c>
      <c r="H435">
        <v>-602</v>
      </c>
    </row>
    <row r="436" spans="1:8" x14ac:dyDescent="0.2">
      <c r="A436" t="s">
        <v>1305</v>
      </c>
      <c r="B436" t="s">
        <v>3094</v>
      </c>
      <c r="E436" t="s">
        <v>1002</v>
      </c>
      <c r="F436">
        <v>3220</v>
      </c>
      <c r="G436">
        <v>-2057</v>
      </c>
      <c r="H436">
        <v>-595</v>
      </c>
    </row>
    <row r="437" spans="1:8" x14ac:dyDescent="0.2">
      <c r="A437" t="s">
        <v>1306</v>
      </c>
      <c r="B437" t="s">
        <v>3094</v>
      </c>
      <c r="E437" t="s">
        <v>785</v>
      </c>
      <c r="F437">
        <v>3202</v>
      </c>
      <c r="G437">
        <v>-2083</v>
      </c>
      <c r="H437">
        <v>-106</v>
      </c>
    </row>
    <row r="438" spans="1:8" x14ac:dyDescent="0.2">
      <c r="A438" t="s">
        <v>892</v>
      </c>
      <c r="B438" t="s">
        <v>3094</v>
      </c>
      <c r="E438" t="s">
        <v>785</v>
      </c>
      <c r="F438">
        <v>-3866</v>
      </c>
      <c r="G438">
        <v>1012</v>
      </c>
      <c r="H438">
        <v>73</v>
      </c>
    </row>
    <row r="439" spans="1:8" x14ac:dyDescent="0.2">
      <c r="A439" t="s">
        <v>1308</v>
      </c>
      <c r="B439" t="s">
        <v>3094</v>
      </c>
      <c r="E439" t="s">
        <v>785</v>
      </c>
      <c r="F439">
        <v>-1310</v>
      </c>
      <c r="G439">
        <v>-787</v>
      </c>
      <c r="H439">
        <v>-9</v>
      </c>
    </row>
    <row r="440" spans="1:8" x14ac:dyDescent="0.2">
      <c r="A440" t="s">
        <v>1310</v>
      </c>
      <c r="B440" t="s">
        <v>3094</v>
      </c>
      <c r="E440" t="s">
        <v>1002</v>
      </c>
      <c r="F440">
        <v>-3399</v>
      </c>
      <c r="G440">
        <v>3612</v>
      </c>
      <c r="H440">
        <v>-810</v>
      </c>
    </row>
    <row r="441" spans="1:8" x14ac:dyDescent="0.2">
      <c r="A441" t="s">
        <v>1312</v>
      </c>
      <c r="B441" t="s">
        <v>3094</v>
      </c>
      <c r="E441" t="s">
        <v>785</v>
      </c>
      <c r="F441">
        <v>3194</v>
      </c>
      <c r="G441">
        <v>-3560</v>
      </c>
      <c r="H441">
        <v>-106</v>
      </c>
    </row>
    <row r="442" spans="1:8" x14ac:dyDescent="0.2">
      <c r="A442" t="s">
        <v>1313</v>
      </c>
      <c r="B442" t="s">
        <v>3094</v>
      </c>
      <c r="E442" t="s">
        <v>785</v>
      </c>
      <c r="F442">
        <v>1486</v>
      </c>
      <c r="G442">
        <v>2550</v>
      </c>
      <c r="H442">
        <v>-106</v>
      </c>
    </row>
    <row r="443" spans="1:8" x14ac:dyDescent="0.2">
      <c r="A443" t="s">
        <v>1314</v>
      </c>
      <c r="B443" t="s">
        <v>3094</v>
      </c>
      <c r="E443" t="s">
        <v>785</v>
      </c>
      <c r="F443">
        <v>1554</v>
      </c>
      <c r="G443">
        <v>-355</v>
      </c>
      <c r="H443">
        <v>-106</v>
      </c>
    </row>
    <row r="444" spans="1:8" x14ac:dyDescent="0.2">
      <c r="A444" t="s">
        <v>1317</v>
      </c>
      <c r="B444" t="s">
        <v>3094</v>
      </c>
      <c r="E444" t="s">
        <v>785</v>
      </c>
      <c r="F444">
        <v>2097</v>
      </c>
      <c r="G444">
        <v>2150</v>
      </c>
      <c r="H444">
        <v>-106</v>
      </c>
    </row>
    <row r="445" spans="1:8" x14ac:dyDescent="0.2">
      <c r="A445" t="s">
        <v>893</v>
      </c>
      <c r="B445" t="s">
        <v>3094</v>
      </c>
      <c r="E445" t="s">
        <v>785</v>
      </c>
      <c r="F445">
        <v>2008</v>
      </c>
      <c r="G445">
        <v>2013</v>
      </c>
      <c r="H445">
        <v>-106</v>
      </c>
    </row>
    <row r="446" spans="1:8" x14ac:dyDescent="0.2">
      <c r="A446" t="s">
        <v>1318</v>
      </c>
      <c r="B446" t="s">
        <v>3094</v>
      </c>
      <c r="E446" t="s">
        <v>785</v>
      </c>
      <c r="F446">
        <v>1865</v>
      </c>
      <c r="G446">
        <v>2454</v>
      </c>
      <c r="H446">
        <v>-106</v>
      </c>
    </row>
    <row r="447" spans="1:8" x14ac:dyDescent="0.2">
      <c r="A447" t="s">
        <v>1319</v>
      </c>
      <c r="B447" t="s">
        <v>3094</v>
      </c>
      <c r="E447" t="s">
        <v>785</v>
      </c>
      <c r="F447">
        <v>1657</v>
      </c>
      <c r="G447">
        <v>2440</v>
      </c>
      <c r="H447">
        <v>340</v>
      </c>
    </row>
    <row r="448" spans="1:8" x14ac:dyDescent="0.2">
      <c r="A448" t="s">
        <v>1320</v>
      </c>
      <c r="B448" t="s">
        <v>3094</v>
      </c>
      <c r="E448" t="s">
        <v>785</v>
      </c>
      <c r="F448">
        <v>1776</v>
      </c>
      <c r="G448">
        <v>2256</v>
      </c>
      <c r="H448">
        <v>-106</v>
      </c>
    </row>
    <row r="449" spans="1:8" x14ac:dyDescent="0.2">
      <c r="A449" t="s">
        <v>1321</v>
      </c>
      <c r="B449" t="s">
        <v>3094</v>
      </c>
      <c r="E449" t="s">
        <v>785</v>
      </c>
      <c r="F449">
        <v>1801</v>
      </c>
      <c r="G449">
        <v>1483</v>
      </c>
      <c r="H449">
        <v>-106</v>
      </c>
    </row>
    <row r="450" spans="1:8" x14ac:dyDescent="0.2">
      <c r="A450" t="s">
        <v>1322</v>
      </c>
      <c r="B450" t="s">
        <v>3094</v>
      </c>
      <c r="E450" t="s">
        <v>785</v>
      </c>
      <c r="F450">
        <v>1567</v>
      </c>
      <c r="G450">
        <v>1843</v>
      </c>
      <c r="H450">
        <v>-106</v>
      </c>
    </row>
    <row r="451" spans="1:8" x14ac:dyDescent="0.2">
      <c r="A451" t="s">
        <v>894</v>
      </c>
      <c r="B451" t="s">
        <v>3094</v>
      </c>
      <c r="E451" t="s">
        <v>785</v>
      </c>
      <c r="F451">
        <v>1423</v>
      </c>
      <c r="G451">
        <v>2103</v>
      </c>
      <c r="H451">
        <v>284</v>
      </c>
    </row>
    <row r="452" spans="1:8" x14ac:dyDescent="0.2">
      <c r="A452" t="s">
        <v>1323</v>
      </c>
      <c r="B452" t="s">
        <v>3094</v>
      </c>
      <c r="E452" t="s">
        <v>785</v>
      </c>
      <c r="F452">
        <v>1819</v>
      </c>
      <c r="G452">
        <v>1891</v>
      </c>
      <c r="H452">
        <v>-106</v>
      </c>
    </row>
    <row r="453" spans="1:8" x14ac:dyDescent="0.2">
      <c r="A453" t="s">
        <v>1326</v>
      </c>
      <c r="B453" t="s">
        <v>3094</v>
      </c>
      <c r="E453" t="s">
        <v>785</v>
      </c>
      <c r="F453">
        <v>-3322</v>
      </c>
      <c r="G453">
        <v>-2247</v>
      </c>
      <c r="H453">
        <v>-106</v>
      </c>
    </row>
    <row r="454" spans="1:8" x14ac:dyDescent="0.2">
      <c r="A454" t="s">
        <v>789</v>
      </c>
      <c r="B454" t="s">
        <v>3094</v>
      </c>
      <c r="E454" t="s">
        <v>785</v>
      </c>
      <c r="F454">
        <v>364</v>
      </c>
      <c r="G454">
        <v>2546</v>
      </c>
      <c r="H454">
        <v>-106</v>
      </c>
    </row>
    <row r="455" spans="1:8" x14ac:dyDescent="0.2">
      <c r="A455" t="s">
        <v>1327</v>
      </c>
      <c r="B455" t="s">
        <v>3094</v>
      </c>
      <c r="E455" t="s">
        <v>785</v>
      </c>
      <c r="F455">
        <v>-938</v>
      </c>
      <c r="G455">
        <v>-1906</v>
      </c>
      <c r="H455">
        <v>130</v>
      </c>
    </row>
    <row r="456" spans="1:8" x14ac:dyDescent="0.2">
      <c r="A456" t="s">
        <v>895</v>
      </c>
      <c r="B456" t="s">
        <v>3094</v>
      </c>
      <c r="E456" t="s">
        <v>785</v>
      </c>
      <c r="F456">
        <v>-832</v>
      </c>
      <c r="G456">
        <v>-1488</v>
      </c>
      <c r="H456">
        <v>27</v>
      </c>
    </row>
    <row r="457" spans="1:8" x14ac:dyDescent="0.2">
      <c r="A457" t="s">
        <v>997</v>
      </c>
      <c r="B457" t="s">
        <v>3094</v>
      </c>
      <c r="E457" t="s">
        <v>783</v>
      </c>
      <c r="F457">
        <v>394</v>
      </c>
      <c r="G457">
        <v>-1260</v>
      </c>
      <c r="H457">
        <v>1832</v>
      </c>
    </row>
    <row r="458" spans="1:8" x14ac:dyDescent="0.2">
      <c r="A458" t="s">
        <v>1328</v>
      </c>
      <c r="B458" t="s">
        <v>3094</v>
      </c>
      <c r="E458" t="s">
        <v>785</v>
      </c>
      <c r="F458">
        <v>3233</v>
      </c>
      <c r="G458">
        <v>314</v>
      </c>
      <c r="H458">
        <v>-106</v>
      </c>
    </row>
    <row r="459" spans="1:8" x14ac:dyDescent="0.2">
      <c r="A459" t="s">
        <v>1329</v>
      </c>
      <c r="B459" t="s">
        <v>3094</v>
      </c>
      <c r="E459" t="s">
        <v>785</v>
      </c>
      <c r="F459">
        <v>-754</v>
      </c>
      <c r="G459">
        <v>-2916</v>
      </c>
      <c r="H459">
        <v>-106</v>
      </c>
    </row>
    <row r="460" spans="1:8" x14ac:dyDescent="0.2">
      <c r="A460" t="s">
        <v>1330</v>
      </c>
      <c r="B460" t="s">
        <v>3094</v>
      </c>
      <c r="E460" t="s">
        <v>1002</v>
      </c>
      <c r="F460">
        <v>-945</v>
      </c>
      <c r="G460">
        <v>-1680</v>
      </c>
      <c r="H460">
        <v>-670</v>
      </c>
    </row>
    <row r="461" spans="1:8" x14ac:dyDescent="0.2">
      <c r="A461" t="s">
        <v>1331</v>
      </c>
      <c r="B461" t="s">
        <v>3094</v>
      </c>
      <c r="E461" t="s">
        <v>1002</v>
      </c>
      <c r="F461">
        <v>-383</v>
      </c>
      <c r="G461">
        <v>-1544</v>
      </c>
      <c r="H461">
        <v>-516</v>
      </c>
    </row>
    <row r="462" spans="1:8" x14ac:dyDescent="0.2">
      <c r="A462" t="s">
        <v>1332</v>
      </c>
      <c r="B462" t="s">
        <v>3094</v>
      </c>
      <c r="E462" t="s">
        <v>783</v>
      </c>
      <c r="F462">
        <v>-3156</v>
      </c>
      <c r="G462">
        <v>3215</v>
      </c>
      <c r="H462">
        <v>1895</v>
      </c>
    </row>
    <row r="463" spans="1:8" x14ac:dyDescent="0.2">
      <c r="A463" t="s">
        <v>1334</v>
      </c>
      <c r="B463" t="s">
        <v>3094</v>
      </c>
      <c r="E463" t="s">
        <v>785</v>
      </c>
      <c r="F463">
        <v>870</v>
      </c>
      <c r="G463">
        <v>-3364</v>
      </c>
      <c r="H463">
        <v>-106</v>
      </c>
    </row>
    <row r="464" spans="1:8" x14ac:dyDescent="0.2">
      <c r="A464" t="s">
        <v>1336</v>
      </c>
      <c r="B464" t="s">
        <v>3094</v>
      </c>
      <c r="E464" t="s">
        <v>1002</v>
      </c>
      <c r="F464">
        <v>-962</v>
      </c>
      <c r="G464">
        <v>210</v>
      </c>
      <c r="H464">
        <v>-593</v>
      </c>
    </row>
    <row r="465" spans="1:8" x14ac:dyDescent="0.2">
      <c r="A465" t="s">
        <v>1337</v>
      </c>
      <c r="B465" t="s">
        <v>3094</v>
      </c>
      <c r="E465" t="s">
        <v>785</v>
      </c>
      <c r="F465">
        <v>2788</v>
      </c>
      <c r="G465">
        <v>-2731</v>
      </c>
      <c r="H465">
        <v>-106</v>
      </c>
    </row>
    <row r="466" spans="1:8" x14ac:dyDescent="0.2">
      <c r="A466" t="s">
        <v>1046</v>
      </c>
      <c r="B466" t="s">
        <v>3094</v>
      </c>
      <c r="E466" t="s">
        <v>785</v>
      </c>
      <c r="F466">
        <v>377</v>
      </c>
      <c r="G466">
        <v>-3478</v>
      </c>
      <c r="H466">
        <v>-106</v>
      </c>
    </row>
    <row r="467" spans="1:8" x14ac:dyDescent="0.2">
      <c r="A467" t="s">
        <v>1339</v>
      </c>
      <c r="B467" t="s">
        <v>3094</v>
      </c>
      <c r="E467" t="s">
        <v>785</v>
      </c>
      <c r="F467">
        <v>95</v>
      </c>
      <c r="G467">
        <v>-3394</v>
      </c>
      <c r="H467">
        <v>-106</v>
      </c>
    </row>
    <row r="468" spans="1:8" x14ac:dyDescent="0.2">
      <c r="A468" t="s">
        <v>1340</v>
      </c>
      <c r="B468" t="s">
        <v>3094</v>
      </c>
      <c r="E468" t="s">
        <v>785</v>
      </c>
      <c r="F468">
        <v>904</v>
      </c>
      <c r="G468">
        <v>-2873</v>
      </c>
      <c r="H468">
        <v>-106</v>
      </c>
    </row>
    <row r="469" spans="1:8" x14ac:dyDescent="0.2">
      <c r="A469" t="s">
        <v>1342</v>
      </c>
      <c r="B469" t="s">
        <v>3094</v>
      </c>
      <c r="E469" t="s">
        <v>785</v>
      </c>
      <c r="F469">
        <v>4021</v>
      </c>
      <c r="G469">
        <v>-2423</v>
      </c>
      <c r="H469">
        <v>-106</v>
      </c>
    </row>
    <row r="470" spans="1:8" x14ac:dyDescent="0.2">
      <c r="A470" t="s">
        <v>1343</v>
      </c>
      <c r="B470" t="s">
        <v>3094</v>
      </c>
      <c r="E470" t="s">
        <v>785</v>
      </c>
      <c r="F470">
        <v>4017</v>
      </c>
      <c r="G470">
        <v>-2315</v>
      </c>
      <c r="H470">
        <v>-106</v>
      </c>
    </row>
    <row r="471" spans="1:8" x14ac:dyDescent="0.2">
      <c r="A471" t="s">
        <v>1346</v>
      </c>
      <c r="B471" t="s">
        <v>3094</v>
      </c>
      <c r="E471" t="s">
        <v>785</v>
      </c>
      <c r="F471">
        <v>3545</v>
      </c>
      <c r="G471">
        <v>-2090</v>
      </c>
      <c r="H471">
        <v>232</v>
      </c>
    </row>
    <row r="472" spans="1:8" x14ac:dyDescent="0.2">
      <c r="A472" t="s">
        <v>1351</v>
      </c>
      <c r="B472" t="s">
        <v>3094</v>
      </c>
      <c r="E472" t="s">
        <v>785</v>
      </c>
      <c r="F472">
        <v>-3358</v>
      </c>
      <c r="G472">
        <v>2705</v>
      </c>
      <c r="H472">
        <v>-106</v>
      </c>
    </row>
    <row r="473" spans="1:8" x14ac:dyDescent="0.2">
      <c r="A473" t="s">
        <v>1354</v>
      </c>
      <c r="B473" t="s">
        <v>3094</v>
      </c>
      <c r="E473" t="s">
        <v>785</v>
      </c>
      <c r="F473">
        <v>-2753</v>
      </c>
      <c r="G473">
        <v>3054</v>
      </c>
      <c r="H473">
        <v>-106</v>
      </c>
    </row>
    <row r="474" spans="1:8" x14ac:dyDescent="0.2">
      <c r="A474" t="s">
        <v>1355</v>
      </c>
      <c r="B474" t="s">
        <v>3094</v>
      </c>
      <c r="E474" t="s">
        <v>785</v>
      </c>
      <c r="F474">
        <v>-2757</v>
      </c>
      <c r="G474">
        <v>2328</v>
      </c>
      <c r="H474">
        <v>-106</v>
      </c>
    </row>
    <row r="475" spans="1:8" x14ac:dyDescent="0.2">
      <c r="A475" t="s">
        <v>896</v>
      </c>
      <c r="B475" t="s">
        <v>3094</v>
      </c>
      <c r="E475" t="s">
        <v>785</v>
      </c>
      <c r="F475">
        <v>-3815</v>
      </c>
      <c r="G475">
        <v>3595</v>
      </c>
      <c r="H475">
        <v>255</v>
      </c>
    </row>
    <row r="476" spans="1:8" x14ac:dyDescent="0.2">
      <c r="A476" t="s">
        <v>1356</v>
      </c>
      <c r="B476" t="s">
        <v>3094</v>
      </c>
      <c r="E476" t="s">
        <v>785</v>
      </c>
      <c r="F476">
        <v>-2830</v>
      </c>
      <c r="G476">
        <v>2416</v>
      </c>
      <c r="H476">
        <v>-106</v>
      </c>
    </row>
    <row r="477" spans="1:8" x14ac:dyDescent="0.2">
      <c r="A477" t="s">
        <v>897</v>
      </c>
      <c r="B477" t="s">
        <v>3094</v>
      </c>
      <c r="E477" t="s">
        <v>785</v>
      </c>
      <c r="F477">
        <v>-2900</v>
      </c>
      <c r="G477">
        <v>2510</v>
      </c>
      <c r="H477">
        <v>388</v>
      </c>
    </row>
    <row r="478" spans="1:8" x14ac:dyDescent="0.2">
      <c r="A478" t="s">
        <v>800</v>
      </c>
      <c r="B478" t="s">
        <v>3094</v>
      </c>
      <c r="E478" t="s">
        <v>785</v>
      </c>
      <c r="F478">
        <v>-3079</v>
      </c>
      <c r="G478">
        <v>3025</v>
      </c>
      <c r="H478">
        <v>-106</v>
      </c>
    </row>
    <row r="479" spans="1:8" x14ac:dyDescent="0.2">
      <c r="A479" t="s">
        <v>898</v>
      </c>
      <c r="B479" t="s">
        <v>3094</v>
      </c>
      <c r="E479" t="s">
        <v>785</v>
      </c>
      <c r="F479">
        <v>-2996</v>
      </c>
      <c r="G479">
        <v>3226</v>
      </c>
      <c r="H479">
        <v>540</v>
      </c>
    </row>
    <row r="480" spans="1:8" x14ac:dyDescent="0.2">
      <c r="A480" t="s">
        <v>1357</v>
      </c>
      <c r="B480" t="s">
        <v>3094</v>
      </c>
      <c r="E480" t="s">
        <v>785</v>
      </c>
      <c r="F480">
        <v>-3539</v>
      </c>
      <c r="G480">
        <v>3740</v>
      </c>
      <c r="H480">
        <v>-106</v>
      </c>
    </row>
    <row r="481" spans="1:8" x14ac:dyDescent="0.2">
      <c r="A481" t="s">
        <v>1358</v>
      </c>
      <c r="B481" t="s">
        <v>3094</v>
      </c>
      <c r="E481" t="s">
        <v>785</v>
      </c>
      <c r="F481">
        <v>-3984</v>
      </c>
      <c r="G481">
        <v>3613</v>
      </c>
      <c r="H481">
        <v>-106</v>
      </c>
    </row>
    <row r="482" spans="1:8" x14ac:dyDescent="0.2">
      <c r="A482" t="s">
        <v>1359</v>
      </c>
      <c r="B482" t="s">
        <v>3094</v>
      </c>
      <c r="E482" t="s">
        <v>785</v>
      </c>
      <c r="F482">
        <v>-2771</v>
      </c>
      <c r="G482">
        <v>2914</v>
      </c>
      <c r="H482">
        <v>-106</v>
      </c>
    </row>
    <row r="483" spans="1:8" x14ac:dyDescent="0.2">
      <c r="A483" t="s">
        <v>1360</v>
      </c>
      <c r="B483" t="s">
        <v>3094</v>
      </c>
      <c r="E483" t="s">
        <v>785</v>
      </c>
      <c r="F483">
        <v>-2867</v>
      </c>
      <c r="G483">
        <v>2008</v>
      </c>
      <c r="H483">
        <v>-106</v>
      </c>
    </row>
    <row r="484" spans="1:8" x14ac:dyDescent="0.2">
      <c r="A484" t="s">
        <v>1361</v>
      </c>
      <c r="B484" t="s">
        <v>3094</v>
      </c>
      <c r="E484" t="s">
        <v>783</v>
      </c>
      <c r="F484">
        <v>-3358</v>
      </c>
      <c r="G484">
        <v>2442</v>
      </c>
      <c r="H484">
        <v>895</v>
      </c>
    </row>
    <row r="485" spans="1:8" x14ac:dyDescent="0.2">
      <c r="A485" t="s">
        <v>1362</v>
      </c>
      <c r="B485" t="s">
        <v>3094</v>
      </c>
      <c r="E485" t="s">
        <v>785</v>
      </c>
      <c r="F485">
        <v>-3471</v>
      </c>
      <c r="G485">
        <v>2576</v>
      </c>
      <c r="H485">
        <v>-106</v>
      </c>
    </row>
    <row r="486" spans="1:8" x14ac:dyDescent="0.2">
      <c r="A486" t="s">
        <v>899</v>
      </c>
      <c r="B486" t="s">
        <v>3094</v>
      </c>
      <c r="E486" t="s">
        <v>785</v>
      </c>
      <c r="F486">
        <v>-3398</v>
      </c>
      <c r="G486">
        <v>2499</v>
      </c>
      <c r="H486">
        <v>313</v>
      </c>
    </row>
    <row r="487" spans="1:8" x14ac:dyDescent="0.2">
      <c r="A487" t="s">
        <v>1363</v>
      </c>
      <c r="B487" t="s">
        <v>3094</v>
      </c>
      <c r="E487" t="s">
        <v>785</v>
      </c>
      <c r="F487">
        <v>-3395</v>
      </c>
      <c r="G487">
        <v>3298</v>
      </c>
      <c r="H487">
        <v>-106</v>
      </c>
    </row>
    <row r="488" spans="1:8" x14ac:dyDescent="0.2">
      <c r="A488" t="s">
        <v>1364</v>
      </c>
      <c r="B488" t="s">
        <v>3094</v>
      </c>
      <c r="E488" t="s">
        <v>785</v>
      </c>
      <c r="F488">
        <v>-4423</v>
      </c>
      <c r="G488">
        <v>2723</v>
      </c>
      <c r="H488">
        <v>-106</v>
      </c>
    </row>
    <row r="489" spans="1:8" x14ac:dyDescent="0.2">
      <c r="A489" t="s">
        <v>1366</v>
      </c>
      <c r="B489" t="s">
        <v>3094</v>
      </c>
      <c r="E489" t="s">
        <v>785</v>
      </c>
      <c r="F489">
        <v>-4240</v>
      </c>
      <c r="G489">
        <v>-153</v>
      </c>
      <c r="H489">
        <v>-106</v>
      </c>
    </row>
    <row r="490" spans="1:8" x14ac:dyDescent="0.2">
      <c r="A490" t="s">
        <v>1367</v>
      </c>
      <c r="B490" t="s">
        <v>3094</v>
      </c>
      <c r="E490" t="s">
        <v>785</v>
      </c>
      <c r="F490">
        <v>1017</v>
      </c>
      <c r="G490">
        <v>-3512</v>
      </c>
      <c r="H490">
        <v>-106</v>
      </c>
    </row>
    <row r="491" spans="1:8" x14ac:dyDescent="0.2">
      <c r="A491" t="s">
        <v>1368</v>
      </c>
      <c r="B491" t="s">
        <v>3094</v>
      </c>
      <c r="E491" t="s">
        <v>1002</v>
      </c>
      <c r="F491">
        <v>1943</v>
      </c>
      <c r="G491">
        <v>-2392</v>
      </c>
      <c r="H491">
        <v>-595</v>
      </c>
    </row>
    <row r="492" spans="1:8" x14ac:dyDescent="0.2">
      <c r="A492" t="s">
        <v>1369</v>
      </c>
      <c r="B492" t="s">
        <v>3094</v>
      </c>
      <c r="E492" t="s">
        <v>785</v>
      </c>
      <c r="F492">
        <v>1951</v>
      </c>
      <c r="G492">
        <v>-2442</v>
      </c>
      <c r="H492">
        <v>-106</v>
      </c>
    </row>
    <row r="493" spans="1:8" x14ac:dyDescent="0.2">
      <c r="A493" t="s">
        <v>1370</v>
      </c>
      <c r="B493" t="s">
        <v>3094</v>
      </c>
      <c r="E493" t="s">
        <v>785</v>
      </c>
      <c r="F493">
        <v>530</v>
      </c>
      <c r="G493">
        <v>-3451</v>
      </c>
      <c r="H493">
        <v>95</v>
      </c>
    </row>
    <row r="494" spans="1:8" x14ac:dyDescent="0.2">
      <c r="A494" t="s">
        <v>846</v>
      </c>
      <c r="B494" t="s">
        <v>3094</v>
      </c>
      <c r="E494" t="s">
        <v>785</v>
      </c>
      <c r="F494">
        <v>430</v>
      </c>
      <c r="G494">
        <v>-1760</v>
      </c>
      <c r="H494">
        <v>-106</v>
      </c>
    </row>
    <row r="495" spans="1:8" x14ac:dyDescent="0.2">
      <c r="A495" t="s">
        <v>1373</v>
      </c>
      <c r="B495" t="s">
        <v>3094</v>
      </c>
      <c r="E495" t="s">
        <v>785</v>
      </c>
      <c r="F495">
        <v>-1191</v>
      </c>
      <c r="G495">
        <v>-1659</v>
      </c>
      <c r="H495">
        <v>-106</v>
      </c>
    </row>
    <row r="496" spans="1:8" x14ac:dyDescent="0.2">
      <c r="A496" t="s">
        <v>1374</v>
      </c>
      <c r="B496" t="s">
        <v>3094</v>
      </c>
      <c r="E496" t="s">
        <v>785</v>
      </c>
      <c r="F496">
        <v>4234</v>
      </c>
      <c r="G496">
        <v>-314</v>
      </c>
      <c r="H496">
        <v>-106</v>
      </c>
    </row>
    <row r="497" spans="1:8" x14ac:dyDescent="0.2">
      <c r="A497" t="s">
        <v>900</v>
      </c>
      <c r="B497" t="s">
        <v>3094</v>
      </c>
      <c r="E497" t="s">
        <v>785</v>
      </c>
      <c r="F497">
        <v>4244</v>
      </c>
      <c r="G497">
        <v>-256</v>
      </c>
      <c r="H497">
        <v>-16</v>
      </c>
    </row>
    <row r="498" spans="1:8" x14ac:dyDescent="0.2">
      <c r="A498" t="s">
        <v>1375</v>
      </c>
      <c r="B498" t="s">
        <v>3094</v>
      </c>
      <c r="E498" t="s">
        <v>785</v>
      </c>
      <c r="F498">
        <v>597</v>
      </c>
      <c r="G498">
        <v>-3722</v>
      </c>
      <c r="H498">
        <v>57</v>
      </c>
    </row>
    <row r="499" spans="1:8" x14ac:dyDescent="0.2">
      <c r="A499" t="s">
        <v>1378</v>
      </c>
      <c r="B499" t="s">
        <v>3094</v>
      </c>
      <c r="E499" t="s">
        <v>785</v>
      </c>
      <c r="F499">
        <v>-330</v>
      </c>
      <c r="G499">
        <v>-2638</v>
      </c>
      <c r="H499">
        <v>-106</v>
      </c>
    </row>
    <row r="500" spans="1:8" x14ac:dyDescent="0.2">
      <c r="A500" t="s">
        <v>1379</v>
      </c>
      <c r="B500" t="s">
        <v>3094</v>
      </c>
      <c r="E500" t="s">
        <v>785</v>
      </c>
      <c r="F500">
        <v>783</v>
      </c>
      <c r="G500">
        <v>128</v>
      </c>
      <c r="H500">
        <v>-106</v>
      </c>
    </row>
    <row r="501" spans="1:8" x14ac:dyDescent="0.2">
      <c r="A501" t="s">
        <v>842</v>
      </c>
      <c r="B501" t="s">
        <v>3094</v>
      </c>
      <c r="E501" t="s">
        <v>785</v>
      </c>
      <c r="F501">
        <v>-254</v>
      </c>
      <c r="G501">
        <v>1062</v>
      </c>
      <c r="H501">
        <v>380</v>
      </c>
    </row>
    <row r="502" spans="1:8" x14ac:dyDescent="0.2">
      <c r="A502" t="s">
        <v>1048</v>
      </c>
      <c r="B502" t="s">
        <v>3094</v>
      </c>
      <c r="E502" t="s">
        <v>785</v>
      </c>
      <c r="F502">
        <v>-326</v>
      </c>
      <c r="G502">
        <v>651</v>
      </c>
      <c r="H502">
        <v>-106</v>
      </c>
    </row>
    <row r="503" spans="1:8" x14ac:dyDescent="0.2">
      <c r="A503" t="s">
        <v>1382</v>
      </c>
      <c r="B503" t="s">
        <v>3094</v>
      </c>
      <c r="E503" t="s">
        <v>785</v>
      </c>
      <c r="F503">
        <v>80</v>
      </c>
      <c r="G503">
        <v>628</v>
      </c>
      <c r="H503">
        <v>-6</v>
      </c>
    </row>
    <row r="504" spans="1:8" x14ac:dyDescent="0.2">
      <c r="A504" t="s">
        <v>790</v>
      </c>
      <c r="B504" t="s">
        <v>3094</v>
      </c>
      <c r="E504" t="s">
        <v>785</v>
      </c>
      <c r="F504">
        <v>-459</v>
      </c>
      <c r="G504">
        <v>-582</v>
      </c>
      <c r="H504">
        <v>-106</v>
      </c>
    </row>
    <row r="505" spans="1:8" x14ac:dyDescent="0.2">
      <c r="A505" t="s">
        <v>1383</v>
      </c>
      <c r="B505" t="s">
        <v>3094</v>
      </c>
      <c r="E505" t="s">
        <v>785</v>
      </c>
      <c r="F505">
        <v>-761</v>
      </c>
      <c r="G505">
        <v>-1019</v>
      </c>
      <c r="H505">
        <v>58</v>
      </c>
    </row>
    <row r="506" spans="1:8" x14ac:dyDescent="0.2">
      <c r="A506" t="s">
        <v>1385</v>
      </c>
      <c r="B506" t="s">
        <v>3094</v>
      </c>
      <c r="E506" t="s">
        <v>785</v>
      </c>
      <c r="F506">
        <v>-597</v>
      </c>
      <c r="G506">
        <v>-572</v>
      </c>
      <c r="H506">
        <v>-53</v>
      </c>
    </row>
    <row r="507" spans="1:8" x14ac:dyDescent="0.2">
      <c r="A507" t="s">
        <v>787</v>
      </c>
      <c r="B507" t="s">
        <v>3094</v>
      </c>
      <c r="E507" t="s">
        <v>785</v>
      </c>
      <c r="F507">
        <v>-2383</v>
      </c>
      <c r="G507">
        <v>407</v>
      </c>
      <c r="H507">
        <v>-106</v>
      </c>
    </row>
    <row r="508" spans="1:8" x14ac:dyDescent="0.2">
      <c r="A508" t="s">
        <v>1386</v>
      </c>
      <c r="B508" t="s">
        <v>3094</v>
      </c>
      <c r="E508" t="s">
        <v>785</v>
      </c>
      <c r="F508">
        <v>765</v>
      </c>
      <c r="G508">
        <v>-3789</v>
      </c>
      <c r="H508">
        <v>-106</v>
      </c>
    </row>
    <row r="509" spans="1:8" x14ac:dyDescent="0.2">
      <c r="A509" t="s">
        <v>1387</v>
      </c>
      <c r="B509" t="s">
        <v>3094</v>
      </c>
      <c r="E509" t="s">
        <v>785</v>
      </c>
      <c r="F509">
        <v>-4312</v>
      </c>
      <c r="G509">
        <v>3793</v>
      </c>
      <c r="H509">
        <v>-106</v>
      </c>
    </row>
    <row r="510" spans="1:8" x14ac:dyDescent="0.2">
      <c r="A510" t="s">
        <v>901</v>
      </c>
      <c r="B510" t="s">
        <v>3094</v>
      </c>
      <c r="E510" t="s">
        <v>785</v>
      </c>
      <c r="F510">
        <v>-4429</v>
      </c>
      <c r="G510">
        <v>3760</v>
      </c>
      <c r="H510">
        <v>223</v>
      </c>
    </row>
    <row r="511" spans="1:8" x14ac:dyDescent="0.2">
      <c r="A511" t="s">
        <v>1388</v>
      </c>
      <c r="B511" t="s">
        <v>3094</v>
      </c>
      <c r="E511" t="s">
        <v>785</v>
      </c>
      <c r="F511">
        <v>-3106</v>
      </c>
      <c r="G511">
        <v>-15</v>
      </c>
      <c r="H511">
        <v>-106</v>
      </c>
    </row>
    <row r="512" spans="1:8" x14ac:dyDescent="0.2">
      <c r="A512" t="s">
        <v>1389</v>
      </c>
      <c r="B512" t="s">
        <v>3094</v>
      </c>
      <c r="E512" t="s">
        <v>785</v>
      </c>
      <c r="F512">
        <v>-3850</v>
      </c>
      <c r="G512">
        <v>-2889</v>
      </c>
      <c r="H512">
        <v>95</v>
      </c>
    </row>
    <row r="513" spans="1:8" x14ac:dyDescent="0.2">
      <c r="A513" t="s">
        <v>1391</v>
      </c>
      <c r="B513" t="s">
        <v>3094</v>
      </c>
      <c r="E513" t="s">
        <v>785</v>
      </c>
      <c r="F513">
        <v>-902</v>
      </c>
      <c r="G513">
        <v>1435</v>
      </c>
      <c r="H513">
        <v>-106</v>
      </c>
    </row>
    <row r="514" spans="1:8" x14ac:dyDescent="0.2">
      <c r="A514" t="s">
        <v>1393</v>
      </c>
      <c r="B514" t="s">
        <v>3094</v>
      </c>
      <c r="E514" t="s">
        <v>785</v>
      </c>
      <c r="F514">
        <v>1542</v>
      </c>
      <c r="G514">
        <v>3074</v>
      </c>
      <c r="H514">
        <v>-106</v>
      </c>
    </row>
    <row r="515" spans="1:8" x14ac:dyDescent="0.2">
      <c r="A515" t="s">
        <v>902</v>
      </c>
      <c r="B515" t="s">
        <v>3094</v>
      </c>
      <c r="E515" t="s">
        <v>785</v>
      </c>
      <c r="F515">
        <v>1555</v>
      </c>
      <c r="G515">
        <v>3103</v>
      </c>
      <c r="H515">
        <v>393</v>
      </c>
    </row>
    <row r="516" spans="1:8" x14ac:dyDescent="0.2">
      <c r="A516" t="s">
        <v>1394</v>
      </c>
      <c r="B516" t="s">
        <v>3094</v>
      </c>
      <c r="E516" t="s">
        <v>785</v>
      </c>
      <c r="F516">
        <v>3910</v>
      </c>
      <c r="G516">
        <v>-58</v>
      </c>
      <c r="H516">
        <v>-106</v>
      </c>
    </row>
    <row r="517" spans="1:8" x14ac:dyDescent="0.2">
      <c r="A517" t="s">
        <v>1396</v>
      </c>
      <c r="B517" t="s">
        <v>3094</v>
      </c>
      <c r="E517" t="s">
        <v>785</v>
      </c>
      <c r="F517">
        <v>-3837</v>
      </c>
      <c r="G517">
        <v>-2877</v>
      </c>
      <c r="H517">
        <v>95</v>
      </c>
    </row>
    <row r="518" spans="1:8" x14ac:dyDescent="0.2">
      <c r="A518" t="s">
        <v>1397</v>
      </c>
      <c r="B518" t="s">
        <v>3094</v>
      </c>
      <c r="E518" t="s">
        <v>785</v>
      </c>
      <c r="F518">
        <v>1507</v>
      </c>
      <c r="G518">
        <v>-2466</v>
      </c>
      <c r="H518">
        <v>-106</v>
      </c>
    </row>
    <row r="519" spans="1:8" x14ac:dyDescent="0.2">
      <c r="A519" t="s">
        <v>1398</v>
      </c>
      <c r="B519" t="s">
        <v>3094</v>
      </c>
      <c r="E519" t="s">
        <v>785</v>
      </c>
      <c r="F519">
        <v>4115</v>
      </c>
      <c r="G519">
        <v>1206</v>
      </c>
      <c r="H519">
        <v>-106</v>
      </c>
    </row>
    <row r="520" spans="1:8" x14ac:dyDescent="0.2">
      <c r="A520" t="s">
        <v>1009</v>
      </c>
      <c r="B520" t="s">
        <v>3094</v>
      </c>
      <c r="E520" t="s">
        <v>785</v>
      </c>
      <c r="F520">
        <v>1817</v>
      </c>
      <c r="G520">
        <v>-988</v>
      </c>
      <c r="H520">
        <v>119</v>
      </c>
    </row>
    <row r="521" spans="1:8" x14ac:dyDescent="0.2">
      <c r="A521" t="s">
        <v>903</v>
      </c>
      <c r="B521" t="s">
        <v>3094</v>
      </c>
      <c r="E521" t="s">
        <v>785</v>
      </c>
      <c r="F521">
        <v>1947</v>
      </c>
      <c r="G521">
        <v>-982</v>
      </c>
      <c r="H521">
        <v>157</v>
      </c>
    </row>
    <row r="522" spans="1:8" x14ac:dyDescent="0.2">
      <c r="A522" t="s">
        <v>1401</v>
      </c>
      <c r="B522" t="s">
        <v>3094</v>
      </c>
      <c r="E522" t="s">
        <v>785</v>
      </c>
      <c r="F522">
        <v>1436</v>
      </c>
      <c r="G522">
        <v>-2989</v>
      </c>
      <c r="H522">
        <v>-106</v>
      </c>
    </row>
    <row r="523" spans="1:8" x14ac:dyDescent="0.2">
      <c r="A523" t="s">
        <v>1402</v>
      </c>
      <c r="B523" t="s">
        <v>3094</v>
      </c>
      <c r="E523" t="s">
        <v>785</v>
      </c>
      <c r="F523">
        <v>3309</v>
      </c>
      <c r="G523">
        <v>1907</v>
      </c>
      <c r="H523">
        <v>-106</v>
      </c>
    </row>
    <row r="524" spans="1:8" x14ac:dyDescent="0.2">
      <c r="A524" t="s">
        <v>1403</v>
      </c>
      <c r="B524" t="s">
        <v>3094</v>
      </c>
      <c r="E524" t="s">
        <v>785</v>
      </c>
      <c r="F524">
        <v>-3237</v>
      </c>
      <c r="G524">
        <v>-2556</v>
      </c>
      <c r="H524">
        <v>-106</v>
      </c>
    </row>
    <row r="525" spans="1:8" x14ac:dyDescent="0.2">
      <c r="A525" t="s">
        <v>1405</v>
      </c>
      <c r="B525" t="s">
        <v>3094</v>
      </c>
      <c r="E525" t="s">
        <v>785</v>
      </c>
      <c r="F525">
        <v>-4308</v>
      </c>
      <c r="G525">
        <v>-1854</v>
      </c>
      <c r="H525">
        <v>-106</v>
      </c>
    </row>
    <row r="526" spans="1:8" x14ac:dyDescent="0.2">
      <c r="A526" t="s">
        <v>1406</v>
      </c>
      <c r="B526" t="s">
        <v>3094</v>
      </c>
      <c r="E526" t="s">
        <v>785</v>
      </c>
      <c r="F526">
        <v>1493</v>
      </c>
      <c r="G526">
        <v>-2867</v>
      </c>
      <c r="H526">
        <v>-106</v>
      </c>
    </row>
    <row r="527" spans="1:8" x14ac:dyDescent="0.2">
      <c r="A527" t="s">
        <v>1407</v>
      </c>
      <c r="B527" t="s">
        <v>3094</v>
      </c>
      <c r="E527" t="s">
        <v>785</v>
      </c>
      <c r="F527">
        <v>2995</v>
      </c>
      <c r="G527">
        <v>-2916</v>
      </c>
      <c r="H527">
        <v>-106</v>
      </c>
    </row>
    <row r="528" spans="1:8" x14ac:dyDescent="0.2">
      <c r="A528" t="s">
        <v>1408</v>
      </c>
      <c r="B528" t="s">
        <v>3094</v>
      </c>
      <c r="E528" t="s">
        <v>785</v>
      </c>
      <c r="F528">
        <v>2025</v>
      </c>
      <c r="G528">
        <v>-146</v>
      </c>
      <c r="H528">
        <v>-106</v>
      </c>
    </row>
    <row r="529" spans="1:8" x14ac:dyDescent="0.2">
      <c r="A529" t="s">
        <v>1409</v>
      </c>
      <c r="B529" t="s">
        <v>3094</v>
      </c>
      <c r="E529" t="s">
        <v>785</v>
      </c>
      <c r="F529">
        <v>-174</v>
      </c>
      <c r="G529">
        <v>1120</v>
      </c>
      <c r="H529">
        <v>215</v>
      </c>
    </row>
    <row r="530" spans="1:8" x14ac:dyDescent="0.2">
      <c r="A530" t="s">
        <v>1410</v>
      </c>
      <c r="B530" t="s">
        <v>3094</v>
      </c>
      <c r="E530" t="s">
        <v>785</v>
      </c>
      <c r="F530">
        <v>3685</v>
      </c>
      <c r="G530">
        <v>-2503</v>
      </c>
      <c r="H530">
        <v>-106</v>
      </c>
    </row>
    <row r="531" spans="1:8" x14ac:dyDescent="0.2">
      <c r="A531" t="s">
        <v>1411</v>
      </c>
      <c r="B531" t="s">
        <v>3094</v>
      </c>
      <c r="E531" t="s">
        <v>785</v>
      </c>
      <c r="F531">
        <v>4653</v>
      </c>
      <c r="G531">
        <v>816</v>
      </c>
      <c r="H531">
        <v>-106</v>
      </c>
    </row>
    <row r="532" spans="1:8" x14ac:dyDescent="0.2">
      <c r="A532" t="s">
        <v>1412</v>
      </c>
      <c r="B532" t="s">
        <v>3094</v>
      </c>
      <c r="E532" t="s">
        <v>785</v>
      </c>
      <c r="F532">
        <v>4654</v>
      </c>
      <c r="G532">
        <v>-3743</v>
      </c>
      <c r="H532">
        <v>-106</v>
      </c>
    </row>
    <row r="533" spans="1:8" x14ac:dyDescent="0.2">
      <c r="A533" t="s">
        <v>1050</v>
      </c>
      <c r="B533" t="s">
        <v>3094</v>
      </c>
      <c r="E533" t="s">
        <v>785</v>
      </c>
      <c r="F533">
        <v>-3117</v>
      </c>
      <c r="G533">
        <v>1288</v>
      </c>
      <c r="H533">
        <v>-106</v>
      </c>
    </row>
    <row r="534" spans="1:8" x14ac:dyDescent="0.2">
      <c r="A534" t="s">
        <v>1414</v>
      </c>
      <c r="B534" t="s">
        <v>3094</v>
      </c>
      <c r="E534" t="s">
        <v>785</v>
      </c>
      <c r="F534">
        <v>699</v>
      </c>
      <c r="G534">
        <v>-3932</v>
      </c>
      <c r="H534">
        <v>-106</v>
      </c>
    </row>
    <row r="535" spans="1:8" x14ac:dyDescent="0.2">
      <c r="A535" t="s">
        <v>904</v>
      </c>
      <c r="B535" t="s">
        <v>3094</v>
      </c>
      <c r="E535" t="s">
        <v>785</v>
      </c>
      <c r="F535">
        <v>487</v>
      </c>
      <c r="G535">
        <v>-3831</v>
      </c>
      <c r="H535">
        <v>8</v>
      </c>
    </row>
    <row r="536" spans="1:8" x14ac:dyDescent="0.2">
      <c r="A536" t="s">
        <v>1415</v>
      </c>
      <c r="B536" t="s">
        <v>3094</v>
      </c>
      <c r="E536" t="s">
        <v>785</v>
      </c>
      <c r="F536">
        <v>-2345</v>
      </c>
      <c r="G536">
        <v>2509</v>
      </c>
      <c r="H536">
        <v>-106</v>
      </c>
    </row>
    <row r="537" spans="1:8" x14ac:dyDescent="0.2">
      <c r="A537" t="s">
        <v>905</v>
      </c>
      <c r="B537" t="s">
        <v>3094</v>
      </c>
      <c r="E537" t="s">
        <v>785</v>
      </c>
      <c r="F537">
        <v>-2396</v>
      </c>
      <c r="G537">
        <v>2277</v>
      </c>
      <c r="H537">
        <v>170</v>
      </c>
    </row>
    <row r="538" spans="1:8" x14ac:dyDescent="0.2">
      <c r="A538" t="s">
        <v>1416</v>
      </c>
      <c r="B538" t="s">
        <v>3094</v>
      </c>
      <c r="E538" t="s">
        <v>785</v>
      </c>
      <c r="F538">
        <v>2941</v>
      </c>
      <c r="G538">
        <v>-3656</v>
      </c>
      <c r="H538">
        <v>-106</v>
      </c>
    </row>
    <row r="539" spans="1:8" x14ac:dyDescent="0.2">
      <c r="A539" t="s">
        <v>1051</v>
      </c>
      <c r="B539" t="s">
        <v>3094</v>
      </c>
      <c r="E539" t="s">
        <v>785</v>
      </c>
      <c r="F539">
        <v>2397</v>
      </c>
      <c r="G539">
        <v>-2534</v>
      </c>
      <c r="H539">
        <v>-106</v>
      </c>
    </row>
    <row r="540" spans="1:8" x14ac:dyDescent="0.2">
      <c r="A540" t="s">
        <v>1052</v>
      </c>
      <c r="B540" t="s">
        <v>3094</v>
      </c>
      <c r="E540" t="s">
        <v>785</v>
      </c>
      <c r="F540">
        <v>-2198</v>
      </c>
      <c r="G540">
        <v>-1787</v>
      </c>
      <c r="H540">
        <v>-106</v>
      </c>
    </row>
    <row r="541" spans="1:8" x14ac:dyDescent="0.2">
      <c r="A541" t="s">
        <v>906</v>
      </c>
      <c r="B541" t="s">
        <v>3094</v>
      </c>
      <c r="E541" t="s">
        <v>785</v>
      </c>
      <c r="F541">
        <v>-2259</v>
      </c>
      <c r="G541">
        <v>-1759</v>
      </c>
      <c r="H541">
        <v>56</v>
      </c>
    </row>
    <row r="542" spans="1:8" x14ac:dyDescent="0.2">
      <c r="A542" t="s">
        <v>1053</v>
      </c>
      <c r="B542" t="s">
        <v>3094</v>
      </c>
      <c r="E542" t="s">
        <v>785</v>
      </c>
      <c r="F542">
        <v>3924</v>
      </c>
      <c r="G542">
        <v>1497</v>
      </c>
      <c r="H542">
        <v>-106</v>
      </c>
    </row>
    <row r="543" spans="1:8" x14ac:dyDescent="0.2">
      <c r="A543" t="s">
        <v>1419</v>
      </c>
      <c r="B543" t="s">
        <v>3094</v>
      </c>
      <c r="E543" t="s">
        <v>785</v>
      </c>
      <c r="F543">
        <v>2006</v>
      </c>
      <c r="G543">
        <v>3032</v>
      </c>
      <c r="H543">
        <v>-106</v>
      </c>
    </row>
    <row r="544" spans="1:8" x14ac:dyDescent="0.2">
      <c r="A544" t="s">
        <v>907</v>
      </c>
      <c r="B544" t="s">
        <v>3094</v>
      </c>
      <c r="E544" t="s">
        <v>785</v>
      </c>
      <c r="F544">
        <v>2373</v>
      </c>
      <c r="G544">
        <v>3052</v>
      </c>
      <c r="H544">
        <v>445</v>
      </c>
    </row>
    <row r="545" spans="1:8" x14ac:dyDescent="0.2">
      <c r="A545" t="s">
        <v>1420</v>
      </c>
      <c r="B545" t="s">
        <v>3094</v>
      </c>
      <c r="E545" t="s">
        <v>785</v>
      </c>
      <c r="F545">
        <v>2187</v>
      </c>
      <c r="G545">
        <v>1193</v>
      </c>
      <c r="H545">
        <v>-106</v>
      </c>
    </row>
    <row r="546" spans="1:8" x14ac:dyDescent="0.2">
      <c r="A546" t="s">
        <v>908</v>
      </c>
      <c r="B546" t="s">
        <v>3094</v>
      </c>
      <c r="E546" t="s">
        <v>785</v>
      </c>
      <c r="F546">
        <v>1930</v>
      </c>
      <c r="G546">
        <v>1272</v>
      </c>
      <c r="H546">
        <v>122</v>
      </c>
    </row>
    <row r="547" spans="1:8" x14ac:dyDescent="0.2">
      <c r="A547" t="s">
        <v>1421</v>
      </c>
      <c r="B547" t="s">
        <v>3094</v>
      </c>
      <c r="E547" t="s">
        <v>785</v>
      </c>
      <c r="F547">
        <v>1738</v>
      </c>
      <c r="G547">
        <v>-3532</v>
      </c>
      <c r="H547">
        <v>-106</v>
      </c>
    </row>
    <row r="548" spans="1:8" x14ac:dyDescent="0.2">
      <c r="A548" t="s">
        <v>796</v>
      </c>
      <c r="B548" t="s">
        <v>3094</v>
      </c>
      <c r="E548" t="s">
        <v>785</v>
      </c>
      <c r="F548">
        <v>-256</v>
      </c>
      <c r="G548">
        <v>-2430</v>
      </c>
      <c r="H548">
        <v>-106</v>
      </c>
    </row>
    <row r="549" spans="1:8" x14ac:dyDescent="0.2">
      <c r="A549" t="s">
        <v>909</v>
      </c>
      <c r="B549" t="s">
        <v>3094</v>
      </c>
      <c r="E549" t="s">
        <v>785</v>
      </c>
      <c r="F549">
        <v>126</v>
      </c>
      <c r="G549">
        <v>-2501</v>
      </c>
      <c r="H549">
        <v>-90</v>
      </c>
    </row>
    <row r="550" spans="1:8" x14ac:dyDescent="0.2">
      <c r="A550" t="s">
        <v>1054</v>
      </c>
      <c r="B550" t="s">
        <v>3094</v>
      </c>
      <c r="E550" t="s">
        <v>785</v>
      </c>
      <c r="F550">
        <v>-3537</v>
      </c>
      <c r="G550">
        <v>-149</v>
      </c>
      <c r="H550">
        <v>-106</v>
      </c>
    </row>
    <row r="551" spans="1:8" x14ac:dyDescent="0.2">
      <c r="A551" t="s">
        <v>1423</v>
      </c>
      <c r="B551" t="s">
        <v>3094</v>
      </c>
      <c r="E551" t="s">
        <v>785</v>
      </c>
      <c r="F551">
        <v>2598</v>
      </c>
      <c r="G551">
        <v>1719</v>
      </c>
      <c r="H551">
        <v>-106</v>
      </c>
    </row>
    <row r="552" spans="1:8" x14ac:dyDescent="0.2">
      <c r="A552" t="s">
        <v>910</v>
      </c>
      <c r="B552" t="s">
        <v>3094</v>
      </c>
      <c r="E552" t="s">
        <v>785</v>
      </c>
      <c r="F552">
        <v>2485</v>
      </c>
      <c r="G552">
        <v>1793</v>
      </c>
      <c r="H552">
        <v>158</v>
      </c>
    </row>
    <row r="553" spans="1:8" x14ac:dyDescent="0.2">
      <c r="A553" t="s">
        <v>1424</v>
      </c>
      <c r="B553" t="s">
        <v>3094</v>
      </c>
      <c r="E553" t="s">
        <v>785</v>
      </c>
      <c r="F553">
        <v>2967</v>
      </c>
      <c r="G553">
        <v>-2224</v>
      </c>
      <c r="H553">
        <v>-106</v>
      </c>
    </row>
    <row r="554" spans="1:8" x14ac:dyDescent="0.2">
      <c r="A554" t="s">
        <v>1425</v>
      </c>
      <c r="B554" t="s">
        <v>3094</v>
      </c>
      <c r="E554" t="s">
        <v>785</v>
      </c>
      <c r="F554">
        <v>-3928</v>
      </c>
      <c r="G554">
        <v>2544</v>
      </c>
      <c r="H554">
        <v>-106</v>
      </c>
    </row>
    <row r="555" spans="1:8" x14ac:dyDescent="0.2">
      <c r="A555" t="s">
        <v>911</v>
      </c>
      <c r="B555" t="s">
        <v>3094</v>
      </c>
      <c r="E555" t="s">
        <v>785</v>
      </c>
      <c r="F555">
        <v>-3931</v>
      </c>
      <c r="G555">
        <v>2861</v>
      </c>
      <c r="H555">
        <v>-18</v>
      </c>
    </row>
    <row r="556" spans="1:8" x14ac:dyDescent="0.2">
      <c r="A556" t="s">
        <v>1426</v>
      </c>
      <c r="B556" t="s">
        <v>3094</v>
      </c>
      <c r="E556" t="s">
        <v>785</v>
      </c>
      <c r="F556">
        <v>-487</v>
      </c>
      <c r="G556">
        <v>-1163</v>
      </c>
      <c r="H556">
        <v>-106</v>
      </c>
    </row>
    <row r="557" spans="1:8" x14ac:dyDescent="0.2">
      <c r="A557" t="s">
        <v>1427</v>
      </c>
      <c r="B557" t="s">
        <v>3094</v>
      </c>
      <c r="E557" t="s">
        <v>785</v>
      </c>
      <c r="F557">
        <v>337</v>
      </c>
      <c r="G557">
        <v>2750</v>
      </c>
      <c r="H557">
        <v>-106</v>
      </c>
    </row>
    <row r="558" spans="1:8" x14ac:dyDescent="0.2">
      <c r="A558" t="s">
        <v>1428</v>
      </c>
      <c r="B558" t="s">
        <v>3094</v>
      </c>
      <c r="E558" t="s">
        <v>785</v>
      </c>
      <c r="F558">
        <v>635</v>
      </c>
      <c r="G558">
        <v>-3635</v>
      </c>
      <c r="H558">
        <v>-106</v>
      </c>
    </row>
    <row r="559" spans="1:8" x14ac:dyDescent="0.2">
      <c r="A559" t="s">
        <v>1429</v>
      </c>
      <c r="B559" t="s">
        <v>3094</v>
      </c>
      <c r="E559" t="s">
        <v>785</v>
      </c>
      <c r="F559">
        <v>64</v>
      </c>
      <c r="G559">
        <v>1883</v>
      </c>
      <c r="H559">
        <v>-106</v>
      </c>
    </row>
    <row r="560" spans="1:8" x14ac:dyDescent="0.2">
      <c r="A560" t="s">
        <v>1430</v>
      </c>
      <c r="B560" t="s">
        <v>3094</v>
      </c>
      <c r="E560" t="s">
        <v>785</v>
      </c>
      <c r="F560">
        <v>2130</v>
      </c>
      <c r="G560">
        <v>-1451</v>
      </c>
      <c r="H560">
        <v>-106</v>
      </c>
    </row>
    <row r="561" spans="1:8" x14ac:dyDescent="0.2">
      <c r="A561" t="s">
        <v>1431</v>
      </c>
      <c r="B561" t="s">
        <v>3094</v>
      </c>
      <c r="E561" t="s">
        <v>785</v>
      </c>
      <c r="F561">
        <v>3722</v>
      </c>
      <c r="G561">
        <v>-1906</v>
      </c>
      <c r="H561">
        <v>-106</v>
      </c>
    </row>
    <row r="562" spans="1:8" x14ac:dyDescent="0.2">
      <c r="A562" t="s">
        <v>1055</v>
      </c>
      <c r="B562" t="s">
        <v>3094</v>
      </c>
      <c r="E562" t="s">
        <v>785</v>
      </c>
      <c r="F562">
        <v>-3754</v>
      </c>
      <c r="G562">
        <v>1745</v>
      </c>
      <c r="H562">
        <v>-106</v>
      </c>
    </row>
    <row r="563" spans="1:8" x14ac:dyDescent="0.2">
      <c r="A563" t="s">
        <v>1056</v>
      </c>
      <c r="B563" t="s">
        <v>3094</v>
      </c>
      <c r="E563" t="s">
        <v>785</v>
      </c>
      <c r="F563">
        <v>1552</v>
      </c>
      <c r="G563">
        <v>-3538</v>
      </c>
      <c r="H563">
        <v>105</v>
      </c>
    </row>
    <row r="564" spans="1:8" x14ac:dyDescent="0.2">
      <c r="A564" t="s">
        <v>1433</v>
      </c>
      <c r="B564" t="s">
        <v>3094</v>
      </c>
      <c r="E564" t="s">
        <v>785</v>
      </c>
      <c r="F564">
        <v>3175</v>
      </c>
      <c r="G564">
        <v>-615</v>
      </c>
      <c r="H564">
        <v>-106</v>
      </c>
    </row>
    <row r="565" spans="1:8" x14ac:dyDescent="0.2">
      <c r="A565" t="s">
        <v>1434</v>
      </c>
      <c r="B565" t="s">
        <v>3094</v>
      </c>
      <c r="E565" t="s">
        <v>785</v>
      </c>
      <c r="F565">
        <v>3449</v>
      </c>
      <c r="G565">
        <v>-753</v>
      </c>
      <c r="H565">
        <v>-106</v>
      </c>
    </row>
    <row r="566" spans="1:8" x14ac:dyDescent="0.2">
      <c r="A566" t="s">
        <v>1435</v>
      </c>
      <c r="B566" t="s">
        <v>3094</v>
      </c>
      <c r="E566" t="s">
        <v>785</v>
      </c>
      <c r="F566">
        <v>2929</v>
      </c>
      <c r="G566">
        <v>-1245</v>
      </c>
      <c r="H566">
        <v>-106</v>
      </c>
    </row>
    <row r="567" spans="1:8" x14ac:dyDescent="0.2">
      <c r="A567" t="s">
        <v>1436</v>
      </c>
      <c r="B567" t="s">
        <v>3094</v>
      </c>
      <c r="E567" t="s">
        <v>1002</v>
      </c>
      <c r="F567">
        <v>4003</v>
      </c>
      <c r="G567">
        <v>-1379</v>
      </c>
      <c r="H567">
        <v>-743</v>
      </c>
    </row>
    <row r="568" spans="1:8" x14ac:dyDescent="0.2">
      <c r="A568" t="s">
        <v>801</v>
      </c>
      <c r="B568" t="s">
        <v>3094</v>
      </c>
      <c r="E568" t="s">
        <v>785</v>
      </c>
      <c r="F568">
        <v>3569</v>
      </c>
      <c r="G568">
        <v>-109</v>
      </c>
      <c r="H568">
        <v>-106</v>
      </c>
    </row>
    <row r="569" spans="1:8" x14ac:dyDescent="0.2">
      <c r="A569" t="s">
        <v>1437</v>
      </c>
      <c r="B569" t="s">
        <v>3094</v>
      </c>
      <c r="E569" t="s">
        <v>785</v>
      </c>
      <c r="F569">
        <v>2799</v>
      </c>
      <c r="G569">
        <v>-918</v>
      </c>
      <c r="H569">
        <v>-106</v>
      </c>
    </row>
    <row r="570" spans="1:8" x14ac:dyDescent="0.2">
      <c r="A570" t="s">
        <v>1438</v>
      </c>
      <c r="B570" t="s">
        <v>3094</v>
      </c>
      <c r="E570" t="s">
        <v>785</v>
      </c>
      <c r="F570">
        <v>2718</v>
      </c>
      <c r="G570">
        <v>-1117</v>
      </c>
      <c r="H570">
        <v>-24</v>
      </c>
    </row>
    <row r="571" spans="1:8" x14ac:dyDescent="0.2">
      <c r="A571" t="s">
        <v>1439</v>
      </c>
      <c r="B571" t="s">
        <v>3094</v>
      </c>
      <c r="E571" t="s">
        <v>785</v>
      </c>
      <c r="F571">
        <v>3994</v>
      </c>
      <c r="G571">
        <v>-1596</v>
      </c>
      <c r="H571">
        <v>-106</v>
      </c>
    </row>
    <row r="572" spans="1:8" x14ac:dyDescent="0.2">
      <c r="A572" t="s">
        <v>1057</v>
      </c>
      <c r="B572" t="s">
        <v>3094</v>
      </c>
      <c r="E572" t="s">
        <v>785</v>
      </c>
      <c r="F572">
        <v>2299</v>
      </c>
      <c r="G572">
        <v>-714</v>
      </c>
      <c r="H572">
        <v>192</v>
      </c>
    </row>
    <row r="573" spans="1:8" x14ac:dyDescent="0.2">
      <c r="A573" t="s">
        <v>912</v>
      </c>
      <c r="B573" t="s">
        <v>3094</v>
      </c>
      <c r="E573" t="s">
        <v>785</v>
      </c>
      <c r="F573">
        <v>3074</v>
      </c>
      <c r="G573">
        <v>-1138</v>
      </c>
      <c r="H573">
        <v>92</v>
      </c>
    </row>
    <row r="574" spans="1:8" x14ac:dyDescent="0.2">
      <c r="A574" t="s">
        <v>913</v>
      </c>
      <c r="B574" t="s">
        <v>3094</v>
      </c>
      <c r="E574" t="s">
        <v>785</v>
      </c>
      <c r="F574">
        <v>2698</v>
      </c>
      <c r="G574">
        <v>-1315</v>
      </c>
      <c r="H574">
        <v>111</v>
      </c>
    </row>
    <row r="575" spans="1:8" x14ac:dyDescent="0.2">
      <c r="A575" t="s">
        <v>802</v>
      </c>
      <c r="B575" t="s">
        <v>3094</v>
      </c>
      <c r="E575" t="s">
        <v>785</v>
      </c>
      <c r="F575">
        <v>4675</v>
      </c>
      <c r="G575">
        <v>197</v>
      </c>
      <c r="H575">
        <v>-106</v>
      </c>
    </row>
    <row r="576" spans="1:8" x14ac:dyDescent="0.2">
      <c r="A576" t="s">
        <v>1441</v>
      </c>
      <c r="B576" t="s">
        <v>3094</v>
      </c>
      <c r="E576" t="s">
        <v>783</v>
      </c>
      <c r="F576">
        <v>3175</v>
      </c>
      <c r="G576">
        <v>-500</v>
      </c>
      <c r="H576">
        <v>1895</v>
      </c>
    </row>
    <row r="577" spans="1:8" x14ac:dyDescent="0.2">
      <c r="A577" t="s">
        <v>1010</v>
      </c>
      <c r="B577" t="s">
        <v>3094</v>
      </c>
      <c r="E577" t="s">
        <v>783</v>
      </c>
      <c r="F577">
        <v>3010</v>
      </c>
      <c r="G577" t="s">
        <v>1774</v>
      </c>
      <c r="H577">
        <v>1895</v>
      </c>
    </row>
    <row r="578" spans="1:8" x14ac:dyDescent="0.2">
      <c r="A578" t="s">
        <v>803</v>
      </c>
      <c r="B578" t="s">
        <v>3094</v>
      </c>
      <c r="E578" t="s">
        <v>785</v>
      </c>
      <c r="F578">
        <v>1826</v>
      </c>
      <c r="G578">
        <v>-59</v>
      </c>
      <c r="H578">
        <v>-106</v>
      </c>
    </row>
    <row r="579" spans="1:8" x14ac:dyDescent="0.2">
      <c r="A579" t="s">
        <v>1444</v>
      </c>
      <c r="B579" t="s">
        <v>3094</v>
      </c>
      <c r="E579" t="s">
        <v>785</v>
      </c>
      <c r="F579">
        <v>1711</v>
      </c>
      <c r="G579">
        <v>-948</v>
      </c>
      <c r="H579">
        <v>-106</v>
      </c>
    </row>
    <row r="580" spans="1:8" x14ac:dyDescent="0.2">
      <c r="A580" t="s">
        <v>1445</v>
      </c>
      <c r="B580" t="s">
        <v>3094</v>
      </c>
      <c r="E580" t="s">
        <v>785</v>
      </c>
      <c r="F580">
        <v>-2940</v>
      </c>
      <c r="G580">
        <v>-1207</v>
      </c>
      <c r="H580">
        <v>-106</v>
      </c>
    </row>
    <row r="581" spans="1:8" x14ac:dyDescent="0.2">
      <c r="A581" t="s">
        <v>1446</v>
      </c>
      <c r="B581" t="s">
        <v>3094</v>
      </c>
      <c r="E581" t="s">
        <v>785</v>
      </c>
      <c r="F581">
        <v>-174</v>
      </c>
      <c r="G581">
        <v>-3850</v>
      </c>
      <c r="H581">
        <v>-106</v>
      </c>
    </row>
    <row r="582" spans="1:8" x14ac:dyDescent="0.2">
      <c r="A582" t="s">
        <v>1448</v>
      </c>
      <c r="B582" t="s">
        <v>3094</v>
      </c>
      <c r="E582" t="s">
        <v>785</v>
      </c>
      <c r="F582">
        <v>-158</v>
      </c>
      <c r="G582">
        <v>1067</v>
      </c>
      <c r="H582">
        <v>218</v>
      </c>
    </row>
    <row r="583" spans="1:8" x14ac:dyDescent="0.2">
      <c r="A583" t="s">
        <v>1450</v>
      </c>
      <c r="B583" t="s">
        <v>3094</v>
      </c>
      <c r="E583" t="s">
        <v>785</v>
      </c>
      <c r="F583">
        <v>-1940</v>
      </c>
      <c r="G583">
        <v>1340</v>
      </c>
      <c r="H583">
        <v>-106</v>
      </c>
    </row>
    <row r="584" spans="1:8" x14ac:dyDescent="0.2">
      <c r="A584" t="s">
        <v>914</v>
      </c>
      <c r="B584" t="s">
        <v>3094</v>
      </c>
      <c r="E584" t="s">
        <v>785</v>
      </c>
      <c r="F584">
        <v>-1735</v>
      </c>
      <c r="G584">
        <v>1166</v>
      </c>
      <c r="H584">
        <v>229</v>
      </c>
    </row>
    <row r="585" spans="1:8" x14ac:dyDescent="0.2">
      <c r="A585" t="s">
        <v>1451</v>
      </c>
      <c r="B585" t="s">
        <v>3094</v>
      </c>
      <c r="E585" t="s">
        <v>785</v>
      </c>
      <c r="F585">
        <v>-1910</v>
      </c>
      <c r="G585">
        <v>1245</v>
      </c>
      <c r="H585">
        <v>290</v>
      </c>
    </row>
    <row r="586" spans="1:8" x14ac:dyDescent="0.2">
      <c r="A586" t="s">
        <v>1452</v>
      </c>
      <c r="B586" t="s">
        <v>3094</v>
      </c>
      <c r="E586" t="s">
        <v>785</v>
      </c>
      <c r="F586">
        <v>1746</v>
      </c>
      <c r="G586">
        <v>-91</v>
      </c>
      <c r="H586">
        <v>-106</v>
      </c>
    </row>
    <row r="587" spans="1:8" x14ac:dyDescent="0.2">
      <c r="A587" t="s">
        <v>1454</v>
      </c>
      <c r="B587" t="s">
        <v>3094</v>
      </c>
      <c r="E587" t="s">
        <v>785</v>
      </c>
      <c r="F587">
        <v>1714</v>
      </c>
      <c r="G587">
        <v>-2148</v>
      </c>
      <c r="H587">
        <v>10</v>
      </c>
    </row>
    <row r="588" spans="1:8" x14ac:dyDescent="0.2">
      <c r="A588" t="s">
        <v>915</v>
      </c>
      <c r="B588" t="s">
        <v>3094</v>
      </c>
      <c r="E588" t="s">
        <v>785</v>
      </c>
      <c r="F588">
        <v>2206</v>
      </c>
      <c r="G588">
        <v>3075</v>
      </c>
      <c r="H588">
        <v>405</v>
      </c>
    </row>
    <row r="589" spans="1:8" x14ac:dyDescent="0.2">
      <c r="A589" t="s">
        <v>1455</v>
      </c>
      <c r="B589" t="s">
        <v>3094</v>
      </c>
      <c r="E589" t="s">
        <v>785</v>
      </c>
      <c r="F589">
        <v>-444</v>
      </c>
      <c r="G589">
        <v>1062</v>
      </c>
      <c r="H589">
        <v>25</v>
      </c>
    </row>
    <row r="590" spans="1:8" x14ac:dyDescent="0.2">
      <c r="A590" t="s">
        <v>1058</v>
      </c>
      <c r="B590" t="s">
        <v>3094</v>
      </c>
      <c r="E590" t="s">
        <v>785</v>
      </c>
      <c r="F590">
        <v>4445</v>
      </c>
      <c r="G590">
        <v>-642</v>
      </c>
      <c r="H590">
        <v>-106</v>
      </c>
    </row>
    <row r="591" spans="1:8" x14ac:dyDescent="0.2">
      <c r="A591" t="s">
        <v>1457</v>
      </c>
      <c r="B591" t="s">
        <v>3094</v>
      </c>
      <c r="E591" t="s">
        <v>785</v>
      </c>
      <c r="F591">
        <v>4655</v>
      </c>
      <c r="G591">
        <v>3527</v>
      </c>
      <c r="H591">
        <v>51</v>
      </c>
    </row>
    <row r="592" spans="1:8" x14ac:dyDescent="0.2">
      <c r="A592" t="s">
        <v>1460</v>
      </c>
      <c r="B592" t="s">
        <v>3094</v>
      </c>
      <c r="E592" t="s">
        <v>785</v>
      </c>
      <c r="F592">
        <v>-254</v>
      </c>
      <c r="G592">
        <v>102</v>
      </c>
      <c r="H592">
        <v>18</v>
      </c>
    </row>
    <row r="593" spans="1:8" x14ac:dyDescent="0.2">
      <c r="A593" t="s">
        <v>1461</v>
      </c>
      <c r="B593" t="s">
        <v>3094</v>
      </c>
      <c r="E593" t="s">
        <v>785</v>
      </c>
      <c r="F593">
        <v>-299</v>
      </c>
      <c r="G593">
        <v>143</v>
      </c>
      <c r="H593">
        <v>18</v>
      </c>
    </row>
    <row r="594" spans="1:8" x14ac:dyDescent="0.2">
      <c r="A594" t="s">
        <v>1463</v>
      </c>
      <c r="B594" t="s">
        <v>3094</v>
      </c>
      <c r="E594" t="s">
        <v>785</v>
      </c>
      <c r="F594">
        <v>3481</v>
      </c>
      <c r="G594">
        <v>-2880</v>
      </c>
      <c r="H594">
        <v>-106</v>
      </c>
    </row>
    <row r="595" spans="1:8" x14ac:dyDescent="0.2">
      <c r="A595" t="s">
        <v>1464</v>
      </c>
      <c r="B595" t="s">
        <v>3094</v>
      </c>
      <c r="E595" t="s">
        <v>1002</v>
      </c>
      <c r="F595">
        <v>1457</v>
      </c>
      <c r="G595">
        <v>2847</v>
      </c>
      <c r="H595">
        <v>-855</v>
      </c>
    </row>
    <row r="596" spans="1:8" x14ac:dyDescent="0.2">
      <c r="A596" t="s">
        <v>916</v>
      </c>
      <c r="B596" t="s">
        <v>3094</v>
      </c>
      <c r="E596" t="s">
        <v>785</v>
      </c>
      <c r="F596">
        <v>-1744</v>
      </c>
      <c r="G596">
        <v>-2394</v>
      </c>
      <c r="H596">
        <v>-11</v>
      </c>
    </row>
    <row r="597" spans="1:8" x14ac:dyDescent="0.2">
      <c r="A597" t="s">
        <v>1059</v>
      </c>
      <c r="B597" t="s">
        <v>3094</v>
      </c>
      <c r="E597" t="s">
        <v>785</v>
      </c>
      <c r="F597">
        <v>-2132</v>
      </c>
      <c r="G597">
        <v>676</v>
      </c>
      <c r="H597">
        <v>-106</v>
      </c>
    </row>
    <row r="598" spans="1:8" x14ac:dyDescent="0.2">
      <c r="A598" t="s">
        <v>1467</v>
      </c>
      <c r="B598" t="s">
        <v>3094</v>
      </c>
      <c r="E598" t="s">
        <v>785</v>
      </c>
      <c r="F598">
        <v>3710</v>
      </c>
      <c r="G598">
        <v>588</v>
      </c>
      <c r="H598">
        <v>-106</v>
      </c>
    </row>
    <row r="599" spans="1:8" x14ac:dyDescent="0.2">
      <c r="A599" t="s">
        <v>1468</v>
      </c>
      <c r="B599" t="s">
        <v>3094</v>
      </c>
      <c r="E599" t="s">
        <v>785</v>
      </c>
      <c r="F599">
        <v>3007</v>
      </c>
      <c r="G599">
        <v>-3474</v>
      </c>
      <c r="H599">
        <v>37</v>
      </c>
    </row>
    <row r="600" spans="1:8" x14ac:dyDescent="0.2">
      <c r="A600" t="s">
        <v>1471</v>
      </c>
      <c r="B600" t="s">
        <v>3094</v>
      </c>
      <c r="E600" t="s">
        <v>785</v>
      </c>
      <c r="F600">
        <v>723</v>
      </c>
      <c r="G600">
        <v>1919</v>
      </c>
      <c r="H600">
        <v>138</v>
      </c>
    </row>
    <row r="601" spans="1:8" x14ac:dyDescent="0.2">
      <c r="A601" t="s">
        <v>917</v>
      </c>
      <c r="B601" t="s">
        <v>3094</v>
      </c>
      <c r="E601" t="s">
        <v>785</v>
      </c>
      <c r="F601">
        <v>3094</v>
      </c>
      <c r="G601">
        <v>-51</v>
      </c>
      <c r="H601">
        <v>79</v>
      </c>
    </row>
    <row r="602" spans="1:8" x14ac:dyDescent="0.2">
      <c r="A602" t="s">
        <v>1472</v>
      </c>
      <c r="B602" t="s">
        <v>3094</v>
      </c>
      <c r="E602" t="s">
        <v>785</v>
      </c>
      <c r="F602">
        <v>3068</v>
      </c>
      <c r="G602" t="s">
        <v>1775</v>
      </c>
      <c r="H602">
        <v>157</v>
      </c>
    </row>
    <row r="603" spans="1:8" x14ac:dyDescent="0.2">
      <c r="A603" t="s">
        <v>1060</v>
      </c>
      <c r="B603" t="s">
        <v>3094</v>
      </c>
      <c r="E603" t="s">
        <v>785</v>
      </c>
      <c r="F603">
        <v>124</v>
      </c>
      <c r="G603">
        <v>194</v>
      </c>
      <c r="H603">
        <v>-106</v>
      </c>
    </row>
    <row r="604" spans="1:8" x14ac:dyDescent="0.2">
      <c r="A604" t="s">
        <v>1475</v>
      </c>
      <c r="B604" t="s">
        <v>3094</v>
      </c>
      <c r="E604" t="s">
        <v>785</v>
      </c>
      <c r="F604">
        <v>1337</v>
      </c>
      <c r="G604">
        <v>-1424</v>
      </c>
      <c r="H604">
        <v>-106</v>
      </c>
    </row>
    <row r="605" spans="1:8" x14ac:dyDescent="0.2">
      <c r="A605" t="s">
        <v>1477</v>
      </c>
      <c r="B605" t="s">
        <v>3094</v>
      </c>
      <c r="E605" t="s">
        <v>785</v>
      </c>
      <c r="F605">
        <v>3822</v>
      </c>
      <c r="G605">
        <v>-1689</v>
      </c>
      <c r="H605">
        <v>-106</v>
      </c>
    </row>
    <row r="606" spans="1:8" x14ac:dyDescent="0.2">
      <c r="A606" t="s">
        <v>1479</v>
      </c>
      <c r="B606" t="s">
        <v>3094</v>
      </c>
      <c r="E606" t="s">
        <v>785</v>
      </c>
      <c r="F606">
        <v>4406</v>
      </c>
      <c r="G606">
        <v>1901</v>
      </c>
      <c r="H606">
        <v>-106</v>
      </c>
    </row>
    <row r="607" spans="1:8" x14ac:dyDescent="0.2">
      <c r="A607" t="s">
        <v>1061</v>
      </c>
      <c r="B607" t="s">
        <v>3094</v>
      </c>
      <c r="E607" t="s">
        <v>785</v>
      </c>
      <c r="F607">
        <v>-1611</v>
      </c>
      <c r="G607">
        <v>-1023</v>
      </c>
      <c r="H607">
        <v>3</v>
      </c>
    </row>
    <row r="608" spans="1:8" x14ac:dyDescent="0.2">
      <c r="A608" t="s">
        <v>1062</v>
      </c>
      <c r="B608" t="s">
        <v>3094</v>
      </c>
      <c r="E608" t="s">
        <v>785</v>
      </c>
      <c r="F608">
        <v>4663</v>
      </c>
      <c r="G608">
        <v>-2372</v>
      </c>
      <c r="H608">
        <v>-106</v>
      </c>
    </row>
    <row r="609" spans="1:8" x14ac:dyDescent="0.2">
      <c r="A609" t="s">
        <v>918</v>
      </c>
      <c r="B609" t="s">
        <v>3094</v>
      </c>
      <c r="E609" t="s">
        <v>785</v>
      </c>
      <c r="F609">
        <v>4585</v>
      </c>
      <c r="G609">
        <v>-2246</v>
      </c>
      <c r="H609">
        <v>-2</v>
      </c>
    </row>
    <row r="610" spans="1:8" x14ac:dyDescent="0.2">
      <c r="A610" t="s">
        <v>1480</v>
      </c>
      <c r="B610" t="s">
        <v>3094</v>
      </c>
      <c r="E610" t="s">
        <v>785</v>
      </c>
      <c r="F610">
        <v>2770</v>
      </c>
      <c r="G610">
        <v>-2282</v>
      </c>
      <c r="H610">
        <v>-106</v>
      </c>
    </row>
    <row r="611" spans="1:8" x14ac:dyDescent="0.2">
      <c r="A611" t="s">
        <v>1483</v>
      </c>
      <c r="B611" t="s">
        <v>3094</v>
      </c>
      <c r="E611" t="s">
        <v>785</v>
      </c>
      <c r="F611">
        <v>1207</v>
      </c>
      <c r="G611">
        <v>-3729</v>
      </c>
      <c r="H611">
        <v>-106</v>
      </c>
    </row>
    <row r="612" spans="1:8" x14ac:dyDescent="0.2">
      <c r="A612" t="s">
        <v>1484</v>
      </c>
      <c r="B612" t="s">
        <v>3094</v>
      </c>
      <c r="E612" t="s">
        <v>785</v>
      </c>
      <c r="F612">
        <v>2391</v>
      </c>
      <c r="G612">
        <v>1316</v>
      </c>
      <c r="H612">
        <v>41</v>
      </c>
    </row>
    <row r="613" spans="1:8" x14ac:dyDescent="0.2">
      <c r="A613" t="s">
        <v>1063</v>
      </c>
      <c r="B613" t="s">
        <v>3094</v>
      </c>
      <c r="E613" t="s">
        <v>785</v>
      </c>
      <c r="F613">
        <v>-4100</v>
      </c>
      <c r="G613">
        <v>-1296</v>
      </c>
      <c r="H613">
        <v>-106</v>
      </c>
    </row>
    <row r="614" spans="1:8" x14ac:dyDescent="0.2">
      <c r="A614" t="s">
        <v>919</v>
      </c>
      <c r="B614" t="s">
        <v>3094</v>
      </c>
      <c r="E614" t="s">
        <v>785</v>
      </c>
      <c r="F614">
        <v>-3983</v>
      </c>
      <c r="G614">
        <v>-1245</v>
      </c>
      <c r="H614">
        <v>427</v>
      </c>
    </row>
    <row r="615" spans="1:8" x14ac:dyDescent="0.2">
      <c r="A615" t="s">
        <v>1487</v>
      </c>
      <c r="B615" t="s">
        <v>3094</v>
      </c>
      <c r="E615" t="s">
        <v>785</v>
      </c>
      <c r="F615">
        <v>2548</v>
      </c>
      <c r="G615">
        <v>-2461</v>
      </c>
      <c r="H615">
        <v>-106</v>
      </c>
    </row>
    <row r="616" spans="1:8" x14ac:dyDescent="0.2">
      <c r="A616" t="s">
        <v>1489</v>
      </c>
      <c r="B616" t="s">
        <v>3094</v>
      </c>
      <c r="E616" t="s">
        <v>785</v>
      </c>
      <c r="F616">
        <v>2213</v>
      </c>
      <c r="G616">
        <v>1774</v>
      </c>
      <c r="H616">
        <v>-106</v>
      </c>
    </row>
    <row r="617" spans="1:8" x14ac:dyDescent="0.2">
      <c r="A617" t="s">
        <v>1490</v>
      </c>
      <c r="B617" t="s">
        <v>3094</v>
      </c>
      <c r="E617" t="s">
        <v>785</v>
      </c>
      <c r="F617">
        <v>-260</v>
      </c>
      <c r="G617">
        <v>2194</v>
      </c>
      <c r="H617">
        <v>-106</v>
      </c>
    </row>
    <row r="618" spans="1:8" x14ac:dyDescent="0.2">
      <c r="A618" t="s">
        <v>1491</v>
      </c>
      <c r="B618" t="s">
        <v>3094</v>
      </c>
      <c r="E618" t="s">
        <v>785</v>
      </c>
      <c r="F618">
        <v>-15</v>
      </c>
      <c r="G618">
        <v>-3252</v>
      </c>
      <c r="H618">
        <v>-106</v>
      </c>
    </row>
    <row r="619" spans="1:8" x14ac:dyDescent="0.2">
      <c r="A619" t="s">
        <v>1064</v>
      </c>
      <c r="B619" t="s">
        <v>3094</v>
      </c>
      <c r="E619" t="s">
        <v>785</v>
      </c>
      <c r="F619">
        <v>1713</v>
      </c>
      <c r="G619">
        <v>131</v>
      </c>
      <c r="H619">
        <v>-106</v>
      </c>
    </row>
    <row r="620" spans="1:8" x14ac:dyDescent="0.2">
      <c r="A620" t="s">
        <v>1492</v>
      </c>
      <c r="B620" t="s">
        <v>3094</v>
      </c>
      <c r="E620" t="s">
        <v>1002</v>
      </c>
      <c r="F620">
        <v>3114</v>
      </c>
      <c r="G620">
        <v>-2187</v>
      </c>
      <c r="H620">
        <v>-573</v>
      </c>
    </row>
    <row r="621" spans="1:8" x14ac:dyDescent="0.2">
      <c r="A621" t="s">
        <v>1065</v>
      </c>
      <c r="B621" t="s">
        <v>3094</v>
      </c>
      <c r="E621" t="s">
        <v>785</v>
      </c>
      <c r="F621">
        <v>3101</v>
      </c>
      <c r="G621">
        <v>-2164</v>
      </c>
      <c r="H621">
        <v>-106</v>
      </c>
    </row>
    <row r="622" spans="1:8" x14ac:dyDescent="0.2">
      <c r="A622" t="s">
        <v>1493</v>
      </c>
      <c r="B622" t="s">
        <v>3094</v>
      </c>
      <c r="E622" t="s">
        <v>785</v>
      </c>
      <c r="F622">
        <v>812</v>
      </c>
      <c r="G622">
        <v>2354</v>
      </c>
      <c r="H622">
        <v>-106</v>
      </c>
    </row>
    <row r="623" spans="1:8" x14ac:dyDescent="0.2">
      <c r="A623" t="s">
        <v>1494</v>
      </c>
      <c r="B623" t="s">
        <v>3094</v>
      </c>
      <c r="E623" t="s">
        <v>785</v>
      </c>
      <c r="F623">
        <v>3549</v>
      </c>
      <c r="G623">
        <v>564</v>
      </c>
      <c r="H623">
        <v>-106</v>
      </c>
    </row>
    <row r="624" spans="1:8" x14ac:dyDescent="0.2">
      <c r="A624" t="s">
        <v>1495</v>
      </c>
      <c r="B624" t="s">
        <v>3094</v>
      </c>
      <c r="E624" t="s">
        <v>785</v>
      </c>
      <c r="F624">
        <v>855</v>
      </c>
      <c r="G624">
        <v>1427</v>
      </c>
      <c r="H624">
        <v>91</v>
      </c>
    </row>
    <row r="625" spans="1:8" x14ac:dyDescent="0.2">
      <c r="A625" t="s">
        <v>1496</v>
      </c>
      <c r="B625" t="s">
        <v>3094</v>
      </c>
      <c r="E625" t="s">
        <v>785</v>
      </c>
      <c r="F625">
        <v>1419</v>
      </c>
      <c r="G625">
        <v>-45</v>
      </c>
      <c r="H625">
        <v>-106</v>
      </c>
    </row>
    <row r="626" spans="1:8" x14ac:dyDescent="0.2">
      <c r="A626" t="s">
        <v>920</v>
      </c>
      <c r="B626" t="s">
        <v>3094</v>
      </c>
      <c r="E626" t="s">
        <v>783</v>
      </c>
      <c r="F626">
        <v>380</v>
      </c>
      <c r="G626">
        <v>-1632</v>
      </c>
      <c r="H626">
        <v>1411</v>
      </c>
    </row>
    <row r="627" spans="1:8" x14ac:dyDescent="0.2">
      <c r="A627" t="s">
        <v>1498</v>
      </c>
      <c r="B627" t="s">
        <v>3094</v>
      </c>
      <c r="E627" t="s">
        <v>1002</v>
      </c>
      <c r="F627">
        <v>1042</v>
      </c>
      <c r="G627">
        <v>1544</v>
      </c>
      <c r="H627">
        <v>-633</v>
      </c>
    </row>
    <row r="628" spans="1:8" x14ac:dyDescent="0.2">
      <c r="A628" t="s">
        <v>1499</v>
      </c>
      <c r="B628" t="s">
        <v>3094</v>
      </c>
      <c r="E628" t="s">
        <v>785</v>
      </c>
      <c r="F628">
        <v>1016</v>
      </c>
      <c r="G628">
        <v>1771</v>
      </c>
      <c r="H628">
        <v>-106</v>
      </c>
    </row>
    <row r="629" spans="1:8" x14ac:dyDescent="0.2">
      <c r="A629" t="s">
        <v>1501</v>
      </c>
      <c r="B629" t="s">
        <v>3094</v>
      </c>
      <c r="E629" t="s">
        <v>785</v>
      </c>
      <c r="F629">
        <v>3838</v>
      </c>
      <c r="G629">
        <v>566</v>
      </c>
      <c r="H629">
        <v>491</v>
      </c>
    </row>
    <row r="630" spans="1:8" x14ac:dyDescent="0.2">
      <c r="A630" t="s">
        <v>1503</v>
      </c>
      <c r="B630" t="s">
        <v>3094</v>
      </c>
      <c r="E630" t="s">
        <v>785</v>
      </c>
      <c r="F630">
        <v>1843</v>
      </c>
      <c r="G630">
        <v>-207</v>
      </c>
      <c r="H630">
        <v>-106</v>
      </c>
    </row>
    <row r="631" spans="1:8" x14ac:dyDescent="0.2">
      <c r="A631" t="s">
        <v>1507</v>
      </c>
      <c r="B631" t="s">
        <v>3094</v>
      </c>
      <c r="E631" t="s">
        <v>785</v>
      </c>
      <c r="F631">
        <v>-4931</v>
      </c>
      <c r="G631">
        <v>-862</v>
      </c>
      <c r="H631">
        <v>-106</v>
      </c>
    </row>
    <row r="632" spans="1:8" x14ac:dyDescent="0.2">
      <c r="A632" t="s">
        <v>843</v>
      </c>
      <c r="B632" t="s">
        <v>3094</v>
      </c>
      <c r="E632" t="s">
        <v>785</v>
      </c>
      <c r="F632">
        <v>-1105</v>
      </c>
      <c r="G632">
        <v>-556</v>
      </c>
      <c r="H632">
        <v>-106</v>
      </c>
    </row>
    <row r="633" spans="1:8" x14ac:dyDescent="0.2">
      <c r="A633" t="s">
        <v>1066</v>
      </c>
      <c r="B633" t="s">
        <v>3094</v>
      </c>
      <c r="E633" t="s">
        <v>785</v>
      </c>
      <c r="F633">
        <v>-561</v>
      </c>
      <c r="G633">
        <v>2635</v>
      </c>
      <c r="H633">
        <v>-106</v>
      </c>
    </row>
    <row r="634" spans="1:8" x14ac:dyDescent="0.2">
      <c r="A634" t="s">
        <v>921</v>
      </c>
      <c r="B634" t="s">
        <v>3094</v>
      </c>
      <c r="E634" t="s">
        <v>785</v>
      </c>
      <c r="F634">
        <v>-1372</v>
      </c>
      <c r="G634">
        <v>2861</v>
      </c>
      <c r="H634">
        <v>198</v>
      </c>
    </row>
    <row r="635" spans="1:8" x14ac:dyDescent="0.2">
      <c r="A635" t="s">
        <v>1509</v>
      </c>
      <c r="B635" t="s">
        <v>3094</v>
      </c>
      <c r="E635" t="s">
        <v>785</v>
      </c>
      <c r="F635">
        <v>3197</v>
      </c>
      <c r="G635">
        <v>-3171</v>
      </c>
      <c r="H635">
        <v>-106</v>
      </c>
    </row>
    <row r="636" spans="1:8" x14ac:dyDescent="0.2">
      <c r="A636" t="s">
        <v>922</v>
      </c>
      <c r="B636" t="s">
        <v>3094</v>
      </c>
      <c r="E636" t="s">
        <v>785</v>
      </c>
      <c r="F636">
        <v>3224</v>
      </c>
      <c r="G636">
        <v>-3018</v>
      </c>
      <c r="H636">
        <v>59</v>
      </c>
    </row>
    <row r="637" spans="1:8" x14ac:dyDescent="0.2">
      <c r="A637" t="s">
        <v>1510</v>
      </c>
      <c r="B637" t="s">
        <v>3094</v>
      </c>
      <c r="E637" t="s">
        <v>785</v>
      </c>
      <c r="F637">
        <v>-926</v>
      </c>
      <c r="G637">
        <v>-2629</v>
      </c>
      <c r="H637">
        <v>-106</v>
      </c>
    </row>
    <row r="638" spans="1:8" x14ac:dyDescent="0.2">
      <c r="A638" t="s">
        <v>1511</v>
      </c>
      <c r="B638" t="s">
        <v>3094</v>
      </c>
      <c r="E638" t="s">
        <v>785</v>
      </c>
      <c r="F638">
        <v>1931</v>
      </c>
      <c r="G638">
        <v>-2778</v>
      </c>
      <c r="H638">
        <v>-106</v>
      </c>
    </row>
    <row r="639" spans="1:8" x14ac:dyDescent="0.2">
      <c r="A639" t="s">
        <v>923</v>
      </c>
      <c r="B639" t="s">
        <v>3094</v>
      </c>
      <c r="E639" t="s">
        <v>785</v>
      </c>
      <c r="F639">
        <v>1960</v>
      </c>
      <c r="G639">
        <v>-2612</v>
      </c>
      <c r="H639">
        <v>71</v>
      </c>
    </row>
    <row r="640" spans="1:8" x14ac:dyDescent="0.2">
      <c r="A640" t="s">
        <v>1067</v>
      </c>
      <c r="B640" t="s">
        <v>3094</v>
      </c>
      <c r="E640" t="s">
        <v>785</v>
      </c>
      <c r="F640">
        <v>-1376</v>
      </c>
      <c r="G640">
        <v>-3361</v>
      </c>
      <c r="H640">
        <v>-106</v>
      </c>
    </row>
    <row r="641" spans="1:8" x14ac:dyDescent="0.2">
      <c r="A641" t="s">
        <v>1068</v>
      </c>
      <c r="B641" t="s">
        <v>3094</v>
      </c>
      <c r="E641" t="s">
        <v>785</v>
      </c>
      <c r="F641">
        <v>-915</v>
      </c>
      <c r="G641">
        <v>211</v>
      </c>
      <c r="H641">
        <v>-106</v>
      </c>
    </row>
    <row r="642" spans="1:8" x14ac:dyDescent="0.2">
      <c r="A642" t="s">
        <v>1513</v>
      </c>
      <c r="B642" t="s">
        <v>3094</v>
      </c>
      <c r="E642" t="s">
        <v>785</v>
      </c>
      <c r="F642">
        <v>-1277</v>
      </c>
      <c r="G642">
        <v>-2180</v>
      </c>
      <c r="H642">
        <v>-106</v>
      </c>
    </row>
    <row r="643" spans="1:8" x14ac:dyDescent="0.2">
      <c r="A643" t="s">
        <v>804</v>
      </c>
      <c r="B643" t="s">
        <v>3094</v>
      </c>
      <c r="E643" t="s">
        <v>785</v>
      </c>
      <c r="F643">
        <v>3882</v>
      </c>
      <c r="G643">
        <v>-1120</v>
      </c>
      <c r="H643">
        <v>-106</v>
      </c>
    </row>
    <row r="644" spans="1:8" x14ac:dyDescent="0.2">
      <c r="A644" t="s">
        <v>1514</v>
      </c>
      <c r="B644" t="s">
        <v>3094</v>
      </c>
      <c r="E644" t="s">
        <v>785</v>
      </c>
      <c r="F644">
        <v>3848</v>
      </c>
      <c r="G644">
        <v>-1315</v>
      </c>
      <c r="H644">
        <v>532</v>
      </c>
    </row>
    <row r="645" spans="1:8" x14ac:dyDescent="0.2">
      <c r="A645" t="s">
        <v>1515</v>
      </c>
      <c r="B645" t="s">
        <v>3094</v>
      </c>
      <c r="E645" t="s">
        <v>785</v>
      </c>
      <c r="F645">
        <v>-1886</v>
      </c>
      <c r="G645">
        <v>-1920</v>
      </c>
      <c r="H645">
        <v>-106</v>
      </c>
    </row>
    <row r="646" spans="1:8" x14ac:dyDescent="0.2">
      <c r="A646" t="s">
        <v>924</v>
      </c>
      <c r="B646" t="s">
        <v>3094</v>
      </c>
      <c r="E646" t="s">
        <v>785</v>
      </c>
      <c r="F646">
        <v>-1967</v>
      </c>
      <c r="G646">
        <v>-2060</v>
      </c>
      <c r="H646">
        <v>30</v>
      </c>
    </row>
    <row r="647" spans="1:8" x14ac:dyDescent="0.2">
      <c r="A647" t="s">
        <v>925</v>
      </c>
      <c r="B647" t="s">
        <v>3094</v>
      </c>
      <c r="E647" t="s">
        <v>785</v>
      </c>
      <c r="F647">
        <v>-1727</v>
      </c>
      <c r="G647">
        <v>-2183</v>
      </c>
      <c r="H647">
        <v>5</v>
      </c>
    </row>
    <row r="648" spans="1:8" x14ac:dyDescent="0.2">
      <c r="A648" t="s">
        <v>1069</v>
      </c>
      <c r="B648" t="s">
        <v>3094</v>
      </c>
      <c r="E648" t="s">
        <v>785</v>
      </c>
      <c r="F648">
        <v>-2691</v>
      </c>
      <c r="G648">
        <v>776</v>
      </c>
      <c r="H648">
        <v>-106</v>
      </c>
    </row>
    <row r="649" spans="1:8" x14ac:dyDescent="0.2">
      <c r="A649" t="s">
        <v>1517</v>
      </c>
      <c r="B649" t="s">
        <v>3094</v>
      </c>
      <c r="E649" t="s">
        <v>785</v>
      </c>
      <c r="F649">
        <v>2377</v>
      </c>
      <c r="G649">
        <v>-2195</v>
      </c>
      <c r="H649">
        <v>-106</v>
      </c>
    </row>
    <row r="650" spans="1:8" x14ac:dyDescent="0.2">
      <c r="A650" t="s">
        <v>1518</v>
      </c>
      <c r="B650" t="s">
        <v>3094</v>
      </c>
      <c r="E650" t="s">
        <v>785</v>
      </c>
      <c r="F650">
        <v>2484</v>
      </c>
      <c r="G650">
        <v>-2676</v>
      </c>
      <c r="H650">
        <v>-106</v>
      </c>
    </row>
    <row r="651" spans="1:8" x14ac:dyDescent="0.2">
      <c r="A651" t="s">
        <v>1519</v>
      </c>
      <c r="B651" t="s">
        <v>3094</v>
      </c>
      <c r="E651" t="s">
        <v>785</v>
      </c>
      <c r="F651">
        <v>-4045</v>
      </c>
      <c r="G651">
        <v>-406</v>
      </c>
      <c r="H651">
        <v>-106</v>
      </c>
    </row>
    <row r="652" spans="1:8" x14ac:dyDescent="0.2">
      <c r="A652" t="s">
        <v>926</v>
      </c>
      <c r="B652" t="s">
        <v>3094</v>
      </c>
      <c r="E652" t="s">
        <v>785</v>
      </c>
      <c r="F652">
        <v>-3882</v>
      </c>
      <c r="G652">
        <v>-727</v>
      </c>
      <c r="H652">
        <v>570</v>
      </c>
    </row>
    <row r="653" spans="1:8" x14ac:dyDescent="0.2">
      <c r="A653" t="s">
        <v>1520</v>
      </c>
      <c r="B653" t="s">
        <v>3094</v>
      </c>
      <c r="E653" t="s">
        <v>785</v>
      </c>
      <c r="F653">
        <v>1098</v>
      </c>
      <c r="G653">
        <v>-1163</v>
      </c>
      <c r="H653">
        <v>-106</v>
      </c>
    </row>
    <row r="654" spans="1:8" x14ac:dyDescent="0.2">
      <c r="A654" t="s">
        <v>1522</v>
      </c>
      <c r="B654" t="s">
        <v>3094</v>
      </c>
      <c r="E654" t="s">
        <v>785</v>
      </c>
      <c r="F654">
        <v>-630</v>
      </c>
      <c r="G654">
        <v>-3839</v>
      </c>
      <c r="H654">
        <v>-106</v>
      </c>
    </row>
    <row r="655" spans="1:8" x14ac:dyDescent="0.2">
      <c r="A655" t="s">
        <v>844</v>
      </c>
      <c r="B655" t="s">
        <v>3094</v>
      </c>
      <c r="E655" t="s">
        <v>785</v>
      </c>
      <c r="F655">
        <v>3508</v>
      </c>
      <c r="G655">
        <v>-1418</v>
      </c>
      <c r="H655">
        <v>-106</v>
      </c>
    </row>
    <row r="656" spans="1:8" x14ac:dyDescent="0.2">
      <c r="A656" t="s">
        <v>1523</v>
      </c>
      <c r="B656" t="s">
        <v>3094</v>
      </c>
      <c r="E656" t="s">
        <v>785</v>
      </c>
      <c r="F656">
        <v>2501</v>
      </c>
      <c r="G656">
        <v>-1685</v>
      </c>
      <c r="H656">
        <v>-106</v>
      </c>
    </row>
    <row r="657" spans="1:8" x14ac:dyDescent="0.2">
      <c r="A657" t="s">
        <v>807</v>
      </c>
      <c r="B657" t="s">
        <v>3094</v>
      </c>
      <c r="E657" t="s">
        <v>785</v>
      </c>
      <c r="F657">
        <v>4141</v>
      </c>
      <c r="G657">
        <v>-2845</v>
      </c>
      <c r="H657">
        <v>-106</v>
      </c>
    </row>
    <row r="658" spans="1:8" x14ac:dyDescent="0.2">
      <c r="A658" t="s">
        <v>1524</v>
      </c>
      <c r="B658" t="s">
        <v>3094</v>
      </c>
      <c r="E658" t="s">
        <v>783</v>
      </c>
      <c r="F658">
        <v>2643</v>
      </c>
      <c r="G658">
        <v>-1964</v>
      </c>
      <c r="H658">
        <v>1895</v>
      </c>
    </row>
    <row r="659" spans="1:8" x14ac:dyDescent="0.2">
      <c r="A659" t="s">
        <v>1525</v>
      </c>
      <c r="B659" t="s">
        <v>3094</v>
      </c>
      <c r="E659" t="s">
        <v>783</v>
      </c>
      <c r="F659">
        <v>2541</v>
      </c>
      <c r="G659">
        <v>-2271</v>
      </c>
      <c r="H659">
        <v>1895</v>
      </c>
    </row>
    <row r="660" spans="1:8" x14ac:dyDescent="0.2">
      <c r="A660" t="s">
        <v>1526</v>
      </c>
      <c r="B660" t="s">
        <v>3094</v>
      </c>
      <c r="E660" t="s">
        <v>785</v>
      </c>
      <c r="F660">
        <v>-2166</v>
      </c>
      <c r="G660">
        <v>-1509</v>
      </c>
      <c r="H660">
        <v>-106</v>
      </c>
    </row>
    <row r="661" spans="1:8" x14ac:dyDescent="0.2">
      <c r="A661" t="s">
        <v>1527</v>
      </c>
      <c r="B661" t="s">
        <v>3094</v>
      </c>
      <c r="E661" t="s">
        <v>785</v>
      </c>
      <c r="F661">
        <v>-3639</v>
      </c>
      <c r="G661">
        <v>949</v>
      </c>
      <c r="H661">
        <v>-106</v>
      </c>
    </row>
    <row r="662" spans="1:8" x14ac:dyDescent="0.2">
      <c r="A662" t="s">
        <v>1528</v>
      </c>
      <c r="B662" t="s">
        <v>3094</v>
      </c>
      <c r="E662" t="s">
        <v>785</v>
      </c>
      <c r="F662">
        <v>220</v>
      </c>
      <c r="G662">
        <v>-3632</v>
      </c>
      <c r="H662">
        <v>-106</v>
      </c>
    </row>
    <row r="663" spans="1:8" x14ac:dyDescent="0.2">
      <c r="A663" t="s">
        <v>1529</v>
      </c>
      <c r="B663" t="s">
        <v>3094</v>
      </c>
      <c r="E663" t="s">
        <v>785</v>
      </c>
      <c r="F663">
        <v>-1294</v>
      </c>
      <c r="G663">
        <v>679</v>
      </c>
      <c r="H663">
        <v>83</v>
      </c>
    </row>
    <row r="664" spans="1:8" x14ac:dyDescent="0.2">
      <c r="A664" t="s">
        <v>1070</v>
      </c>
      <c r="B664" t="s">
        <v>3094</v>
      </c>
      <c r="E664" t="s">
        <v>785</v>
      </c>
      <c r="F664">
        <v>-1608</v>
      </c>
      <c r="G664">
        <v>-445</v>
      </c>
      <c r="H664">
        <v>-106</v>
      </c>
    </row>
    <row r="665" spans="1:8" x14ac:dyDescent="0.2">
      <c r="A665" t="s">
        <v>1071</v>
      </c>
      <c r="B665" t="s">
        <v>3094</v>
      </c>
      <c r="E665" t="s">
        <v>785</v>
      </c>
      <c r="F665">
        <v>3209</v>
      </c>
      <c r="G665">
        <v>-1699</v>
      </c>
      <c r="H665">
        <v>-106</v>
      </c>
    </row>
    <row r="666" spans="1:8" x14ac:dyDescent="0.2">
      <c r="A666" t="s">
        <v>1531</v>
      </c>
      <c r="B666" t="s">
        <v>3094</v>
      </c>
      <c r="E666" t="s">
        <v>785</v>
      </c>
      <c r="F666">
        <v>3201</v>
      </c>
      <c r="G666">
        <v>-1386</v>
      </c>
      <c r="H666">
        <v>-106</v>
      </c>
    </row>
    <row r="667" spans="1:8" x14ac:dyDescent="0.2">
      <c r="A667" t="s">
        <v>1532</v>
      </c>
      <c r="B667" t="s">
        <v>3094</v>
      </c>
      <c r="E667" t="s">
        <v>785</v>
      </c>
      <c r="F667">
        <v>4717</v>
      </c>
      <c r="G667">
        <v>2924</v>
      </c>
      <c r="H667">
        <v>-106</v>
      </c>
    </row>
    <row r="668" spans="1:8" x14ac:dyDescent="0.2">
      <c r="A668" t="s">
        <v>927</v>
      </c>
      <c r="B668" t="s">
        <v>3094</v>
      </c>
      <c r="E668" t="s">
        <v>785</v>
      </c>
      <c r="F668">
        <v>4651</v>
      </c>
      <c r="G668">
        <v>3585</v>
      </c>
      <c r="H668">
        <v>-51</v>
      </c>
    </row>
    <row r="669" spans="1:8" x14ac:dyDescent="0.2">
      <c r="A669" t="s">
        <v>1533</v>
      </c>
      <c r="B669" t="s">
        <v>3094</v>
      </c>
      <c r="E669" t="s">
        <v>785</v>
      </c>
      <c r="F669">
        <v>4177</v>
      </c>
      <c r="G669">
        <v>2915</v>
      </c>
      <c r="H669">
        <v>-106</v>
      </c>
    </row>
    <row r="670" spans="1:8" x14ac:dyDescent="0.2">
      <c r="A670" t="s">
        <v>1535</v>
      </c>
      <c r="B670" t="s">
        <v>3094</v>
      </c>
      <c r="E670" t="s">
        <v>785</v>
      </c>
      <c r="F670">
        <v>3803</v>
      </c>
      <c r="G670">
        <v>2823</v>
      </c>
      <c r="H670">
        <v>-106</v>
      </c>
    </row>
    <row r="671" spans="1:8" x14ac:dyDescent="0.2">
      <c r="A671" t="s">
        <v>928</v>
      </c>
      <c r="B671" t="s">
        <v>3094</v>
      </c>
      <c r="E671" t="s">
        <v>785</v>
      </c>
      <c r="F671">
        <v>-3960</v>
      </c>
      <c r="G671">
        <v>3245</v>
      </c>
      <c r="H671">
        <v>237</v>
      </c>
    </row>
    <row r="672" spans="1:8" x14ac:dyDescent="0.2">
      <c r="A672" t="s">
        <v>1537</v>
      </c>
      <c r="B672" t="s">
        <v>3094</v>
      </c>
      <c r="E672" t="s">
        <v>783</v>
      </c>
      <c r="F672">
        <v>-3573</v>
      </c>
      <c r="G672">
        <v>-608</v>
      </c>
      <c r="H672">
        <v>1895</v>
      </c>
    </row>
    <row r="673" spans="1:8" x14ac:dyDescent="0.2">
      <c r="A673" t="s">
        <v>1538</v>
      </c>
      <c r="B673" t="s">
        <v>3094</v>
      </c>
      <c r="E673" t="s">
        <v>785</v>
      </c>
      <c r="F673">
        <v>-1314</v>
      </c>
      <c r="G673">
        <v>825</v>
      </c>
      <c r="H673">
        <v>-106</v>
      </c>
    </row>
    <row r="674" spans="1:8" x14ac:dyDescent="0.2">
      <c r="A674" t="s">
        <v>929</v>
      </c>
      <c r="B674" t="s">
        <v>3094</v>
      </c>
      <c r="E674" t="s">
        <v>785</v>
      </c>
      <c r="F674">
        <v>-1234</v>
      </c>
      <c r="G674">
        <v>770</v>
      </c>
      <c r="H674">
        <v>77</v>
      </c>
    </row>
    <row r="675" spans="1:8" x14ac:dyDescent="0.2">
      <c r="A675" t="s">
        <v>1013</v>
      </c>
      <c r="B675" t="s">
        <v>3094</v>
      </c>
      <c r="E675" t="s">
        <v>783</v>
      </c>
      <c r="F675">
        <v>350</v>
      </c>
      <c r="G675">
        <v>2354</v>
      </c>
      <c r="H675">
        <v>1895</v>
      </c>
    </row>
    <row r="676" spans="1:8" x14ac:dyDescent="0.2">
      <c r="A676" t="s">
        <v>1014</v>
      </c>
      <c r="B676" t="s">
        <v>3094</v>
      </c>
      <c r="E676" t="s">
        <v>783</v>
      </c>
      <c r="F676">
        <v>1795</v>
      </c>
      <c r="G676">
        <v>-864</v>
      </c>
      <c r="H676">
        <v>1895</v>
      </c>
    </row>
    <row r="677" spans="1:8" x14ac:dyDescent="0.2">
      <c r="A677" t="s">
        <v>1542</v>
      </c>
      <c r="B677" t="s">
        <v>3094</v>
      </c>
      <c r="E677" t="s">
        <v>783</v>
      </c>
      <c r="F677">
        <v>-3601</v>
      </c>
      <c r="G677">
        <v>1334</v>
      </c>
      <c r="H677">
        <v>1894</v>
      </c>
    </row>
    <row r="678" spans="1:8" x14ac:dyDescent="0.2">
      <c r="A678" t="s">
        <v>1072</v>
      </c>
      <c r="B678" t="s">
        <v>3094</v>
      </c>
      <c r="E678" t="s">
        <v>785</v>
      </c>
      <c r="F678">
        <v>-1792</v>
      </c>
      <c r="G678">
        <v>3689</v>
      </c>
      <c r="H678">
        <v>-106</v>
      </c>
    </row>
    <row r="679" spans="1:8" x14ac:dyDescent="0.2">
      <c r="A679" t="s">
        <v>1544</v>
      </c>
      <c r="B679" t="s">
        <v>3094</v>
      </c>
      <c r="E679" t="s">
        <v>785</v>
      </c>
      <c r="F679">
        <v>2474</v>
      </c>
      <c r="G679">
        <v>-2086</v>
      </c>
      <c r="H679">
        <v>-106</v>
      </c>
    </row>
    <row r="680" spans="1:8" x14ac:dyDescent="0.2">
      <c r="A680" t="s">
        <v>930</v>
      </c>
      <c r="B680" t="s">
        <v>3094</v>
      </c>
      <c r="E680" t="s">
        <v>785</v>
      </c>
      <c r="F680">
        <v>2504</v>
      </c>
      <c r="G680">
        <v>-2107</v>
      </c>
      <c r="H680">
        <v>6</v>
      </c>
    </row>
    <row r="681" spans="1:8" x14ac:dyDescent="0.2">
      <c r="A681" t="s">
        <v>931</v>
      </c>
      <c r="B681" t="s">
        <v>3094</v>
      </c>
      <c r="E681" t="s">
        <v>785</v>
      </c>
      <c r="F681">
        <v>-3355</v>
      </c>
      <c r="G681">
        <v>-2694</v>
      </c>
      <c r="H681">
        <v>-4</v>
      </c>
    </row>
    <row r="682" spans="1:8" x14ac:dyDescent="0.2">
      <c r="A682" t="s">
        <v>1545</v>
      </c>
      <c r="B682" t="s">
        <v>3094</v>
      </c>
      <c r="E682" t="s">
        <v>785</v>
      </c>
      <c r="F682">
        <v>-254</v>
      </c>
      <c r="G682">
        <v>779</v>
      </c>
      <c r="H682">
        <v>98</v>
      </c>
    </row>
    <row r="683" spans="1:8" x14ac:dyDescent="0.2">
      <c r="A683" t="s">
        <v>1073</v>
      </c>
      <c r="B683" t="s">
        <v>3094</v>
      </c>
      <c r="E683" t="s">
        <v>785</v>
      </c>
      <c r="F683">
        <v>4069</v>
      </c>
      <c r="G683">
        <v>2460</v>
      </c>
      <c r="H683">
        <v>32</v>
      </c>
    </row>
    <row r="684" spans="1:8" x14ac:dyDescent="0.2">
      <c r="A684" t="s">
        <v>1546</v>
      </c>
      <c r="B684" t="s">
        <v>3094</v>
      </c>
      <c r="E684" t="s">
        <v>785</v>
      </c>
      <c r="F684">
        <v>3654</v>
      </c>
      <c r="G684">
        <v>2525</v>
      </c>
      <c r="H684">
        <v>-106</v>
      </c>
    </row>
    <row r="685" spans="1:8" x14ac:dyDescent="0.2">
      <c r="A685" t="s">
        <v>1547</v>
      </c>
      <c r="B685" t="s">
        <v>3094</v>
      </c>
      <c r="E685" t="s">
        <v>785</v>
      </c>
      <c r="F685">
        <v>2875</v>
      </c>
      <c r="G685">
        <v>-20</v>
      </c>
      <c r="H685">
        <v>82</v>
      </c>
    </row>
    <row r="686" spans="1:8" x14ac:dyDescent="0.2">
      <c r="A686" t="s">
        <v>932</v>
      </c>
      <c r="B686" t="s">
        <v>3094</v>
      </c>
      <c r="E686" t="s">
        <v>785</v>
      </c>
      <c r="F686">
        <v>2910</v>
      </c>
      <c r="G686">
        <v>-66</v>
      </c>
      <c r="H686">
        <v>82</v>
      </c>
    </row>
    <row r="687" spans="1:8" x14ac:dyDescent="0.2">
      <c r="A687" t="s">
        <v>1549</v>
      </c>
      <c r="B687" t="s">
        <v>3094</v>
      </c>
      <c r="E687" t="s">
        <v>785</v>
      </c>
      <c r="F687">
        <v>-882</v>
      </c>
      <c r="G687">
        <v>-3141</v>
      </c>
      <c r="H687">
        <v>-106</v>
      </c>
    </row>
    <row r="688" spans="1:8" x14ac:dyDescent="0.2">
      <c r="A688" t="s">
        <v>1550</v>
      </c>
      <c r="B688" t="s">
        <v>3094</v>
      </c>
      <c r="E688" t="s">
        <v>785</v>
      </c>
      <c r="F688">
        <v>-248</v>
      </c>
      <c r="G688">
        <v>-1688</v>
      </c>
      <c r="H688">
        <v>-106</v>
      </c>
    </row>
    <row r="689" spans="1:8" x14ac:dyDescent="0.2">
      <c r="A689" t="s">
        <v>1552</v>
      </c>
      <c r="B689" t="s">
        <v>3094</v>
      </c>
      <c r="E689" t="s">
        <v>785</v>
      </c>
      <c r="F689">
        <v>-1449</v>
      </c>
      <c r="G689">
        <v>-1269</v>
      </c>
      <c r="H689">
        <v>76</v>
      </c>
    </row>
    <row r="690" spans="1:8" x14ac:dyDescent="0.2">
      <c r="A690" t="s">
        <v>1554</v>
      </c>
      <c r="B690" t="s">
        <v>3094</v>
      </c>
      <c r="E690" t="s">
        <v>785</v>
      </c>
      <c r="F690">
        <v>3060</v>
      </c>
      <c r="G690">
        <v>-1883</v>
      </c>
      <c r="H690">
        <v>-106</v>
      </c>
    </row>
    <row r="691" spans="1:8" x14ac:dyDescent="0.2">
      <c r="A691" t="s">
        <v>1074</v>
      </c>
      <c r="B691" t="s">
        <v>3094</v>
      </c>
      <c r="E691" t="s">
        <v>785</v>
      </c>
      <c r="F691">
        <v>325</v>
      </c>
      <c r="G691">
        <v>-1273</v>
      </c>
      <c r="H691">
        <v>-42</v>
      </c>
    </row>
    <row r="692" spans="1:8" x14ac:dyDescent="0.2">
      <c r="A692" t="s">
        <v>1555</v>
      </c>
      <c r="B692" t="s">
        <v>3094</v>
      </c>
      <c r="E692" t="s">
        <v>785</v>
      </c>
      <c r="F692">
        <v>690</v>
      </c>
      <c r="G692">
        <v>-3058</v>
      </c>
      <c r="H692">
        <v>-106</v>
      </c>
    </row>
    <row r="693" spans="1:8" x14ac:dyDescent="0.2">
      <c r="A693" t="s">
        <v>933</v>
      </c>
      <c r="B693" t="s">
        <v>3094</v>
      </c>
      <c r="E693" t="s">
        <v>785</v>
      </c>
      <c r="F693">
        <v>672</v>
      </c>
      <c r="G693">
        <v>-3109</v>
      </c>
      <c r="H693">
        <v>24</v>
      </c>
    </row>
    <row r="694" spans="1:8" x14ac:dyDescent="0.2">
      <c r="A694" t="s">
        <v>1075</v>
      </c>
      <c r="B694" t="s">
        <v>3094</v>
      </c>
      <c r="E694" t="s">
        <v>785</v>
      </c>
      <c r="F694">
        <v>3497</v>
      </c>
      <c r="G694">
        <v>-3460</v>
      </c>
      <c r="H694">
        <v>-106</v>
      </c>
    </row>
    <row r="695" spans="1:8" x14ac:dyDescent="0.2">
      <c r="A695" t="s">
        <v>1076</v>
      </c>
      <c r="B695" t="s">
        <v>3094</v>
      </c>
      <c r="E695" t="s">
        <v>785</v>
      </c>
      <c r="F695">
        <v>-3118</v>
      </c>
      <c r="G695">
        <v>-2982</v>
      </c>
      <c r="H695">
        <v>-106</v>
      </c>
    </row>
    <row r="696" spans="1:8" x14ac:dyDescent="0.2">
      <c r="A696" t="s">
        <v>1077</v>
      </c>
      <c r="B696" t="s">
        <v>3094</v>
      </c>
      <c r="E696" t="s">
        <v>785</v>
      </c>
      <c r="F696">
        <v>-339</v>
      </c>
      <c r="G696">
        <v>-3567</v>
      </c>
      <c r="H696">
        <v>-106</v>
      </c>
    </row>
    <row r="697" spans="1:8" x14ac:dyDescent="0.2">
      <c r="A697" t="s">
        <v>1557</v>
      </c>
      <c r="B697" t="s">
        <v>3094</v>
      </c>
      <c r="E697" t="s">
        <v>785</v>
      </c>
      <c r="F697">
        <v>-348</v>
      </c>
      <c r="G697">
        <v>-3299</v>
      </c>
      <c r="H697">
        <v>-106</v>
      </c>
    </row>
    <row r="698" spans="1:8" x14ac:dyDescent="0.2">
      <c r="A698" t="s">
        <v>1558</v>
      </c>
      <c r="B698" t="s">
        <v>3094</v>
      </c>
      <c r="E698" t="s">
        <v>785</v>
      </c>
      <c r="F698">
        <v>-3999</v>
      </c>
      <c r="G698">
        <v>1614</v>
      </c>
      <c r="H698">
        <v>-106</v>
      </c>
    </row>
    <row r="699" spans="1:8" x14ac:dyDescent="0.2">
      <c r="A699" t="s">
        <v>1559</v>
      </c>
      <c r="B699" t="s">
        <v>3094</v>
      </c>
      <c r="E699" t="s">
        <v>785</v>
      </c>
      <c r="F699">
        <v>-596</v>
      </c>
      <c r="G699">
        <v>-205</v>
      </c>
      <c r="H699">
        <v>-106</v>
      </c>
    </row>
    <row r="700" spans="1:8" x14ac:dyDescent="0.2">
      <c r="A700" t="s">
        <v>934</v>
      </c>
      <c r="B700" t="s">
        <v>3094</v>
      </c>
      <c r="E700" t="s">
        <v>785</v>
      </c>
      <c r="F700">
        <v>-512</v>
      </c>
      <c r="G700">
        <v>128</v>
      </c>
      <c r="H700">
        <v>20</v>
      </c>
    </row>
    <row r="701" spans="1:8" x14ac:dyDescent="0.2">
      <c r="A701" t="s">
        <v>1560</v>
      </c>
      <c r="B701" t="s">
        <v>3094</v>
      </c>
      <c r="E701" t="s">
        <v>785</v>
      </c>
      <c r="F701">
        <v>2912</v>
      </c>
      <c r="G701">
        <v>-1463</v>
      </c>
      <c r="H701">
        <v>-106</v>
      </c>
    </row>
    <row r="702" spans="1:8" x14ac:dyDescent="0.2">
      <c r="A702" t="s">
        <v>1561</v>
      </c>
      <c r="B702" t="s">
        <v>3094</v>
      </c>
      <c r="E702" t="s">
        <v>785</v>
      </c>
      <c r="F702">
        <v>2509</v>
      </c>
      <c r="G702">
        <v>-1226</v>
      </c>
      <c r="H702">
        <v>-106</v>
      </c>
    </row>
    <row r="703" spans="1:8" x14ac:dyDescent="0.2">
      <c r="A703" t="s">
        <v>1078</v>
      </c>
      <c r="B703" t="s">
        <v>3094</v>
      </c>
      <c r="E703" t="s">
        <v>785</v>
      </c>
      <c r="F703">
        <v>1202</v>
      </c>
      <c r="G703">
        <v>1144</v>
      </c>
      <c r="H703">
        <v>-106</v>
      </c>
    </row>
    <row r="704" spans="1:8" x14ac:dyDescent="0.2">
      <c r="A704" t="s">
        <v>935</v>
      </c>
      <c r="B704" t="s">
        <v>3094</v>
      </c>
      <c r="E704" t="s">
        <v>785</v>
      </c>
      <c r="F704">
        <v>1247</v>
      </c>
      <c r="G704">
        <v>1232</v>
      </c>
      <c r="H704">
        <v>26</v>
      </c>
    </row>
    <row r="705" spans="1:8" x14ac:dyDescent="0.2">
      <c r="A705" t="s">
        <v>1562</v>
      </c>
      <c r="B705" t="s">
        <v>3094</v>
      </c>
      <c r="E705" t="s">
        <v>785</v>
      </c>
      <c r="F705">
        <v>2213</v>
      </c>
      <c r="G705">
        <v>-944</v>
      </c>
      <c r="H705">
        <v>-106</v>
      </c>
    </row>
    <row r="706" spans="1:8" x14ac:dyDescent="0.2">
      <c r="A706" t="s">
        <v>1079</v>
      </c>
      <c r="B706" t="s">
        <v>3094</v>
      </c>
      <c r="E706" t="s">
        <v>785</v>
      </c>
      <c r="F706">
        <v>-2198</v>
      </c>
      <c r="G706">
        <v>2901</v>
      </c>
      <c r="H706">
        <v>-106</v>
      </c>
    </row>
    <row r="707" spans="1:8" x14ac:dyDescent="0.2">
      <c r="A707" t="s">
        <v>936</v>
      </c>
      <c r="B707" t="s">
        <v>3094</v>
      </c>
      <c r="E707" t="s">
        <v>785</v>
      </c>
      <c r="F707">
        <v>-2642</v>
      </c>
      <c r="G707">
        <v>3268</v>
      </c>
      <c r="H707">
        <v>249</v>
      </c>
    </row>
    <row r="708" spans="1:8" x14ac:dyDescent="0.2">
      <c r="A708" t="s">
        <v>1563</v>
      </c>
      <c r="B708" t="s">
        <v>3094</v>
      </c>
      <c r="E708" t="s">
        <v>785</v>
      </c>
      <c r="F708">
        <v>-2311</v>
      </c>
      <c r="G708">
        <v>3062</v>
      </c>
      <c r="H708">
        <v>437</v>
      </c>
    </row>
    <row r="709" spans="1:8" x14ac:dyDescent="0.2">
      <c r="A709" t="s">
        <v>1080</v>
      </c>
      <c r="B709" t="s">
        <v>3094</v>
      </c>
      <c r="E709" t="s">
        <v>785</v>
      </c>
      <c r="F709">
        <v>1850</v>
      </c>
      <c r="G709">
        <v>-1244</v>
      </c>
      <c r="H709">
        <v>-106</v>
      </c>
    </row>
    <row r="710" spans="1:8" x14ac:dyDescent="0.2">
      <c r="A710" t="s">
        <v>1564</v>
      </c>
      <c r="B710" t="s">
        <v>3094</v>
      </c>
      <c r="E710" t="s">
        <v>785</v>
      </c>
      <c r="F710">
        <v>-3478</v>
      </c>
      <c r="G710">
        <v>679</v>
      </c>
      <c r="H710">
        <v>-106</v>
      </c>
    </row>
    <row r="711" spans="1:8" x14ac:dyDescent="0.2">
      <c r="A711" t="s">
        <v>937</v>
      </c>
      <c r="B711" t="s">
        <v>3094</v>
      </c>
      <c r="E711" t="s">
        <v>783</v>
      </c>
      <c r="F711">
        <v>632</v>
      </c>
      <c r="G711">
        <v>-1639</v>
      </c>
      <c r="H711">
        <v>1483</v>
      </c>
    </row>
    <row r="712" spans="1:8" x14ac:dyDescent="0.2">
      <c r="A712" t="s">
        <v>1567</v>
      </c>
      <c r="B712" t="s">
        <v>3094</v>
      </c>
      <c r="E712" t="s">
        <v>785</v>
      </c>
      <c r="F712">
        <v>3853</v>
      </c>
      <c r="G712">
        <v>660</v>
      </c>
      <c r="H712">
        <v>481</v>
      </c>
    </row>
    <row r="713" spans="1:8" x14ac:dyDescent="0.2">
      <c r="A713" t="s">
        <v>938</v>
      </c>
      <c r="B713" t="s">
        <v>3094</v>
      </c>
      <c r="E713" t="s">
        <v>785</v>
      </c>
      <c r="F713">
        <v>3661</v>
      </c>
      <c r="G713">
        <v>539</v>
      </c>
      <c r="H713">
        <v>269</v>
      </c>
    </row>
    <row r="714" spans="1:8" x14ac:dyDescent="0.2">
      <c r="A714" t="s">
        <v>939</v>
      </c>
      <c r="B714" t="s">
        <v>3094</v>
      </c>
      <c r="E714" t="s">
        <v>783</v>
      </c>
      <c r="F714">
        <v>171</v>
      </c>
      <c r="G714">
        <v>-1634</v>
      </c>
      <c r="H714">
        <v>1377</v>
      </c>
    </row>
    <row r="715" spans="1:8" x14ac:dyDescent="0.2">
      <c r="A715" t="s">
        <v>1568</v>
      </c>
      <c r="B715" t="s">
        <v>3094</v>
      </c>
      <c r="E715" t="s">
        <v>785</v>
      </c>
      <c r="F715">
        <v>813</v>
      </c>
      <c r="G715">
        <v>-2177</v>
      </c>
      <c r="H715">
        <v>-106</v>
      </c>
    </row>
    <row r="716" spans="1:8" x14ac:dyDescent="0.2">
      <c r="A716" t="s">
        <v>940</v>
      </c>
      <c r="B716" t="s">
        <v>3094</v>
      </c>
      <c r="E716" t="s">
        <v>785</v>
      </c>
      <c r="F716">
        <v>609</v>
      </c>
      <c r="G716">
        <v>-2210</v>
      </c>
      <c r="H716">
        <v>51</v>
      </c>
    </row>
    <row r="717" spans="1:8" x14ac:dyDescent="0.2">
      <c r="A717" t="s">
        <v>1570</v>
      </c>
      <c r="B717" t="s">
        <v>3094</v>
      </c>
      <c r="E717" t="s">
        <v>785</v>
      </c>
      <c r="F717">
        <v>605</v>
      </c>
      <c r="G717">
        <v>-2127</v>
      </c>
      <c r="H717">
        <v>92</v>
      </c>
    </row>
    <row r="718" spans="1:8" x14ac:dyDescent="0.2">
      <c r="A718" t="s">
        <v>1572</v>
      </c>
      <c r="B718" t="s">
        <v>3094</v>
      </c>
      <c r="E718" t="s">
        <v>785</v>
      </c>
      <c r="F718">
        <v>-328</v>
      </c>
      <c r="G718">
        <v>995</v>
      </c>
      <c r="H718">
        <v>301</v>
      </c>
    </row>
    <row r="719" spans="1:8" x14ac:dyDescent="0.2">
      <c r="A719" t="s">
        <v>1573</v>
      </c>
      <c r="B719" t="s">
        <v>3094</v>
      </c>
      <c r="E719" t="s">
        <v>785</v>
      </c>
      <c r="F719">
        <v>-384</v>
      </c>
      <c r="G719">
        <v>992</v>
      </c>
      <c r="H719">
        <v>314</v>
      </c>
    </row>
    <row r="720" spans="1:8" x14ac:dyDescent="0.2">
      <c r="A720" t="s">
        <v>941</v>
      </c>
      <c r="B720" t="s">
        <v>3094</v>
      </c>
      <c r="E720" t="s">
        <v>785</v>
      </c>
      <c r="F720">
        <v>3708</v>
      </c>
      <c r="G720">
        <v>609</v>
      </c>
      <c r="H720">
        <v>343</v>
      </c>
    </row>
    <row r="721" spans="1:8" x14ac:dyDescent="0.2">
      <c r="A721" t="s">
        <v>1575</v>
      </c>
      <c r="B721" t="s">
        <v>3094</v>
      </c>
      <c r="E721" t="s">
        <v>785</v>
      </c>
      <c r="F721">
        <v>232</v>
      </c>
      <c r="G721">
        <v>-3897</v>
      </c>
      <c r="H721">
        <v>-106</v>
      </c>
    </row>
    <row r="722" spans="1:8" x14ac:dyDescent="0.2">
      <c r="A722" t="s">
        <v>942</v>
      </c>
      <c r="B722" t="s">
        <v>3094</v>
      </c>
      <c r="E722" t="s">
        <v>785</v>
      </c>
      <c r="F722">
        <v>284</v>
      </c>
      <c r="G722">
        <v>-3851</v>
      </c>
      <c r="H722">
        <v>33</v>
      </c>
    </row>
    <row r="723" spans="1:8" x14ac:dyDescent="0.2">
      <c r="A723" t="s">
        <v>1576</v>
      </c>
      <c r="B723" t="s">
        <v>3094</v>
      </c>
      <c r="E723" t="s">
        <v>785</v>
      </c>
      <c r="F723">
        <v>3261</v>
      </c>
      <c r="G723">
        <v>-1314</v>
      </c>
      <c r="H723">
        <v>-106</v>
      </c>
    </row>
    <row r="724" spans="1:8" x14ac:dyDescent="0.2">
      <c r="A724" t="s">
        <v>1577</v>
      </c>
      <c r="B724" t="s">
        <v>3094</v>
      </c>
      <c r="E724" t="s">
        <v>785</v>
      </c>
      <c r="F724">
        <v>-726</v>
      </c>
      <c r="G724">
        <v>414</v>
      </c>
      <c r="H724">
        <v>-106</v>
      </c>
    </row>
    <row r="725" spans="1:8" x14ac:dyDescent="0.2">
      <c r="A725" t="s">
        <v>1578</v>
      </c>
      <c r="B725" t="s">
        <v>3094</v>
      </c>
      <c r="E725" t="s">
        <v>785</v>
      </c>
      <c r="F725">
        <v>2158</v>
      </c>
      <c r="G725">
        <v>-558</v>
      </c>
      <c r="H725">
        <v>-106</v>
      </c>
    </row>
    <row r="726" spans="1:8" x14ac:dyDescent="0.2">
      <c r="A726" t="s">
        <v>943</v>
      </c>
      <c r="B726" t="s">
        <v>3094</v>
      </c>
      <c r="E726" t="s">
        <v>785</v>
      </c>
      <c r="F726">
        <v>-3239</v>
      </c>
      <c r="G726">
        <v>-2940</v>
      </c>
      <c r="H726">
        <v>-66</v>
      </c>
    </row>
    <row r="727" spans="1:8" x14ac:dyDescent="0.2">
      <c r="A727" t="s">
        <v>1579</v>
      </c>
      <c r="B727" t="s">
        <v>3094</v>
      </c>
      <c r="E727" t="s">
        <v>785</v>
      </c>
      <c r="F727">
        <v>2420</v>
      </c>
      <c r="G727">
        <v>-2782</v>
      </c>
      <c r="H727">
        <v>-106</v>
      </c>
    </row>
    <row r="728" spans="1:8" x14ac:dyDescent="0.2">
      <c r="A728" t="s">
        <v>1580</v>
      </c>
      <c r="B728" t="s">
        <v>3094</v>
      </c>
      <c r="E728" t="s">
        <v>785</v>
      </c>
      <c r="F728">
        <v>2420</v>
      </c>
      <c r="G728">
        <v>-2755</v>
      </c>
      <c r="H728">
        <v>216</v>
      </c>
    </row>
    <row r="729" spans="1:8" x14ac:dyDescent="0.2">
      <c r="A729" t="s">
        <v>1581</v>
      </c>
      <c r="B729" t="s">
        <v>3094</v>
      </c>
      <c r="E729" t="s">
        <v>785</v>
      </c>
      <c r="F729">
        <v>2615</v>
      </c>
      <c r="G729">
        <v>-590</v>
      </c>
      <c r="H729">
        <v>-106</v>
      </c>
    </row>
    <row r="730" spans="1:8" x14ac:dyDescent="0.2">
      <c r="A730" t="s">
        <v>944</v>
      </c>
      <c r="B730" t="s">
        <v>3094</v>
      </c>
      <c r="E730" t="s">
        <v>785</v>
      </c>
      <c r="F730">
        <v>2959</v>
      </c>
      <c r="G730">
        <v>254</v>
      </c>
      <c r="H730">
        <v>203</v>
      </c>
    </row>
    <row r="731" spans="1:8" x14ac:dyDescent="0.2">
      <c r="A731" t="s">
        <v>1582</v>
      </c>
      <c r="B731" t="s">
        <v>3094</v>
      </c>
      <c r="E731" t="s">
        <v>785</v>
      </c>
      <c r="F731">
        <v>2927</v>
      </c>
      <c r="G731">
        <v>264</v>
      </c>
      <c r="H731">
        <v>-106</v>
      </c>
    </row>
    <row r="732" spans="1:8" x14ac:dyDescent="0.2">
      <c r="A732" t="s">
        <v>1583</v>
      </c>
      <c r="B732" t="s">
        <v>3094</v>
      </c>
      <c r="E732" t="s">
        <v>785</v>
      </c>
      <c r="F732">
        <v>108</v>
      </c>
      <c r="G732">
        <v>-276</v>
      </c>
      <c r="H732">
        <v>-106</v>
      </c>
    </row>
    <row r="733" spans="1:8" x14ac:dyDescent="0.2">
      <c r="A733" t="s">
        <v>945</v>
      </c>
      <c r="B733" t="s">
        <v>3094</v>
      </c>
      <c r="E733" t="s">
        <v>785</v>
      </c>
      <c r="F733">
        <v>37</v>
      </c>
      <c r="G733">
        <v>-199</v>
      </c>
      <c r="H733">
        <v>19</v>
      </c>
    </row>
    <row r="734" spans="1:8" x14ac:dyDescent="0.2">
      <c r="A734" t="s">
        <v>1584</v>
      </c>
      <c r="B734" t="s">
        <v>3094</v>
      </c>
      <c r="E734" t="s">
        <v>785</v>
      </c>
      <c r="F734">
        <v>1855</v>
      </c>
      <c r="G734">
        <v>-3680</v>
      </c>
      <c r="H734">
        <v>-106</v>
      </c>
    </row>
    <row r="735" spans="1:8" x14ac:dyDescent="0.2">
      <c r="A735" t="s">
        <v>946</v>
      </c>
      <c r="B735" t="s">
        <v>3094</v>
      </c>
      <c r="E735" t="s">
        <v>785</v>
      </c>
      <c r="F735">
        <v>1814</v>
      </c>
      <c r="G735">
        <v>-3738</v>
      </c>
      <c r="H735">
        <v>119</v>
      </c>
    </row>
    <row r="736" spans="1:8" x14ac:dyDescent="0.2">
      <c r="A736" t="s">
        <v>1585</v>
      </c>
      <c r="B736" t="s">
        <v>3094</v>
      </c>
      <c r="E736" t="s">
        <v>785</v>
      </c>
      <c r="F736">
        <v>498</v>
      </c>
      <c r="G736">
        <v>1538</v>
      </c>
      <c r="H736">
        <v>-106</v>
      </c>
    </row>
    <row r="737" spans="1:8" x14ac:dyDescent="0.2">
      <c r="A737" t="s">
        <v>947</v>
      </c>
      <c r="B737" t="s">
        <v>3094</v>
      </c>
      <c r="E737" t="s">
        <v>785</v>
      </c>
      <c r="F737">
        <v>676</v>
      </c>
      <c r="G737">
        <v>1390</v>
      </c>
      <c r="H737">
        <v>45</v>
      </c>
    </row>
    <row r="738" spans="1:8" x14ac:dyDescent="0.2">
      <c r="A738" t="s">
        <v>1588</v>
      </c>
      <c r="B738" t="s">
        <v>3094</v>
      </c>
      <c r="E738" t="s">
        <v>785</v>
      </c>
      <c r="F738">
        <v>-3806</v>
      </c>
      <c r="G738">
        <v>481</v>
      </c>
      <c r="H738">
        <v>-106</v>
      </c>
    </row>
    <row r="739" spans="1:8" x14ac:dyDescent="0.2">
      <c r="A739" t="s">
        <v>948</v>
      </c>
      <c r="B739" t="s">
        <v>3094</v>
      </c>
      <c r="E739" t="s">
        <v>785</v>
      </c>
      <c r="F739">
        <v>846</v>
      </c>
      <c r="G739" t="s">
        <v>998</v>
      </c>
      <c r="H739">
        <v>16</v>
      </c>
    </row>
    <row r="740" spans="1:8" x14ac:dyDescent="0.2">
      <c r="A740" t="s">
        <v>1590</v>
      </c>
      <c r="B740" t="s">
        <v>3094</v>
      </c>
      <c r="E740" t="s">
        <v>785</v>
      </c>
      <c r="F740">
        <v>-1768</v>
      </c>
      <c r="G740">
        <v>-1222</v>
      </c>
      <c r="H740">
        <v>-106</v>
      </c>
    </row>
    <row r="741" spans="1:8" x14ac:dyDescent="0.2">
      <c r="A741" t="s">
        <v>949</v>
      </c>
      <c r="B741" t="s">
        <v>3094</v>
      </c>
      <c r="E741" t="s">
        <v>785</v>
      </c>
      <c r="F741">
        <v>3810</v>
      </c>
      <c r="G741">
        <v>420</v>
      </c>
      <c r="H741">
        <v>209</v>
      </c>
    </row>
    <row r="742" spans="1:8" x14ac:dyDescent="0.2">
      <c r="A742" t="s">
        <v>1591</v>
      </c>
      <c r="B742" t="s">
        <v>3094</v>
      </c>
      <c r="E742" t="s">
        <v>785</v>
      </c>
      <c r="F742">
        <v>2895</v>
      </c>
      <c r="G742">
        <v>-3410</v>
      </c>
      <c r="H742">
        <v>11</v>
      </c>
    </row>
    <row r="743" spans="1:8" x14ac:dyDescent="0.2">
      <c r="A743" t="s">
        <v>1592</v>
      </c>
      <c r="B743" t="s">
        <v>3094</v>
      </c>
      <c r="E743" t="s">
        <v>785</v>
      </c>
      <c r="F743">
        <v>3853</v>
      </c>
      <c r="G743">
        <v>-2012</v>
      </c>
      <c r="H743">
        <v>-106</v>
      </c>
    </row>
    <row r="744" spans="1:8" x14ac:dyDescent="0.2">
      <c r="A744" t="s">
        <v>950</v>
      </c>
      <c r="B744" t="s">
        <v>3094</v>
      </c>
      <c r="E744" t="s">
        <v>785</v>
      </c>
      <c r="F744">
        <v>3757</v>
      </c>
      <c r="G744">
        <v>-2067</v>
      </c>
      <c r="H744">
        <v>214</v>
      </c>
    </row>
    <row r="745" spans="1:8" x14ac:dyDescent="0.2">
      <c r="A745" t="s">
        <v>1597</v>
      </c>
      <c r="B745" t="s">
        <v>3094</v>
      </c>
      <c r="E745" t="s">
        <v>785</v>
      </c>
      <c r="F745">
        <v>1606</v>
      </c>
      <c r="G745">
        <v>-680</v>
      </c>
      <c r="H745">
        <v>-106</v>
      </c>
    </row>
    <row r="746" spans="1:8" x14ac:dyDescent="0.2">
      <c r="A746" t="s">
        <v>1599</v>
      </c>
      <c r="B746" t="s">
        <v>3094</v>
      </c>
      <c r="E746" t="s">
        <v>785</v>
      </c>
      <c r="F746">
        <v>3167</v>
      </c>
      <c r="G746">
        <v>-3721</v>
      </c>
      <c r="H746">
        <v>-106</v>
      </c>
    </row>
    <row r="747" spans="1:8" x14ac:dyDescent="0.2">
      <c r="A747" t="s">
        <v>1601</v>
      </c>
      <c r="B747" t="s">
        <v>3094</v>
      </c>
      <c r="E747" t="s">
        <v>785</v>
      </c>
      <c r="F747">
        <v>1789</v>
      </c>
      <c r="G747">
        <v>-2943</v>
      </c>
      <c r="H747">
        <v>-106</v>
      </c>
    </row>
    <row r="748" spans="1:8" x14ac:dyDescent="0.2">
      <c r="A748" t="s">
        <v>1602</v>
      </c>
      <c r="B748" t="s">
        <v>3094</v>
      </c>
      <c r="E748" t="s">
        <v>785</v>
      </c>
      <c r="F748">
        <v>-4556</v>
      </c>
      <c r="G748">
        <v>-1091</v>
      </c>
      <c r="H748">
        <v>-106</v>
      </c>
    </row>
    <row r="749" spans="1:8" x14ac:dyDescent="0.2">
      <c r="A749" t="s">
        <v>1604</v>
      </c>
      <c r="B749" t="s">
        <v>3094</v>
      </c>
      <c r="E749" t="s">
        <v>785</v>
      </c>
      <c r="F749">
        <v>4616</v>
      </c>
      <c r="G749">
        <v>2243</v>
      </c>
      <c r="H749">
        <v>-106</v>
      </c>
    </row>
    <row r="750" spans="1:8" x14ac:dyDescent="0.2">
      <c r="A750" t="s">
        <v>847</v>
      </c>
      <c r="B750" t="s">
        <v>3094</v>
      </c>
      <c r="E750" t="s">
        <v>785</v>
      </c>
      <c r="F750">
        <v>-3621</v>
      </c>
      <c r="G750">
        <v>1800</v>
      </c>
      <c r="H750">
        <v>103</v>
      </c>
    </row>
    <row r="751" spans="1:8" x14ac:dyDescent="0.2">
      <c r="A751" t="s">
        <v>1605</v>
      </c>
      <c r="B751" t="s">
        <v>3094</v>
      </c>
      <c r="E751" t="s">
        <v>785</v>
      </c>
      <c r="F751">
        <v>-1228</v>
      </c>
      <c r="G751">
        <v>-1981</v>
      </c>
      <c r="H751">
        <v>-106</v>
      </c>
    </row>
    <row r="752" spans="1:8" x14ac:dyDescent="0.2">
      <c r="A752" t="s">
        <v>951</v>
      </c>
      <c r="B752" t="s">
        <v>3094</v>
      </c>
      <c r="E752" t="s">
        <v>785</v>
      </c>
      <c r="F752">
        <v>-1092</v>
      </c>
      <c r="G752">
        <v>-2163</v>
      </c>
      <c r="H752">
        <v>144</v>
      </c>
    </row>
    <row r="753" spans="1:8" x14ac:dyDescent="0.2">
      <c r="A753" t="s">
        <v>1606</v>
      </c>
      <c r="B753" t="s">
        <v>3094</v>
      </c>
      <c r="E753" t="s">
        <v>785</v>
      </c>
      <c r="F753">
        <v>339</v>
      </c>
      <c r="G753">
        <v>-1095</v>
      </c>
      <c r="H753">
        <v>40</v>
      </c>
    </row>
    <row r="754" spans="1:8" x14ac:dyDescent="0.2">
      <c r="A754" t="s">
        <v>1608</v>
      </c>
      <c r="B754" t="s">
        <v>3094</v>
      </c>
      <c r="E754" t="s">
        <v>785</v>
      </c>
      <c r="F754">
        <v>2700</v>
      </c>
      <c r="G754">
        <v>-1571</v>
      </c>
      <c r="H754">
        <v>-106</v>
      </c>
    </row>
    <row r="755" spans="1:8" x14ac:dyDescent="0.2">
      <c r="A755" t="s">
        <v>952</v>
      </c>
      <c r="B755" t="s">
        <v>3094</v>
      </c>
      <c r="E755" t="s">
        <v>785</v>
      </c>
      <c r="F755">
        <v>2493</v>
      </c>
      <c r="G755">
        <v>-1478</v>
      </c>
      <c r="H755">
        <v>12</v>
      </c>
    </row>
    <row r="756" spans="1:8" x14ac:dyDescent="0.2">
      <c r="A756" t="s">
        <v>1609</v>
      </c>
      <c r="B756" t="s">
        <v>3094</v>
      </c>
      <c r="E756" t="s">
        <v>785</v>
      </c>
      <c r="F756">
        <v>1864</v>
      </c>
      <c r="G756">
        <v>-3130</v>
      </c>
      <c r="H756">
        <v>-106</v>
      </c>
    </row>
    <row r="757" spans="1:8" x14ac:dyDescent="0.2">
      <c r="A757" t="s">
        <v>953</v>
      </c>
      <c r="B757" t="s">
        <v>3094</v>
      </c>
      <c r="E757" t="s">
        <v>785</v>
      </c>
      <c r="F757">
        <v>1896</v>
      </c>
      <c r="G757">
        <v>-3111</v>
      </c>
      <c r="H757">
        <v>132</v>
      </c>
    </row>
    <row r="758" spans="1:8" x14ac:dyDescent="0.2">
      <c r="A758" t="s">
        <v>1610</v>
      </c>
      <c r="B758" t="s">
        <v>3094</v>
      </c>
      <c r="E758" t="s">
        <v>1002</v>
      </c>
      <c r="F758">
        <v>3359</v>
      </c>
      <c r="G758">
        <v>3079</v>
      </c>
      <c r="H758">
        <v>-605</v>
      </c>
    </row>
    <row r="759" spans="1:8" x14ac:dyDescent="0.2">
      <c r="A759" t="s">
        <v>1611</v>
      </c>
      <c r="B759" t="s">
        <v>3094</v>
      </c>
      <c r="E759" t="s">
        <v>785</v>
      </c>
      <c r="F759">
        <v>3352</v>
      </c>
      <c r="G759">
        <v>3089</v>
      </c>
      <c r="H759">
        <v>-106</v>
      </c>
    </row>
    <row r="760" spans="1:8" x14ac:dyDescent="0.2">
      <c r="A760" t="s">
        <v>1612</v>
      </c>
      <c r="B760" t="s">
        <v>3094</v>
      </c>
      <c r="E760" t="s">
        <v>785</v>
      </c>
      <c r="F760">
        <v>338</v>
      </c>
      <c r="G760">
        <v>358</v>
      </c>
      <c r="H760">
        <v>-106</v>
      </c>
    </row>
    <row r="761" spans="1:8" x14ac:dyDescent="0.2">
      <c r="A761" t="s">
        <v>1613</v>
      </c>
      <c r="B761" t="s">
        <v>3094</v>
      </c>
      <c r="E761" t="s">
        <v>785</v>
      </c>
      <c r="F761">
        <v>-3575</v>
      </c>
      <c r="G761">
        <v>2363</v>
      </c>
      <c r="H761">
        <v>-106</v>
      </c>
    </row>
    <row r="762" spans="1:8" x14ac:dyDescent="0.2">
      <c r="A762" t="s">
        <v>954</v>
      </c>
      <c r="B762" t="s">
        <v>3094</v>
      </c>
      <c r="E762" t="s">
        <v>785</v>
      </c>
      <c r="F762">
        <v>-3560</v>
      </c>
      <c r="G762">
        <v>2488</v>
      </c>
      <c r="H762">
        <v>227</v>
      </c>
    </row>
    <row r="763" spans="1:8" x14ac:dyDescent="0.2">
      <c r="A763" t="s">
        <v>1614</v>
      </c>
      <c r="B763" t="s">
        <v>3094</v>
      </c>
      <c r="E763" t="s">
        <v>785</v>
      </c>
      <c r="F763">
        <v>-3680</v>
      </c>
      <c r="G763">
        <v>2346</v>
      </c>
      <c r="H763">
        <v>226</v>
      </c>
    </row>
    <row r="764" spans="1:8" x14ac:dyDescent="0.2">
      <c r="A764" t="s">
        <v>1082</v>
      </c>
      <c r="B764" t="s">
        <v>3094</v>
      </c>
      <c r="E764" t="s">
        <v>785</v>
      </c>
      <c r="F764">
        <v>-1219</v>
      </c>
      <c r="G764">
        <v>2026</v>
      </c>
      <c r="H764">
        <v>-106</v>
      </c>
    </row>
    <row r="765" spans="1:8" x14ac:dyDescent="0.2">
      <c r="A765" t="s">
        <v>955</v>
      </c>
      <c r="B765" t="s">
        <v>3094</v>
      </c>
      <c r="E765" t="s">
        <v>785</v>
      </c>
      <c r="F765">
        <v>-326</v>
      </c>
      <c r="G765">
        <v>803</v>
      </c>
      <c r="H765">
        <v>54</v>
      </c>
    </row>
    <row r="766" spans="1:8" x14ac:dyDescent="0.2">
      <c r="A766" t="s">
        <v>1618</v>
      </c>
      <c r="B766" t="s">
        <v>3094</v>
      </c>
      <c r="E766" t="s">
        <v>785</v>
      </c>
      <c r="F766">
        <v>3557</v>
      </c>
      <c r="G766">
        <v>-78</v>
      </c>
      <c r="H766">
        <v>-106</v>
      </c>
    </row>
    <row r="767" spans="1:8" x14ac:dyDescent="0.2">
      <c r="A767" t="s">
        <v>1619</v>
      </c>
      <c r="B767" t="s">
        <v>3094</v>
      </c>
      <c r="E767" t="s">
        <v>785</v>
      </c>
      <c r="F767">
        <v>3206</v>
      </c>
      <c r="G767">
        <v>-353</v>
      </c>
      <c r="H767">
        <v>-106</v>
      </c>
    </row>
    <row r="768" spans="1:8" x14ac:dyDescent="0.2">
      <c r="A768" t="s">
        <v>1620</v>
      </c>
      <c r="B768" t="s">
        <v>3094</v>
      </c>
      <c r="E768" t="s">
        <v>785</v>
      </c>
      <c r="F768">
        <v>-2532</v>
      </c>
      <c r="G768">
        <v>-633</v>
      </c>
      <c r="H768">
        <v>-106</v>
      </c>
    </row>
    <row r="769" spans="1:8" x14ac:dyDescent="0.2">
      <c r="A769" t="s">
        <v>1621</v>
      </c>
      <c r="B769" t="s">
        <v>3094</v>
      </c>
      <c r="E769" t="s">
        <v>785</v>
      </c>
      <c r="F769">
        <v>-4527</v>
      </c>
      <c r="G769">
        <v>-1417</v>
      </c>
      <c r="H769">
        <v>-106</v>
      </c>
    </row>
    <row r="770" spans="1:8" x14ac:dyDescent="0.2">
      <c r="A770" t="s">
        <v>1083</v>
      </c>
      <c r="B770" t="s">
        <v>3094</v>
      </c>
      <c r="E770" t="s">
        <v>785</v>
      </c>
      <c r="F770">
        <v>3171</v>
      </c>
      <c r="G770">
        <v>163</v>
      </c>
      <c r="H770">
        <v>-106</v>
      </c>
    </row>
    <row r="771" spans="1:8" x14ac:dyDescent="0.2">
      <c r="A771" t="s">
        <v>1623</v>
      </c>
      <c r="B771" t="s">
        <v>3094</v>
      </c>
      <c r="E771" t="s">
        <v>785</v>
      </c>
      <c r="F771">
        <v>3243</v>
      </c>
      <c r="G771">
        <v>-95</v>
      </c>
      <c r="H771">
        <v>-106</v>
      </c>
    </row>
    <row r="772" spans="1:8" x14ac:dyDescent="0.2">
      <c r="A772" t="s">
        <v>1624</v>
      </c>
      <c r="B772" t="s">
        <v>3094</v>
      </c>
      <c r="E772" t="s">
        <v>785</v>
      </c>
      <c r="F772">
        <v>3409</v>
      </c>
      <c r="G772">
        <v>235</v>
      </c>
      <c r="H772">
        <v>-106</v>
      </c>
    </row>
    <row r="773" spans="1:8" x14ac:dyDescent="0.2">
      <c r="A773" t="s">
        <v>1625</v>
      </c>
      <c r="B773" t="s">
        <v>3094</v>
      </c>
      <c r="E773" t="s">
        <v>785</v>
      </c>
      <c r="F773">
        <v>-1756</v>
      </c>
      <c r="G773">
        <v>-857</v>
      </c>
      <c r="H773">
        <v>-106</v>
      </c>
    </row>
    <row r="774" spans="1:8" x14ac:dyDescent="0.2">
      <c r="A774" t="s">
        <v>956</v>
      </c>
      <c r="B774" t="s">
        <v>3094</v>
      </c>
      <c r="E774" t="s">
        <v>785</v>
      </c>
      <c r="F774">
        <v>-1405</v>
      </c>
      <c r="G774">
        <v>-257</v>
      </c>
      <c r="H774">
        <v>-4</v>
      </c>
    </row>
    <row r="775" spans="1:8" x14ac:dyDescent="0.2">
      <c r="A775" t="s">
        <v>1084</v>
      </c>
      <c r="B775" t="s">
        <v>3094</v>
      </c>
      <c r="E775" t="s">
        <v>785</v>
      </c>
      <c r="F775">
        <v>1266</v>
      </c>
      <c r="G775">
        <v>-773</v>
      </c>
      <c r="H775">
        <v>-106</v>
      </c>
    </row>
    <row r="776" spans="1:8" x14ac:dyDescent="0.2">
      <c r="A776" t="s">
        <v>957</v>
      </c>
      <c r="B776" t="s">
        <v>3094</v>
      </c>
      <c r="E776" t="s">
        <v>785</v>
      </c>
      <c r="F776">
        <v>1373</v>
      </c>
      <c r="G776">
        <v>-1197</v>
      </c>
      <c r="H776">
        <v>130</v>
      </c>
    </row>
    <row r="777" spans="1:8" x14ac:dyDescent="0.2">
      <c r="A777" t="s">
        <v>1627</v>
      </c>
      <c r="B777" t="s">
        <v>3094</v>
      </c>
      <c r="E777" t="s">
        <v>785</v>
      </c>
      <c r="F777">
        <v>1341</v>
      </c>
      <c r="G777">
        <v>-1178</v>
      </c>
      <c r="H777">
        <v>160</v>
      </c>
    </row>
    <row r="778" spans="1:8" x14ac:dyDescent="0.2">
      <c r="A778" t="s">
        <v>1085</v>
      </c>
      <c r="B778" t="s">
        <v>3094</v>
      </c>
      <c r="E778" t="s">
        <v>785</v>
      </c>
      <c r="F778">
        <v>-1444</v>
      </c>
      <c r="G778">
        <v>1344</v>
      </c>
      <c r="H778">
        <v>-106</v>
      </c>
    </row>
    <row r="779" spans="1:8" x14ac:dyDescent="0.2">
      <c r="A779" t="s">
        <v>1628</v>
      </c>
      <c r="B779" t="s">
        <v>3094</v>
      </c>
      <c r="E779" t="s">
        <v>785</v>
      </c>
      <c r="F779">
        <v>-1670</v>
      </c>
      <c r="G779">
        <v>1737</v>
      </c>
      <c r="H779">
        <v>-106</v>
      </c>
    </row>
    <row r="780" spans="1:8" x14ac:dyDescent="0.2">
      <c r="A780" t="s">
        <v>1086</v>
      </c>
      <c r="B780" t="s">
        <v>3094</v>
      </c>
      <c r="E780" t="s">
        <v>785</v>
      </c>
      <c r="F780">
        <v>3239</v>
      </c>
      <c r="G780">
        <v>-568</v>
      </c>
      <c r="H780">
        <v>-106</v>
      </c>
    </row>
    <row r="781" spans="1:8" x14ac:dyDescent="0.2">
      <c r="A781" t="s">
        <v>1629</v>
      </c>
      <c r="B781" t="s">
        <v>3094</v>
      </c>
      <c r="E781" t="s">
        <v>785</v>
      </c>
      <c r="F781">
        <v>-254</v>
      </c>
      <c r="G781">
        <v>1077</v>
      </c>
      <c r="H781">
        <v>339</v>
      </c>
    </row>
    <row r="782" spans="1:8" x14ac:dyDescent="0.2">
      <c r="A782" t="s">
        <v>1630</v>
      </c>
      <c r="B782" t="s">
        <v>3094</v>
      </c>
      <c r="E782" t="s">
        <v>785</v>
      </c>
      <c r="F782">
        <v>-3902</v>
      </c>
      <c r="G782">
        <v>-2883</v>
      </c>
      <c r="H782">
        <v>95</v>
      </c>
    </row>
    <row r="783" spans="1:8" x14ac:dyDescent="0.2">
      <c r="A783" t="s">
        <v>1631</v>
      </c>
      <c r="B783" t="s">
        <v>3094</v>
      </c>
      <c r="E783" t="s">
        <v>785</v>
      </c>
      <c r="F783">
        <v>-1630</v>
      </c>
      <c r="G783">
        <v>-696</v>
      </c>
      <c r="H783">
        <v>141</v>
      </c>
    </row>
    <row r="784" spans="1:8" x14ac:dyDescent="0.2">
      <c r="A784" t="s">
        <v>1632</v>
      </c>
      <c r="B784" t="s">
        <v>3094</v>
      </c>
      <c r="E784" t="s">
        <v>785</v>
      </c>
      <c r="F784">
        <v>-3170</v>
      </c>
      <c r="G784">
        <v>-1574</v>
      </c>
      <c r="H784">
        <v>-106</v>
      </c>
    </row>
    <row r="785" spans="1:8" x14ac:dyDescent="0.2">
      <c r="A785" t="s">
        <v>1634</v>
      </c>
      <c r="B785" t="s">
        <v>3094</v>
      </c>
      <c r="E785" t="s">
        <v>785</v>
      </c>
      <c r="F785">
        <v>1132</v>
      </c>
      <c r="G785">
        <v>-3279</v>
      </c>
      <c r="H785">
        <v>-106</v>
      </c>
    </row>
    <row r="786" spans="1:8" x14ac:dyDescent="0.2">
      <c r="A786" t="s">
        <v>958</v>
      </c>
      <c r="B786" t="s">
        <v>3094</v>
      </c>
      <c r="E786" t="s">
        <v>785</v>
      </c>
      <c r="F786">
        <v>1203</v>
      </c>
      <c r="G786">
        <v>-3171</v>
      </c>
      <c r="H786">
        <v>25</v>
      </c>
    </row>
    <row r="787" spans="1:8" x14ac:dyDescent="0.2">
      <c r="A787" t="s">
        <v>1635</v>
      </c>
      <c r="B787" t="s">
        <v>3094</v>
      </c>
      <c r="E787" t="s">
        <v>785</v>
      </c>
      <c r="F787">
        <v>-2259</v>
      </c>
      <c r="G787">
        <v>-288</v>
      </c>
      <c r="H787">
        <v>-106</v>
      </c>
    </row>
    <row r="788" spans="1:8" x14ac:dyDescent="0.2">
      <c r="A788" t="s">
        <v>959</v>
      </c>
      <c r="B788" t="s">
        <v>3094</v>
      </c>
      <c r="E788" t="s">
        <v>785</v>
      </c>
      <c r="F788">
        <v>-2151</v>
      </c>
      <c r="G788">
        <v>-361</v>
      </c>
      <c r="H788">
        <v>276</v>
      </c>
    </row>
    <row r="789" spans="1:8" x14ac:dyDescent="0.2">
      <c r="A789" t="s">
        <v>960</v>
      </c>
      <c r="B789" t="s">
        <v>3094</v>
      </c>
      <c r="E789" t="s">
        <v>785</v>
      </c>
      <c r="F789">
        <v>-2199</v>
      </c>
      <c r="G789">
        <v>-808</v>
      </c>
      <c r="H789">
        <v>117</v>
      </c>
    </row>
    <row r="790" spans="1:8" x14ac:dyDescent="0.2">
      <c r="A790" t="s">
        <v>1087</v>
      </c>
      <c r="B790" t="s">
        <v>3094</v>
      </c>
      <c r="E790" t="s">
        <v>785</v>
      </c>
      <c r="F790">
        <v>-21</v>
      </c>
      <c r="G790">
        <v>-1898</v>
      </c>
      <c r="H790">
        <v>-106</v>
      </c>
    </row>
    <row r="791" spans="1:8" x14ac:dyDescent="0.2">
      <c r="A791" t="s">
        <v>1641</v>
      </c>
      <c r="B791" t="s">
        <v>3094</v>
      </c>
      <c r="E791" t="s">
        <v>785</v>
      </c>
      <c r="F791">
        <v>-2324</v>
      </c>
      <c r="G791">
        <v>450</v>
      </c>
      <c r="H791">
        <v>-106</v>
      </c>
    </row>
    <row r="792" spans="1:8" x14ac:dyDescent="0.2">
      <c r="A792" t="s">
        <v>1644</v>
      </c>
      <c r="B792" t="s">
        <v>3094</v>
      </c>
      <c r="E792" t="s">
        <v>785</v>
      </c>
      <c r="F792">
        <v>3383</v>
      </c>
      <c r="G792">
        <v>2274</v>
      </c>
      <c r="H792">
        <v>-106</v>
      </c>
    </row>
    <row r="793" spans="1:8" x14ac:dyDescent="0.2">
      <c r="A793" t="s">
        <v>1645</v>
      </c>
      <c r="B793" t="s">
        <v>3094</v>
      </c>
      <c r="E793" t="s">
        <v>785</v>
      </c>
      <c r="F793">
        <v>3757</v>
      </c>
      <c r="G793">
        <v>397</v>
      </c>
      <c r="H793">
        <v>-106</v>
      </c>
    </row>
    <row r="794" spans="1:8" x14ac:dyDescent="0.2">
      <c r="A794" t="s">
        <v>1646</v>
      </c>
      <c r="B794" t="s">
        <v>3094</v>
      </c>
      <c r="E794" t="s">
        <v>1002</v>
      </c>
      <c r="F794">
        <v>-4343</v>
      </c>
      <c r="G794">
        <v>3465</v>
      </c>
      <c r="H794">
        <v>-921</v>
      </c>
    </row>
    <row r="795" spans="1:8" x14ac:dyDescent="0.2">
      <c r="A795" t="s">
        <v>1648</v>
      </c>
      <c r="B795" t="s">
        <v>3094</v>
      </c>
      <c r="E795" t="s">
        <v>785</v>
      </c>
      <c r="F795">
        <v>1661</v>
      </c>
      <c r="G795">
        <v>-439</v>
      </c>
      <c r="H795">
        <v>-106</v>
      </c>
    </row>
    <row r="796" spans="1:8" x14ac:dyDescent="0.2">
      <c r="A796" t="s">
        <v>961</v>
      </c>
      <c r="B796" t="s">
        <v>3094</v>
      </c>
      <c r="E796" t="s">
        <v>785</v>
      </c>
      <c r="F796">
        <v>-1062</v>
      </c>
      <c r="G796">
        <v>-1830</v>
      </c>
      <c r="H796">
        <v>142</v>
      </c>
    </row>
    <row r="797" spans="1:8" x14ac:dyDescent="0.2">
      <c r="A797" t="s">
        <v>837</v>
      </c>
      <c r="B797" t="s">
        <v>3094</v>
      </c>
      <c r="E797" t="s">
        <v>785</v>
      </c>
      <c r="F797">
        <v>3314</v>
      </c>
      <c r="G797">
        <v>3499</v>
      </c>
      <c r="H797">
        <v>-106</v>
      </c>
    </row>
    <row r="798" spans="1:8" x14ac:dyDescent="0.2">
      <c r="A798" t="s">
        <v>962</v>
      </c>
      <c r="B798" t="s">
        <v>3094</v>
      </c>
      <c r="E798" t="s">
        <v>785</v>
      </c>
      <c r="F798">
        <v>3322</v>
      </c>
      <c r="G798">
        <v>3424</v>
      </c>
      <c r="H798">
        <v>171</v>
      </c>
    </row>
    <row r="799" spans="1:8" x14ac:dyDescent="0.2">
      <c r="A799" t="s">
        <v>1650</v>
      </c>
      <c r="B799" t="s">
        <v>3094</v>
      </c>
      <c r="E799" t="s">
        <v>785</v>
      </c>
      <c r="F799">
        <v>-1655</v>
      </c>
      <c r="G799">
        <v>2572</v>
      </c>
      <c r="H799">
        <v>277</v>
      </c>
    </row>
    <row r="800" spans="1:8" x14ac:dyDescent="0.2">
      <c r="A800" t="s">
        <v>1652</v>
      </c>
      <c r="B800" t="s">
        <v>3094</v>
      </c>
      <c r="E800" t="s">
        <v>785</v>
      </c>
      <c r="F800">
        <v>3800</v>
      </c>
      <c r="G800">
        <v>-3657</v>
      </c>
      <c r="H800">
        <v>-106</v>
      </c>
    </row>
    <row r="801" spans="1:8" x14ac:dyDescent="0.2">
      <c r="A801" t="s">
        <v>1653</v>
      </c>
      <c r="B801" t="s">
        <v>3094</v>
      </c>
      <c r="E801" t="s">
        <v>785</v>
      </c>
      <c r="F801">
        <v>3686</v>
      </c>
      <c r="G801">
        <v>1004</v>
      </c>
      <c r="H801">
        <v>206</v>
      </c>
    </row>
    <row r="802" spans="1:8" x14ac:dyDescent="0.2">
      <c r="A802" t="s">
        <v>1016</v>
      </c>
      <c r="B802" t="s">
        <v>3094</v>
      </c>
      <c r="E802" t="s">
        <v>783</v>
      </c>
      <c r="F802">
        <v>3739</v>
      </c>
      <c r="G802">
        <v>1689</v>
      </c>
      <c r="H802">
        <v>1895</v>
      </c>
    </row>
    <row r="803" spans="1:8" x14ac:dyDescent="0.2">
      <c r="A803" t="s">
        <v>1654</v>
      </c>
      <c r="B803" t="s">
        <v>3094</v>
      </c>
      <c r="E803" t="s">
        <v>785</v>
      </c>
      <c r="F803">
        <v>4403</v>
      </c>
      <c r="G803">
        <v>-2205</v>
      </c>
      <c r="H803">
        <v>-106</v>
      </c>
    </row>
    <row r="804" spans="1:8" x14ac:dyDescent="0.2">
      <c r="A804" t="s">
        <v>835</v>
      </c>
      <c r="B804" t="s">
        <v>3094</v>
      </c>
      <c r="E804" t="s">
        <v>785</v>
      </c>
      <c r="F804">
        <v>3273</v>
      </c>
      <c r="G804">
        <v>1352</v>
      </c>
      <c r="H804">
        <v>-106</v>
      </c>
    </row>
    <row r="805" spans="1:8" x14ac:dyDescent="0.2">
      <c r="A805" t="s">
        <v>1088</v>
      </c>
      <c r="B805" t="s">
        <v>3094</v>
      </c>
      <c r="E805" t="s">
        <v>785</v>
      </c>
      <c r="F805">
        <v>3149</v>
      </c>
      <c r="G805">
        <v>1691</v>
      </c>
      <c r="H805">
        <v>233</v>
      </c>
    </row>
    <row r="806" spans="1:8" x14ac:dyDescent="0.2">
      <c r="A806" t="s">
        <v>1017</v>
      </c>
      <c r="B806" t="s">
        <v>3094</v>
      </c>
      <c r="E806" t="s">
        <v>783</v>
      </c>
      <c r="F806">
        <v>1925</v>
      </c>
      <c r="G806">
        <v>799</v>
      </c>
      <c r="H806">
        <v>1895</v>
      </c>
    </row>
    <row r="807" spans="1:8" x14ac:dyDescent="0.2">
      <c r="A807" t="s">
        <v>963</v>
      </c>
      <c r="B807" t="s">
        <v>3094</v>
      </c>
      <c r="E807" t="s">
        <v>785</v>
      </c>
      <c r="F807">
        <v>-2939</v>
      </c>
      <c r="G807">
        <v>-3858</v>
      </c>
      <c r="H807">
        <v>-37</v>
      </c>
    </row>
    <row r="808" spans="1:8" x14ac:dyDescent="0.2">
      <c r="A808" t="s">
        <v>1018</v>
      </c>
      <c r="B808" t="s">
        <v>3094</v>
      </c>
      <c r="E808" t="s">
        <v>783</v>
      </c>
      <c r="F808">
        <v>-901</v>
      </c>
      <c r="G808">
        <v>-1380</v>
      </c>
      <c r="H808">
        <v>1895</v>
      </c>
    </row>
    <row r="809" spans="1:8" x14ac:dyDescent="0.2">
      <c r="A809" t="s">
        <v>1657</v>
      </c>
      <c r="B809" t="s">
        <v>3094</v>
      </c>
      <c r="E809" t="s">
        <v>785</v>
      </c>
      <c r="F809">
        <v>3586</v>
      </c>
      <c r="G809">
        <v>1127</v>
      </c>
      <c r="H809">
        <v>-106</v>
      </c>
    </row>
    <row r="810" spans="1:8" x14ac:dyDescent="0.2">
      <c r="A810" t="s">
        <v>1019</v>
      </c>
      <c r="B810" t="s">
        <v>3094</v>
      </c>
      <c r="E810" t="s">
        <v>783</v>
      </c>
      <c r="F810">
        <v>4368</v>
      </c>
      <c r="G810">
        <v>-1255</v>
      </c>
      <c r="H810">
        <v>1895</v>
      </c>
    </row>
    <row r="811" spans="1:8" x14ac:dyDescent="0.2">
      <c r="A811" t="s">
        <v>1660</v>
      </c>
      <c r="B811" t="s">
        <v>3094</v>
      </c>
      <c r="E811" t="s">
        <v>785</v>
      </c>
      <c r="F811">
        <v>-1795</v>
      </c>
      <c r="G811">
        <v>-3541</v>
      </c>
      <c r="H811">
        <v>86</v>
      </c>
    </row>
    <row r="812" spans="1:8" x14ac:dyDescent="0.2">
      <c r="A812" t="s">
        <v>1661</v>
      </c>
      <c r="B812" t="s">
        <v>3094</v>
      </c>
      <c r="E812" t="s">
        <v>785</v>
      </c>
      <c r="F812">
        <v>870</v>
      </c>
      <c r="G812">
        <v>-1604</v>
      </c>
      <c r="H812">
        <v>-106</v>
      </c>
    </row>
    <row r="813" spans="1:8" x14ac:dyDescent="0.2">
      <c r="A813" t="s">
        <v>1020</v>
      </c>
      <c r="B813" t="s">
        <v>3094</v>
      </c>
      <c r="E813" t="s">
        <v>783</v>
      </c>
      <c r="F813">
        <v>2559</v>
      </c>
      <c r="G813">
        <v>-3751</v>
      </c>
      <c r="H813">
        <v>895</v>
      </c>
    </row>
    <row r="814" spans="1:8" x14ac:dyDescent="0.2">
      <c r="A814" t="s">
        <v>1089</v>
      </c>
      <c r="B814" t="s">
        <v>3094</v>
      </c>
      <c r="E814" t="s">
        <v>785</v>
      </c>
      <c r="F814">
        <v>-1764</v>
      </c>
      <c r="G814">
        <v>2933</v>
      </c>
      <c r="H814">
        <v>-106</v>
      </c>
    </row>
    <row r="815" spans="1:8" x14ac:dyDescent="0.2">
      <c r="A815" t="s">
        <v>1663</v>
      </c>
      <c r="B815" t="s">
        <v>3094</v>
      </c>
      <c r="E815" t="s">
        <v>785</v>
      </c>
      <c r="F815">
        <v>-3722</v>
      </c>
      <c r="G815">
        <v>-3581</v>
      </c>
      <c r="H815">
        <v>-106</v>
      </c>
    </row>
    <row r="816" spans="1:8" x14ac:dyDescent="0.2">
      <c r="A816" t="s">
        <v>1665</v>
      </c>
      <c r="B816" t="s">
        <v>3094</v>
      </c>
      <c r="E816" t="s">
        <v>785</v>
      </c>
      <c r="F816">
        <v>-2222</v>
      </c>
      <c r="G816">
        <v>-2538</v>
      </c>
      <c r="H816">
        <v>-106</v>
      </c>
    </row>
    <row r="817" spans="1:8" x14ac:dyDescent="0.2">
      <c r="A817" t="s">
        <v>965</v>
      </c>
      <c r="B817" t="s">
        <v>3094</v>
      </c>
      <c r="E817" t="s">
        <v>785</v>
      </c>
      <c r="F817">
        <v>-2216</v>
      </c>
      <c r="G817">
        <v>-2395</v>
      </c>
      <c r="H817">
        <v>247</v>
      </c>
    </row>
    <row r="818" spans="1:8" x14ac:dyDescent="0.2">
      <c r="A818" t="s">
        <v>1666</v>
      </c>
      <c r="B818" t="s">
        <v>3094</v>
      </c>
      <c r="E818" t="s">
        <v>785</v>
      </c>
      <c r="F818">
        <v>4403</v>
      </c>
      <c r="G818">
        <v>193</v>
      </c>
      <c r="H818">
        <v>-106</v>
      </c>
    </row>
    <row r="819" spans="1:8" x14ac:dyDescent="0.2">
      <c r="A819" t="s">
        <v>1667</v>
      </c>
      <c r="B819" t="s">
        <v>3094</v>
      </c>
      <c r="E819" t="s">
        <v>785</v>
      </c>
      <c r="F819">
        <v>3756</v>
      </c>
      <c r="G819">
        <v>2672</v>
      </c>
      <c r="H819">
        <v>-4</v>
      </c>
    </row>
    <row r="820" spans="1:8" x14ac:dyDescent="0.2">
      <c r="A820" t="s">
        <v>1668</v>
      </c>
      <c r="B820" t="s">
        <v>3094</v>
      </c>
      <c r="E820" t="s">
        <v>785</v>
      </c>
      <c r="F820">
        <v>3926</v>
      </c>
      <c r="G820">
        <v>-1335</v>
      </c>
      <c r="H820">
        <v>450</v>
      </c>
    </row>
    <row r="821" spans="1:8" x14ac:dyDescent="0.2">
      <c r="A821" t="s">
        <v>1669</v>
      </c>
      <c r="B821" t="s">
        <v>3094</v>
      </c>
      <c r="E821" t="s">
        <v>785</v>
      </c>
      <c r="F821">
        <v>497</v>
      </c>
      <c r="G821">
        <v>-1534</v>
      </c>
      <c r="H821">
        <v>-106</v>
      </c>
    </row>
    <row r="822" spans="1:8" x14ac:dyDescent="0.2">
      <c r="A822" t="s">
        <v>1670</v>
      </c>
      <c r="B822" t="s">
        <v>3094</v>
      </c>
      <c r="E822" t="s">
        <v>785</v>
      </c>
      <c r="F822">
        <v>-1572</v>
      </c>
      <c r="G822">
        <v>-2715</v>
      </c>
      <c r="H822">
        <v>-106</v>
      </c>
    </row>
    <row r="823" spans="1:8" x14ac:dyDescent="0.2">
      <c r="A823" t="s">
        <v>966</v>
      </c>
      <c r="B823" t="s">
        <v>3094</v>
      </c>
      <c r="E823" t="s">
        <v>785</v>
      </c>
      <c r="F823">
        <v>-1528</v>
      </c>
      <c r="G823">
        <v>-2223</v>
      </c>
      <c r="H823">
        <v>-21</v>
      </c>
    </row>
    <row r="824" spans="1:8" x14ac:dyDescent="0.2">
      <c r="A824" t="s">
        <v>967</v>
      </c>
      <c r="B824" t="s">
        <v>3094</v>
      </c>
      <c r="E824" t="s">
        <v>785</v>
      </c>
      <c r="F824">
        <v>-4385</v>
      </c>
      <c r="G824">
        <v>-537</v>
      </c>
      <c r="H824">
        <v>474</v>
      </c>
    </row>
    <row r="825" spans="1:8" x14ac:dyDescent="0.2">
      <c r="A825" t="s">
        <v>1672</v>
      </c>
      <c r="B825" t="s">
        <v>3094</v>
      </c>
      <c r="E825" t="s">
        <v>785</v>
      </c>
      <c r="F825">
        <v>2856</v>
      </c>
      <c r="G825">
        <v>-2616</v>
      </c>
      <c r="H825">
        <v>-106</v>
      </c>
    </row>
    <row r="826" spans="1:8" x14ac:dyDescent="0.2">
      <c r="A826" t="s">
        <v>1674</v>
      </c>
      <c r="B826" t="s">
        <v>3094</v>
      </c>
      <c r="E826" t="s">
        <v>785</v>
      </c>
      <c r="F826">
        <v>-3383</v>
      </c>
      <c r="G826">
        <v>1234</v>
      </c>
      <c r="H826">
        <v>-106</v>
      </c>
    </row>
    <row r="827" spans="1:8" x14ac:dyDescent="0.2">
      <c r="A827" t="s">
        <v>1675</v>
      </c>
      <c r="B827" t="s">
        <v>3094</v>
      </c>
      <c r="E827" t="s">
        <v>785</v>
      </c>
      <c r="F827">
        <v>-4110</v>
      </c>
      <c r="G827">
        <v>2851</v>
      </c>
      <c r="H827">
        <v>-106</v>
      </c>
    </row>
    <row r="828" spans="1:8" x14ac:dyDescent="0.2">
      <c r="A828" t="s">
        <v>1091</v>
      </c>
      <c r="B828" t="s">
        <v>3094</v>
      </c>
      <c r="E828" t="s">
        <v>785</v>
      </c>
      <c r="F828">
        <v>-4089</v>
      </c>
      <c r="G828">
        <v>2732</v>
      </c>
      <c r="H828">
        <v>-22</v>
      </c>
    </row>
    <row r="829" spans="1:8" x14ac:dyDescent="0.2">
      <c r="A829" t="s">
        <v>968</v>
      </c>
      <c r="B829" t="s">
        <v>3094</v>
      </c>
      <c r="E829" t="s">
        <v>785</v>
      </c>
      <c r="F829">
        <v>-4041</v>
      </c>
      <c r="G829">
        <v>2671</v>
      </c>
      <c r="H829">
        <v>23</v>
      </c>
    </row>
    <row r="830" spans="1:8" x14ac:dyDescent="0.2">
      <c r="A830" t="s">
        <v>1677</v>
      </c>
      <c r="B830" t="s">
        <v>3094</v>
      </c>
      <c r="E830" t="s">
        <v>785</v>
      </c>
      <c r="F830">
        <v>-2807</v>
      </c>
      <c r="G830">
        <v>-1819</v>
      </c>
      <c r="H830">
        <v>-106</v>
      </c>
    </row>
    <row r="831" spans="1:8" x14ac:dyDescent="0.2">
      <c r="A831" t="s">
        <v>969</v>
      </c>
      <c r="B831" t="s">
        <v>3094</v>
      </c>
      <c r="E831" t="s">
        <v>785</v>
      </c>
      <c r="F831">
        <v>-2457</v>
      </c>
      <c r="G831">
        <v>-1799</v>
      </c>
      <c r="H831">
        <v>176</v>
      </c>
    </row>
    <row r="832" spans="1:8" x14ac:dyDescent="0.2">
      <c r="A832" t="s">
        <v>1678</v>
      </c>
      <c r="B832" t="s">
        <v>3094</v>
      </c>
      <c r="E832" t="s">
        <v>1002</v>
      </c>
      <c r="F832">
        <v>2619</v>
      </c>
      <c r="G832">
        <v>172</v>
      </c>
      <c r="H832">
        <v>-631</v>
      </c>
    </row>
    <row r="833" spans="1:8" x14ac:dyDescent="0.2">
      <c r="A833" t="s">
        <v>1679</v>
      </c>
      <c r="B833" t="s">
        <v>3094</v>
      </c>
      <c r="E833" t="s">
        <v>785</v>
      </c>
      <c r="F833">
        <v>2573</v>
      </c>
      <c r="G833">
        <v>177</v>
      </c>
      <c r="H833">
        <v>-106</v>
      </c>
    </row>
    <row r="834" spans="1:8" x14ac:dyDescent="0.2">
      <c r="A834" t="s">
        <v>970</v>
      </c>
      <c r="B834" t="s">
        <v>3094</v>
      </c>
      <c r="E834" t="s">
        <v>785</v>
      </c>
      <c r="F834">
        <v>2675</v>
      </c>
      <c r="G834">
        <v>287</v>
      </c>
      <c r="H834">
        <v>89</v>
      </c>
    </row>
    <row r="835" spans="1:8" x14ac:dyDescent="0.2">
      <c r="A835" t="s">
        <v>1681</v>
      </c>
      <c r="B835" t="s">
        <v>3094</v>
      </c>
      <c r="E835" t="s">
        <v>785</v>
      </c>
      <c r="F835">
        <v>-2932</v>
      </c>
      <c r="G835">
        <v>548</v>
      </c>
      <c r="H835">
        <v>214</v>
      </c>
    </row>
    <row r="836" spans="1:8" x14ac:dyDescent="0.2">
      <c r="A836" t="s">
        <v>799</v>
      </c>
      <c r="B836" t="s">
        <v>3094</v>
      </c>
      <c r="E836" t="s">
        <v>785</v>
      </c>
      <c r="F836">
        <v>-3476</v>
      </c>
      <c r="G836">
        <v>1221</v>
      </c>
      <c r="H836">
        <v>-106</v>
      </c>
    </row>
    <row r="837" spans="1:8" x14ac:dyDescent="0.2">
      <c r="A837" t="s">
        <v>1683</v>
      </c>
      <c r="B837" t="s">
        <v>3094</v>
      </c>
      <c r="E837" t="s">
        <v>785</v>
      </c>
      <c r="F837">
        <v>-2465</v>
      </c>
      <c r="G837">
        <v>1843</v>
      </c>
      <c r="H837">
        <v>-106</v>
      </c>
    </row>
    <row r="838" spans="1:8" x14ac:dyDescent="0.2">
      <c r="A838" t="s">
        <v>971</v>
      </c>
      <c r="B838" t="s">
        <v>3094</v>
      </c>
      <c r="E838" t="s">
        <v>785</v>
      </c>
      <c r="F838">
        <v>-2841</v>
      </c>
      <c r="G838">
        <v>1772</v>
      </c>
      <c r="H838">
        <v>223</v>
      </c>
    </row>
    <row r="839" spans="1:8" x14ac:dyDescent="0.2">
      <c r="A839" t="s">
        <v>1022</v>
      </c>
      <c r="B839" t="s">
        <v>3094</v>
      </c>
      <c r="E839" t="s">
        <v>783</v>
      </c>
      <c r="F839">
        <v>-2943</v>
      </c>
      <c r="G839">
        <v>558</v>
      </c>
      <c r="H839">
        <v>1895</v>
      </c>
    </row>
    <row r="840" spans="1:8" x14ac:dyDescent="0.2">
      <c r="A840" t="s">
        <v>1684</v>
      </c>
      <c r="B840" t="s">
        <v>3094</v>
      </c>
      <c r="E840" t="s">
        <v>785</v>
      </c>
      <c r="F840">
        <v>-1812</v>
      </c>
      <c r="G840">
        <v>2793</v>
      </c>
      <c r="H840">
        <v>-106</v>
      </c>
    </row>
    <row r="841" spans="1:8" x14ac:dyDescent="0.2">
      <c r="A841" t="s">
        <v>1687</v>
      </c>
      <c r="B841" t="s">
        <v>3094</v>
      </c>
      <c r="E841" t="s">
        <v>785</v>
      </c>
      <c r="F841">
        <v>4147</v>
      </c>
      <c r="G841">
        <v>339</v>
      </c>
      <c r="H841">
        <v>-106</v>
      </c>
    </row>
    <row r="842" spans="1:8" x14ac:dyDescent="0.2">
      <c r="A842" t="s">
        <v>1093</v>
      </c>
      <c r="B842" t="s">
        <v>3094</v>
      </c>
      <c r="E842" t="s">
        <v>785</v>
      </c>
      <c r="F842">
        <v>-3172</v>
      </c>
      <c r="G842">
        <v>2682</v>
      </c>
      <c r="H842">
        <v>-106</v>
      </c>
    </row>
    <row r="843" spans="1:8" x14ac:dyDescent="0.2">
      <c r="A843" t="s">
        <v>972</v>
      </c>
      <c r="B843" t="s">
        <v>3094</v>
      </c>
      <c r="E843" t="s">
        <v>785</v>
      </c>
      <c r="F843">
        <v>-3215</v>
      </c>
      <c r="G843">
        <v>2462</v>
      </c>
      <c r="H843">
        <v>346</v>
      </c>
    </row>
    <row r="844" spans="1:8" x14ac:dyDescent="0.2">
      <c r="A844" t="s">
        <v>1688</v>
      </c>
      <c r="B844" t="s">
        <v>3094</v>
      </c>
      <c r="E844" t="s">
        <v>785</v>
      </c>
      <c r="F844">
        <v>4445</v>
      </c>
      <c r="G844">
        <v>-365</v>
      </c>
      <c r="H844">
        <v>-106</v>
      </c>
    </row>
    <row r="845" spans="1:8" x14ac:dyDescent="0.2">
      <c r="A845" t="s">
        <v>1689</v>
      </c>
      <c r="B845" t="s">
        <v>3094</v>
      </c>
      <c r="E845" t="s">
        <v>785</v>
      </c>
      <c r="F845">
        <v>-2964</v>
      </c>
      <c r="G845">
        <v>1898</v>
      </c>
      <c r="H845">
        <v>-106</v>
      </c>
    </row>
    <row r="846" spans="1:8" x14ac:dyDescent="0.2">
      <c r="A846" t="s">
        <v>1094</v>
      </c>
      <c r="B846" t="s">
        <v>3094</v>
      </c>
      <c r="E846" t="s">
        <v>785</v>
      </c>
      <c r="F846">
        <v>-2465</v>
      </c>
      <c r="G846">
        <v>-200</v>
      </c>
      <c r="H846">
        <v>-106</v>
      </c>
    </row>
    <row r="847" spans="1:8" x14ac:dyDescent="0.2">
      <c r="A847" t="s">
        <v>973</v>
      </c>
      <c r="B847" t="s">
        <v>3094</v>
      </c>
      <c r="E847" t="s">
        <v>785</v>
      </c>
      <c r="F847">
        <v>-2922</v>
      </c>
      <c r="G847">
        <v>-804</v>
      </c>
      <c r="H847">
        <v>8</v>
      </c>
    </row>
    <row r="848" spans="1:8" x14ac:dyDescent="0.2">
      <c r="A848" t="s">
        <v>974</v>
      </c>
      <c r="B848" t="s">
        <v>3094</v>
      </c>
      <c r="E848" t="s">
        <v>785</v>
      </c>
      <c r="F848">
        <v>-2049</v>
      </c>
      <c r="G848">
        <v>1632</v>
      </c>
      <c r="H848">
        <v>-57</v>
      </c>
    </row>
    <row r="849" spans="1:8" x14ac:dyDescent="0.2">
      <c r="A849" t="s">
        <v>975</v>
      </c>
      <c r="B849" t="s">
        <v>3094</v>
      </c>
      <c r="E849" t="s">
        <v>785</v>
      </c>
      <c r="F849">
        <v>-3308</v>
      </c>
      <c r="G849">
        <v>790</v>
      </c>
      <c r="H849">
        <v>-102</v>
      </c>
    </row>
    <row r="850" spans="1:8" x14ac:dyDescent="0.2">
      <c r="A850" t="s">
        <v>1691</v>
      </c>
      <c r="B850" t="s">
        <v>3094</v>
      </c>
      <c r="E850" t="s">
        <v>785</v>
      </c>
      <c r="F850">
        <v>-1228</v>
      </c>
      <c r="G850">
        <v>-2726</v>
      </c>
      <c r="H850">
        <v>-106</v>
      </c>
    </row>
    <row r="851" spans="1:8" x14ac:dyDescent="0.2">
      <c r="A851" t="s">
        <v>1692</v>
      </c>
      <c r="B851" t="s">
        <v>3094</v>
      </c>
      <c r="E851" t="s">
        <v>1002</v>
      </c>
      <c r="F851">
        <v>2500</v>
      </c>
      <c r="G851">
        <v>-2673</v>
      </c>
      <c r="H851">
        <v>-733</v>
      </c>
    </row>
    <row r="852" spans="1:8" x14ac:dyDescent="0.2">
      <c r="A852" t="s">
        <v>1693</v>
      </c>
      <c r="B852" t="s">
        <v>3094</v>
      </c>
      <c r="E852" t="s">
        <v>785</v>
      </c>
      <c r="F852">
        <v>2714</v>
      </c>
      <c r="G852">
        <v>-2854</v>
      </c>
      <c r="H852">
        <v>-106</v>
      </c>
    </row>
    <row r="853" spans="1:8" x14ac:dyDescent="0.2">
      <c r="A853" t="s">
        <v>1694</v>
      </c>
      <c r="B853" t="s">
        <v>3094</v>
      </c>
      <c r="E853" t="s">
        <v>785</v>
      </c>
      <c r="F853">
        <v>4480</v>
      </c>
      <c r="G853">
        <v>-897</v>
      </c>
      <c r="H853">
        <v>-106</v>
      </c>
    </row>
    <row r="854" spans="1:8" x14ac:dyDescent="0.2">
      <c r="A854" t="s">
        <v>976</v>
      </c>
      <c r="B854" t="s">
        <v>3094</v>
      </c>
      <c r="E854" t="s">
        <v>785</v>
      </c>
      <c r="F854">
        <v>4473</v>
      </c>
      <c r="G854">
        <v>-827</v>
      </c>
      <c r="H854">
        <v>32</v>
      </c>
    </row>
    <row r="855" spans="1:8" x14ac:dyDescent="0.2">
      <c r="A855" t="s">
        <v>1695</v>
      </c>
      <c r="B855" t="s">
        <v>3094</v>
      </c>
      <c r="E855" t="s">
        <v>785</v>
      </c>
      <c r="F855">
        <v>3966</v>
      </c>
      <c r="G855">
        <v>1611</v>
      </c>
      <c r="H855">
        <v>128</v>
      </c>
    </row>
    <row r="856" spans="1:8" x14ac:dyDescent="0.2">
      <c r="A856" t="s">
        <v>977</v>
      </c>
      <c r="B856" t="s">
        <v>3094</v>
      </c>
      <c r="E856" t="s">
        <v>785</v>
      </c>
      <c r="F856">
        <v>3926</v>
      </c>
      <c r="G856">
        <v>1576</v>
      </c>
      <c r="H856">
        <v>107</v>
      </c>
    </row>
    <row r="857" spans="1:8" x14ac:dyDescent="0.2">
      <c r="A857" t="s">
        <v>1697</v>
      </c>
      <c r="B857" t="s">
        <v>3094</v>
      </c>
      <c r="E857" t="s">
        <v>785</v>
      </c>
      <c r="F857">
        <v>1714</v>
      </c>
      <c r="G857">
        <v>-764</v>
      </c>
      <c r="H857">
        <v>-106</v>
      </c>
    </row>
    <row r="858" spans="1:8" x14ac:dyDescent="0.2">
      <c r="A858" t="s">
        <v>1698</v>
      </c>
      <c r="B858" t="s">
        <v>3094</v>
      </c>
      <c r="E858" t="s">
        <v>785</v>
      </c>
      <c r="F858">
        <v>3455</v>
      </c>
      <c r="G858">
        <v>3255</v>
      </c>
      <c r="H858">
        <v>-106</v>
      </c>
    </row>
    <row r="859" spans="1:8" x14ac:dyDescent="0.2">
      <c r="A859" t="s">
        <v>1699</v>
      </c>
      <c r="B859" t="s">
        <v>3094</v>
      </c>
      <c r="E859" t="s">
        <v>783</v>
      </c>
      <c r="F859">
        <v>453</v>
      </c>
      <c r="G859">
        <v>-800</v>
      </c>
      <c r="H859">
        <v>1556</v>
      </c>
    </row>
    <row r="860" spans="1:8" x14ac:dyDescent="0.2">
      <c r="A860" t="s">
        <v>1095</v>
      </c>
      <c r="B860" t="s">
        <v>3094</v>
      </c>
      <c r="E860" t="s">
        <v>785</v>
      </c>
      <c r="F860">
        <v>2382</v>
      </c>
      <c r="G860">
        <v>-3400</v>
      </c>
      <c r="H860">
        <v>-106</v>
      </c>
    </row>
    <row r="861" spans="1:8" x14ac:dyDescent="0.2">
      <c r="A861" t="s">
        <v>1701</v>
      </c>
      <c r="B861" t="s">
        <v>3094</v>
      </c>
      <c r="E861" t="s">
        <v>785</v>
      </c>
      <c r="F861">
        <v>4008</v>
      </c>
      <c r="G861">
        <v>-2945</v>
      </c>
      <c r="H861">
        <v>-106</v>
      </c>
    </row>
    <row r="862" spans="1:8" x14ac:dyDescent="0.2">
      <c r="A862" t="s">
        <v>1702</v>
      </c>
      <c r="B862" t="s">
        <v>3094</v>
      </c>
      <c r="E862" t="s">
        <v>785</v>
      </c>
      <c r="F862">
        <v>2688</v>
      </c>
      <c r="G862">
        <v>764</v>
      </c>
      <c r="H862">
        <v>-106</v>
      </c>
    </row>
    <row r="863" spans="1:8" x14ac:dyDescent="0.2">
      <c r="A863" t="s">
        <v>1703</v>
      </c>
      <c r="B863" t="s">
        <v>3094</v>
      </c>
      <c r="E863" t="s">
        <v>783</v>
      </c>
      <c r="F863">
        <v>3265</v>
      </c>
      <c r="G863">
        <v>686</v>
      </c>
      <c r="H863">
        <v>1690</v>
      </c>
    </row>
    <row r="864" spans="1:8" x14ac:dyDescent="0.2">
      <c r="A864" t="s">
        <v>1704</v>
      </c>
      <c r="B864" t="s">
        <v>3094</v>
      </c>
      <c r="E864" t="s">
        <v>783</v>
      </c>
      <c r="F864">
        <v>-2860</v>
      </c>
      <c r="G864">
        <v>3006</v>
      </c>
      <c r="H864">
        <v>1411</v>
      </c>
    </row>
    <row r="865" spans="1:8" x14ac:dyDescent="0.2">
      <c r="A865" t="s">
        <v>1705</v>
      </c>
      <c r="B865" t="s">
        <v>3094</v>
      </c>
      <c r="E865" t="s">
        <v>785</v>
      </c>
      <c r="F865">
        <v>-4519</v>
      </c>
      <c r="G865">
        <v>-3612</v>
      </c>
      <c r="H865">
        <v>129</v>
      </c>
    </row>
    <row r="866" spans="1:8" x14ac:dyDescent="0.2">
      <c r="A866" t="s">
        <v>1706</v>
      </c>
      <c r="B866" t="s">
        <v>3094</v>
      </c>
      <c r="E866" t="s">
        <v>1002</v>
      </c>
      <c r="F866">
        <v>1419</v>
      </c>
      <c r="G866">
        <v>-3170</v>
      </c>
      <c r="H866">
        <v>-619</v>
      </c>
    </row>
    <row r="867" spans="1:8" x14ac:dyDescent="0.2">
      <c r="A867" t="s">
        <v>1023</v>
      </c>
      <c r="B867" t="s">
        <v>3094</v>
      </c>
      <c r="E867" t="s">
        <v>783</v>
      </c>
      <c r="F867">
        <v>912</v>
      </c>
      <c r="G867">
        <v>-3065</v>
      </c>
      <c r="H867">
        <v>1895</v>
      </c>
    </row>
    <row r="868" spans="1:8" x14ac:dyDescent="0.2">
      <c r="A868" t="s">
        <v>1707</v>
      </c>
      <c r="B868" t="s">
        <v>3094</v>
      </c>
      <c r="E868" t="s">
        <v>785</v>
      </c>
      <c r="F868">
        <v>-2266</v>
      </c>
      <c r="G868">
        <v>922</v>
      </c>
      <c r="H868">
        <v>-106</v>
      </c>
    </row>
    <row r="869" spans="1:8" x14ac:dyDescent="0.2">
      <c r="A869" t="s">
        <v>978</v>
      </c>
      <c r="B869" t="s">
        <v>3094</v>
      </c>
      <c r="E869" t="s">
        <v>785</v>
      </c>
      <c r="F869">
        <v>-2268</v>
      </c>
      <c r="G869">
        <v>899</v>
      </c>
      <c r="H869">
        <v>86</v>
      </c>
    </row>
    <row r="870" spans="1:8" x14ac:dyDescent="0.2">
      <c r="A870" t="s">
        <v>1708</v>
      </c>
      <c r="B870" t="s">
        <v>3094</v>
      </c>
      <c r="E870" t="s">
        <v>785</v>
      </c>
      <c r="F870">
        <v>344</v>
      </c>
      <c r="G870">
        <v>3142</v>
      </c>
      <c r="H870">
        <v>173</v>
      </c>
    </row>
    <row r="871" spans="1:8" x14ac:dyDescent="0.2">
      <c r="A871" t="s">
        <v>836</v>
      </c>
      <c r="B871" t="s">
        <v>3094</v>
      </c>
      <c r="E871" t="s">
        <v>785</v>
      </c>
      <c r="F871">
        <v>4706</v>
      </c>
      <c r="G871">
        <v>1374</v>
      </c>
      <c r="H871">
        <v>-106</v>
      </c>
    </row>
    <row r="872" spans="1:8" x14ac:dyDescent="0.2">
      <c r="A872" t="s">
        <v>1709</v>
      </c>
      <c r="B872" t="s">
        <v>3094</v>
      </c>
      <c r="E872" t="s">
        <v>785</v>
      </c>
      <c r="F872">
        <v>1329</v>
      </c>
      <c r="G872">
        <v>-2564</v>
      </c>
      <c r="H872">
        <v>-106</v>
      </c>
    </row>
    <row r="873" spans="1:8" x14ac:dyDescent="0.2">
      <c r="A873" t="s">
        <v>979</v>
      </c>
      <c r="B873" t="s">
        <v>3094</v>
      </c>
      <c r="E873" t="s">
        <v>785</v>
      </c>
      <c r="F873">
        <v>1170</v>
      </c>
      <c r="G873">
        <v>-2444</v>
      </c>
      <c r="H873">
        <v>177</v>
      </c>
    </row>
    <row r="874" spans="1:8" x14ac:dyDescent="0.2">
      <c r="A874" t="s">
        <v>1711</v>
      </c>
      <c r="B874" t="s">
        <v>3094</v>
      </c>
      <c r="E874" t="s">
        <v>785</v>
      </c>
      <c r="F874">
        <v>3601</v>
      </c>
      <c r="G874">
        <v>1637</v>
      </c>
      <c r="H874">
        <v>-106</v>
      </c>
    </row>
    <row r="875" spans="1:8" x14ac:dyDescent="0.2">
      <c r="A875" t="s">
        <v>1712</v>
      </c>
      <c r="B875" t="s">
        <v>3094</v>
      </c>
      <c r="E875" t="s">
        <v>785</v>
      </c>
      <c r="F875">
        <v>4498</v>
      </c>
      <c r="G875">
        <v>-3553</v>
      </c>
      <c r="H875">
        <v>-106</v>
      </c>
    </row>
    <row r="876" spans="1:8" x14ac:dyDescent="0.2">
      <c r="A876" t="s">
        <v>1713</v>
      </c>
      <c r="B876" t="s">
        <v>3094</v>
      </c>
      <c r="E876" t="s">
        <v>785</v>
      </c>
      <c r="F876">
        <v>-4763</v>
      </c>
      <c r="G876">
        <v>-2731</v>
      </c>
      <c r="H876">
        <v>-106</v>
      </c>
    </row>
    <row r="877" spans="1:8" x14ac:dyDescent="0.2">
      <c r="A877" t="s">
        <v>1714</v>
      </c>
      <c r="B877" t="s">
        <v>3094</v>
      </c>
      <c r="E877" t="s">
        <v>785</v>
      </c>
      <c r="F877">
        <v>3478</v>
      </c>
      <c r="G877">
        <v>890</v>
      </c>
      <c r="H877">
        <v>410</v>
      </c>
    </row>
    <row r="878" spans="1:8" x14ac:dyDescent="0.2">
      <c r="A878" t="s">
        <v>1715</v>
      </c>
      <c r="B878" t="s">
        <v>3094</v>
      </c>
      <c r="E878" t="s">
        <v>785</v>
      </c>
      <c r="F878">
        <v>1392</v>
      </c>
      <c r="G878">
        <v>915</v>
      </c>
      <c r="H878">
        <v>-106</v>
      </c>
    </row>
    <row r="879" spans="1:8" x14ac:dyDescent="0.2">
      <c r="A879" t="s">
        <v>1716</v>
      </c>
      <c r="B879" t="s">
        <v>3094</v>
      </c>
      <c r="E879" t="s">
        <v>785</v>
      </c>
      <c r="F879">
        <v>2272</v>
      </c>
      <c r="G879">
        <v>710</v>
      </c>
      <c r="H879">
        <v>-106</v>
      </c>
    </row>
    <row r="880" spans="1:8" x14ac:dyDescent="0.2">
      <c r="A880" t="s">
        <v>1717</v>
      </c>
      <c r="B880" t="s">
        <v>3094</v>
      </c>
      <c r="E880" t="s">
        <v>785</v>
      </c>
      <c r="F880">
        <v>3089</v>
      </c>
      <c r="G880">
        <v>-830</v>
      </c>
      <c r="H880">
        <v>-106</v>
      </c>
    </row>
    <row r="881" spans="1:8" x14ac:dyDescent="0.2">
      <c r="A881" t="s">
        <v>1719</v>
      </c>
      <c r="B881" t="s">
        <v>3094</v>
      </c>
      <c r="E881" t="s">
        <v>785</v>
      </c>
      <c r="F881">
        <v>2567</v>
      </c>
      <c r="G881">
        <v>-3475</v>
      </c>
      <c r="H881">
        <v>-106</v>
      </c>
    </row>
    <row r="882" spans="1:8" x14ac:dyDescent="0.2">
      <c r="A882" t="s">
        <v>1720</v>
      </c>
      <c r="B882" t="s">
        <v>3094</v>
      </c>
      <c r="E882" t="s">
        <v>785</v>
      </c>
      <c r="F882">
        <v>4167</v>
      </c>
      <c r="G882">
        <v>3153</v>
      </c>
      <c r="H882">
        <v>-106</v>
      </c>
    </row>
    <row r="883" spans="1:8" x14ac:dyDescent="0.2">
      <c r="A883" t="s">
        <v>1721</v>
      </c>
      <c r="B883" t="s">
        <v>3094</v>
      </c>
      <c r="E883" t="s">
        <v>785</v>
      </c>
      <c r="F883">
        <v>1609</v>
      </c>
      <c r="G883">
        <v>-3630</v>
      </c>
      <c r="H883">
        <v>-106</v>
      </c>
    </row>
    <row r="884" spans="1:8" x14ac:dyDescent="0.2">
      <c r="A884" t="s">
        <v>980</v>
      </c>
      <c r="B884" t="s">
        <v>3094</v>
      </c>
      <c r="E884" t="s">
        <v>785</v>
      </c>
      <c r="F884">
        <v>1447</v>
      </c>
      <c r="G884">
        <v>-3484</v>
      </c>
      <c r="H884">
        <v>77</v>
      </c>
    </row>
    <row r="885" spans="1:8" x14ac:dyDescent="0.2">
      <c r="A885" t="s">
        <v>1722</v>
      </c>
      <c r="B885" t="s">
        <v>3094</v>
      </c>
      <c r="E885" t="s">
        <v>785</v>
      </c>
      <c r="F885">
        <v>3951</v>
      </c>
      <c r="G885">
        <v>977</v>
      </c>
      <c r="H885">
        <v>-106</v>
      </c>
    </row>
    <row r="886" spans="1:8" x14ac:dyDescent="0.2">
      <c r="A886" t="s">
        <v>1723</v>
      </c>
      <c r="B886" t="s">
        <v>3094</v>
      </c>
      <c r="E886" t="s">
        <v>1002</v>
      </c>
      <c r="F886">
        <v>3683</v>
      </c>
      <c r="G886">
        <v>2044</v>
      </c>
      <c r="H886">
        <v>-660</v>
      </c>
    </row>
    <row r="887" spans="1:8" x14ac:dyDescent="0.2">
      <c r="A887" t="s">
        <v>1724</v>
      </c>
      <c r="B887" t="s">
        <v>3094</v>
      </c>
      <c r="E887" t="s">
        <v>785</v>
      </c>
      <c r="F887">
        <v>3613</v>
      </c>
      <c r="G887">
        <v>2093</v>
      </c>
      <c r="H887">
        <v>-106</v>
      </c>
    </row>
    <row r="888" spans="1:8" x14ac:dyDescent="0.2">
      <c r="A888" t="s">
        <v>1725</v>
      </c>
      <c r="B888" t="s">
        <v>3094</v>
      </c>
      <c r="E888" t="s">
        <v>785</v>
      </c>
      <c r="F888">
        <v>3499</v>
      </c>
      <c r="G888">
        <v>2026</v>
      </c>
      <c r="H888">
        <v>181</v>
      </c>
    </row>
    <row r="889" spans="1:8" x14ac:dyDescent="0.2">
      <c r="A889" t="s">
        <v>1098</v>
      </c>
      <c r="B889" t="s">
        <v>3094</v>
      </c>
      <c r="E889" t="s">
        <v>785</v>
      </c>
      <c r="F889">
        <v>4186</v>
      </c>
      <c r="G889">
        <v>808</v>
      </c>
      <c r="H889">
        <v>-106</v>
      </c>
    </row>
    <row r="890" spans="1:8" x14ac:dyDescent="0.2">
      <c r="A890" t="s">
        <v>981</v>
      </c>
      <c r="B890" t="s">
        <v>3094</v>
      </c>
      <c r="E890" t="s">
        <v>785</v>
      </c>
      <c r="F890">
        <v>4505</v>
      </c>
      <c r="G890">
        <v>705</v>
      </c>
      <c r="H890">
        <v>96</v>
      </c>
    </row>
    <row r="891" spans="1:8" x14ac:dyDescent="0.2">
      <c r="A891" t="s">
        <v>982</v>
      </c>
      <c r="B891" t="s">
        <v>3094</v>
      </c>
      <c r="E891" t="s">
        <v>785</v>
      </c>
      <c r="F891">
        <v>4122</v>
      </c>
      <c r="G891">
        <v>662</v>
      </c>
      <c r="H891">
        <v>188</v>
      </c>
    </row>
    <row r="892" spans="1:8" x14ac:dyDescent="0.2">
      <c r="A892" t="s">
        <v>1727</v>
      </c>
      <c r="B892" t="s">
        <v>3094</v>
      </c>
      <c r="E892" t="s">
        <v>785</v>
      </c>
      <c r="F892">
        <v>-2545</v>
      </c>
      <c r="G892">
        <v>1279</v>
      </c>
      <c r="H892">
        <v>-106</v>
      </c>
    </row>
    <row r="893" spans="1:8" x14ac:dyDescent="0.2">
      <c r="A893" t="s">
        <v>1099</v>
      </c>
      <c r="B893" t="s">
        <v>3094</v>
      </c>
      <c r="E893" t="s">
        <v>785</v>
      </c>
      <c r="F893">
        <v>3137</v>
      </c>
      <c r="G893">
        <v>877</v>
      </c>
      <c r="H893">
        <v>-106</v>
      </c>
    </row>
    <row r="894" spans="1:8" x14ac:dyDescent="0.2">
      <c r="A894" t="s">
        <v>983</v>
      </c>
      <c r="B894" t="s">
        <v>3094</v>
      </c>
      <c r="E894" t="s">
        <v>785</v>
      </c>
      <c r="F894">
        <v>2864</v>
      </c>
      <c r="G894">
        <v>346</v>
      </c>
      <c r="H894">
        <v>227</v>
      </c>
    </row>
    <row r="895" spans="1:8" x14ac:dyDescent="0.2">
      <c r="A895" t="s">
        <v>984</v>
      </c>
      <c r="B895" t="s">
        <v>3094</v>
      </c>
      <c r="E895" t="s">
        <v>785</v>
      </c>
      <c r="F895">
        <v>3147</v>
      </c>
      <c r="G895">
        <v>668</v>
      </c>
      <c r="H895">
        <v>177</v>
      </c>
    </row>
    <row r="896" spans="1:8" x14ac:dyDescent="0.2">
      <c r="A896" t="s">
        <v>985</v>
      </c>
      <c r="B896" t="s">
        <v>3094</v>
      </c>
      <c r="E896" t="s">
        <v>785</v>
      </c>
      <c r="F896">
        <v>2570</v>
      </c>
      <c r="G896">
        <v>518</v>
      </c>
      <c r="H896">
        <v>164</v>
      </c>
    </row>
    <row r="897" spans="1:8" x14ac:dyDescent="0.2">
      <c r="A897" t="s">
        <v>1728</v>
      </c>
      <c r="B897" t="s">
        <v>3094</v>
      </c>
      <c r="E897" t="s">
        <v>785</v>
      </c>
      <c r="F897">
        <v>2866</v>
      </c>
      <c r="G897">
        <v>581</v>
      </c>
      <c r="H897">
        <v>373</v>
      </c>
    </row>
    <row r="898" spans="1:8" x14ac:dyDescent="0.2">
      <c r="A898" t="s">
        <v>986</v>
      </c>
      <c r="B898" t="s">
        <v>3094</v>
      </c>
      <c r="E898" t="s">
        <v>785</v>
      </c>
      <c r="F898">
        <v>2851</v>
      </c>
      <c r="G898">
        <v>478</v>
      </c>
      <c r="H898">
        <v>324</v>
      </c>
    </row>
    <row r="899" spans="1:8" x14ac:dyDescent="0.2">
      <c r="A899" t="s">
        <v>1729</v>
      </c>
      <c r="B899" t="s">
        <v>3094</v>
      </c>
      <c r="E899" t="s">
        <v>785</v>
      </c>
      <c r="F899">
        <v>2701</v>
      </c>
      <c r="G899">
        <v>-2945</v>
      </c>
      <c r="H899">
        <v>-106</v>
      </c>
    </row>
    <row r="900" spans="1:8" x14ac:dyDescent="0.2">
      <c r="A900" t="s">
        <v>987</v>
      </c>
      <c r="B900" t="s">
        <v>3094</v>
      </c>
      <c r="E900" t="s">
        <v>785</v>
      </c>
      <c r="F900">
        <v>-3827</v>
      </c>
      <c r="G900">
        <v>-2650</v>
      </c>
      <c r="H900">
        <v>35</v>
      </c>
    </row>
    <row r="901" spans="1:8" x14ac:dyDescent="0.2">
      <c r="A901" t="s">
        <v>1024</v>
      </c>
      <c r="B901" t="s">
        <v>3094</v>
      </c>
      <c r="E901" t="s">
        <v>783</v>
      </c>
      <c r="F901">
        <v>4579</v>
      </c>
      <c r="G901">
        <v>-919</v>
      </c>
      <c r="H901">
        <v>2619</v>
      </c>
    </row>
    <row r="902" spans="1:8" x14ac:dyDescent="0.2">
      <c r="A902" t="s">
        <v>1730</v>
      </c>
      <c r="B902" t="s">
        <v>3094</v>
      </c>
      <c r="E902" t="s">
        <v>785</v>
      </c>
      <c r="F902">
        <v>-3474</v>
      </c>
      <c r="G902">
        <v>-1128</v>
      </c>
      <c r="H902">
        <v>-106</v>
      </c>
    </row>
    <row r="903" spans="1:8" x14ac:dyDescent="0.2">
      <c r="A903" t="s">
        <v>1731</v>
      </c>
      <c r="B903" t="s">
        <v>3094</v>
      </c>
      <c r="E903" t="s">
        <v>785</v>
      </c>
      <c r="F903">
        <v>3083</v>
      </c>
      <c r="G903">
        <v>456</v>
      </c>
      <c r="H903">
        <v>-106</v>
      </c>
    </row>
    <row r="904" spans="1:8" x14ac:dyDescent="0.2">
      <c r="A904" t="s">
        <v>1733</v>
      </c>
      <c r="B904" t="s">
        <v>3094</v>
      </c>
      <c r="E904" t="s">
        <v>785</v>
      </c>
      <c r="F904">
        <v>4170</v>
      </c>
      <c r="G904">
        <v>-1922</v>
      </c>
      <c r="H904">
        <v>-106</v>
      </c>
    </row>
    <row r="905" spans="1:8" x14ac:dyDescent="0.2">
      <c r="A905" t="s">
        <v>988</v>
      </c>
      <c r="B905" t="s">
        <v>3094</v>
      </c>
      <c r="E905" t="s">
        <v>785</v>
      </c>
      <c r="F905">
        <v>4226</v>
      </c>
      <c r="G905">
        <v>-1739</v>
      </c>
      <c r="H905">
        <v>180</v>
      </c>
    </row>
    <row r="906" spans="1:8" x14ac:dyDescent="0.2">
      <c r="A906" t="s">
        <v>1734</v>
      </c>
      <c r="B906" t="s">
        <v>3094</v>
      </c>
      <c r="E906" t="s">
        <v>785</v>
      </c>
      <c r="F906">
        <v>-2732</v>
      </c>
      <c r="G906">
        <v>-87</v>
      </c>
      <c r="H906">
        <v>-106</v>
      </c>
    </row>
    <row r="907" spans="1:8" x14ac:dyDescent="0.2">
      <c r="A907" t="s">
        <v>1735</v>
      </c>
      <c r="B907" t="s">
        <v>3094</v>
      </c>
      <c r="E907" t="s">
        <v>785</v>
      </c>
      <c r="F907">
        <v>-597</v>
      </c>
      <c r="G907">
        <v>525</v>
      </c>
      <c r="H907">
        <v>-10</v>
      </c>
    </row>
    <row r="908" spans="1:8" x14ac:dyDescent="0.2">
      <c r="A908" t="s">
        <v>1025</v>
      </c>
      <c r="B908" t="s">
        <v>3094</v>
      </c>
      <c r="E908" t="s">
        <v>783</v>
      </c>
      <c r="F908">
        <v>3520</v>
      </c>
      <c r="G908">
        <v>536</v>
      </c>
      <c r="H908">
        <v>1895</v>
      </c>
    </row>
    <row r="909" spans="1:8" x14ac:dyDescent="0.2">
      <c r="A909" t="s">
        <v>1736</v>
      </c>
      <c r="B909" t="s">
        <v>3094</v>
      </c>
      <c r="E909" t="s">
        <v>1002</v>
      </c>
      <c r="F909">
        <v>904</v>
      </c>
      <c r="G909">
        <v>-2488</v>
      </c>
      <c r="H909">
        <v>-358</v>
      </c>
    </row>
    <row r="910" spans="1:8" x14ac:dyDescent="0.2">
      <c r="A910" t="s">
        <v>1737</v>
      </c>
      <c r="B910" t="s">
        <v>3094</v>
      </c>
      <c r="E910" t="s">
        <v>1002</v>
      </c>
      <c r="F910">
        <v>3733</v>
      </c>
      <c r="G910">
        <v>2563</v>
      </c>
      <c r="H910">
        <v>-352</v>
      </c>
    </row>
    <row r="911" spans="1:8" x14ac:dyDescent="0.2">
      <c r="A911" t="s">
        <v>1738</v>
      </c>
      <c r="B911" t="s">
        <v>3094</v>
      </c>
      <c r="E911" t="s">
        <v>1002</v>
      </c>
      <c r="F911">
        <v>3837</v>
      </c>
      <c r="G911">
        <v>-1273</v>
      </c>
      <c r="H911">
        <v>-520</v>
      </c>
    </row>
    <row r="912" spans="1:8" x14ac:dyDescent="0.2">
      <c r="A912" t="s">
        <v>1739</v>
      </c>
      <c r="B912" t="s">
        <v>3094</v>
      </c>
      <c r="E912" t="s">
        <v>785</v>
      </c>
      <c r="F912">
        <v>1394</v>
      </c>
      <c r="G912">
        <v>-300</v>
      </c>
      <c r="H912">
        <v>-106</v>
      </c>
    </row>
    <row r="913" spans="1:8" x14ac:dyDescent="0.2">
      <c r="A913" t="s">
        <v>1740</v>
      </c>
      <c r="B913" t="s">
        <v>3094</v>
      </c>
      <c r="E913" t="s">
        <v>785</v>
      </c>
      <c r="F913">
        <v>-4541</v>
      </c>
      <c r="G913">
        <v>-2502</v>
      </c>
      <c r="H913">
        <v>-106</v>
      </c>
    </row>
    <row r="914" spans="1:8" x14ac:dyDescent="0.2">
      <c r="A914" t="s">
        <v>1741</v>
      </c>
      <c r="B914" t="s">
        <v>3094</v>
      </c>
      <c r="E914" t="s">
        <v>785</v>
      </c>
      <c r="F914">
        <v>-514</v>
      </c>
      <c r="G914">
        <v>450</v>
      </c>
      <c r="H914">
        <v>-106</v>
      </c>
    </row>
    <row r="915" spans="1:8" x14ac:dyDescent="0.2">
      <c r="A915" t="s">
        <v>1742</v>
      </c>
      <c r="B915" t="s">
        <v>3094</v>
      </c>
      <c r="E915" t="s">
        <v>785</v>
      </c>
      <c r="F915">
        <v>17</v>
      </c>
      <c r="G915">
        <v>3455</v>
      </c>
      <c r="H915">
        <v>-106</v>
      </c>
    </row>
    <row r="916" spans="1:8" x14ac:dyDescent="0.2">
      <c r="A916" t="s">
        <v>1743</v>
      </c>
      <c r="B916" t="s">
        <v>3094</v>
      </c>
      <c r="E916" t="s">
        <v>785</v>
      </c>
      <c r="F916">
        <v>-4469</v>
      </c>
      <c r="G916">
        <v>-2297</v>
      </c>
      <c r="H916">
        <v>-106</v>
      </c>
    </row>
    <row r="917" spans="1:8" x14ac:dyDescent="0.2">
      <c r="A917" t="s">
        <v>989</v>
      </c>
      <c r="B917" t="s">
        <v>3094</v>
      </c>
      <c r="E917" t="s">
        <v>785</v>
      </c>
      <c r="F917">
        <v>-4673</v>
      </c>
      <c r="G917">
        <v>-1986</v>
      </c>
      <c r="H917">
        <v>9</v>
      </c>
    </row>
    <row r="918" spans="1:8" x14ac:dyDescent="0.2">
      <c r="A918" t="s">
        <v>1026</v>
      </c>
      <c r="B918" t="s">
        <v>3094</v>
      </c>
      <c r="E918" t="s">
        <v>783</v>
      </c>
      <c r="F918">
        <v>-3846</v>
      </c>
      <c r="G918">
        <v>2300</v>
      </c>
      <c r="H918">
        <v>1895</v>
      </c>
    </row>
    <row r="919" spans="1:8" x14ac:dyDescent="0.2">
      <c r="A919" t="s">
        <v>1744</v>
      </c>
      <c r="B919" t="s">
        <v>3094</v>
      </c>
      <c r="E919" t="s">
        <v>785</v>
      </c>
      <c r="F919">
        <v>-1606</v>
      </c>
      <c r="G919">
        <v>202</v>
      </c>
      <c r="H919">
        <v>-106</v>
      </c>
    </row>
    <row r="920" spans="1:8" x14ac:dyDescent="0.2">
      <c r="A920" t="s">
        <v>1745</v>
      </c>
      <c r="B920" t="s">
        <v>3094</v>
      </c>
      <c r="E920" t="s">
        <v>783</v>
      </c>
      <c r="F920">
        <v>-2292</v>
      </c>
      <c r="G920">
        <v>-539</v>
      </c>
      <c r="H920">
        <v>895</v>
      </c>
    </row>
    <row r="921" spans="1:8" x14ac:dyDescent="0.2">
      <c r="A921" t="s">
        <v>990</v>
      </c>
      <c r="B921" t="s">
        <v>3094</v>
      </c>
      <c r="E921" t="s">
        <v>785</v>
      </c>
      <c r="F921">
        <v>-3959</v>
      </c>
      <c r="G921">
        <v>2029</v>
      </c>
      <c r="H921">
        <v>201</v>
      </c>
    </row>
    <row r="922" spans="1:8" x14ac:dyDescent="0.2">
      <c r="A922" t="s">
        <v>806</v>
      </c>
      <c r="B922" t="s">
        <v>3094</v>
      </c>
      <c r="E922" t="s">
        <v>785</v>
      </c>
      <c r="F922">
        <v>1297</v>
      </c>
      <c r="G922">
        <v>-1525</v>
      </c>
      <c r="H922">
        <v>-106</v>
      </c>
    </row>
    <row r="923" spans="1:8" x14ac:dyDescent="0.2">
      <c r="A923" t="s">
        <v>1027</v>
      </c>
      <c r="B923" t="s">
        <v>3094</v>
      </c>
      <c r="E923" t="s">
        <v>783</v>
      </c>
      <c r="F923">
        <v>1295</v>
      </c>
      <c r="G923">
        <v>-2347</v>
      </c>
      <c r="H923">
        <v>1896</v>
      </c>
    </row>
    <row r="924" spans="1:8" x14ac:dyDescent="0.2">
      <c r="A924" t="s">
        <v>1746</v>
      </c>
      <c r="B924" t="s">
        <v>3094</v>
      </c>
      <c r="E924" t="s">
        <v>785</v>
      </c>
      <c r="F924">
        <v>-449</v>
      </c>
      <c r="G924">
        <v>858</v>
      </c>
      <c r="H924">
        <v>13</v>
      </c>
    </row>
    <row r="925" spans="1:8" x14ac:dyDescent="0.2">
      <c r="A925" t="s">
        <v>991</v>
      </c>
      <c r="B925" t="s">
        <v>3094</v>
      </c>
      <c r="E925" t="s">
        <v>785</v>
      </c>
      <c r="F925">
        <v>1643</v>
      </c>
      <c r="G925">
        <v>1730</v>
      </c>
      <c r="H925">
        <v>279</v>
      </c>
    </row>
    <row r="926" spans="1:8" x14ac:dyDescent="0.2">
      <c r="A926" t="s">
        <v>1747</v>
      </c>
      <c r="B926" t="s">
        <v>3094</v>
      </c>
      <c r="E926" t="s">
        <v>785</v>
      </c>
      <c r="F926">
        <v>3588</v>
      </c>
      <c r="G926">
        <v>1024</v>
      </c>
      <c r="H926">
        <v>-106</v>
      </c>
    </row>
    <row r="927" spans="1:8" x14ac:dyDescent="0.2">
      <c r="A927" t="s">
        <v>1748</v>
      </c>
      <c r="B927" t="s">
        <v>3094</v>
      </c>
      <c r="E927" t="s">
        <v>785</v>
      </c>
      <c r="F927">
        <v>888</v>
      </c>
      <c r="G927">
        <v>-174</v>
      </c>
      <c r="H927">
        <v>70</v>
      </c>
    </row>
    <row r="928" spans="1:8" x14ac:dyDescent="0.2">
      <c r="A928" t="s">
        <v>1751</v>
      </c>
      <c r="B928" t="s">
        <v>3094</v>
      </c>
      <c r="E928" t="s">
        <v>785</v>
      </c>
      <c r="F928">
        <v>152</v>
      </c>
      <c r="G928">
        <v>-852</v>
      </c>
      <c r="H928">
        <v>-106</v>
      </c>
    </row>
    <row r="929" spans="1:8" x14ac:dyDescent="0.2">
      <c r="A929" t="s">
        <v>992</v>
      </c>
      <c r="B929" t="s">
        <v>3094</v>
      </c>
      <c r="E929" t="s">
        <v>785</v>
      </c>
      <c r="F929">
        <v>-72</v>
      </c>
      <c r="G929">
        <v>-1046</v>
      </c>
      <c r="H929">
        <v>17</v>
      </c>
    </row>
    <row r="930" spans="1:8" x14ac:dyDescent="0.2">
      <c r="A930" t="s">
        <v>1752</v>
      </c>
      <c r="B930" t="s">
        <v>3094</v>
      </c>
      <c r="E930" t="s">
        <v>785</v>
      </c>
      <c r="F930">
        <v>-265</v>
      </c>
      <c r="G930">
        <v>-605</v>
      </c>
      <c r="H930">
        <v>-106</v>
      </c>
    </row>
    <row r="931" spans="1:8" x14ac:dyDescent="0.2">
      <c r="A931" t="s">
        <v>1753</v>
      </c>
      <c r="B931" t="s">
        <v>3094</v>
      </c>
      <c r="E931" t="s">
        <v>785</v>
      </c>
      <c r="F931">
        <v>4518</v>
      </c>
      <c r="G931">
        <v>-988</v>
      </c>
      <c r="H931">
        <v>-106</v>
      </c>
    </row>
    <row r="932" spans="1:8" x14ac:dyDescent="0.2">
      <c r="A932" t="s">
        <v>1754</v>
      </c>
      <c r="B932" t="s">
        <v>3094</v>
      </c>
      <c r="E932" t="s">
        <v>785</v>
      </c>
      <c r="F932">
        <v>1062</v>
      </c>
      <c r="G932">
        <v>1135</v>
      </c>
      <c r="H932">
        <v>66</v>
      </c>
    </row>
    <row r="933" spans="1:8" x14ac:dyDescent="0.2">
      <c r="A933" t="s">
        <v>1756</v>
      </c>
      <c r="B933" t="s">
        <v>3094</v>
      </c>
      <c r="E933" t="s">
        <v>785</v>
      </c>
      <c r="F933">
        <v>2475</v>
      </c>
      <c r="G933">
        <v>-3584</v>
      </c>
      <c r="H933">
        <v>-106</v>
      </c>
    </row>
    <row r="934" spans="1:8" x14ac:dyDescent="0.2">
      <c r="A934" t="s">
        <v>1100</v>
      </c>
      <c r="B934" t="s">
        <v>3094</v>
      </c>
      <c r="E934" t="s">
        <v>785</v>
      </c>
      <c r="F934">
        <v>-1868</v>
      </c>
      <c r="G934">
        <v>-2817</v>
      </c>
      <c r="H934">
        <v>-106</v>
      </c>
    </row>
    <row r="935" spans="1:8" x14ac:dyDescent="0.2">
      <c r="A935" t="s">
        <v>993</v>
      </c>
      <c r="B935" t="s">
        <v>3094</v>
      </c>
      <c r="E935" t="s">
        <v>785</v>
      </c>
      <c r="F935">
        <v>-2434</v>
      </c>
      <c r="G935">
        <v>-1820</v>
      </c>
      <c r="H935">
        <v>146</v>
      </c>
    </row>
    <row r="936" spans="1:8" x14ac:dyDescent="0.2">
      <c r="A936" t="s">
        <v>994</v>
      </c>
      <c r="B936" t="s">
        <v>3094</v>
      </c>
      <c r="E936" t="s">
        <v>785</v>
      </c>
      <c r="F936">
        <v>-644</v>
      </c>
      <c r="G936">
        <v>2040</v>
      </c>
      <c r="H936">
        <v>155</v>
      </c>
    </row>
    <row r="937" spans="1:8" x14ac:dyDescent="0.2">
      <c r="A937" t="s">
        <v>995</v>
      </c>
      <c r="B937" t="s">
        <v>3094</v>
      </c>
      <c r="E937" t="s">
        <v>785</v>
      </c>
      <c r="F937">
        <v>1765</v>
      </c>
      <c r="G937">
        <v>2837</v>
      </c>
      <c r="H937">
        <v>400</v>
      </c>
    </row>
    <row r="938" spans="1:8" x14ac:dyDescent="0.2">
      <c r="A938" t="s">
        <v>996</v>
      </c>
      <c r="B938" t="s">
        <v>3094</v>
      </c>
      <c r="E938" t="s">
        <v>785</v>
      </c>
      <c r="F938">
        <v>1714</v>
      </c>
      <c r="G938">
        <v>2719</v>
      </c>
      <c r="H938">
        <v>401</v>
      </c>
    </row>
    <row r="939" spans="1:8" x14ac:dyDescent="0.2">
      <c r="A939" t="s">
        <v>1758</v>
      </c>
      <c r="B939" t="s">
        <v>3094</v>
      </c>
      <c r="E939" t="s">
        <v>785</v>
      </c>
      <c r="F939">
        <v>1452</v>
      </c>
      <c r="G939">
        <v>-170</v>
      </c>
      <c r="H939">
        <v>-106</v>
      </c>
    </row>
    <row r="940" spans="1:8" x14ac:dyDescent="0.2">
      <c r="A940" t="s">
        <v>1761</v>
      </c>
      <c r="B940" t="s">
        <v>3094</v>
      </c>
      <c r="E940" t="s">
        <v>785</v>
      </c>
      <c r="F940">
        <v>3493</v>
      </c>
      <c r="G940">
        <v>-1965</v>
      </c>
      <c r="H940">
        <v>-106</v>
      </c>
    </row>
    <row r="941" spans="1:8" x14ac:dyDescent="0.2">
      <c r="A941" t="s">
        <v>1762</v>
      </c>
      <c r="B941" t="s">
        <v>3094</v>
      </c>
      <c r="E941" t="s">
        <v>785</v>
      </c>
      <c r="F941">
        <v>1646</v>
      </c>
      <c r="G941">
        <v>511</v>
      </c>
      <c r="H941">
        <v>-106</v>
      </c>
    </row>
    <row r="942" spans="1:8" x14ac:dyDescent="0.2">
      <c r="A942" t="s">
        <v>1763</v>
      </c>
      <c r="B942" t="s">
        <v>3094</v>
      </c>
      <c r="E942" t="s">
        <v>785</v>
      </c>
      <c r="F942">
        <v>-2616</v>
      </c>
      <c r="G942">
        <v>-1556</v>
      </c>
      <c r="H942">
        <v>-106</v>
      </c>
    </row>
    <row r="943" spans="1:8" x14ac:dyDescent="0.2">
      <c r="A943" t="s">
        <v>1764</v>
      </c>
      <c r="B943" t="s">
        <v>3094</v>
      </c>
      <c r="E943" t="s">
        <v>785</v>
      </c>
      <c r="F943">
        <v>2729</v>
      </c>
      <c r="G943">
        <v>-119</v>
      </c>
      <c r="H943">
        <v>-106</v>
      </c>
    </row>
    <row r="944" spans="1:8" x14ac:dyDescent="0.2">
      <c r="A944" t="s">
        <v>1765</v>
      </c>
      <c r="B944" t="s">
        <v>3094</v>
      </c>
      <c r="E944" t="s">
        <v>785</v>
      </c>
      <c r="F944">
        <v>-557</v>
      </c>
      <c r="G944">
        <v>-3222</v>
      </c>
      <c r="H944">
        <v>-106</v>
      </c>
    </row>
    <row r="945" spans="1:8" x14ac:dyDescent="0.2">
      <c r="A945" t="s">
        <v>1101</v>
      </c>
      <c r="B945" t="s">
        <v>3094</v>
      </c>
      <c r="E945" t="s">
        <v>785</v>
      </c>
      <c r="F945">
        <v>2658</v>
      </c>
      <c r="G945">
        <v>364</v>
      </c>
      <c r="H945">
        <v>-106</v>
      </c>
    </row>
  </sheetData>
  <autoFilter ref="A1:J239" xr:uid="{A095D5C8-FF81-DA46-ADE3-61DE071C2139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FA869-99A4-6E49-BE60-7CC75A809A99}">
  <sheetPr codeName="Sheet24"/>
  <dimension ref="A1:K59"/>
  <sheetViews>
    <sheetView workbookViewId="0">
      <selection activeCell="K1" sqref="K1"/>
    </sheetView>
  </sheetViews>
  <sheetFormatPr baseColWidth="10" defaultRowHeight="16" x14ac:dyDescent="0.2"/>
  <cols>
    <col min="1" max="1" width="25.83203125" bestFit="1" customWidth="1"/>
    <col min="3" max="3" width="10.6640625" style="2" bestFit="1" customWidth="1"/>
    <col min="4" max="7" width="10.83203125" style="2"/>
  </cols>
  <sheetData>
    <row r="1" spans="1:11" s="6" customFormat="1" x14ac:dyDescent="0.2">
      <c r="A1" s="6" t="s">
        <v>781</v>
      </c>
      <c r="B1" s="6" t="s">
        <v>2129</v>
      </c>
      <c r="C1" s="4" t="s">
        <v>2120</v>
      </c>
      <c r="D1" s="4" t="s">
        <v>777</v>
      </c>
      <c r="E1" s="4" t="s">
        <v>778</v>
      </c>
      <c r="F1" s="4" t="s">
        <v>779</v>
      </c>
      <c r="G1" s="4" t="s">
        <v>780</v>
      </c>
      <c r="H1" s="6" t="s">
        <v>2127</v>
      </c>
      <c r="I1" s="6" t="s">
        <v>2121</v>
      </c>
      <c r="K1" t="s">
        <v>3231</v>
      </c>
    </row>
    <row r="2" spans="1:11" x14ac:dyDescent="0.2">
      <c r="A2" t="s">
        <v>1154</v>
      </c>
      <c r="C2" s="2">
        <v>1</v>
      </c>
      <c r="D2" s="2" t="s">
        <v>785</v>
      </c>
      <c r="E2" s="2">
        <v>685</v>
      </c>
      <c r="F2" s="2">
        <v>-769</v>
      </c>
      <c r="G2" s="2">
        <v>17</v>
      </c>
      <c r="I2" t="str">
        <f>"{ name: "&amp;CHAR(34)&amp;A2&amp;CHAR(34)&amp;", landmark: "&amp;CHAR(34)&amp;"Well"&amp;CHAR(34)&amp;", type: "&amp;CHAR(34)&amp;B2&amp;CHAR(34)&amp;", region: "&amp;C2&amp;", level: "&amp;CHAR(34)&amp;D2&amp;CHAR(34)&amp;", x: "&amp;E2&amp;", y: "&amp;F2&amp;", z: "&amp;G2&amp;", details: "&amp;CHAR(34)&amp;H2&amp;CHAR(34)&amp;" },"</f>
        <v>{ name: "Bottomless Pond Well", landmark: "Well", type: "", region: 1, level: "Surface", x: 685, y: -769, z: 17, details: "" },</v>
      </c>
    </row>
    <row r="3" spans="1:11" x14ac:dyDescent="0.2">
      <c r="A3" t="s">
        <v>1170</v>
      </c>
      <c r="C3" s="2">
        <v>1</v>
      </c>
      <c r="D3" s="2" t="s">
        <v>785</v>
      </c>
      <c r="E3" s="2">
        <v>-1036</v>
      </c>
      <c r="F3" s="2">
        <v>413</v>
      </c>
      <c r="G3" s="2">
        <v>35</v>
      </c>
      <c r="I3" t="str">
        <f>"{ name: "&amp;CHAR(34)&amp;A3&amp;CHAR(34)&amp;", landmark: "&amp;CHAR(34)&amp;"Well"&amp;CHAR(34)&amp;", type: "&amp;CHAR(34)&amp;B3&amp;CHAR(34)&amp;", region: "&amp;C3&amp;", level: "&amp;CHAR(34)&amp;D3&amp;CHAR(34)&amp;", x: "&amp;E3&amp;", y: "&amp;F3&amp;", z: "&amp;G3&amp;", details: "&amp;CHAR(34)&amp;H3&amp;CHAR(34)&amp;" },"</f>
        <v>{ name: "Carok Bridge Well", landmark: "Well", type: "", region: 1, level: "Surface", x: -1036, y: 413, z: 35, details: "" },</v>
      </c>
    </row>
    <row r="4" spans="1:11" x14ac:dyDescent="0.2">
      <c r="A4" s="21" t="s">
        <v>1381</v>
      </c>
      <c r="C4" s="2">
        <v>1</v>
      </c>
      <c r="D4" s="2" t="s">
        <v>785</v>
      </c>
      <c r="E4" s="2">
        <v>63</v>
      </c>
      <c r="F4" s="2">
        <v>550</v>
      </c>
      <c r="G4" s="2">
        <v>28</v>
      </c>
      <c r="I4" t="str">
        <f>"{ name: "&amp;CHAR(34)&amp;A4&amp;CHAR(34)&amp;", landmark: "&amp;CHAR(34)&amp;"Well"&amp;CHAR(34)&amp;", type: "&amp;CHAR(34)&amp;B4&amp;CHAR(34)&amp;", region: "&amp;C4&amp;", level: "&amp;CHAR(34)&amp;D4&amp;CHAR(34)&amp;", x: "&amp;E4&amp;", y: "&amp;F4&amp;", z: "&amp;G4&amp;", details: "&amp;CHAR(34)&amp;H4&amp;CHAR(34)&amp;" },"</f>
        <v>{ name: "Hyrule Castle Town Ruins Well", landmark: "Well", type: "", region: 1, level: "Surface", x: 63, y: 550, z: 28, details: "" },</v>
      </c>
    </row>
    <row r="5" spans="1:11" x14ac:dyDescent="0.2">
      <c r="A5" s="21" t="s">
        <v>1462</v>
      </c>
      <c r="C5" s="2">
        <v>1</v>
      </c>
      <c r="D5" s="2" t="s">
        <v>785</v>
      </c>
      <c r="E5" s="2">
        <v>-213</v>
      </c>
      <c r="F5" s="2">
        <v>133</v>
      </c>
      <c r="G5" s="2">
        <v>19</v>
      </c>
      <c r="I5" t="str">
        <f>"{ name: "&amp;CHAR(34)&amp;A5&amp;CHAR(34)&amp;", landmark: "&amp;CHAR(34)&amp;"Well"&amp;CHAR(34)&amp;", type: "&amp;CHAR(34)&amp;B5&amp;CHAR(34)&amp;", region: "&amp;C5&amp;", level: "&amp;CHAR(34)&amp;D5&amp;CHAR(34)&amp;", x: "&amp;E5&amp;", y: "&amp;F5&amp;", z: "&amp;G5&amp;", details: "&amp;CHAR(34)&amp;H5&amp;CHAR(34)&amp;" },"</f>
        <v>{ name: "Lookout Landing Well", landmark: "Well", type: "", region: 1, level: "Surface", x: -213, y: 133, z: 19, details: "" },</v>
      </c>
    </row>
    <row r="6" spans="1:11" x14ac:dyDescent="0.2">
      <c r="A6" s="21" t="s">
        <v>1474</v>
      </c>
      <c r="C6" s="2">
        <v>1</v>
      </c>
      <c r="D6" s="2" t="s">
        <v>785</v>
      </c>
      <c r="E6" s="2">
        <v>-70</v>
      </c>
      <c r="F6" s="2">
        <v>-162</v>
      </c>
      <c r="G6" s="2">
        <v>24</v>
      </c>
      <c r="I6" t="str">
        <f>"{ name: "&amp;CHAR(34)&amp;A6&amp;CHAR(34)&amp;", landmark: "&amp;CHAR(34)&amp;"Well"&amp;CHAR(34)&amp;", type: "&amp;CHAR(34)&amp;B6&amp;CHAR(34)&amp;", region: "&amp;C6&amp;", level: "&amp;CHAR(34)&amp;D6&amp;CHAR(34)&amp;", x: "&amp;E6&amp;", y: "&amp;F6&amp;", z: "&amp;G6&amp;", details: "&amp;CHAR(34)&amp;H6&amp;CHAR(34)&amp;" },"</f>
        <v>{ name: "Mabe Village Ruins Well", landmark: "Well", type: "", region: 1, level: "Surface", x: -70, y: -162, z: 24, details: "" },</v>
      </c>
    </row>
    <row r="7" spans="1:11" x14ac:dyDescent="0.2">
      <c r="A7" s="21" t="s">
        <v>1512</v>
      </c>
      <c r="C7" s="2">
        <v>1</v>
      </c>
      <c r="D7" s="2" t="s">
        <v>785</v>
      </c>
      <c r="E7" s="2">
        <v>-912</v>
      </c>
      <c r="F7" s="2">
        <v>328</v>
      </c>
      <c r="G7" s="2">
        <v>19</v>
      </c>
      <c r="I7" t="str">
        <f>"{ name: "&amp;CHAR(34)&amp;A7&amp;CHAR(34)&amp;", landmark: "&amp;CHAR(34)&amp;"Well"&amp;CHAR(34)&amp;", type: "&amp;CHAR(34)&amp;B7&amp;CHAR(34)&amp;", region: "&amp;C7&amp;", level: "&amp;CHAR(34)&amp;D7&amp;CHAR(34)&amp;", x: "&amp;E7&amp;", y: "&amp;F7&amp;", z: "&amp;G7&amp;", details: "&amp;CHAR(34)&amp;H7&amp;CHAR(34)&amp;" },"</f>
        <v>{ name: "Mount Gustaf Well", landmark: "Well", type: "", region: 1, level: "Surface", x: -912, y: 328, z: 19, details: "" },</v>
      </c>
    </row>
    <row r="8" spans="1:11" x14ac:dyDescent="0.2">
      <c r="A8" s="21" t="s">
        <v>1589</v>
      </c>
      <c r="C8" s="2">
        <v>1</v>
      </c>
      <c r="D8" s="2" t="s">
        <v>785</v>
      </c>
      <c r="E8" s="2">
        <v>788</v>
      </c>
      <c r="F8" s="2">
        <v>6</v>
      </c>
      <c r="G8" s="2">
        <v>31</v>
      </c>
      <c r="I8" t="str">
        <f>"{ name: "&amp;CHAR(34)&amp;A8&amp;CHAR(34)&amp;", landmark: "&amp;CHAR(34)&amp;"Well"&amp;CHAR(34)&amp;", type: "&amp;CHAR(34)&amp;B8&amp;CHAR(34)&amp;", region: "&amp;C8&amp;", level: "&amp;CHAR(34)&amp;D8&amp;CHAR(34)&amp;", x: "&amp;E8&amp;", y: "&amp;F8&amp;", z: "&amp;G8&amp;", details: "&amp;CHAR(34)&amp;H8&amp;CHAR(34)&amp;" },"</f>
        <v>{ name: "Rebonae Bridge Well", landmark: "Well", type: "", region: 1, level: "Surface", x: 788, y: 6, z: 31, details: "" },</v>
      </c>
    </row>
    <row r="9" spans="1:11" x14ac:dyDescent="0.2">
      <c r="A9" s="21" t="s">
        <v>1133</v>
      </c>
      <c r="C9" s="2">
        <v>2</v>
      </c>
      <c r="D9" s="2" t="s">
        <v>785</v>
      </c>
      <c r="E9" s="2">
        <v>-876</v>
      </c>
      <c r="F9" s="2">
        <v>-1100</v>
      </c>
      <c r="G9" s="2">
        <v>21</v>
      </c>
      <c r="I9" t="str">
        <f>"{ name: "&amp;CHAR(34)&amp;A9&amp;CHAR(34)&amp;", landmark: "&amp;CHAR(34)&amp;"Well"&amp;CHAR(34)&amp;", type: "&amp;CHAR(34)&amp;B9&amp;CHAR(34)&amp;", region: "&amp;C9&amp;", level: "&amp;CHAR(34)&amp;D9&amp;CHAR(34)&amp;", x: "&amp;E9&amp;", y: "&amp;F9&amp;", z: "&amp;G9&amp;", details: "&amp;CHAR(34)&amp;H9&amp;CHAR(34)&amp;" },"</f>
        <v>{ name: "Aquame Lake Well", landmark: "Well", type: "", region: 2, level: "Surface", x: -876, y: -1100, z: 21, details: "" },</v>
      </c>
    </row>
    <row r="10" spans="1:11" x14ac:dyDescent="0.2">
      <c r="A10" s="21" t="s">
        <v>1508</v>
      </c>
      <c r="C10" s="2">
        <v>2</v>
      </c>
      <c r="D10" s="2" t="s">
        <v>785</v>
      </c>
      <c r="E10" s="2">
        <v>-1313</v>
      </c>
      <c r="F10" s="2">
        <v>-625</v>
      </c>
      <c r="G10" s="2">
        <v>9</v>
      </c>
      <c r="H10" t="s">
        <v>3230</v>
      </c>
      <c r="I10" t="str">
        <f>"{ name: "&amp;CHAR(34)&amp;A10&amp;CHAR(34)&amp;", landmark: "&amp;CHAR(34)&amp;"Well"&amp;CHAR(34)&amp;", type: "&amp;CHAR(34)&amp;B10&amp;CHAR(34)&amp;", region: "&amp;C10&amp;", level: "&amp;CHAR(34)&amp;D10&amp;CHAR(34)&amp;", x: "&amp;E10&amp;", y: "&amp;F10&amp;", z: "&amp;G10&amp;", details: "&amp;CHAR(34)&amp;H10&amp;CHAR(34)&amp;" },"</f>
        <v>{ name: "Mount Daphnes Well", landmark: "Well", type: "", region: 2, level: "Surface", x: -1313, y: -625, z: 9, details: "CHASM" },</v>
      </c>
    </row>
    <row r="11" spans="1:11" x14ac:dyDescent="0.2">
      <c r="A11" s="21" t="s">
        <v>1551</v>
      </c>
      <c r="C11" s="2">
        <v>2</v>
      </c>
      <c r="D11" s="2" t="s">
        <v>785</v>
      </c>
      <c r="E11" s="2">
        <v>-1679</v>
      </c>
      <c r="F11" s="2">
        <v>-1351</v>
      </c>
      <c r="G11" s="2">
        <v>122</v>
      </c>
      <c r="I11" t="str">
        <f>"{ name: "&amp;CHAR(34)&amp;A11&amp;CHAR(34)&amp;", landmark: "&amp;CHAR(34)&amp;"Well"&amp;CHAR(34)&amp;", type: "&amp;CHAR(34)&amp;B11&amp;CHAR(34)&amp;", region: "&amp;C11&amp;", level: "&amp;CHAR(34)&amp;D11&amp;CHAR(34)&amp;", x: "&amp;E11&amp;", y: "&amp;F11&amp;", z: "&amp;G11&amp;", details: "&amp;CHAR(34)&amp;H11&amp;CHAR(34)&amp;" },"</f>
        <v>{ name: "Outskirt Hill Well", landmark: "Well", type: "", region: 2, level: "Surface", x: -1679, y: -1351, z: 122, details: "" },</v>
      </c>
    </row>
    <row r="12" spans="1:11" x14ac:dyDescent="0.2">
      <c r="A12" s="21" t="s">
        <v>1553</v>
      </c>
      <c r="C12" s="2">
        <v>2</v>
      </c>
      <c r="D12" s="2" t="s">
        <v>785</v>
      </c>
      <c r="E12" s="2">
        <v>-1458</v>
      </c>
      <c r="F12" s="2">
        <v>-1295</v>
      </c>
      <c r="G12" s="2">
        <v>32</v>
      </c>
      <c r="I12" t="str">
        <f>"{ name: "&amp;CHAR(34)&amp;A12&amp;CHAR(34)&amp;", landmark: "&amp;CHAR(34)&amp;"Well"&amp;CHAR(34)&amp;", type: "&amp;CHAR(34)&amp;B12&amp;CHAR(34)&amp;", region: "&amp;C12&amp;", level: "&amp;CHAR(34)&amp;D12&amp;CHAR(34)&amp;", x: "&amp;E12&amp;", y: "&amp;F12&amp;", z: "&amp;G12&amp;", details: "&amp;CHAR(34)&amp;H12&amp;CHAR(34)&amp;" },"</f>
        <v>{ name: "Outskirt Stable Well", landmark: "Well", type: "", region: 2, level: "Surface", x: -1458, y: -1295, z: 32, details: "" },</v>
      </c>
    </row>
    <row r="13" spans="1:11" x14ac:dyDescent="0.2">
      <c r="A13" s="21" t="s">
        <v>1607</v>
      </c>
      <c r="C13" s="2">
        <v>2</v>
      </c>
      <c r="D13" s="2" t="s">
        <v>785</v>
      </c>
      <c r="E13" s="2">
        <v>363</v>
      </c>
      <c r="F13" s="2">
        <v>-1125</v>
      </c>
      <c r="G13" s="2">
        <v>10</v>
      </c>
      <c r="I13" t="str">
        <f>"{ name: "&amp;CHAR(34)&amp;A13&amp;CHAR(34)&amp;", landmark: "&amp;CHAR(34)&amp;"Well"&amp;CHAR(34)&amp;", type: "&amp;CHAR(34)&amp;B13&amp;CHAR(34)&amp;", region: "&amp;C13&amp;", level: "&amp;CHAR(34)&amp;D13&amp;CHAR(34)&amp;", x: "&amp;E13&amp;", y: "&amp;F13&amp;", z: "&amp;G13&amp;", details: "&amp;CHAR(34)&amp;H13&amp;CHAR(34)&amp;" },"</f>
        <v>{ name: "Riverside Stable Well", landmark: "Well", type: "", region: 2, level: "Surface", x: 363, y: -1125, z: 10, details: "" },</v>
      </c>
    </row>
    <row r="14" spans="1:11" x14ac:dyDescent="0.2">
      <c r="A14" s="21" t="s">
        <v>1392</v>
      </c>
      <c r="C14" s="2">
        <v>3</v>
      </c>
      <c r="D14" s="2" t="s">
        <v>785</v>
      </c>
      <c r="E14" s="2">
        <v>-910</v>
      </c>
      <c r="F14" s="2">
        <v>1617</v>
      </c>
      <c r="G14" s="2">
        <v>106</v>
      </c>
      <c r="I14" t="str">
        <f>"{ name: "&amp;CHAR(34)&amp;A14&amp;CHAR(34)&amp;", landmark: "&amp;CHAR(34)&amp;"Well"&amp;CHAR(34)&amp;", type: "&amp;CHAR(34)&amp;B14&amp;CHAR(34)&amp;", region: "&amp;C14&amp;", level: "&amp;CHAR(34)&amp;D14&amp;CHAR(34)&amp;", x: "&amp;E14&amp;", y: "&amp;F14&amp;", z: "&amp;G14&amp;", details: "&amp;CHAR(34)&amp;H14&amp;CHAR(34)&amp;" },"</f>
        <v>{ name: "Irch Plain Well", landmark: "Well", type: "", region: 3, level: "Surface", x: -910, y: 1617, z: 106, details: "" },</v>
      </c>
    </row>
    <row r="15" spans="1:11" x14ac:dyDescent="0.2">
      <c r="A15" s="21" t="s">
        <v>1482</v>
      </c>
      <c r="C15" s="2">
        <v>3</v>
      </c>
      <c r="D15" s="2" t="s">
        <v>785</v>
      </c>
      <c r="E15" s="2">
        <v>-1811</v>
      </c>
      <c r="F15" s="2">
        <v>1620</v>
      </c>
      <c r="G15" s="2">
        <v>106</v>
      </c>
      <c r="I15" t="str">
        <f>"{ name: "&amp;CHAR(34)&amp;A15&amp;CHAR(34)&amp;", landmark: "&amp;CHAR(34)&amp;"Well"&amp;CHAR(34)&amp;", type: "&amp;CHAR(34)&amp;B15&amp;CHAR(34)&amp;", region: "&amp;C15&amp;", level: "&amp;CHAR(34)&amp;D15&amp;CHAR(34)&amp;", x: "&amp;E15&amp;", y: "&amp;F15&amp;", z: "&amp;G15&amp;", details: "&amp;CHAR(34)&amp;H15&amp;CHAR(34)&amp;" },"</f>
        <v>{ name: "Maritta Exchange Ruins Well", landmark: "Well", type: "", region: 3, level: "Surface", x: -1811, y: 1620, z: 106, details: "" },</v>
      </c>
    </row>
    <row r="16" spans="1:11" x14ac:dyDescent="0.2">
      <c r="A16" s="21" t="s">
        <v>1530</v>
      </c>
      <c r="C16" s="2">
        <v>3</v>
      </c>
      <c r="D16" s="2" t="s">
        <v>785</v>
      </c>
      <c r="E16" s="2">
        <v>-1359</v>
      </c>
      <c r="F16" s="2">
        <v>702</v>
      </c>
      <c r="G16" s="2">
        <v>85</v>
      </c>
      <c r="I16" t="str">
        <f>"{ name: "&amp;CHAR(34)&amp;A16&amp;CHAR(34)&amp;", landmark: "&amp;CHAR(34)&amp;"Well"&amp;CHAR(34)&amp;", type: "&amp;CHAR(34)&amp;B16&amp;CHAR(34)&amp;", region: "&amp;C16&amp;", level: "&amp;CHAR(34)&amp;D16&amp;CHAR(34)&amp;", x: "&amp;E16&amp;", y: "&amp;F16&amp;", z: "&amp;G16&amp;", details: "&amp;CHAR(34)&amp;H16&amp;CHAR(34)&amp;" },"</f>
        <v>{ name: "New Serenne Stable Well", landmark: "Well", type: "", region: 3, level: "Surface", x: -1359, y: 702, z: 85, details: "" },</v>
      </c>
    </row>
    <row r="17" spans="1:9" x14ac:dyDescent="0.2">
      <c r="A17" s="21" t="s">
        <v>1686</v>
      </c>
      <c r="C17" s="2">
        <v>3</v>
      </c>
      <c r="D17" s="2" t="s">
        <v>785</v>
      </c>
      <c r="E17" s="2">
        <v>-2359</v>
      </c>
      <c r="F17" s="2">
        <v>1875</v>
      </c>
      <c r="G17" s="2">
        <v>278</v>
      </c>
      <c r="I17" t="str">
        <f>"{ name: "&amp;CHAR(34)&amp;A17&amp;CHAR(34)&amp;", landmark: "&amp;CHAR(34)&amp;"Well"&amp;CHAR(34)&amp;", type: "&amp;CHAR(34)&amp;B17&amp;CHAR(34)&amp;", region: "&amp;C17&amp;", level: "&amp;CHAR(34)&amp;D17&amp;CHAR(34)&amp;", x: "&amp;E17&amp;", y: "&amp;F17&amp;", z: "&amp;G17&amp;", details: "&amp;CHAR(34)&amp;H17&amp;CHAR(34)&amp;" },"</f>
        <v>{ name: "Tabantha Village Ruins Well", landmark: "Well", type: "", region: 3, level: "Surface", x: -2359, y: 1875, z: 278, details: "" },</v>
      </c>
    </row>
    <row r="18" spans="1:9" x14ac:dyDescent="0.2">
      <c r="A18" s="21" t="s">
        <v>1230</v>
      </c>
      <c r="C18" s="2">
        <v>4</v>
      </c>
      <c r="D18" s="2" t="s">
        <v>785</v>
      </c>
      <c r="E18" s="2">
        <v>-3831</v>
      </c>
      <c r="F18" s="2">
        <v>2107</v>
      </c>
      <c r="G18" s="2">
        <v>141</v>
      </c>
      <c r="I18" t="str">
        <f>"{ name: "&amp;CHAR(34)&amp;A18&amp;CHAR(34)&amp;", landmark: "&amp;CHAR(34)&amp;"Well"&amp;CHAR(34)&amp;", type: "&amp;CHAR(34)&amp;B18&amp;CHAR(34)&amp;", region: "&amp;C18&amp;", level: "&amp;CHAR(34)&amp;D18&amp;CHAR(34)&amp;", x: "&amp;E18&amp;", y: "&amp;F18&amp;", z: "&amp;G18&amp;", details: "&amp;CHAR(34)&amp;H18&amp;CHAR(34)&amp;" },"</f>
        <v>{ name: "Dronoc's Pass Well", landmark: "Well", type: "", region: 4, level: "Surface", x: -3831, y: 2107, z: 141, details: "" },</v>
      </c>
    </row>
    <row r="19" spans="1:9" x14ac:dyDescent="0.2">
      <c r="A19" s="21" t="s">
        <v>1651</v>
      </c>
      <c r="C19" s="2">
        <v>5</v>
      </c>
      <c r="D19" s="2" t="s">
        <v>785</v>
      </c>
      <c r="E19" s="2">
        <v>-1675</v>
      </c>
      <c r="F19" s="2">
        <v>2584</v>
      </c>
      <c r="G19" s="2">
        <v>234</v>
      </c>
      <c r="I19" t="str">
        <f>"{ name: "&amp;CHAR(34)&amp;A19&amp;CHAR(34)&amp;", landmark: "&amp;CHAR(34)&amp;"Well"&amp;CHAR(34)&amp;", type: "&amp;CHAR(34)&amp;B19&amp;CHAR(34)&amp;", region: "&amp;C19&amp;", level: "&amp;CHAR(34)&amp;D19&amp;CHAR(34)&amp;", x: "&amp;E19&amp;", y: "&amp;F19&amp;", z: "&amp;G19&amp;", details: "&amp;CHAR(34)&amp;H19&amp;CHAR(34)&amp;" },"</f>
        <v>{ name: "Snowfield Stable Well", landmark: "Well", type: "", region: 5, level: "Surface", x: -1675, y: 2584, z: 234, details: "" },</v>
      </c>
    </row>
    <row r="20" spans="1:9" x14ac:dyDescent="0.2">
      <c r="A20" s="21" t="s">
        <v>1261</v>
      </c>
      <c r="C20" s="2">
        <v>6</v>
      </c>
      <c r="D20" s="2" t="s">
        <v>785</v>
      </c>
      <c r="E20" s="2">
        <v>-670</v>
      </c>
      <c r="F20" s="2">
        <v>1354</v>
      </c>
      <c r="G20" s="2">
        <v>88</v>
      </c>
      <c r="I20" t="str">
        <f>"{ name: "&amp;CHAR(34)&amp;A20&amp;CHAR(34)&amp;", landmark: "&amp;CHAR(34)&amp;"Well"&amp;CHAR(34)&amp;", type: "&amp;CHAR(34)&amp;B20&amp;CHAR(34)&amp;", region: "&amp;C20&amp;", level: "&amp;CHAR(34)&amp;D20&amp;CHAR(34)&amp;", x: "&amp;E20&amp;", y: "&amp;F20&amp;", z: "&amp;G20&amp;", details: "&amp;CHAR(34)&amp;H20&amp;CHAR(34)&amp;" },"</f>
        <v>{ name: "Elma Knolls Well", landmark: "Well", type: "", region: 6, level: "Surface", x: -670, y: 1354, z: 88, details: "" },</v>
      </c>
    </row>
    <row r="21" spans="1:9" x14ac:dyDescent="0.2">
      <c r="A21" s="21" t="s">
        <v>1587</v>
      </c>
      <c r="C21" s="2">
        <v>6</v>
      </c>
      <c r="D21" s="2" t="s">
        <v>785</v>
      </c>
      <c r="E21" s="2">
        <v>664</v>
      </c>
      <c r="F21" s="2">
        <v>1269</v>
      </c>
      <c r="G21" s="2">
        <v>40</v>
      </c>
      <c r="I21" t="str">
        <f>"{ name: "&amp;CHAR(34)&amp;A21&amp;CHAR(34)&amp;", landmark: "&amp;CHAR(34)&amp;"Well"&amp;CHAR(34)&amp;", type: "&amp;CHAR(34)&amp;B21&amp;CHAR(34)&amp;", region: "&amp;C21&amp;", level: "&amp;CHAR(34)&amp;D21&amp;CHAR(34)&amp;", x: "&amp;E21&amp;", y: "&amp;F21&amp;", z: "&amp;G21&amp;", details: "&amp;CHAR(34)&amp;H21&amp;CHAR(34)&amp;" },"</f>
        <v>{ name: "Rauru Settlement Ruins Well", landmark: "Well", type: "", region: 6, level: "Surface", x: 664, y: 1269, z: 40, details: "" },</v>
      </c>
    </row>
    <row r="22" spans="1:9" x14ac:dyDescent="0.2">
      <c r="A22" s="21" t="s">
        <v>1615</v>
      </c>
      <c r="C22" s="2">
        <v>6</v>
      </c>
      <c r="D22" s="2" t="s">
        <v>785</v>
      </c>
      <c r="E22" s="2">
        <v>-1069</v>
      </c>
      <c r="F22" s="2">
        <v>2326</v>
      </c>
      <c r="G22" s="2">
        <v>99</v>
      </c>
      <c r="H22" t="s">
        <v>3230</v>
      </c>
      <c r="I22" t="str">
        <f>"{ name: "&amp;CHAR(34)&amp;A22&amp;CHAR(34)&amp;", landmark: "&amp;CHAR(34)&amp;"Well"&amp;CHAR(34)&amp;", type: "&amp;CHAR(34)&amp;B22&amp;CHAR(34)&amp;", region: "&amp;C22&amp;", level: "&amp;CHAR(34)&amp;D22&amp;CHAR(34)&amp;", x: "&amp;E22&amp;", y: "&amp;F22&amp;", z: "&amp;G22&amp;", details: "&amp;CHAR(34)&amp;H22&amp;CHAR(34)&amp;" },"</f>
        <v>{ name: "Rowan Plain Well", landmark: "Well", type: "", region: 6, level: "Surface", x: -1069, y: 2326, z: 99, details: "CHASM" },</v>
      </c>
    </row>
    <row r="23" spans="1:9" x14ac:dyDescent="0.2">
      <c r="A23" s="21" t="s">
        <v>1284</v>
      </c>
      <c r="C23" s="2">
        <v>7</v>
      </c>
      <c r="D23" s="2" t="s">
        <v>785</v>
      </c>
      <c r="E23" s="2">
        <v>2620</v>
      </c>
      <c r="F23" s="2">
        <v>1172</v>
      </c>
      <c r="G23" s="2">
        <v>147</v>
      </c>
      <c r="I23" t="str">
        <f>"{ name: "&amp;CHAR(34)&amp;A23&amp;CHAR(34)&amp;", landmark: "&amp;CHAR(34)&amp;"Well"&amp;CHAR(34)&amp;", type: "&amp;CHAR(34)&amp;B23&amp;CHAR(34)&amp;", region: "&amp;C23&amp;", level: "&amp;CHAR(34)&amp;D23&amp;CHAR(34)&amp;", x: "&amp;E23&amp;", y: "&amp;F23&amp;", z: "&amp;G23&amp;", details: "&amp;CHAR(34)&amp;H23&amp;CHAR(34)&amp;" },"</f>
        <v>{ name: "Foothill Stable Well", landmark: "Well", type: "", region: 7, level: "Surface", x: 2620, y: 1172, z: 147, details: "" },</v>
      </c>
    </row>
    <row r="24" spans="1:9" x14ac:dyDescent="0.2">
      <c r="A24" s="21" t="s">
        <v>1643</v>
      </c>
      <c r="C24" s="2">
        <v>7</v>
      </c>
      <c r="D24" s="2" t="s">
        <v>785</v>
      </c>
      <c r="E24" s="2">
        <v>3058</v>
      </c>
      <c r="F24" s="2">
        <v>2314</v>
      </c>
      <c r="G24" s="2">
        <v>334</v>
      </c>
      <c r="I24" t="str">
        <f>"{ name: "&amp;CHAR(34)&amp;A24&amp;CHAR(34)&amp;", landmark: "&amp;CHAR(34)&amp;"Well"&amp;CHAR(34)&amp;", type: "&amp;CHAR(34)&amp;B24&amp;CHAR(34)&amp;", region: "&amp;C24&amp;", level: "&amp;CHAR(34)&amp;D24&amp;CHAR(34)&amp;", x: "&amp;E24&amp;", y: "&amp;F24&amp;", z: "&amp;G24&amp;", details: "&amp;CHAR(34)&amp;H24&amp;CHAR(34)&amp;" },"</f>
        <v>{ name: "Shadow Hamlet Ruins Well", landmark: "Well", type: "", region: 7, level: "Surface", x: 3058, y: 2314, z: 334, details: "" },</v>
      </c>
    </row>
    <row r="25" spans="1:9" x14ac:dyDescent="0.2">
      <c r="A25" s="21" t="s">
        <v>1755</v>
      </c>
      <c r="C25" s="2">
        <v>7</v>
      </c>
      <c r="D25" s="2" t="s">
        <v>785</v>
      </c>
      <c r="E25" s="2">
        <v>1084</v>
      </c>
      <c r="F25" s="2">
        <v>1159</v>
      </c>
      <c r="G25" s="2">
        <v>2</v>
      </c>
      <c r="I25" t="str">
        <f>"{ name: "&amp;CHAR(34)&amp;A25&amp;CHAR(34)&amp;", landmark: "&amp;CHAR(34)&amp;"Well"&amp;CHAR(34)&amp;", type: "&amp;CHAR(34)&amp;B25&amp;CHAR(34)&amp;", region: "&amp;C25&amp;", level: "&amp;CHAR(34)&amp;D25&amp;CHAR(34)&amp;", x: "&amp;E25&amp;", y: "&amp;F25&amp;", z: "&amp;G25&amp;", details: "&amp;CHAR(34)&amp;H25&amp;CHAR(34)&amp;" },"</f>
        <v>{ name: "Woodland Stable Well", landmark: "Well", type: "", region: 7, level: "Surface", x: 1084, y: 1159, z: 2, details: "" },</v>
      </c>
    </row>
    <row r="26" spans="1:9" x14ac:dyDescent="0.2">
      <c r="A26" s="21" t="s">
        <v>1184</v>
      </c>
      <c r="C26" s="2">
        <v>8</v>
      </c>
      <c r="D26" s="2" t="s">
        <v>785</v>
      </c>
      <c r="E26" s="2">
        <v>3718</v>
      </c>
      <c r="F26" s="2">
        <v>1585</v>
      </c>
      <c r="G26" s="2">
        <v>89</v>
      </c>
      <c r="I26" t="str">
        <f>"{ name: "&amp;CHAR(34)&amp;A26&amp;CHAR(34)&amp;", landmark: "&amp;CHAR(34)&amp;"Well"&amp;CHAR(34)&amp;", type: "&amp;CHAR(34)&amp;B26&amp;CHAR(34)&amp;", region: "&amp;C26&amp;", level: "&amp;CHAR(34)&amp;D26&amp;CHAR(34)&amp;", x: "&amp;E26&amp;", y: "&amp;F26&amp;", z: "&amp;G26&amp;", details: "&amp;CHAR(34)&amp;H26&amp;CHAR(34)&amp;" },"</f>
        <v>{ name: "Construction Site Well", landmark: "Well", type: "", region: 8, level: "Surface", x: 3718, y: 1585, z: 89, details: "" },</v>
      </c>
    </row>
    <row r="27" spans="1:9" x14ac:dyDescent="0.2">
      <c r="A27" s="21" t="s">
        <v>1239</v>
      </c>
      <c r="C27" s="2">
        <v>8</v>
      </c>
      <c r="D27" s="2" t="s">
        <v>785</v>
      </c>
      <c r="E27" s="2">
        <v>4234</v>
      </c>
      <c r="F27" s="2">
        <v>2780</v>
      </c>
      <c r="G27" s="2">
        <v>126</v>
      </c>
      <c r="I27" t="str">
        <f>"{ name: "&amp;CHAR(34)&amp;A27&amp;CHAR(34)&amp;", landmark: "&amp;CHAR(34)&amp;"Well"&amp;CHAR(34)&amp;", type: "&amp;CHAR(34)&amp;B27&amp;CHAR(34)&amp;", region: "&amp;C27&amp;", level: "&amp;CHAR(34)&amp;D27&amp;CHAR(34)&amp;", x: "&amp;E27&amp;", y: "&amp;F27&amp;", z: "&amp;G27&amp;", details: "&amp;CHAR(34)&amp;H27&amp;CHAR(34)&amp;" },"</f>
        <v>{ name: "East Akkala Stable Well", landmark: "Well", type: "", region: 8, level: "Surface", x: 4234, y: 2780, z: 126, details: "" },</v>
      </c>
    </row>
    <row r="28" spans="1:9" x14ac:dyDescent="0.2">
      <c r="A28" s="21" t="s">
        <v>1655</v>
      </c>
      <c r="C28" s="2">
        <v>8</v>
      </c>
      <c r="D28" s="2" t="s">
        <v>785</v>
      </c>
      <c r="E28" s="2">
        <v>3190</v>
      </c>
      <c r="F28" s="2">
        <v>1713</v>
      </c>
      <c r="G28" s="2">
        <v>201</v>
      </c>
      <c r="I28" t="str">
        <f>"{ name: "&amp;CHAR(34)&amp;A28&amp;CHAR(34)&amp;", landmark: "&amp;CHAR(34)&amp;"Well"&amp;CHAR(34)&amp;", type: "&amp;CHAR(34)&amp;B28&amp;CHAR(34)&amp;", region: "&amp;C28&amp;", level: "&amp;CHAR(34)&amp;D28&amp;CHAR(34)&amp;", x: "&amp;E28&amp;", y: "&amp;F28&amp;", z: "&amp;G28&amp;", details: "&amp;CHAR(34)&amp;H28&amp;CHAR(34)&amp;" },"</f>
        <v>{ name: "South Akkala Stable Well", landmark: "Well", type: "", region: 8, level: "Surface", x: 3190, y: 1713, z: 201, details: "" },</v>
      </c>
    </row>
    <row r="29" spans="1:9" x14ac:dyDescent="0.2">
      <c r="A29" s="21" t="s">
        <v>1680</v>
      </c>
      <c r="C29" s="2">
        <v>9</v>
      </c>
      <c r="D29" s="2" t="s">
        <v>785</v>
      </c>
      <c r="E29" s="2">
        <v>2743</v>
      </c>
      <c r="F29" s="2">
        <v>172</v>
      </c>
      <c r="G29" s="2">
        <v>130</v>
      </c>
      <c r="I29" t="str">
        <f>"{ name: "&amp;CHAR(34)&amp;A29&amp;CHAR(34)&amp;", landmark: "&amp;CHAR(34)&amp;"Well"&amp;CHAR(34)&amp;", type: "&amp;CHAR(34)&amp;B29&amp;CHAR(34)&amp;", region: "&amp;C29&amp;", level: "&amp;CHAR(34)&amp;D29&amp;CHAR(34)&amp;", x: "&amp;E29&amp;", y: "&amp;F29&amp;", z: "&amp;G29&amp;", details: "&amp;CHAR(34)&amp;H29&amp;CHAR(34)&amp;" },"</f>
        <v>{ name: "Tabahl Woods Well", landmark: "Well", type: "", region: 9, level: "Surface", x: 2743, y: 172, z: 130, details: "" },</v>
      </c>
    </row>
    <row r="30" spans="1:9" x14ac:dyDescent="0.2">
      <c r="A30" s="21" t="s">
        <v>1316</v>
      </c>
      <c r="C30" s="2">
        <v>10</v>
      </c>
      <c r="D30" s="2" t="s">
        <v>785</v>
      </c>
      <c r="E30" s="2">
        <v>1528</v>
      </c>
      <c r="F30" s="2">
        <v>-330</v>
      </c>
      <c r="G30" s="2">
        <v>9</v>
      </c>
      <c r="I30" t="str">
        <f>"{ name: "&amp;CHAR(34)&amp;A30&amp;CHAR(34)&amp;", landmark: "&amp;CHAR(34)&amp;"Well"&amp;CHAR(34)&amp;", type: "&amp;CHAR(34)&amp;B30&amp;CHAR(34)&amp;", region: "&amp;C30&amp;", level: "&amp;CHAR(34)&amp;D30&amp;CHAR(34)&amp;", x: "&amp;E30&amp;", y: "&amp;F30&amp;", z: "&amp;G30&amp;", details: "&amp;CHAR(34)&amp;H30&amp;CHAR(34)&amp;" },"</f>
        <v>{ name: "Goponga Village Ruins Well", landmark: "Well", type: "", region: 10, level: "Surface", x: 1528, y: -330, z: 9, details: "" },</v>
      </c>
    </row>
    <row r="31" spans="1:9" x14ac:dyDescent="0.2">
      <c r="A31" s="21" t="s">
        <v>1400</v>
      </c>
      <c r="C31" s="2">
        <v>10</v>
      </c>
      <c r="D31" s="2" t="s">
        <v>785</v>
      </c>
      <c r="E31" s="2">
        <v>1876</v>
      </c>
      <c r="F31" s="2">
        <v>-1040</v>
      </c>
      <c r="G31" s="2">
        <v>123</v>
      </c>
      <c r="I31" t="str">
        <f>"{ name: "&amp;CHAR(34)&amp;A31&amp;CHAR(34)&amp;", landmark: "&amp;CHAR(34)&amp;"Well"&amp;CHAR(34)&amp;", type: "&amp;CHAR(34)&amp;B31&amp;CHAR(34)&amp;", region: "&amp;C31&amp;", level: "&amp;CHAR(34)&amp;D31&amp;CHAR(34)&amp;", x: "&amp;E31&amp;", y: "&amp;F31&amp;", z: "&amp;G31&amp;", details: "&amp;CHAR(34)&amp;H31&amp;CHAR(34)&amp;" },"</f>
        <v>{ name: "Kakariko Village Well", landmark: "Well", type: "", region: 10, level: "Surface", x: 1876, y: -1040, z: 123, details: "" },</v>
      </c>
    </row>
    <row r="32" spans="1:9" x14ac:dyDescent="0.2">
      <c r="A32" s="21" t="s">
        <v>1443</v>
      </c>
      <c r="C32" s="2">
        <v>10</v>
      </c>
      <c r="D32" s="2" t="s">
        <v>785</v>
      </c>
      <c r="E32" s="2">
        <v>1222</v>
      </c>
      <c r="F32" s="2">
        <v>-396</v>
      </c>
      <c r="G32" s="2">
        <v>10</v>
      </c>
      <c r="I32" t="str">
        <f>"{ name: "&amp;CHAR(34)&amp;A32&amp;CHAR(34)&amp;", landmark: "&amp;CHAR(34)&amp;"Well"&amp;CHAR(34)&amp;", type: "&amp;CHAR(34)&amp;B32&amp;CHAR(34)&amp;", region: "&amp;C32&amp;", level: "&amp;CHAR(34)&amp;D32&amp;CHAR(34)&amp;", x: "&amp;E32&amp;", y: "&amp;F32&amp;", z: "&amp;G32&amp;", details: "&amp;CHAR(34)&amp;H32&amp;CHAR(34)&amp;" },"</f>
        <v>{ name: "Lanayru Wetlands Well", landmark: "Well", type: "", region: 10, level: "Surface", x: 1222, y: -396, z: 10, details: "" },</v>
      </c>
    </row>
    <row r="33" spans="1:9" x14ac:dyDescent="0.2">
      <c r="A33" s="21" t="s">
        <v>1506</v>
      </c>
      <c r="C33" s="2">
        <v>10</v>
      </c>
      <c r="D33" s="2" t="s">
        <v>785</v>
      </c>
      <c r="E33" s="2">
        <v>1541</v>
      </c>
      <c r="F33" s="2">
        <v>171</v>
      </c>
      <c r="G33" s="2">
        <v>10</v>
      </c>
      <c r="I33" t="str">
        <f>"{ name: "&amp;CHAR(34)&amp;A33&amp;CHAR(34)&amp;", landmark: "&amp;CHAR(34)&amp;"Well"&amp;CHAR(34)&amp;", type: "&amp;CHAR(34)&amp;B33&amp;CHAR(34)&amp;", region: "&amp;C33&amp;", level: "&amp;CHAR(34)&amp;D33&amp;CHAR(34)&amp;", x: "&amp;E33&amp;", y: "&amp;F33&amp;", z: "&amp;G33&amp;", details: "&amp;CHAR(34)&amp;H33&amp;CHAR(34)&amp;" },"</f>
        <v>{ name: "Moor Garrison Ruins Well", landmark: "Well", type: "", region: 10, level: "Surface", x: 1541, y: 171, z: 10, details: "" },</v>
      </c>
    </row>
    <row r="34" spans="1:9" x14ac:dyDescent="0.2">
      <c r="A34" s="21" t="s">
        <v>1598</v>
      </c>
      <c r="C34" s="2">
        <v>10</v>
      </c>
      <c r="D34" s="2" t="s">
        <v>785</v>
      </c>
      <c r="E34" s="2">
        <v>1718</v>
      </c>
      <c r="F34" s="2">
        <v>-654</v>
      </c>
      <c r="G34" s="2">
        <v>23</v>
      </c>
      <c r="I34" t="str">
        <f>"{ name: "&amp;CHAR(34)&amp;A34&amp;CHAR(34)&amp;", landmark: "&amp;CHAR(34)&amp;"Well"&amp;CHAR(34)&amp;", type: "&amp;CHAR(34)&amp;B34&amp;CHAR(34)&amp;", region: "&amp;C34&amp;", level: "&amp;CHAR(34)&amp;D34&amp;CHAR(34)&amp;", x: "&amp;E34&amp;", y: "&amp;F34&amp;", z: "&amp;G34&amp;", details: "&amp;CHAR(34)&amp;H34&amp;CHAR(34)&amp;" },"</f>
        <v>{ name: "Rikoka Hills Well", landmark: "Well", type: "", region: 10, level: "Surface", x: 1718, y: -654, z: 23, details: "" },</v>
      </c>
    </row>
    <row r="35" spans="1:9" x14ac:dyDescent="0.2">
      <c r="A35" s="21" t="s">
        <v>1749</v>
      </c>
      <c r="C35" s="2">
        <v>10</v>
      </c>
      <c r="D35" s="2" t="s">
        <v>785</v>
      </c>
      <c r="E35" s="2">
        <v>860</v>
      </c>
      <c r="F35" s="2">
        <v>-262</v>
      </c>
      <c r="G35" s="2">
        <v>26</v>
      </c>
      <c r="I35" t="str">
        <f>"{ name: "&amp;CHAR(34)&amp;A35&amp;CHAR(34)&amp;", landmark: "&amp;CHAR(34)&amp;"Well"&amp;CHAR(34)&amp;", type: "&amp;CHAR(34)&amp;B35&amp;CHAR(34)&amp;", region: "&amp;C35&amp;", level: "&amp;CHAR(34)&amp;D35&amp;CHAR(34)&amp;", x: "&amp;E35&amp;", y: "&amp;F35&amp;", z: "&amp;G35&amp;", details: "&amp;CHAR(34)&amp;H35&amp;CHAR(34)&amp;" },"</f>
        <v>{ name: "Wetland Stable South Well", landmark: "Well", type: "", region: 10, level: "Surface", x: 860, y: -262, z: 26, details: "" },</v>
      </c>
    </row>
    <row r="36" spans="1:9" x14ac:dyDescent="0.2">
      <c r="A36" s="21" t="s">
        <v>1750</v>
      </c>
      <c r="C36" s="2">
        <v>10</v>
      </c>
      <c r="D36" s="2" t="s">
        <v>785</v>
      </c>
      <c r="E36" s="2">
        <v>884</v>
      </c>
      <c r="F36" s="2">
        <v>-194</v>
      </c>
      <c r="G36" s="2">
        <v>27</v>
      </c>
      <c r="I36" t="str">
        <f>"{ name: "&amp;CHAR(34)&amp;A36&amp;CHAR(34)&amp;", landmark: "&amp;CHAR(34)&amp;"Well"&amp;CHAR(34)&amp;", type: "&amp;CHAR(34)&amp;B36&amp;CHAR(34)&amp;", region: "&amp;C36&amp;", level: "&amp;CHAR(34)&amp;D36&amp;CHAR(34)&amp;", x: "&amp;E36&amp;", y: "&amp;F36&amp;", z: "&amp;G36&amp;", details: "&amp;CHAR(34)&amp;H36&amp;CHAR(34)&amp;" },"</f>
        <v>{ name: "Wetland Stable Well", landmark: "Well", type: "", region: 10, level: "Surface", x: 884, y: -194, z: 27, details: "" },</v>
      </c>
    </row>
    <row r="37" spans="1:9" x14ac:dyDescent="0.2">
      <c r="A37" s="21" t="s">
        <v>1759</v>
      </c>
      <c r="C37" s="2">
        <v>10</v>
      </c>
      <c r="D37" s="2" t="s">
        <v>785</v>
      </c>
      <c r="E37" s="2">
        <v>1438</v>
      </c>
      <c r="F37" s="2">
        <v>-137</v>
      </c>
      <c r="G37" s="2">
        <v>10</v>
      </c>
      <c r="I37" t="str">
        <f>"{ name: "&amp;CHAR(34)&amp;A37&amp;CHAR(34)&amp;", landmark: "&amp;CHAR(34)&amp;"Well"&amp;CHAR(34)&amp;", type: "&amp;CHAR(34)&amp;B37&amp;CHAR(34)&amp;", region: "&amp;C37&amp;", level: "&amp;CHAR(34)&amp;D37&amp;CHAR(34)&amp;", x: "&amp;E37&amp;", y: "&amp;F37&amp;", z: "&amp;G37&amp;", details: "&amp;CHAR(34)&amp;H37&amp;CHAR(34)&amp;" },"</f>
        <v>{ name: "Zauz Island Well", landmark: "Well", type: "", region: 10, level: "Surface", x: 1438, y: -137, z: 10, details: "" },</v>
      </c>
    </row>
    <row r="38" spans="1:9" x14ac:dyDescent="0.2">
      <c r="A38" s="21" t="s">
        <v>1347</v>
      </c>
      <c r="C38" s="2">
        <v>11</v>
      </c>
      <c r="D38" s="2" t="s">
        <v>785</v>
      </c>
      <c r="E38" s="2">
        <v>3512</v>
      </c>
      <c r="F38" s="2">
        <v>-2151</v>
      </c>
      <c r="G38" s="2">
        <v>129</v>
      </c>
      <c r="I38" t="str">
        <f>"{ name: "&amp;CHAR(34)&amp;A38&amp;CHAR(34)&amp;", landmark: "&amp;CHAR(34)&amp;"Well"&amp;CHAR(34)&amp;", type: "&amp;CHAR(34)&amp;B38&amp;CHAR(34)&amp;", region: "&amp;C38&amp;", level: "&amp;CHAR(34)&amp;D38&amp;CHAR(34)&amp;", x: "&amp;E38&amp;", y: "&amp;F38&amp;", z: "&amp;G38&amp;", details: "&amp;CHAR(34)&amp;H38&amp;CHAR(34)&amp;" },"</f>
        <v>{ name: "Hateno Village East Well", landmark: "Well", type: "", region: 11, level: "Surface", x: 3512, y: -2151, z: 129, details: "" },</v>
      </c>
    </row>
    <row r="39" spans="1:9" x14ac:dyDescent="0.2">
      <c r="A39" s="21" t="s">
        <v>1348</v>
      </c>
      <c r="C39" s="2">
        <v>11</v>
      </c>
      <c r="D39" s="2" t="s">
        <v>785</v>
      </c>
      <c r="E39" s="2">
        <v>3418</v>
      </c>
      <c r="F39" s="2">
        <v>-2031</v>
      </c>
      <c r="G39" s="2">
        <v>136</v>
      </c>
      <c r="I39" t="str">
        <f>"{ name: "&amp;CHAR(34)&amp;A39&amp;CHAR(34)&amp;", landmark: "&amp;CHAR(34)&amp;"Well"&amp;CHAR(34)&amp;", type: "&amp;CHAR(34)&amp;B39&amp;CHAR(34)&amp;", region: "&amp;C39&amp;", level: "&amp;CHAR(34)&amp;D39&amp;CHAR(34)&amp;", x: "&amp;E39&amp;", y: "&amp;F39&amp;", z: "&amp;G39&amp;", details: "&amp;CHAR(34)&amp;H39&amp;CHAR(34)&amp;" },"</f>
        <v>{ name: "Hateno Village North Well", landmark: "Well", type: "", region: 11, level: "Surface", x: 3418, y: -2031, z: 136, details: "" },</v>
      </c>
    </row>
    <row r="40" spans="1:9" x14ac:dyDescent="0.2">
      <c r="A40" s="21" t="s">
        <v>1349</v>
      </c>
      <c r="C40" s="2">
        <v>11</v>
      </c>
      <c r="D40" s="2" t="s">
        <v>785</v>
      </c>
      <c r="E40" s="2">
        <v>3381</v>
      </c>
      <c r="F40" s="2">
        <v>-2209</v>
      </c>
      <c r="G40" s="2">
        <v>135</v>
      </c>
      <c r="I40" t="str">
        <f>"{ name: "&amp;CHAR(34)&amp;A40&amp;CHAR(34)&amp;", landmark: "&amp;CHAR(34)&amp;"Well"&amp;CHAR(34)&amp;", type: "&amp;CHAR(34)&amp;B40&amp;CHAR(34)&amp;", region: "&amp;C40&amp;", level: "&amp;CHAR(34)&amp;D40&amp;CHAR(34)&amp;", x: "&amp;E40&amp;", y: "&amp;F40&amp;", z: "&amp;G40&amp;", details: "&amp;CHAR(34)&amp;H40&amp;CHAR(34)&amp;" },"</f>
        <v>{ name: "Hateno Village South Well", landmark: "Well", type: "", region: 11, level: "Surface", x: 3381, y: -2209, z: 135, details: "" },</v>
      </c>
    </row>
    <row r="41" spans="1:9" x14ac:dyDescent="0.2">
      <c r="A41" s="21" t="s">
        <v>1350</v>
      </c>
      <c r="C41" s="2">
        <v>11</v>
      </c>
      <c r="D41" s="2" t="s">
        <v>785</v>
      </c>
      <c r="E41" s="2">
        <v>3355</v>
      </c>
      <c r="F41" s="2">
        <v>-2047</v>
      </c>
      <c r="G41" s="2">
        <v>117</v>
      </c>
      <c r="I41" t="str">
        <f>"{ name: "&amp;CHAR(34)&amp;A41&amp;CHAR(34)&amp;", landmark: "&amp;CHAR(34)&amp;"Well"&amp;CHAR(34)&amp;", type: "&amp;CHAR(34)&amp;B41&amp;CHAR(34)&amp;", region: "&amp;C41&amp;", level: "&amp;CHAR(34)&amp;D41&amp;CHAR(34)&amp;", x: "&amp;E41&amp;", y: "&amp;F41&amp;", z: "&amp;G41&amp;", details: "&amp;CHAR(34)&amp;H41&amp;CHAR(34)&amp;" },"</f>
        <v>{ name: "Hateno Village West Well", landmark: "Well", type: "", region: 11, level: "Surface", x: 3355, y: -2047, z: 117, details: "" },</v>
      </c>
    </row>
    <row r="42" spans="1:9" x14ac:dyDescent="0.2">
      <c r="A42" s="21" t="s">
        <v>1760</v>
      </c>
      <c r="C42" s="2">
        <v>11</v>
      </c>
      <c r="D42" s="2" t="s">
        <v>785</v>
      </c>
      <c r="E42" s="2">
        <v>3302</v>
      </c>
      <c r="F42" s="2">
        <v>-2298</v>
      </c>
      <c r="G42" s="2">
        <v>130</v>
      </c>
      <c r="I42" t="str">
        <f>"{ name: "&amp;CHAR(34)&amp;A42&amp;CHAR(34)&amp;", landmark: "&amp;CHAR(34)&amp;"Well"&amp;CHAR(34)&amp;", type: "&amp;CHAR(34)&amp;B42&amp;CHAR(34)&amp;", region: "&amp;C42&amp;", level: "&amp;CHAR(34)&amp;D42&amp;CHAR(34)&amp;", x: "&amp;E42&amp;", y: "&amp;F42&amp;", z: "&amp;G42&amp;", details: "&amp;CHAR(34)&amp;H42&amp;CHAR(34)&amp;" },"</f>
        <v>{ name: "Zelda's Secret Well", landmark: "Well", type: "", region: 11, level: "Surface", x: 3302, y: -2298, z: 130, details: "" },</v>
      </c>
    </row>
    <row r="43" spans="1:9" x14ac:dyDescent="0.2">
      <c r="A43" s="21" t="s">
        <v>1234</v>
      </c>
      <c r="C43" s="2">
        <v>12</v>
      </c>
      <c r="D43" s="2" t="s">
        <v>785</v>
      </c>
      <c r="E43" s="2">
        <v>1790</v>
      </c>
      <c r="F43" s="2">
        <v>-1948</v>
      </c>
      <c r="G43" s="2">
        <v>10</v>
      </c>
      <c r="I43" t="str">
        <f>"{ name: "&amp;CHAR(34)&amp;A43&amp;CHAR(34)&amp;", landmark: "&amp;CHAR(34)&amp;"Well"&amp;CHAR(34)&amp;", type: "&amp;CHAR(34)&amp;B43&amp;CHAR(34)&amp;", region: "&amp;C43&amp;", level: "&amp;CHAR(34)&amp;D43&amp;CHAR(34)&amp;", x: "&amp;E43&amp;", y: "&amp;F43&amp;", z: "&amp;G43&amp;", details: "&amp;CHAR(34)&amp;H43&amp;CHAR(34)&amp;" },"</f>
        <v>{ name: "Dueling Peaks Stable Well", landmark: "Well", type: "", region: 12, level: "Surface", x: 1790, y: -1948, z: 10, details: "" },</v>
      </c>
    </row>
    <row r="44" spans="1:9" x14ac:dyDescent="0.2">
      <c r="A44" s="21" t="s">
        <v>1469</v>
      </c>
      <c r="C44" s="2">
        <v>12</v>
      </c>
      <c r="D44" s="2" t="s">
        <v>785</v>
      </c>
      <c r="E44" s="2">
        <v>2941</v>
      </c>
      <c r="F44" s="2">
        <v>-3375</v>
      </c>
      <c r="G44" s="2">
        <v>12</v>
      </c>
      <c r="I44" t="str">
        <f>"{ name: "&amp;CHAR(34)&amp;A44&amp;CHAR(34)&amp;", landmark: "&amp;CHAR(34)&amp;"Well"&amp;CHAR(34)&amp;", type: "&amp;CHAR(34)&amp;B44&amp;CHAR(34)&amp;", region: "&amp;C44&amp;", level: "&amp;CHAR(34)&amp;D44&amp;CHAR(34)&amp;", x: "&amp;E44&amp;", y: "&amp;F44&amp;", z: "&amp;G44&amp;", details: "&amp;CHAR(34)&amp;H44&amp;CHAR(34)&amp;" },"</f>
        <v>{ name: "Lurelin Village Well", landmark: "Well", type: "", region: 12, level: "Surface", x: 2941, y: -3375, z: 12, details: "" },</v>
      </c>
    </row>
    <row r="45" spans="1:9" x14ac:dyDescent="0.2">
      <c r="A45" s="21" t="s">
        <v>1215</v>
      </c>
      <c r="C45" s="2">
        <v>13</v>
      </c>
      <c r="D45" s="2" t="s">
        <v>785</v>
      </c>
      <c r="E45" s="2">
        <v>423</v>
      </c>
      <c r="F45" s="2">
        <v>-2040</v>
      </c>
      <c r="G45" s="2">
        <v>9</v>
      </c>
      <c r="I45" t="str">
        <f>"{ name: "&amp;CHAR(34)&amp;A45&amp;CHAR(34)&amp;", landmark: "&amp;CHAR(34)&amp;"Well"&amp;CHAR(34)&amp;", type: "&amp;CHAR(34)&amp;B45&amp;CHAR(34)&amp;", region: "&amp;C45&amp;", level: "&amp;CHAR(34)&amp;D45&amp;CHAR(34)&amp;", x: "&amp;E45&amp;", y: "&amp;F45&amp;", z: "&amp;G45&amp;", details: "&amp;CHAR(34)&amp;H45&amp;CHAR(34)&amp;" },"</f>
        <v>{ name: "Deya Village Ruins East Well", landmark: "Well", type: "", region: 13, level: "Surface", x: 423, y: -2040, z: 9, details: "" },</v>
      </c>
    </row>
    <row r="46" spans="1:9" x14ac:dyDescent="0.2">
      <c r="A46" s="21" t="s">
        <v>1216</v>
      </c>
      <c r="C46" s="2">
        <v>13</v>
      </c>
      <c r="D46" s="2" t="s">
        <v>785</v>
      </c>
      <c r="E46" s="2">
        <v>317</v>
      </c>
      <c r="F46" s="2">
        <v>-1853</v>
      </c>
      <c r="G46" s="2">
        <v>9</v>
      </c>
      <c r="I46" t="str">
        <f>"{ name: "&amp;CHAR(34)&amp;A46&amp;CHAR(34)&amp;", landmark: "&amp;CHAR(34)&amp;"Well"&amp;CHAR(34)&amp;", type: "&amp;CHAR(34)&amp;B46&amp;CHAR(34)&amp;", region: "&amp;C46&amp;", level: "&amp;CHAR(34)&amp;D46&amp;CHAR(34)&amp;", x: "&amp;E46&amp;", y: "&amp;F46&amp;", z: "&amp;G46&amp;", details: "&amp;CHAR(34)&amp;H46&amp;CHAR(34)&amp;" },"</f>
        <v>{ name: "Deya Village Ruins North Well", landmark: "Well", type: "", region: 13, level: "Surface", x: 317, y: -1853, z: 9, details: "" },</v>
      </c>
    </row>
    <row r="47" spans="1:9" x14ac:dyDescent="0.2">
      <c r="A47" s="21" t="s">
        <v>1217</v>
      </c>
      <c r="C47" s="2">
        <v>13</v>
      </c>
      <c r="D47" s="2" t="s">
        <v>785</v>
      </c>
      <c r="E47" s="2">
        <v>343</v>
      </c>
      <c r="F47" s="2">
        <v>-2095</v>
      </c>
      <c r="G47" s="2">
        <v>27</v>
      </c>
      <c r="I47" t="str">
        <f>"{ name: "&amp;CHAR(34)&amp;A47&amp;CHAR(34)&amp;", landmark: "&amp;CHAR(34)&amp;"Well"&amp;CHAR(34)&amp;", type: "&amp;CHAR(34)&amp;B47&amp;CHAR(34)&amp;", region: "&amp;C47&amp;", level: "&amp;CHAR(34)&amp;D47&amp;CHAR(34)&amp;", x: "&amp;E47&amp;", y: "&amp;F47&amp;", z: "&amp;G47&amp;", details: "&amp;CHAR(34)&amp;H47&amp;CHAR(34)&amp;" },"</f>
        <v>{ name: "Deya Village Ruins South Well", landmark: "Well", type: "", region: 13, level: "Surface", x: 343, y: -2095, z: 27, details: "" },</v>
      </c>
    </row>
    <row r="48" spans="1:9" x14ac:dyDescent="0.2">
      <c r="A48" s="21" t="s">
        <v>1218</v>
      </c>
      <c r="C48" s="2">
        <v>13</v>
      </c>
      <c r="D48" s="2" t="s">
        <v>785</v>
      </c>
      <c r="E48" s="2">
        <v>323</v>
      </c>
      <c r="F48" s="2">
        <v>-1930</v>
      </c>
      <c r="G48" s="2">
        <v>11</v>
      </c>
      <c r="I48" t="str">
        <f>"{ name: "&amp;CHAR(34)&amp;A48&amp;CHAR(34)&amp;", landmark: "&amp;CHAR(34)&amp;"Well"&amp;CHAR(34)&amp;", type: "&amp;CHAR(34)&amp;B48&amp;CHAR(34)&amp;", region: "&amp;C48&amp;", level: "&amp;CHAR(34)&amp;D48&amp;CHAR(34)&amp;", x: "&amp;E48&amp;", y: "&amp;F48&amp;", z: "&amp;G48&amp;", details: "&amp;CHAR(34)&amp;H48&amp;CHAR(34)&amp;" },"</f>
        <v>{ name: "Deya Village Ruins Well", landmark: "Well", type: "", region: 13, level: "Surface", x: 323, y: -1930, z: 11, details: "" },</v>
      </c>
    </row>
    <row r="49" spans="1:9" x14ac:dyDescent="0.2">
      <c r="A49" s="21" t="s">
        <v>1338</v>
      </c>
      <c r="C49" s="2">
        <v>13</v>
      </c>
      <c r="D49" s="2" t="s">
        <v>785</v>
      </c>
      <c r="E49" s="2">
        <v>397</v>
      </c>
      <c r="F49" s="2">
        <v>-3389</v>
      </c>
      <c r="G49" s="2">
        <v>50</v>
      </c>
      <c r="I49" t="str">
        <f>"{ name: "&amp;CHAR(34)&amp;A49&amp;CHAR(34)&amp;", landmark: "&amp;CHAR(34)&amp;"Well"&amp;CHAR(34)&amp;", type: "&amp;CHAR(34)&amp;B49&amp;CHAR(34)&amp;", region: "&amp;C49&amp;", level: "&amp;CHAR(34)&amp;D49&amp;CHAR(34)&amp;", x: "&amp;E49&amp;", y: "&amp;F49&amp;", z: "&amp;G49&amp;", details: "&amp;CHAR(34)&amp;H49&amp;CHAR(34)&amp;" },"</f>
        <v>{ name: "Haran Lakefront Well", landmark: "Well", type: "", region: 13, level: "Surface", x: 397, y: -3389, z: 50, details: "" },</v>
      </c>
    </row>
    <row r="50" spans="1:9" x14ac:dyDescent="0.2">
      <c r="A50" s="21" t="s">
        <v>1371</v>
      </c>
      <c r="C50" s="2">
        <v>13</v>
      </c>
      <c r="D50" s="2" t="s">
        <v>785</v>
      </c>
      <c r="E50" s="2">
        <v>539</v>
      </c>
      <c r="F50" s="2">
        <v>-3429</v>
      </c>
      <c r="G50" s="2">
        <v>47</v>
      </c>
      <c r="I50" t="str">
        <f>"{ name: "&amp;CHAR(34)&amp;A50&amp;CHAR(34)&amp;", landmark: "&amp;CHAR(34)&amp;"Well"&amp;CHAR(34)&amp;", type: "&amp;CHAR(34)&amp;B50&amp;CHAR(34)&amp;", region: "&amp;C50&amp;", level: "&amp;CHAR(34)&amp;D50&amp;CHAR(34)&amp;", x: "&amp;E50&amp;", y: "&amp;F50&amp;", z: "&amp;G50&amp;", details: "&amp;CHAR(34)&amp;H50&amp;CHAR(34)&amp;" },"</f>
        <v>{ name: "Highland Stable Well", landmark: "Well", type: "", region: 13, level: "Surface", x: 539, y: -3429, z: 47, details: "" },</v>
      </c>
    </row>
    <row r="51" spans="1:9" x14ac:dyDescent="0.2">
      <c r="A51" s="21" t="s">
        <v>1372</v>
      </c>
      <c r="C51" s="2">
        <v>13</v>
      </c>
      <c r="D51" s="2" t="s">
        <v>785</v>
      </c>
      <c r="E51" s="2">
        <v>316</v>
      </c>
      <c r="F51" s="2">
        <v>-2124</v>
      </c>
      <c r="G51" s="2">
        <v>45</v>
      </c>
      <c r="I51" t="str">
        <f>"{ name: "&amp;CHAR(34)&amp;A51&amp;CHAR(34)&amp;", landmark: "&amp;CHAR(34)&amp;"Well"&amp;CHAR(34)&amp;", type: "&amp;CHAR(34)&amp;B51&amp;CHAR(34)&amp;", region: "&amp;C51&amp;", level: "&amp;CHAR(34)&amp;D51&amp;CHAR(34)&amp;", x: "&amp;E51&amp;", y: "&amp;F51&amp;", z: "&amp;G51&amp;", details: "&amp;CHAR(34)&amp;H51&amp;CHAR(34)&amp;" },"</f>
        <v>{ name: "Hills of Baumer Well", landmark: "Well", type: "", region: 13, level: "Surface", x: 316, y: -2124, z: 45, details: "" },</v>
      </c>
    </row>
    <row r="52" spans="1:9" x14ac:dyDescent="0.2">
      <c r="A52" s="21" t="s">
        <v>1432</v>
      </c>
      <c r="C52" s="2">
        <v>13</v>
      </c>
      <c r="D52" s="2" t="s">
        <v>785</v>
      </c>
      <c r="E52" s="2">
        <v>1537</v>
      </c>
      <c r="F52" s="2">
        <v>-3551</v>
      </c>
      <c r="G52" s="2">
        <v>60</v>
      </c>
      <c r="I52" t="str">
        <f>"{ name: "&amp;CHAR(34)&amp;A52&amp;CHAR(34)&amp;", landmark: "&amp;CHAR(34)&amp;"Well"&amp;CHAR(34)&amp;", type: "&amp;CHAR(34)&amp;B52&amp;CHAR(34)&amp;", region: "&amp;C52&amp;", level: "&amp;CHAR(34)&amp;D52&amp;CHAR(34)&amp;", x: "&amp;E52&amp;", y: "&amp;F52&amp;", z: "&amp;G52&amp;", details: "&amp;CHAR(34)&amp;H52&amp;CHAR(34)&amp;" },"</f>
        <v>{ name: "Lakeside Stable Well", landmark: "Well", type: "", region: 13, level: "Surface", x: 1537, y: -3551, z: 60, details: "" },</v>
      </c>
    </row>
    <row r="53" spans="1:9" x14ac:dyDescent="0.2">
      <c r="A53" s="21" t="s">
        <v>1569</v>
      </c>
      <c r="C53" s="2">
        <v>13</v>
      </c>
      <c r="D53" s="2" t="s">
        <v>785</v>
      </c>
      <c r="E53" s="2">
        <v>597</v>
      </c>
      <c r="F53" s="2">
        <v>-2102</v>
      </c>
      <c r="G53" s="2">
        <v>93</v>
      </c>
      <c r="I53" t="str">
        <f>"{ name: "&amp;CHAR(34)&amp;A53&amp;CHAR(34)&amp;", landmark: "&amp;CHAR(34)&amp;"Well"&amp;CHAR(34)&amp;", type: "&amp;CHAR(34)&amp;B53&amp;CHAR(34)&amp;", region: "&amp;C53&amp;", level: "&amp;CHAR(34)&amp;D53&amp;CHAR(34)&amp;", x: "&amp;E53&amp;", y: "&amp;F53&amp;", z: "&amp;G53&amp;", details: "&amp;CHAR(34)&amp;H53&amp;CHAR(34)&amp;" },"</f>
        <v>{ name: "Popla Foothills North Well", landmark: "Well", type: "", region: 13, level: "Surface", x: 597, y: -2102, z: 93, details: "" },</v>
      </c>
    </row>
    <row r="54" spans="1:9" x14ac:dyDescent="0.2">
      <c r="A54" s="21" t="s">
        <v>1571</v>
      </c>
      <c r="C54" s="2">
        <v>13</v>
      </c>
      <c r="D54" s="2" t="s">
        <v>785</v>
      </c>
      <c r="E54" s="2">
        <v>603</v>
      </c>
      <c r="F54" s="2">
        <v>-2259</v>
      </c>
      <c r="G54" s="2">
        <v>51</v>
      </c>
      <c r="I54" t="str">
        <f>"{ name: "&amp;CHAR(34)&amp;A54&amp;CHAR(34)&amp;", landmark: "&amp;CHAR(34)&amp;"Well"&amp;CHAR(34)&amp;", type: "&amp;CHAR(34)&amp;B54&amp;CHAR(34)&amp;", region: "&amp;C54&amp;", level: "&amp;CHAR(34)&amp;D54&amp;CHAR(34)&amp;", x: "&amp;E54&amp;", y: "&amp;F54&amp;", z: "&amp;G54&amp;", details: "&amp;CHAR(34)&amp;H54&amp;CHAR(34)&amp;" },"</f>
        <v>{ name: "Popla Foothills South Well", landmark: "Well", type: "", region: 13, level: "Surface", x: 603, y: -2259, z: 51, details: "" },</v>
      </c>
    </row>
    <row r="55" spans="1:9" x14ac:dyDescent="0.2">
      <c r="A55" s="21" t="s">
        <v>1662</v>
      </c>
      <c r="C55" s="2">
        <v>13</v>
      </c>
      <c r="D55" s="2" t="s">
        <v>785</v>
      </c>
      <c r="E55" s="2">
        <v>783</v>
      </c>
      <c r="F55" s="2">
        <v>-1497</v>
      </c>
      <c r="G55" s="2">
        <v>21</v>
      </c>
      <c r="H55" t="s">
        <v>3230</v>
      </c>
      <c r="I55" t="str">
        <f>"{ name: "&amp;CHAR(34)&amp;A55&amp;CHAR(34)&amp;", landmark: "&amp;CHAR(34)&amp;"Well"&amp;CHAR(34)&amp;", type: "&amp;CHAR(34)&amp;B55&amp;CHAR(34)&amp;", region: "&amp;C55&amp;", level: "&amp;CHAR(34)&amp;D55&amp;CHAR(34)&amp;", x: "&amp;E55&amp;", y: "&amp;F55&amp;", z: "&amp;G55&amp;", details: "&amp;CHAR(34)&amp;H55&amp;CHAR(34)&amp;" },"</f>
        <v>{ name: "South Nabi Lake Well", landmark: "Well", type: "", region: 13, level: "Surface", x: 783, y: -1497, z: 21, details: "CHASM" },</v>
      </c>
    </row>
    <row r="56" spans="1:9" x14ac:dyDescent="0.2">
      <c r="A56" s="21" t="s">
        <v>1296</v>
      </c>
      <c r="C56" s="2">
        <v>14</v>
      </c>
      <c r="D56" s="2" t="s">
        <v>785</v>
      </c>
      <c r="E56" s="2">
        <v>-2817</v>
      </c>
      <c r="F56" s="2">
        <v>-2228</v>
      </c>
      <c r="G56" s="2">
        <v>29</v>
      </c>
      <c r="I56" t="str">
        <f>"{ name: "&amp;CHAR(34)&amp;A56&amp;CHAR(34)&amp;", landmark: "&amp;CHAR(34)&amp;"Well"&amp;CHAR(34)&amp;", type: "&amp;CHAR(34)&amp;B56&amp;CHAR(34)&amp;", region: "&amp;C56&amp;", level: "&amp;CHAR(34)&amp;D56&amp;CHAR(34)&amp;", x: "&amp;E56&amp;", y: "&amp;F56&amp;", z: "&amp;G56&amp;", details: "&amp;CHAR(34)&amp;H56&amp;CHAR(34)&amp;" },"</f>
        <v>{ name: "Gerudo Canyon Well", landmark: "Well", type: "", region: 14, level: "Surface", x: -2817, y: -2228, z: 29, details: "" },</v>
      </c>
    </row>
    <row r="57" spans="1:9" x14ac:dyDescent="0.2">
      <c r="A57" s="21" t="s">
        <v>1404</v>
      </c>
      <c r="C57" s="2">
        <v>14</v>
      </c>
      <c r="D57" s="2" t="s">
        <v>785</v>
      </c>
      <c r="E57" s="2">
        <v>-3254</v>
      </c>
      <c r="F57" s="2">
        <v>-2580</v>
      </c>
      <c r="G57" s="2">
        <v>23</v>
      </c>
      <c r="I57" t="str">
        <f>"{ name: "&amp;CHAR(34)&amp;A57&amp;CHAR(34)&amp;", landmark: "&amp;CHAR(34)&amp;"Well"&amp;CHAR(34)&amp;", type: "&amp;CHAR(34)&amp;B57&amp;CHAR(34)&amp;", region: "&amp;C57&amp;", level: "&amp;CHAR(34)&amp;D57&amp;CHAR(34)&amp;", x: "&amp;E57&amp;", y: "&amp;F57&amp;", z: "&amp;G57&amp;", details: "&amp;CHAR(34)&amp;H57&amp;CHAR(34)&amp;" },"</f>
        <v>{ name: "Kara Kara Bazaar Well", landmark: "Well", type: "", region: 14, level: "Surface", x: -3254, y: -2580, z: 23, details: "" },</v>
      </c>
    </row>
    <row r="58" spans="1:9" x14ac:dyDescent="0.2">
      <c r="A58" s="21" t="s">
        <v>1516</v>
      </c>
      <c r="C58" s="2">
        <v>14</v>
      </c>
      <c r="D58" s="2" t="s">
        <v>785</v>
      </c>
      <c r="E58" s="2">
        <v>-1722</v>
      </c>
      <c r="F58" s="2">
        <v>-2238</v>
      </c>
      <c r="G58" s="2">
        <v>36</v>
      </c>
      <c r="I58" t="str">
        <f>"{ name: "&amp;CHAR(34)&amp;A58&amp;CHAR(34)&amp;", landmark: "&amp;CHAR(34)&amp;"Well"&amp;CHAR(34)&amp;", type: "&amp;CHAR(34)&amp;B58&amp;CHAR(34)&amp;", region: "&amp;C58&amp;", level: "&amp;CHAR(34)&amp;D58&amp;CHAR(34)&amp;", x: "&amp;E58&amp;", y: "&amp;F58&amp;", z: "&amp;G58&amp;", details: "&amp;CHAR(34)&amp;H58&amp;CHAR(34)&amp;" },"</f>
        <v>{ name: "Mount Nabooru Well", landmark: "Well", type: "", region: 14, level: "Surface", x: -1722, y: -2238, z: 36, details: "" },</v>
      </c>
    </row>
    <row r="59" spans="1:9" x14ac:dyDescent="0.2">
      <c r="A59" t="s">
        <v>1682</v>
      </c>
      <c r="C59" s="2">
        <v>15</v>
      </c>
      <c r="D59" s="2" t="s">
        <v>785</v>
      </c>
      <c r="E59" s="2">
        <v>-2955</v>
      </c>
      <c r="F59" s="2">
        <v>-531</v>
      </c>
      <c r="G59" s="2">
        <v>169</v>
      </c>
      <c r="I59" t="str">
        <f>"{ name: "&amp;CHAR(34)&amp;A59&amp;CHAR(34)&amp;", landmark: "&amp;CHAR(34)&amp;"Well"&amp;CHAR(34)&amp;", type: "&amp;CHAR(34)&amp;B59&amp;CHAR(34)&amp;", region: "&amp;C59&amp;", level: "&amp;CHAR(34)&amp;D59&amp;CHAR(34)&amp;", x: "&amp;E59&amp;", y: "&amp;F59&amp;", z: "&amp;G59&amp;", details: "&amp;CHAR(34)&amp;H59&amp;CHAR(34)&amp;" },"</f>
        <v>{ name: "Tabantha Bridge Stable Well", landmark: "Well", type: "", region: 15, level: "Surface", x: -2955, y: -531, z: 169, details: "" },</v>
      </c>
    </row>
  </sheetData>
  <autoFilter ref="A1:I2" xr:uid="{A095D5C8-FF81-DA46-ADE3-61DE071C2139}">
    <sortState xmlns:xlrd2="http://schemas.microsoft.com/office/spreadsheetml/2017/richdata2" ref="A2:I59">
      <sortCondition ref="C1:C59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FD76B-4AB1-0A45-ADC8-B007EB785ED3}">
  <sheetPr codeName="Sheet23"/>
  <dimension ref="A1:J49"/>
  <sheetViews>
    <sheetView workbookViewId="0">
      <selection activeCell="A52" sqref="A52"/>
    </sheetView>
  </sheetViews>
  <sheetFormatPr baseColWidth="10" defaultRowHeight="16" x14ac:dyDescent="0.2"/>
  <cols>
    <col min="1" max="1" width="18.1640625" customWidth="1"/>
    <col min="2" max="2" width="12.33203125" bestFit="1" customWidth="1"/>
  </cols>
  <sheetData>
    <row r="1" spans="1:10" s="6" customFormat="1" x14ac:dyDescent="0.2">
      <c r="B1" s="6" t="s">
        <v>781</v>
      </c>
      <c r="C1" s="6" t="s">
        <v>2129</v>
      </c>
      <c r="D1" s="6" t="s">
        <v>2120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2127</v>
      </c>
      <c r="J1" s="6" t="s">
        <v>2121</v>
      </c>
    </row>
    <row r="2" spans="1:10" x14ac:dyDescent="0.2">
      <c r="A2" t="s">
        <v>2937</v>
      </c>
      <c r="B2" t="s">
        <v>1136</v>
      </c>
      <c r="C2" t="s">
        <v>847</v>
      </c>
      <c r="E2" t="s">
        <v>785</v>
      </c>
      <c r="F2">
        <v>-3628</v>
      </c>
      <c r="G2">
        <v>1792</v>
      </c>
      <c r="H2">
        <v>186</v>
      </c>
    </row>
    <row r="3" spans="1:10" x14ac:dyDescent="0.2">
      <c r="A3" t="s">
        <v>2938</v>
      </c>
      <c r="B3" t="s">
        <v>1136</v>
      </c>
      <c r="C3" t="s">
        <v>1009</v>
      </c>
      <c r="E3" t="s">
        <v>785</v>
      </c>
      <c r="F3">
        <v>1850</v>
      </c>
      <c r="G3">
        <v>-975</v>
      </c>
      <c r="H3">
        <v>119</v>
      </c>
    </row>
    <row r="4" spans="1:10" x14ac:dyDescent="0.2">
      <c r="A4" t="s">
        <v>2939</v>
      </c>
      <c r="B4" t="s">
        <v>1136</v>
      </c>
      <c r="C4" t="s">
        <v>1460</v>
      </c>
      <c r="E4" t="s">
        <v>785</v>
      </c>
      <c r="F4">
        <v>-207</v>
      </c>
      <c r="G4">
        <v>85</v>
      </c>
      <c r="H4">
        <v>19</v>
      </c>
    </row>
    <row r="5" spans="1:10" x14ac:dyDescent="0.2">
      <c r="A5" t="s">
        <v>2940</v>
      </c>
      <c r="B5" t="s">
        <v>1136</v>
      </c>
      <c r="E5" t="s">
        <v>2525</v>
      </c>
    </row>
    <row r="6" spans="1:10" x14ac:dyDescent="0.2">
      <c r="A6" t="s">
        <v>2941</v>
      </c>
      <c r="B6" t="s">
        <v>1136</v>
      </c>
      <c r="C6" t="s">
        <v>1403</v>
      </c>
      <c r="E6" t="s">
        <v>785</v>
      </c>
      <c r="F6">
        <v>-3273</v>
      </c>
      <c r="G6">
        <v>-2549</v>
      </c>
      <c r="H6">
        <v>23</v>
      </c>
    </row>
    <row r="7" spans="1:10" x14ac:dyDescent="0.2">
      <c r="A7" t="s">
        <v>2942</v>
      </c>
      <c r="B7" t="s">
        <v>1136</v>
      </c>
      <c r="E7" t="s">
        <v>2525</v>
      </c>
    </row>
    <row r="8" spans="1:10" x14ac:dyDescent="0.2">
      <c r="A8" t="s">
        <v>2962</v>
      </c>
      <c r="B8" t="s">
        <v>1292</v>
      </c>
      <c r="C8" t="s">
        <v>1301</v>
      </c>
      <c r="E8" t="s">
        <v>785</v>
      </c>
      <c r="F8">
        <v>-3821</v>
      </c>
      <c r="G8">
        <v>-2926</v>
      </c>
      <c r="H8">
        <v>43</v>
      </c>
    </row>
    <row r="9" spans="1:10" x14ac:dyDescent="0.2">
      <c r="A9" t="s">
        <v>2963</v>
      </c>
      <c r="B9" t="s">
        <v>1292</v>
      </c>
      <c r="C9" t="s">
        <v>1301</v>
      </c>
      <c r="E9" t="s">
        <v>785</v>
      </c>
      <c r="F9" t="s">
        <v>2525</v>
      </c>
      <c r="G9" t="s">
        <v>2525</v>
      </c>
      <c r="H9" t="s">
        <v>2525</v>
      </c>
    </row>
    <row r="10" spans="1:10" x14ac:dyDescent="0.2">
      <c r="A10" t="s">
        <v>2964</v>
      </c>
      <c r="B10" t="s">
        <v>1292</v>
      </c>
      <c r="C10" t="s">
        <v>1417</v>
      </c>
      <c r="E10" t="s">
        <v>785</v>
      </c>
      <c r="F10">
        <v>421</v>
      </c>
      <c r="G10">
        <v>2174</v>
      </c>
      <c r="H10">
        <v>153</v>
      </c>
    </row>
    <row r="11" spans="1:10" x14ac:dyDescent="0.2">
      <c r="A11" t="s">
        <v>2965</v>
      </c>
      <c r="B11" t="s">
        <v>1292</v>
      </c>
      <c r="C11" t="s">
        <v>1346</v>
      </c>
      <c r="E11" t="s">
        <v>785</v>
      </c>
      <c r="F11">
        <v>3357</v>
      </c>
      <c r="G11">
        <v>-2164</v>
      </c>
      <c r="H11">
        <v>120</v>
      </c>
    </row>
    <row r="12" spans="1:10" x14ac:dyDescent="0.2">
      <c r="A12" t="s">
        <v>2966</v>
      </c>
      <c r="B12" t="s">
        <v>1292</v>
      </c>
      <c r="C12" t="s">
        <v>1403</v>
      </c>
      <c r="E12" t="s">
        <v>785</v>
      </c>
      <c r="F12">
        <v>-3273</v>
      </c>
      <c r="G12">
        <v>-2564</v>
      </c>
      <c r="H12">
        <v>23</v>
      </c>
    </row>
    <row r="13" spans="1:10" x14ac:dyDescent="0.2">
      <c r="A13" t="s">
        <v>2967</v>
      </c>
      <c r="B13" t="s">
        <v>1292</v>
      </c>
      <c r="C13" t="s">
        <v>1301</v>
      </c>
      <c r="E13" t="s">
        <v>785</v>
      </c>
      <c r="F13">
        <v>-3849</v>
      </c>
      <c r="G13">
        <v>-2904</v>
      </c>
      <c r="H13">
        <v>43</v>
      </c>
    </row>
    <row r="14" spans="1:10" x14ac:dyDescent="0.2">
      <c r="A14" t="s">
        <v>2968</v>
      </c>
      <c r="B14" t="s">
        <v>1292</v>
      </c>
      <c r="C14" t="s">
        <v>1695</v>
      </c>
      <c r="E14" t="s">
        <v>785</v>
      </c>
      <c r="F14">
        <v>4003</v>
      </c>
      <c r="G14">
        <v>1633</v>
      </c>
      <c r="H14">
        <v>128</v>
      </c>
    </row>
    <row r="15" spans="1:10" x14ac:dyDescent="0.2">
      <c r="A15" t="s">
        <v>2969</v>
      </c>
      <c r="B15" t="s">
        <v>1292</v>
      </c>
      <c r="C15" t="s">
        <v>1468</v>
      </c>
      <c r="E15" t="s">
        <v>785</v>
      </c>
      <c r="F15">
        <v>2957</v>
      </c>
      <c r="G15">
        <v>-3493</v>
      </c>
      <c r="H15">
        <v>1</v>
      </c>
    </row>
    <row r="16" spans="1:10" x14ac:dyDescent="0.2">
      <c r="A16" t="s">
        <v>2970</v>
      </c>
      <c r="B16" t="s">
        <v>1292</v>
      </c>
      <c r="C16" t="s">
        <v>1009</v>
      </c>
      <c r="E16" t="s">
        <v>785</v>
      </c>
      <c r="F16">
        <v>1801</v>
      </c>
      <c r="G16">
        <v>-1026</v>
      </c>
      <c r="H16">
        <v>115</v>
      </c>
    </row>
    <row r="17" spans="1:8" x14ac:dyDescent="0.2">
      <c r="A17" t="s">
        <v>2971</v>
      </c>
      <c r="B17" t="s">
        <v>1292</v>
      </c>
      <c r="C17" t="s">
        <v>1403</v>
      </c>
      <c r="E17" t="s">
        <v>785</v>
      </c>
      <c r="F17">
        <v>-3261</v>
      </c>
      <c r="G17">
        <v>-2601</v>
      </c>
      <c r="H17">
        <v>26</v>
      </c>
    </row>
    <row r="18" spans="1:8" x14ac:dyDescent="0.2">
      <c r="A18" t="s">
        <v>2972</v>
      </c>
      <c r="B18" t="s">
        <v>1292</v>
      </c>
      <c r="C18" t="s">
        <v>1301</v>
      </c>
      <c r="E18" t="s">
        <v>785</v>
      </c>
      <c r="F18">
        <v>-3824</v>
      </c>
      <c r="G18">
        <v>-2878</v>
      </c>
      <c r="H18">
        <v>43</v>
      </c>
    </row>
    <row r="19" spans="1:8" x14ac:dyDescent="0.2">
      <c r="A19" t="s">
        <v>2973</v>
      </c>
      <c r="B19" t="s">
        <v>1292</v>
      </c>
      <c r="C19" t="s">
        <v>1403</v>
      </c>
      <c r="E19" t="s">
        <v>785</v>
      </c>
      <c r="F19">
        <v>-3271</v>
      </c>
      <c r="G19">
        <v>-2538</v>
      </c>
      <c r="H19">
        <v>23</v>
      </c>
    </row>
    <row r="20" spans="1:8" x14ac:dyDescent="0.2">
      <c r="A20" t="s">
        <v>2974</v>
      </c>
      <c r="B20" t="s">
        <v>1292</v>
      </c>
      <c r="C20" t="s">
        <v>1768</v>
      </c>
      <c r="E20" t="s">
        <v>785</v>
      </c>
      <c r="F20">
        <v>3319</v>
      </c>
      <c r="G20">
        <v>479</v>
      </c>
      <c r="H20">
        <v>139</v>
      </c>
    </row>
    <row r="21" spans="1:8" x14ac:dyDescent="0.2">
      <c r="A21" t="s">
        <v>2975</v>
      </c>
      <c r="B21" t="s">
        <v>1292</v>
      </c>
      <c r="C21" t="s">
        <v>1460</v>
      </c>
      <c r="E21" t="s">
        <v>785</v>
      </c>
      <c r="F21">
        <v>-210</v>
      </c>
      <c r="G21">
        <v>82</v>
      </c>
      <c r="H21">
        <v>19</v>
      </c>
    </row>
    <row r="22" spans="1:8" x14ac:dyDescent="0.2">
      <c r="A22" t="s">
        <v>2976</v>
      </c>
      <c r="B22" t="s">
        <v>1292</v>
      </c>
      <c r="C22" t="s">
        <v>1301</v>
      </c>
      <c r="E22" t="s">
        <v>785</v>
      </c>
      <c r="F22">
        <v>-3824</v>
      </c>
      <c r="G22">
        <v>-2936</v>
      </c>
      <c r="H22">
        <v>43</v>
      </c>
    </row>
    <row r="23" spans="1:8" x14ac:dyDescent="0.2">
      <c r="A23" t="s">
        <v>2977</v>
      </c>
      <c r="B23" t="s">
        <v>1292</v>
      </c>
      <c r="C23" t="s">
        <v>1319</v>
      </c>
      <c r="E23" t="s">
        <v>785</v>
      </c>
      <c r="F23">
        <v>1683</v>
      </c>
      <c r="G23">
        <v>2462</v>
      </c>
      <c r="H23">
        <v>385</v>
      </c>
    </row>
    <row r="24" spans="1:8" x14ac:dyDescent="0.2">
      <c r="A24" t="s">
        <v>2978</v>
      </c>
      <c r="B24" t="s">
        <v>1292</v>
      </c>
      <c r="C24" t="s">
        <v>1009</v>
      </c>
      <c r="E24" t="s">
        <v>785</v>
      </c>
      <c r="F24">
        <v>1819</v>
      </c>
      <c r="G24">
        <v>-1038</v>
      </c>
      <c r="H24">
        <v>116</v>
      </c>
    </row>
    <row r="25" spans="1:8" x14ac:dyDescent="0.2">
      <c r="A25" t="s">
        <v>2979</v>
      </c>
      <c r="B25" t="s">
        <v>1292</v>
      </c>
      <c r="C25" t="s">
        <v>847</v>
      </c>
      <c r="E25" t="s">
        <v>785</v>
      </c>
      <c r="F25">
        <v>-3639</v>
      </c>
      <c r="G25">
        <v>1818</v>
      </c>
      <c r="H25">
        <v>184</v>
      </c>
    </row>
    <row r="26" spans="1:8" x14ac:dyDescent="0.2">
      <c r="A26" t="s">
        <v>3029</v>
      </c>
      <c r="B26" t="s">
        <v>3030</v>
      </c>
      <c r="C26" t="s">
        <v>1468</v>
      </c>
      <c r="E26" t="s">
        <v>785</v>
      </c>
      <c r="F26" t="s">
        <v>2525</v>
      </c>
      <c r="G26" t="s">
        <v>2525</v>
      </c>
      <c r="H26" t="s">
        <v>2525</v>
      </c>
    </row>
    <row r="27" spans="1:8" x14ac:dyDescent="0.2">
      <c r="A27" t="s">
        <v>1156</v>
      </c>
      <c r="B27" t="s">
        <v>3030</v>
      </c>
      <c r="C27" t="s">
        <v>1695</v>
      </c>
      <c r="E27" t="s">
        <v>785</v>
      </c>
      <c r="F27">
        <v>3995</v>
      </c>
      <c r="G27">
        <v>1637</v>
      </c>
      <c r="H27">
        <v>130</v>
      </c>
    </row>
    <row r="28" spans="1:8" x14ac:dyDescent="0.2">
      <c r="A28" t="s">
        <v>1194</v>
      </c>
      <c r="B28" t="s">
        <v>3030</v>
      </c>
      <c r="C28" t="s">
        <v>790</v>
      </c>
      <c r="E28" t="s">
        <v>785</v>
      </c>
      <c r="F28">
        <v>-214</v>
      </c>
      <c r="G28">
        <v>194</v>
      </c>
      <c r="H28">
        <v>31</v>
      </c>
    </row>
    <row r="29" spans="1:8" x14ac:dyDescent="0.2">
      <c r="A29" t="s">
        <v>1194</v>
      </c>
      <c r="B29" t="s">
        <v>3030</v>
      </c>
      <c r="C29" t="s">
        <v>997</v>
      </c>
      <c r="E29" t="s">
        <v>783</v>
      </c>
      <c r="F29">
        <v>362</v>
      </c>
      <c r="G29">
        <v>-1651</v>
      </c>
      <c r="H29">
        <v>2298</v>
      </c>
    </row>
    <row r="30" spans="1:8" x14ac:dyDescent="0.2">
      <c r="A30" t="s">
        <v>3031</v>
      </c>
      <c r="B30" t="s">
        <v>3030</v>
      </c>
      <c r="C30" t="s">
        <v>1301</v>
      </c>
      <c r="E30" t="s">
        <v>785</v>
      </c>
      <c r="F30" t="s">
        <v>2525</v>
      </c>
      <c r="G30" t="s">
        <v>2525</v>
      </c>
      <c r="H30" t="s">
        <v>2525</v>
      </c>
    </row>
    <row r="31" spans="1:8" x14ac:dyDescent="0.2">
      <c r="A31" t="s">
        <v>1286</v>
      </c>
      <c r="B31" t="s">
        <v>3030</v>
      </c>
      <c r="C31" t="s">
        <v>1110</v>
      </c>
      <c r="E31" t="s">
        <v>785</v>
      </c>
      <c r="F31">
        <v>470</v>
      </c>
      <c r="G31">
        <v>-1686</v>
      </c>
      <c r="H31">
        <v>1371</v>
      </c>
    </row>
    <row r="32" spans="1:8" x14ac:dyDescent="0.2">
      <c r="A32" t="s">
        <v>1286</v>
      </c>
      <c r="B32" t="s">
        <v>3030</v>
      </c>
      <c r="C32" t="s">
        <v>1108</v>
      </c>
      <c r="E32" t="s">
        <v>785</v>
      </c>
      <c r="F32">
        <v>470</v>
      </c>
      <c r="G32">
        <v>-1686</v>
      </c>
      <c r="H32">
        <v>1371</v>
      </c>
    </row>
    <row r="33" spans="1:8" x14ac:dyDescent="0.2">
      <c r="A33" t="s">
        <v>1286</v>
      </c>
      <c r="B33" t="s">
        <v>3030</v>
      </c>
      <c r="C33" t="s">
        <v>1109</v>
      </c>
      <c r="E33" t="s">
        <v>785</v>
      </c>
      <c r="F33">
        <v>470</v>
      </c>
      <c r="G33">
        <v>-1686</v>
      </c>
      <c r="H33">
        <v>1371</v>
      </c>
    </row>
    <row r="34" spans="1:8" x14ac:dyDescent="0.2">
      <c r="A34" t="s">
        <v>1286</v>
      </c>
      <c r="B34" t="s">
        <v>3030</v>
      </c>
      <c r="C34" t="s">
        <v>1106</v>
      </c>
      <c r="E34" t="s">
        <v>785</v>
      </c>
      <c r="F34">
        <v>470</v>
      </c>
      <c r="G34">
        <v>-1686</v>
      </c>
      <c r="H34">
        <v>1371</v>
      </c>
    </row>
    <row r="35" spans="1:8" x14ac:dyDescent="0.2">
      <c r="A35" t="s">
        <v>1286</v>
      </c>
      <c r="B35" t="s">
        <v>3030</v>
      </c>
      <c r="C35" t="s">
        <v>1104</v>
      </c>
      <c r="E35" t="s">
        <v>785</v>
      </c>
      <c r="F35">
        <v>470</v>
      </c>
      <c r="G35">
        <v>-1686</v>
      </c>
      <c r="H35">
        <v>1371</v>
      </c>
    </row>
    <row r="36" spans="1:8" x14ac:dyDescent="0.2">
      <c r="A36" t="s">
        <v>1286</v>
      </c>
      <c r="B36" t="s">
        <v>3030</v>
      </c>
      <c r="C36" t="s">
        <v>1102</v>
      </c>
      <c r="E36" t="s">
        <v>785</v>
      </c>
      <c r="F36">
        <v>470</v>
      </c>
      <c r="G36">
        <v>-1686</v>
      </c>
      <c r="H36">
        <v>1371</v>
      </c>
    </row>
    <row r="37" spans="1:8" x14ac:dyDescent="0.2">
      <c r="A37" t="s">
        <v>1286</v>
      </c>
      <c r="B37" t="s">
        <v>3030</v>
      </c>
      <c r="C37" t="s">
        <v>997</v>
      </c>
      <c r="E37" t="s">
        <v>783</v>
      </c>
      <c r="F37">
        <v>470</v>
      </c>
      <c r="G37">
        <v>-1686</v>
      </c>
      <c r="H37">
        <v>1371</v>
      </c>
    </row>
    <row r="38" spans="1:8" x14ac:dyDescent="0.2">
      <c r="A38" t="s">
        <v>1286</v>
      </c>
      <c r="B38" t="s">
        <v>3030</v>
      </c>
      <c r="C38" t="s">
        <v>1325</v>
      </c>
      <c r="E38" t="s">
        <v>785</v>
      </c>
      <c r="F38">
        <v>470</v>
      </c>
      <c r="G38">
        <v>-1686</v>
      </c>
      <c r="H38">
        <v>1371</v>
      </c>
    </row>
    <row r="39" spans="1:8" x14ac:dyDescent="0.2">
      <c r="A39" t="s">
        <v>1286</v>
      </c>
      <c r="B39" t="s">
        <v>3030</v>
      </c>
      <c r="C39" t="s">
        <v>1107</v>
      </c>
      <c r="E39" t="s">
        <v>785</v>
      </c>
      <c r="F39">
        <v>470</v>
      </c>
      <c r="G39">
        <v>-1686</v>
      </c>
      <c r="H39">
        <v>1371</v>
      </c>
    </row>
    <row r="40" spans="1:8" x14ac:dyDescent="0.2">
      <c r="A40" t="s">
        <v>1286</v>
      </c>
      <c r="B40" t="s">
        <v>3030</v>
      </c>
      <c r="C40" t="s">
        <v>1103</v>
      </c>
      <c r="E40" t="s">
        <v>785</v>
      </c>
      <c r="F40">
        <v>470</v>
      </c>
      <c r="G40">
        <v>-1686</v>
      </c>
      <c r="H40">
        <v>1371</v>
      </c>
    </row>
    <row r="41" spans="1:8" x14ac:dyDescent="0.2">
      <c r="A41" t="s">
        <v>1286</v>
      </c>
      <c r="B41" t="s">
        <v>3030</v>
      </c>
      <c r="C41" t="s">
        <v>1105</v>
      </c>
      <c r="E41" t="s">
        <v>785</v>
      </c>
      <c r="F41">
        <v>470</v>
      </c>
      <c r="G41">
        <v>-1686</v>
      </c>
      <c r="H41">
        <v>1371</v>
      </c>
    </row>
    <row r="42" spans="1:8" x14ac:dyDescent="0.2">
      <c r="A42" t="s">
        <v>3032</v>
      </c>
      <c r="B42" t="s">
        <v>3030</v>
      </c>
      <c r="C42" t="s">
        <v>1301</v>
      </c>
      <c r="E42" t="s">
        <v>785</v>
      </c>
      <c r="F42" t="s">
        <v>2525</v>
      </c>
      <c r="G42" t="s">
        <v>2525</v>
      </c>
      <c r="H42" t="s">
        <v>2525</v>
      </c>
    </row>
    <row r="43" spans="1:8" x14ac:dyDescent="0.2">
      <c r="A43" t="s">
        <v>3033</v>
      </c>
      <c r="B43" t="s">
        <v>3030</v>
      </c>
      <c r="C43" t="s">
        <v>1346</v>
      </c>
      <c r="E43" t="s">
        <v>785</v>
      </c>
      <c r="F43" t="s">
        <v>2525</v>
      </c>
      <c r="G43" t="s">
        <v>2525</v>
      </c>
      <c r="H43" t="s">
        <v>2525</v>
      </c>
    </row>
    <row r="44" spans="1:8" x14ac:dyDescent="0.2">
      <c r="A44" t="s">
        <v>1466</v>
      </c>
      <c r="B44" t="s">
        <v>3030</v>
      </c>
      <c r="C44" t="s">
        <v>1468</v>
      </c>
      <c r="E44" t="s">
        <v>785</v>
      </c>
      <c r="F44">
        <v>2970</v>
      </c>
      <c r="G44">
        <v>-3378</v>
      </c>
      <c r="H44">
        <v>30</v>
      </c>
    </row>
    <row r="45" spans="1:8" x14ac:dyDescent="0.2">
      <c r="A45" t="s">
        <v>3034</v>
      </c>
      <c r="B45" t="s">
        <v>3030</v>
      </c>
      <c r="C45" t="s">
        <v>798</v>
      </c>
      <c r="E45" t="s">
        <v>785</v>
      </c>
      <c r="F45" t="s">
        <v>2525</v>
      </c>
      <c r="G45" t="s">
        <v>2525</v>
      </c>
      <c r="H45" t="s">
        <v>2525</v>
      </c>
    </row>
    <row r="46" spans="1:8" x14ac:dyDescent="0.2">
      <c r="A46" t="s">
        <v>1649</v>
      </c>
      <c r="B46" t="s">
        <v>3030</v>
      </c>
      <c r="C46" t="s">
        <v>3035</v>
      </c>
      <c r="E46" t="s">
        <v>785</v>
      </c>
      <c r="F46">
        <v>1356</v>
      </c>
      <c r="G46">
        <v>-3372</v>
      </c>
      <c r="H46">
        <v>-737</v>
      </c>
    </row>
    <row r="47" spans="1:8" x14ac:dyDescent="0.2">
      <c r="A47" t="s">
        <v>3036</v>
      </c>
      <c r="B47" t="s">
        <v>3030</v>
      </c>
      <c r="C47" t="s">
        <v>1301</v>
      </c>
      <c r="E47" t="s">
        <v>785</v>
      </c>
      <c r="F47" t="s">
        <v>2525</v>
      </c>
      <c r="G47" t="s">
        <v>2525</v>
      </c>
      <c r="H47" t="s">
        <v>2525</v>
      </c>
    </row>
    <row r="48" spans="1:8" x14ac:dyDescent="0.2">
      <c r="A48" t="s">
        <v>3037</v>
      </c>
      <c r="B48" t="s">
        <v>3030</v>
      </c>
      <c r="C48" t="s">
        <v>1301</v>
      </c>
      <c r="E48" t="s">
        <v>785</v>
      </c>
      <c r="F48" t="s">
        <v>2525</v>
      </c>
      <c r="G48" t="s">
        <v>2525</v>
      </c>
      <c r="H48" t="s">
        <v>2525</v>
      </c>
    </row>
    <row r="49" spans="1:8" x14ac:dyDescent="0.2">
      <c r="A49" t="s">
        <v>3038</v>
      </c>
      <c r="B49" t="s">
        <v>3030</v>
      </c>
      <c r="C49" t="s">
        <v>1301</v>
      </c>
      <c r="E49" t="s">
        <v>785</v>
      </c>
      <c r="F49" t="s">
        <v>2525</v>
      </c>
      <c r="G49" t="s">
        <v>2525</v>
      </c>
      <c r="H49" t="s">
        <v>2525</v>
      </c>
    </row>
  </sheetData>
  <autoFilter ref="A1:J2" xr:uid="{A095D5C8-FF81-DA46-ADE3-61DE071C2139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204C6-46E2-FB4F-A4E8-FB9DF35CB921}">
  <sheetPr codeName="Sheet28"/>
  <dimension ref="A1:I6"/>
  <sheetViews>
    <sheetView workbookViewId="0">
      <selection activeCell="C16" sqref="C16"/>
    </sheetView>
  </sheetViews>
  <sheetFormatPr baseColWidth="10" defaultRowHeight="16" x14ac:dyDescent="0.2"/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3039</v>
      </c>
      <c r="D2" t="e">
        <f>IF(#REF!="",IF(INT(G2)&lt;-200,"Depths",IF(INT(G2)&gt;700,"Sky","Surface")),"")</f>
        <v>#REF!</v>
      </c>
      <c r="E2" t="e">
        <f>IF(#REF!="",TEXT(LEFT(#REF!,FIND(",",#REF!)-1),"0000"),"")</f>
        <v>#REF!</v>
      </c>
      <c r="F2" t="e">
        <f>IF(#REF!="",TEXT(SUBSTITUTE(MID(#REF!,FIND(",",#REF!)+2,5),",",""),"0000"),"")</f>
        <v>#REF!</v>
      </c>
      <c r="G2" t="e">
        <f>IF(#REF!="",TEXT(RIGHT(#REF!,LEN(#REF!)-FIND(",",#REF!,7)-1),"0000"),"")</f>
        <v>#REF!</v>
      </c>
    </row>
    <row r="3" spans="1:9" x14ac:dyDescent="0.2">
      <c r="A3" t="s">
        <v>3040</v>
      </c>
    </row>
    <row r="4" spans="1:9" x14ac:dyDescent="0.2">
      <c r="A4" t="s">
        <v>3035</v>
      </c>
    </row>
    <row r="5" spans="1:9" x14ac:dyDescent="0.2">
      <c r="A5" t="s">
        <v>3041</v>
      </c>
    </row>
    <row r="6" spans="1:9" x14ac:dyDescent="0.2">
      <c r="A6" t="s">
        <v>3042</v>
      </c>
    </row>
  </sheetData>
  <autoFilter ref="A1:I2" xr:uid="{A095D5C8-FF81-DA46-ADE3-61DE071C213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08E21-B57A-C24F-B6A4-3683B74ECD1E}">
  <sheetPr codeName="Sheet22"/>
  <dimension ref="A1:J2"/>
  <sheetViews>
    <sheetView workbookViewId="0">
      <selection activeCell="A3" sqref="A3"/>
    </sheetView>
  </sheetViews>
  <sheetFormatPr baseColWidth="10" defaultRowHeight="16" x14ac:dyDescent="0.2"/>
  <cols>
    <col min="1" max="1" width="18.1640625" customWidth="1"/>
  </cols>
  <sheetData>
    <row r="1" spans="1:10" s="6" customFormat="1" x14ac:dyDescent="0.2">
      <c r="A1" s="6" t="s">
        <v>848</v>
      </c>
      <c r="B1" s="6" t="s">
        <v>781</v>
      </c>
      <c r="C1" s="6" t="s">
        <v>2129</v>
      </c>
      <c r="D1" s="6" t="s">
        <v>2120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2127</v>
      </c>
      <c r="J1" s="6" t="s">
        <v>2121</v>
      </c>
    </row>
    <row r="2" spans="1:10" x14ac:dyDescent="0.2">
      <c r="A2" t="s">
        <v>3232</v>
      </c>
      <c r="B2" t="str">
        <f t="shared" ref="B2" si="0">IF(A2="",A1,"")</f>
        <v/>
      </c>
      <c r="E2" t="str">
        <f>IF(A2="",IF(INT(H2)&lt;-200,"Depths",IF(INT(H2)&gt;700,"Sky","Surface")),"")</f>
        <v/>
      </c>
      <c r="F2" t="str">
        <f>IF(A2="",TEXT(LEFT(#REF!,FIND(",",#REF!)-1),"0000"),"")</f>
        <v/>
      </c>
      <c r="G2" t="str">
        <f>IF(A2="",TEXT(SUBSTITUTE(MID(#REF!,FIND(",",#REF!)+2,5),",",""),"0000"),"")</f>
        <v/>
      </c>
      <c r="H2" t="str">
        <f>IF(A2="",TEXT(RIGHT(#REF!,LEN(#REF!)-FIND(",",#REF!,7)-1),"0000"),"")</f>
        <v/>
      </c>
    </row>
  </sheetData>
  <autoFilter ref="A1:J2" xr:uid="{A095D5C8-FF81-DA46-ADE3-61DE071C2139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DD02C-AB99-BC4D-86A6-FC099779DCBC}">
  <sheetPr codeName="Sheet6"/>
  <dimension ref="A1:I3"/>
  <sheetViews>
    <sheetView tabSelected="1" workbookViewId="0">
      <selection activeCell="H3" sqref="H3"/>
    </sheetView>
  </sheetViews>
  <sheetFormatPr baseColWidth="10" defaultRowHeight="16" x14ac:dyDescent="0.2"/>
  <cols>
    <col min="1" max="1" width="19.164062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3233</v>
      </c>
      <c r="C2">
        <v>4</v>
      </c>
      <c r="D2" t="s">
        <v>783</v>
      </c>
      <c r="E2">
        <v>-4045</v>
      </c>
      <c r="F2">
        <v>3205</v>
      </c>
      <c r="G2">
        <v>444</v>
      </c>
    </row>
    <row r="3" spans="1:9" x14ac:dyDescent="0.2">
      <c r="A3" t="s">
        <v>3234</v>
      </c>
      <c r="C3">
        <v>5</v>
      </c>
      <c r="D3" t="s">
        <v>783</v>
      </c>
      <c r="E3">
        <v>-1369</v>
      </c>
      <c r="F3">
        <v>3576</v>
      </c>
      <c r="G3">
        <v>904</v>
      </c>
    </row>
  </sheetData>
  <autoFilter ref="A1:I2" xr:uid="{A095D5C8-FF81-DA46-ADE3-61DE071C2139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1B5D9-C0FB-9C4E-A9F5-0D114B9E73E7}">
  <sheetPr codeName="Sheet7"/>
  <dimension ref="A1:I6"/>
  <sheetViews>
    <sheetView workbookViewId="0">
      <selection activeCell="A6" sqref="A6"/>
    </sheetView>
  </sheetViews>
  <sheetFormatPr baseColWidth="10" defaultRowHeight="16" x14ac:dyDescent="0.2"/>
  <cols>
    <col min="1" max="1" width="21.1640625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3080</v>
      </c>
      <c r="C2">
        <v>5</v>
      </c>
      <c r="D2" t="s">
        <v>785</v>
      </c>
      <c r="E2">
        <v>1461</v>
      </c>
      <c r="F2">
        <v>2995</v>
      </c>
      <c r="G2">
        <v>305</v>
      </c>
    </row>
    <row r="3" spans="1:9" x14ac:dyDescent="0.2">
      <c r="A3" t="s">
        <v>3083</v>
      </c>
      <c r="C3">
        <v>6</v>
      </c>
      <c r="D3" t="s">
        <v>785</v>
      </c>
      <c r="E3">
        <v>920</v>
      </c>
      <c r="F3">
        <v>1381</v>
      </c>
      <c r="G3">
        <v>93</v>
      </c>
    </row>
    <row r="4" spans="1:9" x14ac:dyDescent="0.2">
      <c r="A4" t="s">
        <v>3081</v>
      </c>
      <c r="C4">
        <v>2</v>
      </c>
      <c r="D4" t="s">
        <v>785</v>
      </c>
      <c r="E4">
        <v>-1555</v>
      </c>
      <c r="F4">
        <v>-1237</v>
      </c>
      <c r="G4">
        <v>85</v>
      </c>
    </row>
    <row r="5" spans="1:9" x14ac:dyDescent="0.2">
      <c r="A5" t="s">
        <v>3082</v>
      </c>
      <c r="C5">
        <v>10</v>
      </c>
      <c r="D5" t="s">
        <v>785</v>
      </c>
      <c r="E5">
        <v>1766</v>
      </c>
      <c r="F5">
        <v>-2172</v>
      </c>
      <c r="G5">
        <v>13</v>
      </c>
    </row>
    <row r="6" spans="1:9" x14ac:dyDescent="0.2">
      <c r="A6" t="s">
        <v>1478</v>
      </c>
      <c r="C6">
        <v>8</v>
      </c>
      <c r="D6" t="s">
        <v>785</v>
      </c>
      <c r="E6">
        <v>4296</v>
      </c>
      <c r="F6">
        <v>3219</v>
      </c>
      <c r="G6">
        <v>149</v>
      </c>
    </row>
  </sheetData>
  <autoFilter ref="A1:I2" xr:uid="{A095D5C8-FF81-DA46-ADE3-61DE071C2139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0957-7D58-0C4B-9FD9-B756EB88F8E4}">
  <sheetPr codeName="Sheet26">
    <tabColor theme="7"/>
  </sheetPr>
  <dimension ref="A1:L27"/>
  <sheetViews>
    <sheetView workbookViewId="0">
      <selection activeCell="I3" sqref="I3"/>
    </sheetView>
  </sheetViews>
  <sheetFormatPr baseColWidth="10" defaultRowHeight="16" x14ac:dyDescent="0.2"/>
  <cols>
    <col min="1" max="1" width="17.6640625" bestFit="1" customWidth="1"/>
    <col min="2" max="2" width="17.8320312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1612</v>
      </c>
      <c r="B2" t="s">
        <v>3069</v>
      </c>
      <c r="C2">
        <v>1</v>
      </c>
      <c r="D2" t="s">
        <v>785</v>
      </c>
      <c r="E2">
        <v>317</v>
      </c>
      <c r="F2">
        <v>542</v>
      </c>
      <c r="G2">
        <v>9</v>
      </c>
      <c r="H2" t="s">
        <v>2128</v>
      </c>
      <c r="I2" t="str">
        <f>"{ name: "&amp;CHAR(34)&amp;A2&amp;CHAR(34)&amp;", landmark: "&amp;CHAR(34)&amp;"Cherry Tree"&amp;CHAR(34)&amp;", type: "&amp;CHAR(34)&amp;B2&amp;CHAR(34)&amp;", region: "&amp;C2&amp;", level: "&amp;CHAR(34)&amp;D2&amp;CHAR(34)&amp;", x: "&amp;E2&amp;", y: "&amp;F2&amp;", z: "&amp;G2&amp;", details: "&amp;CHAR(34)&amp;H2&amp;CHAR(34)&amp;" },"</f>
        <v>{ name: "Romani Plains", landmark: "Cherry Tree", type: "Cherry Blossom Tree", region: 1, level: "Surface", x: 317, y: 542, z: 9, details: " " },</v>
      </c>
    </row>
    <row r="3" spans="1:9" x14ac:dyDescent="0.2">
      <c r="A3" t="s">
        <v>1635</v>
      </c>
      <c r="B3" t="s">
        <v>3069</v>
      </c>
      <c r="C3">
        <v>2</v>
      </c>
      <c r="D3" t="s">
        <v>785</v>
      </c>
      <c r="E3">
        <v>-2299</v>
      </c>
      <c r="F3">
        <v>-341</v>
      </c>
      <c r="G3">
        <v>336</v>
      </c>
      <c r="I3" t="s">
        <v>3071</v>
      </c>
    </row>
    <row r="4" spans="1:9" x14ac:dyDescent="0.2">
      <c r="A4" t="s">
        <v>1558</v>
      </c>
      <c r="B4" t="s">
        <v>3069</v>
      </c>
      <c r="C4">
        <v>4</v>
      </c>
      <c r="D4" t="s">
        <v>785</v>
      </c>
      <c r="E4">
        <v>-4050</v>
      </c>
      <c r="F4">
        <v>1690</v>
      </c>
      <c r="G4">
        <v>185</v>
      </c>
      <c r="I4" t="s">
        <v>3072</v>
      </c>
    </row>
    <row r="5" spans="1:9" x14ac:dyDescent="0.2">
      <c r="A5" t="s">
        <v>3070</v>
      </c>
      <c r="B5" t="s">
        <v>3069</v>
      </c>
      <c r="C5">
        <v>7</v>
      </c>
      <c r="D5" t="s">
        <v>785</v>
      </c>
      <c r="E5">
        <v>1239</v>
      </c>
      <c r="F5">
        <v>2957</v>
      </c>
      <c r="G5">
        <v>406</v>
      </c>
      <c r="I5" t="s">
        <v>3073</v>
      </c>
    </row>
    <row r="6" spans="1:9" x14ac:dyDescent="0.2">
      <c r="A6" t="s">
        <v>1764</v>
      </c>
      <c r="B6" t="s">
        <v>3069</v>
      </c>
      <c r="C6">
        <v>9</v>
      </c>
      <c r="D6" t="s">
        <v>785</v>
      </c>
      <c r="E6">
        <v>2531</v>
      </c>
      <c r="F6">
        <v>-5</v>
      </c>
      <c r="G6">
        <v>130</v>
      </c>
      <c r="I6" t="s">
        <v>3074</v>
      </c>
    </row>
    <row r="7" spans="1:9" x14ac:dyDescent="0.2">
      <c r="A7" t="s">
        <v>1251</v>
      </c>
      <c r="B7" t="s">
        <v>3069</v>
      </c>
      <c r="C7">
        <v>11</v>
      </c>
      <c r="D7" t="s">
        <v>785</v>
      </c>
      <c r="E7">
        <v>3358</v>
      </c>
      <c r="F7">
        <v>-2479</v>
      </c>
      <c r="G7">
        <v>267</v>
      </c>
      <c r="I7" t="s">
        <v>3075</v>
      </c>
    </row>
    <row r="8" spans="1:9" x14ac:dyDescent="0.2">
      <c r="A8" t="s">
        <v>1334</v>
      </c>
      <c r="B8" t="s">
        <v>3069</v>
      </c>
      <c r="C8">
        <v>13</v>
      </c>
      <c r="D8" t="s">
        <v>785</v>
      </c>
      <c r="E8">
        <v>799</v>
      </c>
      <c r="F8">
        <v>-3502</v>
      </c>
      <c r="G8">
        <v>45</v>
      </c>
      <c r="I8" t="s">
        <v>3076</v>
      </c>
    </row>
    <row r="9" spans="1:9" x14ac:dyDescent="0.2">
      <c r="A9" t="s">
        <v>1043</v>
      </c>
      <c r="B9" t="s">
        <v>3069</v>
      </c>
      <c r="C9">
        <v>14</v>
      </c>
      <c r="D9" t="s">
        <v>785</v>
      </c>
      <c r="E9">
        <v>-2315</v>
      </c>
      <c r="F9">
        <v>-2158</v>
      </c>
      <c r="G9">
        <v>237</v>
      </c>
      <c r="I9" t="s">
        <v>3077</v>
      </c>
    </row>
    <row r="24" spans="8:12" x14ac:dyDescent="0.2">
      <c r="H24" t="s">
        <v>2128</v>
      </c>
      <c r="L24" t="s">
        <v>2128</v>
      </c>
    </row>
    <row r="27" spans="8:12" x14ac:dyDescent="0.2">
      <c r="H27" t="s">
        <v>2128</v>
      </c>
      <c r="L27" t="s">
        <v>2128</v>
      </c>
    </row>
  </sheetData>
  <autoFilter ref="A1:I1" xr:uid="{A095D5C8-FF81-DA46-ADE3-61DE071C2139}"/>
  <sortState xmlns:xlrd2="http://schemas.microsoft.com/office/spreadsheetml/2017/richdata2" ref="A2:I9">
    <sortCondition ref="C3:C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929F9-68C4-0041-B215-66D07441D7AC}">
  <sheetPr codeName="Sheet8">
    <tabColor theme="7"/>
  </sheetPr>
  <dimension ref="A1:I82"/>
  <sheetViews>
    <sheetView workbookViewId="0">
      <selection activeCell="I3" sqref="I3"/>
    </sheetView>
  </sheetViews>
  <sheetFormatPr baseColWidth="10" defaultRowHeight="16" x14ac:dyDescent="0.2"/>
  <cols>
    <col min="1" max="1" width="22.6640625" bestFit="1" customWidth="1"/>
    <col min="2" max="2" width="13.3320312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2672</v>
      </c>
      <c r="I1" s="6" t="s">
        <v>2121</v>
      </c>
    </row>
    <row r="2" spans="1:9" x14ac:dyDescent="0.2">
      <c r="A2" t="s">
        <v>1030</v>
      </c>
      <c r="B2" t="s">
        <v>2673</v>
      </c>
      <c r="C2">
        <v>1</v>
      </c>
      <c r="D2" t="s">
        <v>785</v>
      </c>
      <c r="E2" s="2">
        <v>622</v>
      </c>
      <c r="F2" s="2">
        <v>381</v>
      </c>
      <c r="G2" s="2">
        <v>22</v>
      </c>
      <c r="I2" t="str">
        <f>"{ name: "&amp;CHAR(34)&amp;A2&amp;CHAR(34)&amp;", landmark: "&amp;CHAR(34)&amp;"Hudson Sign"&amp;CHAR(34)&amp;", type: "&amp;CHAR(34)&amp;B2&amp;CHAR(34)&amp;", region: "&amp;C2&amp;", level: "&amp;CHAR(34)&amp;D2&amp;CHAR(34)&amp;", x: "&amp;E2&amp;", y: "&amp;F2&amp;", z: "&amp;G2&amp;", details: "&amp;CHAR(34)&amp;H2&amp;CHAR(34)&amp;" },"</f>
        <v>{ name: "Applean Forest", landmark: "Hudson Sign", type: "Hudson Sign", region: 1, level: "Surface", x: 622, y: 381, z: 22, details: "" },</v>
      </c>
    </row>
    <row r="3" spans="1:9" x14ac:dyDescent="0.2">
      <c r="A3" t="s">
        <v>1049</v>
      </c>
      <c r="B3" t="s">
        <v>2673</v>
      </c>
      <c r="C3">
        <v>1</v>
      </c>
      <c r="D3" t="s">
        <v>785</v>
      </c>
      <c r="E3" s="2">
        <v>-268</v>
      </c>
      <c r="F3" s="2">
        <v>383</v>
      </c>
      <c r="G3" s="2">
        <v>33</v>
      </c>
      <c r="I3" t="s">
        <v>2787</v>
      </c>
    </row>
    <row r="4" spans="1:9" x14ac:dyDescent="0.2">
      <c r="A4" t="s">
        <v>1060</v>
      </c>
      <c r="B4" t="s">
        <v>2673</v>
      </c>
      <c r="C4">
        <v>1</v>
      </c>
      <c r="D4" t="s">
        <v>785</v>
      </c>
      <c r="E4" s="2">
        <v>186</v>
      </c>
      <c r="F4" s="2">
        <v>268</v>
      </c>
      <c r="G4" s="2">
        <v>39</v>
      </c>
      <c r="I4" t="s">
        <v>2788</v>
      </c>
    </row>
    <row r="5" spans="1:9" x14ac:dyDescent="0.2">
      <c r="A5" t="s">
        <v>1068</v>
      </c>
      <c r="B5" t="s">
        <v>2673</v>
      </c>
      <c r="C5">
        <v>1</v>
      </c>
      <c r="D5" t="s">
        <v>785</v>
      </c>
      <c r="E5" s="2">
        <v>-755</v>
      </c>
      <c r="F5" s="2">
        <v>243</v>
      </c>
      <c r="G5" s="2">
        <v>31</v>
      </c>
      <c r="I5" t="s">
        <v>2789</v>
      </c>
    </row>
    <row r="6" spans="1:9" x14ac:dyDescent="0.2">
      <c r="A6" t="s">
        <v>1081</v>
      </c>
      <c r="B6" t="s">
        <v>2673</v>
      </c>
      <c r="C6">
        <v>1</v>
      </c>
      <c r="D6" t="s">
        <v>785</v>
      </c>
      <c r="E6" s="2">
        <v>674</v>
      </c>
      <c r="F6" s="2">
        <v>138</v>
      </c>
      <c r="G6" s="2">
        <v>38</v>
      </c>
      <c r="I6" t="s">
        <v>2790</v>
      </c>
    </row>
    <row r="7" spans="1:9" x14ac:dyDescent="0.2">
      <c r="A7" t="s">
        <v>1040</v>
      </c>
      <c r="B7" t="s">
        <v>2673</v>
      </c>
      <c r="C7">
        <v>2</v>
      </c>
      <c r="D7" t="s">
        <v>785</v>
      </c>
      <c r="E7" s="2">
        <v>-678</v>
      </c>
      <c r="F7" s="2">
        <v>-864</v>
      </c>
      <c r="G7" s="2">
        <v>53</v>
      </c>
      <c r="I7" t="s">
        <v>2791</v>
      </c>
    </row>
    <row r="8" spans="1:9" x14ac:dyDescent="0.2">
      <c r="A8" t="s">
        <v>1042</v>
      </c>
      <c r="B8" t="s">
        <v>2673</v>
      </c>
      <c r="C8">
        <v>2</v>
      </c>
      <c r="D8" t="s">
        <v>785</v>
      </c>
      <c r="E8" s="2">
        <v>-873</v>
      </c>
      <c r="F8" s="2">
        <v>-1472</v>
      </c>
      <c r="G8" s="2">
        <v>35</v>
      </c>
      <c r="I8" t="s">
        <v>2792</v>
      </c>
    </row>
    <row r="9" spans="1:9" x14ac:dyDescent="0.2">
      <c r="A9" t="s">
        <v>1061</v>
      </c>
      <c r="B9" t="s">
        <v>2673</v>
      </c>
      <c r="C9">
        <v>2</v>
      </c>
      <c r="D9" t="s">
        <v>785</v>
      </c>
      <c r="E9" s="2">
        <v>-1437</v>
      </c>
      <c r="F9" s="2">
        <v>-1059</v>
      </c>
      <c r="G9" s="2">
        <v>50</v>
      </c>
      <c r="I9" t="s">
        <v>2793</v>
      </c>
    </row>
    <row r="10" spans="1:9" x14ac:dyDescent="0.2">
      <c r="A10" t="s">
        <v>1070</v>
      </c>
      <c r="B10" t="s">
        <v>2673</v>
      </c>
      <c r="C10">
        <v>2</v>
      </c>
      <c r="D10" t="s">
        <v>785</v>
      </c>
      <c r="E10" s="2">
        <v>-1603</v>
      </c>
      <c r="F10" s="2">
        <v>-490</v>
      </c>
      <c r="G10" s="2">
        <v>125</v>
      </c>
      <c r="I10" t="s">
        <v>2794</v>
      </c>
    </row>
    <row r="11" spans="1:9" x14ac:dyDescent="0.2">
      <c r="A11" t="s">
        <v>1087</v>
      </c>
      <c r="B11" t="s">
        <v>2673</v>
      </c>
      <c r="C11">
        <v>2</v>
      </c>
      <c r="D11" t="s">
        <v>785</v>
      </c>
      <c r="E11" s="2">
        <v>-150</v>
      </c>
      <c r="F11" s="2">
        <v>-2125</v>
      </c>
      <c r="G11" s="2">
        <v>30</v>
      </c>
      <c r="I11" t="s">
        <v>2795</v>
      </c>
    </row>
    <row r="12" spans="1:9" x14ac:dyDescent="0.2">
      <c r="A12" t="s">
        <v>787</v>
      </c>
      <c r="B12" t="s">
        <v>2673</v>
      </c>
      <c r="C12">
        <v>3</v>
      </c>
      <c r="D12" t="s">
        <v>785</v>
      </c>
      <c r="E12" s="2">
        <v>-2504</v>
      </c>
      <c r="F12" s="2">
        <v>190</v>
      </c>
      <c r="G12" s="2">
        <v>155</v>
      </c>
      <c r="I12" t="s">
        <v>2796</v>
      </c>
    </row>
    <row r="13" spans="1:9" x14ac:dyDescent="0.2">
      <c r="A13" t="s">
        <v>1050</v>
      </c>
      <c r="B13" t="s">
        <v>2673</v>
      </c>
      <c r="C13">
        <v>3</v>
      </c>
      <c r="D13" t="s">
        <v>785</v>
      </c>
      <c r="E13" s="2">
        <v>-3134</v>
      </c>
      <c r="F13" s="2">
        <v>1224</v>
      </c>
      <c r="G13" s="2">
        <v>227</v>
      </c>
      <c r="I13" t="s">
        <v>2797</v>
      </c>
    </row>
    <row r="14" spans="1:9" x14ac:dyDescent="0.2">
      <c r="A14" t="s">
        <v>1055</v>
      </c>
      <c r="B14" t="s">
        <v>2673</v>
      </c>
      <c r="C14">
        <v>3</v>
      </c>
      <c r="D14" t="s">
        <v>785</v>
      </c>
      <c r="E14" s="2">
        <v>-3559</v>
      </c>
      <c r="F14" s="2">
        <v>1549</v>
      </c>
      <c r="G14" s="2">
        <v>148</v>
      </c>
      <c r="I14" t="s">
        <v>2798</v>
      </c>
    </row>
    <row r="15" spans="1:9" x14ac:dyDescent="0.2">
      <c r="A15" t="s">
        <v>1059</v>
      </c>
      <c r="B15" t="s">
        <v>2673</v>
      </c>
      <c r="C15">
        <v>3</v>
      </c>
      <c r="D15" t="s">
        <v>785</v>
      </c>
      <c r="E15" s="2">
        <v>-1783</v>
      </c>
      <c r="F15" s="2">
        <v>660</v>
      </c>
      <c r="G15" s="2">
        <v>160</v>
      </c>
      <c r="I15" t="s">
        <v>2799</v>
      </c>
    </row>
    <row r="16" spans="1:9" x14ac:dyDescent="0.2">
      <c r="A16" t="s">
        <v>1069</v>
      </c>
      <c r="B16" t="s">
        <v>2673</v>
      </c>
      <c r="C16">
        <v>3</v>
      </c>
      <c r="D16" t="s">
        <v>785</v>
      </c>
      <c r="E16" s="2">
        <v>-2700</v>
      </c>
      <c r="F16" s="2">
        <v>771</v>
      </c>
      <c r="G16" s="2">
        <v>315</v>
      </c>
      <c r="I16" t="s">
        <v>2800</v>
      </c>
    </row>
    <row r="17" spans="1:9" x14ac:dyDescent="0.2">
      <c r="A17" t="s">
        <v>1082</v>
      </c>
      <c r="B17" t="s">
        <v>2673</v>
      </c>
      <c r="C17">
        <v>3</v>
      </c>
      <c r="D17" t="s">
        <v>785</v>
      </c>
      <c r="E17" s="2">
        <v>-1011</v>
      </c>
      <c r="F17" s="2">
        <v>2023</v>
      </c>
      <c r="G17" s="2">
        <v>126</v>
      </c>
      <c r="I17" t="s">
        <v>2801</v>
      </c>
    </row>
    <row r="18" spans="1:9" x14ac:dyDescent="0.2">
      <c r="A18" t="s">
        <v>1085</v>
      </c>
      <c r="B18" t="s">
        <v>2673</v>
      </c>
      <c r="C18">
        <v>3</v>
      </c>
      <c r="D18" t="s">
        <v>785</v>
      </c>
      <c r="E18" s="2">
        <v>-1451</v>
      </c>
      <c r="F18" s="2">
        <v>1177</v>
      </c>
      <c r="G18" s="2">
        <v>150</v>
      </c>
      <c r="I18" t="s">
        <v>2802</v>
      </c>
    </row>
    <row r="19" spans="1:9" x14ac:dyDescent="0.2">
      <c r="A19" t="s">
        <v>1092</v>
      </c>
      <c r="B19" t="s">
        <v>2673</v>
      </c>
      <c r="C19">
        <v>3</v>
      </c>
      <c r="D19" t="s">
        <v>785</v>
      </c>
      <c r="E19" s="2">
        <v>-3321</v>
      </c>
      <c r="F19" s="2">
        <v>505</v>
      </c>
      <c r="G19" s="2">
        <v>179</v>
      </c>
      <c r="I19" t="s">
        <v>2803</v>
      </c>
    </row>
    <row r="20" spans="1:9" x14ac:dyDescent="0.2">
      <c r="A20" t="s">
        <v>1047</v>
      </c>
      <c r="B20" t="s">
        <v>2673</v>
      </c>
      <c r="C20">
        <v>4</v>
      </c>
      <c r="D20" t="s">
        <v>785</v>
      </c>
      <c r="E20" s="2">
        <v>-3613</v>
      </c>
      <c r="F20" s="2">
        <v>2188</v>
      </c>
      <c r="G20" s="2">
        <v>154</v>
      </c>
      <c r="I20" t="s">
        <v>2804</v>
      </c>
    </row>
    <row r="21" spans="1:9" x14ac:dyDescent="0.2">
      <c r="A21" t="s">
        <v>1091</v>
      </c>
      <c r="B21" t="s">
        <v>2673</v>
      </c>
      <c r="C21">
        <v>4</v>
      </c>
      <c r="D21" t="s">
        <v>785</v>
      </c>
      <c r="E21" s="2">
        <v>-4113</v>
      </c>
      <c r="F21" s="2">
        <v>2759</v>
      </c>
      <c r="G21" s="2">
        <v>37</v>
      </c>
      <c r="I21" t="s">
        <v>2805</v>
      </c>
    </row>
    <row r="22" spans="1:9" x14ac:dyDescent="0.2">
      <c r="A22" t="s">
        <v>1093</v>
      </c>
      <c r="B22" t="s">
        <v>2673</v>
      </c>
      <c r="C22">
        <v>4</v>
      </c>
      <c r="D22" t="s">
        <v>785</v>
      </c>
      <c r="E22" s="2">
        <v>-3256</v>
      </c>
      <c r="F22" s="2">
        <v>2571</v>
      </c>
      <c r="G22" s="2">
        <v>452</v>
      </c>
      <c r="I22" t="s">
        <v>2806</v>
      </c>
    </row>
    <row r="23" spans="1:9" x14ac:dyDescent="0.2">
      <c r="A23" t="s">
        <v>1066</v>
      </c>
      <c r="B23" t="s">
        <v>2673</v>
      </c>
      <c r="C23">
        <v>5</v>
      </c>
      <c r="D23" t="s">
        <v>785</v>
      </c>
      <c r="E23" s="2">
        <v>-1075</v>
      </c>
      <c r="F23" s="2">
        <v>2797</v>
      </c>
      <c r="G23" s="2">
        <v>190</v>
      </c>
      <c r="I23" t="s">
        <v>2807</v>
      </c>
    </row>
    <row r="24" spans="1:9" x14ac:dyDescent="0.2">
      <c r="A24" t="s">
        <v>1072</v>
      </c>
      <c r="B24" t="s">
        <v>2673</v>
      </c>
      <c r="C24">
        <v>5</v>
      </c>
      <c r="D24" t="s">
        <v>785</v>
      </c>
      <c r="E24" s="2">
        <v>-1612</v>
      </c>
      <c r="F24" s="2">
        <v>3339</v>
      </c>
      <c r="G24" s="2">
        <v>250</v>
      </c>
      <c r="I24" t="s">
        <v>2808</v>
      </c>
    </row>
    <row r="25" spans="1:9" x14ac:dyDescent="0.2">
      <c r="A25" t="s">
        <v>1079</v>
      </c>
      <c r="B25" t="s">
        <v>2673</v>
      </c>
      <c r="C25">
        <v>5</v>
      </c>
      <c r="D25" t="s">
        <v>785</v>
      </c>
      <c r="E25" s="2">
        <v>-2211</v>
      </c>
      <c r="F25" s="2">
        <v>2929</v>
      </c>
      <c r="G25" s="2">
        <v>396</v>
      </c>
      <c r="I25" t="s">
        <v>2809</v>
      </c>
    </row>
    <row r="26" spans="1:9" x14ac:dyDescent="0.2">
      <c r="A26" t="s">
        <v>1089</v>
      </c>
      <c r="B26" t="s">
        <v>2673</v>
      </c>
      <c r="C26">
        <v>5</v>
      </c>
      <c r="D26" t="s">
        <v>785</v>
      </c>
      <c r="E26" s="2">
        <v>-1870</v>
      </c>
      <c r="F26" s="2">
        <v>2324</v>
      </c>
      <c r="G26" s="2">
        <v>246</v>
      </c>
      <c r="I26" t="s">
        <v>2810</v>
      </c>
    </row>
    <row r="27" spans="1:9" x14ac:dyDescent="0.2">
      <c r="A27" t="s">
        <v>1036</v>
      </c>
      <c r="B27" t="s">
        <v>2673</v>
      </c>
      <c r="C27">
        <v>6</v>
      </c>
      <c r="D27" t="s">
        <v>785</v>
      </c>
      <c r="E27" s="2">
        <v>-458</v>
      </c>
      <c r="F27" s="2">
        <v>3042</v>
      </c>
      <c r="G27" s="2">
        <v>119</v>
      </c>
      <c r="I27" t="s">
        <v>2811</v>
      </c>
    </row>
    <row r="28" spans="1:9" x14ac:dyDescent="0.2">
      <c r="A28" t="s">
        <v>792</v>
      </c>
      <c r="B28" t="s">
        <v>2673</v>
      </c>
      <c r="C28">
        <v>6</v>
      </c>
      <c r="D28" t="s">
        <v>785</v>
      </c>
      <c r="E28" s="2">
        <v>1024</v>
      </c>
      <c r="F28" s="2">
        <v>3110</v>
      </c>
      <c r="G28" s="2">
        <v>282</v>
      </c>
      <c r="I28" t="s">
        <v>2812</v>
      </c>
    </row>
    <row r="29" spans="1:9" x14ac:dyDescent="0.2">
      <c r="A29" t="s">
        <v>1048</v>
      </c>
      <c r="B29" t="s">
        <v>2673</v>
      </c>
      <c r="C29">
        <v>6</v>
      </c>
      <c r="D29" t="s">
        <v>785</v>
      </c>
      <c r="E29" s="2">
        <v>-333</v>
      </c>
      <c r="F29" s="2">
        <v>1344</v>
      </c>
      <c r="G29" s="2">
        <v>22</v>
      </c>
      <c r="I29" t="s">
        <v>2813</v>
      </c>
    </row>
    <row r="30" spans="1:9" x14ac:dyDescent="0.2">
      <c r="A30" t="s">
        <v>1097</v>
      </c>
      <c r="B30" t="s">
        <v>2673</v>
      </c>
      <c r="C30">
        <v>6</v>
      </c>
      <c r="D30" t="s">
        <v>785</v>
      </c>
      <c r="E30" s="2">
        <v>493</v>
      </c>
      <c r="F30" s="2">
        <v>2939</v>
      </c>
      <c r="G30" s="2">
        <v>187</v>
      </c>
      <c r="I30" t="s">
        <v>2814</v>
      </c>
    </row>
    <row r="31" spans="1:9" x14ac:dyDescent="0.2">
      <c r="A31" t="s">
        <v>1032</v>
      </c>
      <c r="B31" t="s">
        <v>2673</v>
      </c>
      <c r="C31">
        <v>7</v>
      </c>
      <c r="D31" t="s">
        <v>785</v>
      </c>
      <c r="E31" s="2">
        <v>2268</v>
      </c>
      <c r="F31" s="2">
        <v>2317</v>
      </c>
      <c r="G31" s="2">
        <v>523</v>
      </c>
      <c r="I31" t="s">
        <v>2815</v>
      </c>
    </row>
    <row r="32" spans="1:9" x14ac:dyDescent="0.2">
      <c r="A32" t="s">
        <v>793</v>
      </c>
      <c r="B32" t="s">
        <v>2673</v>
      </c>
      <c r="C32">
        <v>7</v>
      </c>
      <c r="D32" t="s">
        <v>785</v>
      </c>
      <c r="E32" s="2">
        <v>2797</v>
      </c>
      <c r="F32" s="2">
        <v>2655</v>
      </c>
      <c r="G32" s="2">
        <v>670</v>
      </c>
      <c r="I32" t="s">
        <v>2816</v>
      </c>
    </row>
    <row r="33" spans="1:9" x14ac:dyDescent="0.2">
      <c r="A33" t="s">
        <v>1035</v>
      </c>
      <c r="B33" t="s">
        <v>2673</v>
      </c>
      <c r="C33">
        <v>7</v>
      </c>
      <c r="D33" t="s">
        <v>785</v>
      </c>
      <c r="E33" s="2">
        <v>1980</v>
      </c>
      <c r="F33" s="2">
        <v>2656</v>
      </c>
      <c r="G33" s="2">
        <v>463</v>
      </c>
      <c r="I33" t="s">
        <v>2817</v>
      </c>
    </row>
    <row r="34" spans="1:9" x14ac:dyDescent="0.2">
      <c r="A34" t="s">
        <v>1041</v>
      </c>
      <c r="B34" t="s">
        <v>2673</v>
      </c>
      <c r="C34">
        <v>7</v>
      </c>
      <c r="D34" t="s">
        <v>785</v>
      </c>
      <c r="E34" s="2">
        <v>2572</v>
      </c>
      <c r="F34" s="2">
        <v>1100</v>
      </c>
      <c r="G34" s="2">
        <v>147</v>
      </c>
      <c r="I34" t="s">
        <v>2818</v>
      </c>
    </row>
    <row r="35" spans="1:9" x14ac:dyDescent="0.2">
      <c r="A35" t="s">
        <v>1045</v>
      </c>
      <c r="B35" t="s">
        <v>2673</v>
      </c>
      <c r="C35">
        <v>7</v>
      </c>
      <c r="D35" t="s">
        <v>785</v>
      </c>
      <c r="E35" s="2">
        <v>2820</v>
      </c>
      <c r="F35" s="2">
        <v>3549</v>
      </c>
      <c r="G35" s="2">
        <v>247</v>
      </c>
      <c r="I35" t="s">
        <v>2819</v>
      </c>
    </row>
    <row r="36" spans="1:9" x14ac:dyDescent="0.2">
      <c r="A36" t="s">
        <v>1064</v>
      </c>
      <c r="B36" t="s">
        <v>2673</v>
      </c>
      <c r="C36">
        <v>7</v>
      </c>
      <c r="D36" t="s">
        <v>785</v>
      </c>
      <c r="E36" s="2">
        <v>1710</v>
      </c>
      <c r="F36" s="2">
        <v>965</v>
      </c>
      <c r="G36" s="2">
        <v>59</v>
      </c>
      <c r="I36" t="s">
        <v>2820</v>
      </c>
    </row>
    <row r="37" spans="1:9" x14ac:dyDescent="0.2">
      <c r="A37" t="s">
        <v>1078</v>
      </c>
      <c r="B37" t="s">
        <v>2673</v>
      </c>
      <c r="C37">
        <v>7</v>
      </c>
      <c r="D37" t="s">
        <v>785</v>
      </c>
      <c r="E37" s="2">
        <v>1310</v>
      </c>
      <c r="F37" s="2">
        <v>1222</v>
      </c>
      <c r="G37" s="2">
        <v>126</v>
      </c>
      <c r="I37" t="s">
        <v>2821</v>
      </c>
    </row>
    <row r="38" spans="1:9" x14ac:dyDescent="0.2">
      <c r="A38" t="s">
        <v>964</v>
      </c>
      <c r="B38" t="s">
        <v>2673</v>
      </c>
      <c r="C38">
        <v>7</v>
      </c>
      <c r="D38" t="s">
        <v>785</v>
      </c>
      <c r="E38" s="2">
        <v>1573</v>
      </c>
      <c r="F38" s="2">
        <v>2164</v>
      </c>
      <c r="G38" s="2">
        <v>346</v>
      </c>
      <c r="I38" t="s">
        <v>2822</v>
      </c>
    </row>
    <row r="39" spans="1:9" x14ac:dyDescent="0.2">
      <c r="A39" t="s">
        <v>1096</v>
      </c>
      <c r="B39" t="s">
        <v>2673</v>
      </c>
      <c r="C39">
        <v>7</v>
      </c>
      <c r="D39" t="s">
        <v>785</v>
      </c>
      <c r="E39" s="2">
        <v>1346</v>
      </c>
      <c r="F39" s="2">
        <v>800</v>
      </c>
      <c r="G39" s="2">
        <v>33</v>
      </c>
      <c r="I39" t="s">
        <v>2823</v>
      </c>
    </row>
    <row r="40" spans="1:9" x14ac:dyDescent="0.2">
      <c r="A40" t="s">
        <v>1029</v>
      </c>
      <c r="B40" t="s">
        <v>2673</v>
      </c>
      <c r="C40">
        <v>8</v>
      </c>
      <c r="D40" t="s">
        <v>785</v>
      </c>
      <c r="E40" s="2">
        <v>4450</v>
      </c>
      <c r="F40" s="2">
        <v>3075</v>
      </c>
      <c r="G40" s="2">
        <v>225</v>
      </c>
      <c r="I40" t="s">
        <v>2824</v>
      </c>
    </row>
    <row r="41" spans="1:9" x14ac:dyDescent="0.2">
      <c r="A41" t="s">
        <v>1038</v>
      </c>
      <c r="B41" t="s">
        <v>2673</v>
      </c>
      <c r="C41">
        <v>8</v>
      </c>
      <c r="D41" t="s">
        <v>785</v>
      </c>
      <c r="E41" s="2">
        <v>4237</v>
      </c>
      <c r="F41" s="2">
        <v>2648</v>
      </c>
      <c r="G41" s="2">
        <v>129</v>
      </c>
      <c r="I41" t="s">
        <v>2825</v>
      </c>
    </row>
    <row r="42" spans="1:9" x14ac:dyDescent="0.2">
      <c r="A42" t="s">
        <v>1053</v>
      </c>
      <c r="B42" t="s">
        <v>2673</v>
      </c>
      <c r="C42">
        <v>8</v>
      </c>
      <c r="D42" t="s">
        <v>785</v>
      </c>
      <c r="E42" s="2">
        <v>4086</v>
      </c>
      <c r="F42" s="2">
        <v>1874</v>
      </c>
      <c r="G42" s="2">
        <v>107</v>
      </c>
      <c r="I42" t="s">
        <v>2826</v>
      </c>
    </row>
    <row r="43" spans="1:9" x14ac:dyDescent="0.2">
      <c r="A43" t="s">
        <v>1073</v>
      </c>
      <c r="B43" t="s">
        <v>2673</v>
      </c>
      <c r="C43">
        <v>8</v>
      </c>
      <c r="D43" t="s">
        <v>785</v>
      </c>
      <c r="E43" s="2">
        <v>3873</v>
      </c>
      <c r="F43" s="2">
        <v>2476</v>
      </c>
      <c r="G43" s="2">
        <v>65</v>
      </c>
      <c r="I43" t="s">
        <v>2827</v>
      </c>
    </row>
    <row r="44" spans="1:9" x14ac:dyDescent="0.2">
      <c r="A44" t="s">
        <v>837</v>
      </c>
      <c r="B44" t="s">
        <v>2673</v>
      </c>
      <c r="C44">
        <v>8</v>
      </c>
      <c r="D44" t="s">
        <v>785</v>
      </c>
      <c r="E44" s="2">
        <v>3422</v>
      </c>
      <c r="F44" s="2">
        <v>3526</v>
      </c>
      <c r="G44" s="2">
        <v>218</v>
      </c>
      <c r="I44" t="s">
        <v>2828</v>
      </c>
    </row>
    <row r="45" spans="1:9" x14ac:dyDescent="0.2">
      <c r="A45" t="s">
        <v>1088</v>
      </c>
      <c r="B45" t="s">
        <v>2673</v>
      </c>
      <c r="C45">
        <v>8</v>
      </c>
      <c r="D45" t="s">
        <v>785</v>
      </c>
      <c r="E45" s="2">
        <v>3163</v>
      </c>
      <c r="F45" s="2">
        <v>1625</v>
      </c>
      <c r="G45" s="2">
        <v>212</v>
      </c>
      <c r="I45" t="s">
        <v>2829</v>
      </c>
    </row>
    <row r="46" spans="1:9" x14ac:dyDescent="0.2">
      <c r="A46" t="s">
        <v>1033</v>
      </c>
      <c r="B46" t="s">
        <v>2673</v>
      </c>
      <c r="C46">
        <v>9</v>
      </c>
      <c r="D46" t="s">
        <v>785</v>
      </c>
      <c r="E46" s="2">
        <v>3973</v>
      </c>
      <c r="F46" s="2">
        <v>-295</v>
      </c>
      <c r="G46" s="2">
        <v>43</v>
      </c>
      <c r="I46" t="s">
        <v>2830</v>
      </c>
    </row>
    <row r="47" spans="1:9" x14ac:dyDescent="0.2">
      <c r="A47" t="s">
        <v>1058</v>
      </c>
      <c r="B47" t="s">
        <v>2673</v>
      </c>
      <c r="C47">
        <v>9</v>
      </c>
      <c r="D47" t="s">
        <v>785</v>
      </c>
      <c r="E47" s="2">
        <v>4334</v>
      </c>
      <c r="F47" s="2">
        <v>-570</v>
      </c>
      <c r="G47" s="2">
        <v>71</v>
      </c>
      <c r="I47" t="s">
        <v>2831</v>
      </c>
    </row>
    <row r="48" spans="1:9" x14ac:dyDescent="0.2">
      <c r="A48" t="s">
        <v>1083</v>
      </c>
      <c r="B48" t="s">
        <v>2673</v>
      </c>
      <c r="C48">
        <v>9</v>
      </c>
      <c r="D48" t="s">
        <v>785</v>
      </c>
      <c r="E48" s="2">
        <v>3208</v>
      </c>
      <c r="F48" s="2">
        <v>131</v>
      </c>
      <c r="G48" s="2">
        <v>147</v>
      </c>
      <c r="I48" t="s">
        <v>2832</v>
      </c>
    </row>
    <row r="49" spans="1:9" x14ac:dyDescent="0.2">
      <c r="A49" t="s">
        <v>1086</v>
      </c>
      <c r="B49" t="s">
        <v>2673</v>
      </c>
      <c r="C49">
        <v>9</v>
      </c>
      <c r="D49" t="s">
        <v>785</v>
      </c>
      <c r="E49" s="2">
        <v>3229</v>
      </c>
      <c r="F49" s="2">
        <v>-656</v>
      </c>
      <c r="G49" s="2">
        <v>13</v>
      </c>
      <c r="I49" t="s">
        <v>2833</v>
      </c>
    </row>
    <row r="50" spans="1:9" x14ac:dyDescent="0.2">
      <c r="A50" t="s">
        <v>1098</v>
      </c>
      <c r="B50" t="s">
        <v>2673</v>
      </c>
      <c r="C50">
        <v>9</v>
      </c>
      <c r="D50" t="s">
        <v>785</v>
      </c>
      <c r="E50" s="2">
        <v>4296</v>
      </c>
      <c r="F50" s="2">
        <v>578</v>
      </c>
      <c r="G50" s="2">
        <v>283</v>
      </c>
      <c r="I50" t="s">
        <v>2834</v>
      </c>
    </row>
    <row r="51" spans="1:9" x14ac:dyDescent="0.2">
      <c r="A51" t="s">
        <v>1099</v>
      </c>
      <c r="B51" t="s">
        <v>2673</v>
      </c>
      <c r="C51">
        <v>9</v>
      </c>
      <c r="D51" t="s">
        <v>785</v>
      </c>
      <c r="E51" s="2">
        <v>2933</v>
      </c>
      <c r="F51" s="2">
        <v>704</v>
      </c>
      <c r="G51" s="2">
        <v>359</v>
      </c>
      <c r="I51" t="s">
        <v>2835</v>
      </c>
    </row>
    <row r="52" spans="1:9" x14ac:dyDescent="0.2">
      <c r="A52" t="s">
        <v>1101</v>
      </c>
      <c r="B52" t="s">
        <v>2673</v>
      </c>
      <c r="C52">
        <v>9</v>
      </c>
      <c r="D52" t="s">
        <v>785</v>
      </c>
      <c r="E52" s="2">
        <v>2094</v>
      </c>
      <c r="F52" s="2">
        <v>216</v>
      </c>
      <c r="G52" s="2">
        <v>28</v>
      </c>
      <c r="I52" t="s">
        <v>2836</v>
      </c>
    </row>
    <row r="53" spans="1:9" x14ac:dyDescent="0.2">
      <c r="A53" t="s">
        <v>1057</v>
      </c>
      <c r="B53" t="s">
        <v>2673</v>
      </c>
      <c r="C53">
        <v>10</v>
      </c>
      <c r="D53" t="s">
        <v>785</v>
      </c>
      <c r="E53" s="2">
        <v>2374</v>
      </c>
      <c r="F53" s="2">
        <v>-679</v>
      </c>
      <c r="G53" s="2">
        <v>133</v>
      </c>
      <c r="I53" t="s">
        <v>2837</v>
      </c>
    </row>
    <row r="54" spans="1:9" x14ac:dyDescent="0.2">
      <c r="A54" t="s">
        <v>1080</v>
      </c>
      <c r="B54" t="s">
        <v>2673</v>
      </c>
      <c r="C54">
        <v>10</v>
      </c>
      <c r="D54" t="s">
        <v>785</v>
      </c>
      <c r="E54" s="2">
        <v>2097</v>
      </c>
      <c r="F54" s="2">
        <v>-1265</v>
      </c>
      <c r="G54" s="2">
        <v>143</v>
      </c>
      <c r="I54" t="s">
        <v>2838</v>
      </c>
    </row>
    <row r="55" spans="1:9" x14ac:dyDescent="0.2">
      <c r="A55" t="s">
        <v>1084</v>
      </c>
      <c r="B55" t="s">
        <v>2673</v>
      </c>
      <c r="C55">
        <v>10</v>
      </c>
      <c r="D55" t="s">
        <v>785</v>
      </c>
      <c r="E55" s="2">
        <v>1490</v>
      </c>
      <c r="F55" s="2">
        <v>-989</v>
      </c>
      <c r="G55" s="2">
        <v>164</v>
      </c>
      <c r="I55" t="s">
        <v>2839</v>
      </c>
    </row>
    <row r="56" spans="1:9" x14ac:dyDescent="0.2">
      <c r="A56" t="s">
        <v>1034</v>
      </c>
      <c r="B56" t="s">
        <v>2673</v>
      </c>
      <c r="C56">
        <v>11</v>
      </c>
      <c r="D56" t="s">
        <v>785</v>
      </c>
      <c r="E56" s="2">
        <v>2674</v>
      </c>
      <c r="F56" s="2">
        <v>-1722</v>
      </c>
      <c r="G56" s="2">
        <v>52</v>
      </c>
      <c r="I56" t="s">
        <v>2840</v>
      </c>
    </row>
    <row r="57" spans="1:9" x14ac:dyDescent="0.2">
      <c r="A57" t="s">
        <v>1062</v>
      </c>
      <c r="B57" t="s">
        <v>2673</v>
      </c>
      <c r="C57">
        <v>11</v>
      </c>
      <c r="D57" t="s">
        <v>785</v>
      </c>
      <c r="E57" s="2">
        <v>4651</v>
      </c>
      <c r="F57" s="2">
        <v>-2337</v>
      </c>
      <c r="G57" s="2">
        <v>67</v>
      </c>
      <c r="I57" t="s">
        <v>2841</v>
      </c>
    </row>
    <row r="58" spans="1:9" x14ac:dyDescent="0.2">
      <c r="A58" t="s">
        <v>1065</v>
      </c>
      <c r="B58" t="s">
        <v>2673</v>
      </c>
      <c r="C58">
        <v>11</v>
      </c>
      <c r="D58" t="s">
        <v>785</v>
      </c>
      <c r="E58" s="2">
        <v>3142</v>
      </c>
      <c r="F58" s="2">
        <v>-2138</v>
      </c>
      <c r="G58" s="2">
        <v>74</v>
      </c>
      <c r="I58" t="s">
        <v>2842</v>
      </c>
    </row>
    <row r="59" spans="1:9" x14ac:dyDescent="0.2">
      <c r="A59" t="s">
        <v>804</v>
      </c>
      <c r="B59" t="s">
        <v>2673</v>
      </c>
      <c r="C59">
        <v>11</v>
      </c>
      <c r="D59" t="s">
        <v>785</v>
      </c>
      <c r="E59" s="2">
        <v>4103</v>
      </c>
      <c r="F59" s="2">
        <v>-1144</v>
      </c>
      <c r="G59" s="2">
        <v>325</v>
      </c>
      <c r="I59" t="s">
        <v>2843</v>
      </c>
    </row>
    <row r="60" spans="1:9" x14ac:dyDescent="0.2">
      <c r="A60" t="s">
        <v>1071</v>
      </c>
      <c r="B60" t="s">
        <v>2673</v>
      </c>
      <c r="C60">
        <v>11</v>
      </c>
      <c r="D60" t="s">
        <v>785</v>
      </c>
      <c r="E60" s="2">
        <v>3145</v>
      </c>
      <c r="F60" s="2">
        <v>-1819</v>
      </c>
      <c r="G60" s="2">
        <v>81</v>
      </c>
      <c r="I60" t="s">
        <v>2844</v>
      </c>
    </row>
    <row r="61" spans="1:9" x14ac:dyDescent="0.2">
      <c r="A61" t="s">
        <v>1031</v>
      </c>
      <c r="B61" t="s">
        <v>2673</v>
      </c>
      <c r="C61">
        <v>12</v>
      </c>
      <c r="D61" t="s">
        <v>785</v>
      </c>
      <c r="E61" s="2">
        <v>1969</v>
      </c>
      <c r="F61" s="2">
        <v>-1899</v>
      </c>
      <c r="G61" s="2">
        <v>36</v>
      </c>
      <c r="I61" t="s">
        <v>2845</v>
      </c>
    </row>
    <row r="62" spans="1:9" x14ac:dyDescent="0.2">
      <c r="A62" t="s">
        <v>1051</v>
      </c>
      <c r="B62" t="s">
        <v>2673</v>
      </c>
      <c r="C62">
        <v>12</v>
      </c>
      <c r="D62" t="s">
        <v>785</v>
      </c>
      <c r="E62" s="2">
        <v>2616</v>
      </c>
      <c r="F62" s="2">
        <v>-2595</v>
      </c>
      <c r="G62" s="2">
        <v>163</v>
      </c>
      <c r="I62" t="s">
        <v>2846</v>
      </c>
    </row>
    <row r="63" spans="1:9" x14ac:dyDescent="0.2">
      <c r="A63" t="s">
        <v>1075</v>
      </c>
      <c r="B63" t="s">
        <v>2673</v>
      </c>
      <c r="C63">
        <v>12</v>
      </c>
      <c r="D63" t="s">
        <v>785</v>
      </c>
      <c r="E63" s="2">
        <v>3359</v>
      </c>
      <c r="F63" s="2">
        <v>-3494</v>
      </c>
      <c r="G63" s="2">
        <v>50</v>
      </c>
      <c r="I63" t="s">
        <v>2847</v>
      </c>
    </row>
    <row r="64" spans="1:9" x14ac:dyDescent="0.2">
      <c r="A64" t="s">
        <v>1095</v>
      </c>
      <c r="B64" t="s">
        <v>2673</v>
      </c>
      <c r="C64">
        <v>12</v>
      </c>
      <c r="D64" t="s">
        <v>785</v>
      </c>
      <c r="E64" s="2">
        <v>2214</v>
      </c>
      <c r="F64" s="2">
        <v>-3369</v>
      </c>
      <c r="G64" s="2">
        <v>41</v>
      </c>
      <c r="I64" t="s">
        <v>2848</v>
      </c>
    </row>
    <row r="65" spans="1:9" x14ac:dyDescent="0.2">
      <c r="A65" t="s">
        <v>1037</v>
      </c>
      <c r="B65" t="s">
        <v>2673</v>
      </c>
      <c r="C65">
        <v>13</v>
      </c>
      <c r="D65" t="s">
        <v>785</v>
      </c>
      <c r="E65" s="2">
        <v>922</v>
      </c>
      <c r="F65" s="2">
        <v>-995</v>
      </c>
      <c r="G65" s="2">
        <v>48</v>
      </c>
      <c r="I65" t="s">
        <v>2849</v>
      </c>
    </row>
    <row r="66" spans="1:9" x14ac:dyDescent="0.2">
      <c r="A66" t="s">
        <v>1046</v>
      </c>
      <c r="B66" t="s">
        <v>2673</v>
      </c>
      <c r="C66">
        <v>13</v>
      </c>
      <c r="D66" t="s">
        <v>785</v>
      </c>
      <c r="E66" s="2">
        <v>254</v>
      </c>
      <c r="F66" s="2">
        <v>-3456</v>
      </c>
      <c r="G66" s="2">
        <v>89</v>
      </c>
      <c r="I66" t="s">
        <v>2850</v>
      </c>
    </row>
    <row r="67" spans="1:9" x14ac:dyDescent="0.2">
      <c r="A67" t="s">
        <v>796</v>
      </c>
      <c r="B67" t="s">
        <v>2673</v>
      </c>
      <c r="C67">
        <v>13</v>
      </c>
      <c r="D67" t="s">
        <v>785</v>
      </c>
      <c r="E67" s="2">
        <v>104</v>
      </c>
      <c r="F67" s="2">
        <v>-2674</v>
      </c>
      <c r="G67" s="2">
        <v>-2</v>
      </c>
      <c r="I67" t="s">
        <v>2851</v>
      </c>
    </row>
    <row r="68" spans="1:9" x14ac:dyDescent="0.2">
      <c r="A68" t="s">
        <v>1056</v>
      </c>
      <c r="B68" t="s">
        <v>2673</v>
      </c>
      <c r="C68">
        <v>13</v>
      </c>
      <c r="D68" t="s">
        <v>785</v>
      </c>
      <c r="E68" s="2">
        <v>1595</v>
      </c>
      <c r="F68" s="2">
        <v>-3470</v>
      </c>
      <c r="G68" s="2">
        <v>71</v>
      </c>
      <c r="I68" t="s">
        <v>2852</v>
      </c>
    </row>
    <row r="69" spans="1:9" x14ac:dyDescent="0.2">
      <c r="A69" t="s">
        <v>1074</v>
      </c>
      <c r="B69" t="s">
        <v>2673</v>
      </c>
      <c r="C69">
        <v>13</v>
      </c>
      <c r="D69" t="s">
        <v>785</v>
      </c>
      <c r="E69" s="2">
        <v>389</v>
      </c>
      <c r="F69" s="2">
        <v>-1273</v>
      </c>
      <c r="G69" s="2">
        <v>27</v>
      </c>
      <c r="I69" t="s">
        <v>2853</v>
      </c>
    </row>
    <row r="70" spans="1:9" x14ac:dyDescent="0.2">
      <c r="A70" t="s">
        <v>1077</v>
      </c>
      <c r="B70" t="s">
        <v>2673</v>
      </c>
      <c r="C70">
        <v>13</v>
      </c>
      <c r="D70" t="s">
        <v>785</v>
      </c>
      <c r="E70" s="2">
        <v>-204</v>
      </c>
      <c r="F70" s="2">
        <v>-3488</v>
      </c>
      <c r="G70" s="2">
        <v>35</v>
      </c>
      <c r="I70" t="s">
        <v>2854</v>
      </c>
    </row>
    <row r="71" spans="1:9" x14ac:dyDescent="0.2">
      <c r="A71" t="s">
        <v>1090</v>
      </c>
      <c r="B71" t="s">
        <v>2673</v>
      </c>
      <c r="C71">
        <v>13</v>
      </c>
      <c r="D71" t="s">
        <v>785</v>
      </c>
      <c r="E71" s="2">
        <v>824</v>
      </c>
      <c r="F71" s="2">
        <v>-2329</v>
      </c>
      <c r="G71" s="2">
        <v>131</v>
      </c>
      <c r="I71" t="s">
        <v>2855</v>
      </c>
    </row>
    <row r="72" spans="1:9" x14ac:dyDescent="0.2">
      <c r="A72" t="s">
        <v>1039</v>
      </c>
      <c r="B72" t="s">
        <v>2673</v>
      </c>
      <c r="C72">
        <v>14</v>
      </c>
      <c r="D72" t="s">
        <v>785</v>
      </c>
      <c r="E72" s="2">
        <v>-2963</v>
      </c>
      <c r="F72" s="2">
        <v>-3793</v>
      </c>
      <c r="G72" s="2">
        <v>42</v>
      </c>
      <c r="I72" t="s">
        <v>2856</v>
      </c>
    </row>
    <row r="73" spans="1:9" x14ac:dyDescent="0.2">
      <c r="A73" t="s">
        <v>1043</v>
      </c>
      <c r="B73" t="s">
        <v>2673</v>
      </c>
      <c r="C73">
        <v>14</v>
      </c>
      <c r="D73" t="s">
        <v>785</v>
      </c>
      <c r="E73" s="2">
        <v>-2396</v>
      </c>
      <c r="F73" s="2">
        <v>-2161</v>
      </c>
      <c r="G73" s="2">
        <v>276</v>
      </c>
      <c r="I73" t="s">
        <v>2857</v>
      </c>
    </row>
    <row r="74" spans="1:9" x14ac:dyDescent="0.2">
      <c r="A74" t="s">
        <v>1005</v>
      </c>
      <c r="B74" t="s">
        <v>2673</v>
      </c>
      <c r="C74">
        <v>14</v>
      </c>
      <c r="D74" t="s">
        <v>785</v>
      </c>
      <c r="E74" s="2">
        <v>-1609</v>
      </c>
      <c r="F74" s="2">
        <v>-2249</v>
      </c>
      <c r="G74" s="2">
        <v>-4</v>
      </c>
      <c r="I74" t="s">
        <v>2858</v>
      </c>
    </row>
    <row r="75" spans="1:9" x14ac:dyDescent="0.2">
      <c r="A75" t="s">
        <v>1044</v>
      </c>
      <c r="B75" t="s">
        <v>2673</v>
      </c>
      <c r="C75">
        <v>14</v>
      </c>
      <c r="D75" t="s">
        <v>785</v>
      </c>
      <c r="E75" s="2">
        <v>-2758</v>
      </c>
      <c r="F75" s="2">
        <v>-2263</v>
      </c>
      <c r="G75" s="2">
        <v>46</v>
      </c>
      <c r="I75" t="s">
        <v>2859</v>
      </c>
    </row>
    <row r="76" spans="1:9" x14ac:dyDescent="0.2">
      <c r="A76" t="s">
        <v>1052</v>
      </c>
      <c r="B76" t="s">
        <v>2673</v>
      </c>
      <c r="C76">
        <v>14</v>
      </c>
      <c r="D76" t="s">
        <v>785</v>
      </c>
      <c r="E76" s="2">
        <v>-2087</v>
      </c>
      <c r="F76" s="2">
        <v>-1952</v>
      </c>
      <c r="G76" s="2">
        <v>149</v>
      </c>
      <c r="I76" t="s">
        <v>2860</v>
      </c>
    </row>
    <row r="77" spans="1:9" x14ac:dyDescent="0.2">
      <c r="A77" t="s">
        <v>1067</v>
      </c>
      <c r="B77" t="s">
        <v>2673</v>
      </c>
      <c r="C77">
        <v>14</v>
      </c>
      <c r="D77" t="s">
        <v>785</v>
      </c>
      <c r="E77" s="2">
        <v>-1076</v>
      </c>
      <c r="F77" s="2">
        <v>-3351</v>
      </c>
      <c r="G77" s="2">
        <v>166</v>
      </c>
      <c r="I77" t="s">
        <v>2861</v>
      </c>
    </row>
    <row r="78" spans="1:9" x14ac:dyDescent="0.2">
      <c r="A78" t="s">
        <v>1076</v>
      </c>
      <c r="B78" t="s">
        <v>2673</v>
      </c>
      <c r="C78">
        <v>14</v>
      </c>
      <c r="D78" t="s">
        <v>785</v>
      </c>
      <c r="E78" s="2">
        <v>-3438</v>
      </c>
      <c r="F78" s="2">
        <v>-3123</v>
      </c>
      <c r="G78" s="2">
        <v>66</v>
      </c>
      <c r="I78" t="s">
        <v>2862</v>
      </c>
    </row>
    <row r="79" spans="1:9" x14ac:dyDescent="0.2">
      <c r="A79" t="s">
        <v>1100</v>
      </c>
      <c r="B79" t="s">
        <v>2673</v>
      </c>
      <c r="C79">
        <v>14</v>
      </c>
      <c r="D79" t="s">
        <v>785</v>
      </c>
      <c r="E79" s="2">
        <v>-1800</v>
      </c>
      <c r="F79" s="2">
        <v>-2616</v>
      </c>
      <c r="G79" s="2">
        <v>169</v>
      </c>
      <c r="I79" t="s">
        <v>2863</v>
      </c>
    </row>
    <row r="80" spans="1:9" x14ac:dyDescent="0.2">
      <c r="A80" t="s">
        <v>1054</v>
      </c>
      <c r="B80" t="s">
        <v>2673</v>
      </c>
      <c r="C80">
        <v>15</v>
      </c>
      <c r="D80" t="s">
        <v>785</v>
      </c>
      <c r="E80" s="2">
        <v>-3382</v>
      </c>
      <c r="F80" s="2">
        <v>-220</v>
      </c>
      <c r="G80" s="2">
        <v>79</v>
      </c>
      <c r="I80" t="s">
        <v>2864</v>
      </c>
    </row>
    <row r="81" spans="1:9" x14ac:dyDescent="0.2">
      <c r="A81" t="s">
        <v>1063</v>
      </c>
      <c r="B81" t="s">
        <v>2673</v>
      </c>
      <c r="C81">
        <v>15</v>
      </c>
      <c r="D81" t="s">
        <v>785</v>
      </c>
      <c r="E81" s="2">
        <v>-4108</v>
      </c>
      <c r="F81" s="2">
        <v>-1389</v>
      </c>
      <c r="G81" s="2">
        <v>459</v>
      </c>
      <c r="I81" t="s">
        <v>2865</v>
      </c>
    </row>
    <row r="82" spans="1:9" x14ac:dyDescent="0.2">
      <c r="A82" t="s">
        <v>1094</v>
      </c>
      <c r="B82" t="s">
        <v>2673</v>
      </c>
      <c r="C82">
        <v>15</v>
      </c>
      <c r="D82" t="s">
        <v>785</v>
      </c>
      <c r="E82" s="2">
        <v>-2676</v>
      </c>
      <c r="F82" s="2">
        <v>-426</v>
      </c>
      <c r="G82" s="2">
        <v>22</v>
      </c>
      <c r="I82" t="s">
        <v>2866</v>
      </c>
    </row>
  </sheetData>
  <autoFilter ref="A1:G82" xr:uid="{9F268EE0-ED4E-D644-BE8D-34069771440A}">
    <sortState xmlns:xlrd2="http://schemas.microsoft.com/office/spreadsheetml/2017/richdata2" ref="A2:G82">
      <sortCondition ref="C1:C82"/>
    </sortState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5D5C8-FF81-DA46-ADE3-61DE071C2139}">
  <sheetPr codeName="Sheet9">
    <tabColor theme="7"/>
  </sheetPr>
  <dimension ref="A1:I65"/>
  <sheetViews>
    <sheetView workbookViewId="0">
      <selection activeCell="G1" sqref="G1"/>
    </sheetView>
  </sheetViews>
  <sheetFormatPr baseColWidth="10" defaultRowHeight="16" x14ac:dyDescent="0.2"/>
  <cols>
    <col min="1" max="1" width="27.6640625" bestFit="1" customWidth="1"/>
    <col min="2" max="2" width="15.33203125" bestFit="1" customWidth="1"/>
    <col min="8" max="8" width="50.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2677</v>
      </c>
      <c r="B2" t="s">
        <v>2726</v>
      </c>
      <c r="C2">
        <v>2</v>
      </c>
      <c r="D2" t="s">
        <v>783</v>
      </c>
      <c r="E2">
        <v>-1456</v>
      </c>
      <c r="F2">
        <v>-1585</v>
      </c>
      <c r="G2">
        <v>1220</v>
      </c>
      <c r="H2" t="s">
        <v>2729</v>
      </c>
      <c r="I2" t="str">
        <f t="shared" ref="I2:I32" si="0">"{ name: "&amp;CHAR(34)&amp;A2&amp;CHAR(34)&amp;", landmark: "&amp;CHAR(34)&amp;"Old Map"&amp;CHAR(34)&amp;", type: "&amp;CHAR(34)&amp;B2&amp;CHAR(34)&amp;", region: "&amp;C2&amp;", level: "&amp;CHAR(34)&amp;D2&amp;CHAR(34)&amp;", x: "&amp;E2&amp;", y: "&amp;F2&amp;", z: "&amp;G2&amp;", details: "&amp;CHAR(34)&amp;H2&amp;CHAR(34)&amp;" },"</f>
        <v>{ name: "South Hyrule Sky Archipelago 1", landmark: "Old Map", type: "Old Map", region: 2, level: "Sky", x: -1456, y: -1585, z: 1220, details: "&lt;strong&gt;Treasure:&lt;/strong&gt; Trousers of the Hero" },</v>
      </c>
    </row>
    <row r="3" spans="1:9" x14ac:dyDescent="0.2">
      <c r="A3" t="s">
        <v>2679</v>
      </c>
      <c r="B3" t="s">
        <v>2726</v>
      </c>
      <c r="C3">
        <v>2</v>
      </c>
      <c r="D3" t="s">
        <v>783</v>
      </c>
      <c r="E3">
        <v>-1231</v>
      </c>
      <c r="F3">
        <v>-1403</v>
      </c>
      <c r="G3">
        <v>1007</v>
      </c>
      <c r="H3" t="s">
        <v>2730</v>
      </c>
      <c r="I3" t="str">
        <f t="shared" si="0"/>
        <v>{ name: "South Hyrule Sky Archipelago 2", landmark: "Old Map", type: "Old Map", region: 2, level: "Sky", x: -1231, y: -1403, z: 1007, details: "&lt;strong&gt;Treasure:&lt;/strong&gt; Tunic of the Hero" },</v>
      </c>
    </row>
    <row r="4" spans="1:9" x14ac:dyDescent="0.2">
      <c r="A4" t="s">
        <v>2681</v>
      </c>
      <c r="B4" t="s">
        <v>2726</v>
      </c>
      <c r="C4">
        <v>2</v>
      </c>
      <c r="D4" t="s">
        <v>783</v>
      </c>
      <c r="E4">
        <v>-1343</v>
      </c>
      <c r="F4">
        <v>-1547</v>
      </c>
      <c r="G4">
        <v>801</v>
      </c>
      <c r="H4" t="s">
        <v>2731</v>
      </c>
      <c r="I4" t="str">
        <f t="shared" si="0"/>
        <v>{ name: "South Hyrule Sky Archipelago 3", landmark: "Old Map", type: "Old Map", region: 2, level: "Sky", x: -1343, y: -1547, z: 801, details: "&lt;strong&gt;Treasure:&lt;/strong&gt; Cap of the Hero" },</v>
      </c>
    </row>
    <row r="5" spans="1:9" x14ac:dyDescent="0.2">
      <c r="A5" t="s">
        <v>2683</v>
      </c>
      <c r="B5" t="s">
        <v>2726</v>
      </c>
      <c r="C5">
        <v>2</v>
      </c>
      <c r="D5" t="s">
        <v>783</v>
      </c>
      <c r="E5">
        <v>-818</v>
      </c>
      <c r="F5">
        <v>-1594</v>
      </c>
      <c r="G5">
        <v>861</v>
      </c>
      <c r="H5" t="s">
        <v>2732</v>
      </c>
      <c r="I5" t="str">
        <f t="shared" si="0"/>
        <v>{ name: "South Hyrule Sky Archipelago 4", landmark: "Old Map", type: "Old Map", region: 2, level: "Sky", x: -818, y: -1594, z: 861, details: "&lt;strong&gt;Treasure:&lt;/strong&gt; Sheik's Mask" },</v>
      </c>
    </row>
    <row r="6" spans="1:9" x14ac:dyDescent="0.2">
      <c r="A6" t="s">
        <v>1542</v>
      </c>
      <c r="B6" t="s">
        <v>2726</v>
      </c>
      <c r="C6">
        <v>3</v>
      </c>
      <c r="D6" t="s">
        <v>783</v>
      </c>
      <c r="E6">
        <v>-3437</v>
      </c>
      <c r="F6">
        <v>1431</v>
      </c>
      <c r="G6">
        <v>1193</v>
      </c>
      <c r="H6" t="s">
        <v>2754</v>
      </c>
      <c r="I6" t="str">
        <f>"{ name: "&amp;CHAR(34)&amp;A6&amp;CHAR(34)&amp;", landmark: "&amp;CHAR(34)&amp;"Old Map"&amp;CHAR(34)&amp;", type: "&amp;CHAR(34)&amp;B6&amp;CHAR(34)&amp;", region: "&amp;C6&amp;", level: "&amp;CHAR(34)&amp;D6&amp;CHAR(34)&amp;", x: "&amp;E6&amp;", y: "&amp;F6&amp;", z: "&amp;G6&amp;", details: "&amp;CHAR(34)&amp;H6&amp;CHAR(34)&amp;" },"</f>
        <v>{ name: "North Tabantha Sky Archipelago", landmark: "Old Map", type: "Old Map", region: 3, level: "Sky", x: -3437, y: 1431, z: 1193, details: "&lt;strong&gt;Treasure:&lt;/strong&gt; Tunic of the Wild" },</v>
      </c>
    </row>
    <row r="7" spans="1:9" x14ac:dyDescent="0.2">
      <c r="A7" t="s">
        <v>2722</v>
      </c>
      <c r="B7" t="s">
        <v>2726</v>
      </c>
      <c r="C7">
        <v>3</v>
      </c>
      <c r="D7" t="s">
        <v>783</v>
      </c>
      <c r="E7">
        <v>-3931</v>
      </c>
      <c r="F7">
        <v>609</v>
      </c>
      <c r="G7">
        <v>1708</v>
      </c>
      <c r="H7" t="s">
        <v>2755</v>
      </c>
      <c r="I7" t="str">
        <f>"{ name: "&amp;CHAR(34)&amp;A7&amp;CHAR(34)&amp;", landmark: "&amp;CHAR(34)&amp;"Old Map"&amp;CHAR(34)&amp;", type: "&amp;CHAR(34)&amp;B7&amp;CHAR(34)&amp;", region: "&amp;C7&amp;", level: "&amp;CHAR(34)&amp;D7&amp;CHAR(34)&amp;", x: "&amp;E7&amp;", y: "&amp;F7&amp;", z: "&amp;G7&amp;", details: "&amp;CHAR(34)&amp;H7&amp;CHAR(34)&amp;" },"</f>
        <v>{ name: "Tabantha Sky Archipelago 1", landmark: "Old Map", type: "Old Map", region: 3, level: "Sky", x: -3931, y: 609, z: 1708, details: "&lt;strong&gt;Treasure:&lt;/strong&gt; Trousers of the Wild" },</v>
      </c>
    </row>
    <row r="8" spans="1:9" x14ac:dyDescent="0.2">
      <c r="A8" t="s">
        <v>2724</v>
      </c>
      <c r="B8" t="s">
        <v>2726</v>
      </c>
      <c r="C8">
        <v>3</v>
      </c>
      <c r="D8" t="s">
        <v>783</v>
      </c>
      <c r="E8">
        <v>-3636</v>
      </c>
      <c r="F8">
        <v>466</v>
      </c>
      <c r="G8">
        <v>1661</v>
      </c>
      <c r="H8" t="s">
        <v>2756</v>
      </c>
      <c r="I8" t="str">
        <f>"{ name: "&amp;CHAR(34)&amp;A8&amp;CHAR(34)&amp;", landmark: "&amp;CHAR(34)&amp;"Old Map"&amp;CHAR(34)&amp;", type: "&amp;CHAR(34)&amp;B8&amp;CHAR(34)&amp;", region: "&amp;C8&amp;", level: "&amp;CHAR(34)&amp;D8&amp;CHAR(34)&amp;", x: "&amp;E8&amp;", y: "&amp;F8&amp;", z: "&amp;G8&amp;", details: "&amp;CHAR(34)&amp;H8&amp;CHAR(34)&amp;" },"</f>
        <v>{ name: "Tabantha Sky Archipelago 2", landmark: "Old Map", type: "Old Map", region: 3, level: "Sky", x: -3636, y: 466, z: 1661, details: "&lt;strong&gt;Treasure:&lt;/strong&gt; Cap of the Wild" },</v>
      </c>
    </row>
    <row r="9" spans="1:9" x14ac:dyDescent="0.2">
      <c r="A9" t="s">
        <v>2685</v>
      </c>
      <c r="B9" t="s">
        <v>2726</v>
      </c>
      <c r="C9">
        <v>4</v>
      </c>
      <c r="D9" t="s">
        <v>783</v>
      </c>
      <c r="E9">
        <v>-3470</v>
      </c>
      <c r="F9">
        <v>3518</v>
      </c>
      <c r="G9">
        <v>930</v>
      </c>
      <c r="H9" t="s">
        <v>2733</v>
      </c>
      <c r="I9" t="str">
        <f t="shared" si="0"/>
        <v>{ name: "Rising Island Chain", landmark: "Old Map", type: "Old Map", region: 4, level: "Sky", x: -3470, y: 3518, z: 930, details: "&lt;strong&gt;Treasure:&lt;/strong&gt; Miner's Mask" },</v>
      </c>
    </row>
    <row r="10" spans="1:9" x14ac:dyDescent="0.2">
      <c r="A10" t="s">
        <v>2687</v>
      </c>
      <c r="B10" t="s">
        <v>2726</v>
      </c>
      <c r="C10">
        <v>4</v>
      </c>
      <c r="D10" t="s">
        <v>783</v>
      </c>
      <c r="E10">
        <v>-3860</v>
      </c>
      <c r="F10">
        <v>2922</v>
      </c>
      <c r="G10">
        <v>747</v>
      </c>
      <c r="H10" t="s">
        <v>2734</v>
      </c>
      <c r="I10" t="str">
        <f t="shared" si="0"/>
        <v>{ name: "West Hebra Sky Archipelago 1", landmark: "Old Map", type: "Old Map", region: 4, level: "Sky", x: -3860, y: 2922, z: 747, details: "&lt;strong&gt;Treasure:&lt;/strong&gt; Miner's Top" },</v>
      </c>
    </row>
    <row r="11" spans="1:9" x14ac:dyDescent="0.2">
      <c r="A11" t="s">
        <v>2689</v>
      </c>
      <c r="B11" t="s">
        <v>2726</v>
      </c>
      <c r="C11">
        <v>4</v>
      </c>
      <c r="D11" t="s">
        <v>783</v>
      </c>
      <c r="E11">
        <v>-3834</v>
      </c>
      <c r="F11">
        <v>2720</v>
      </c>
      <c r="G11">
        <v>544</v>
      </c>
      <c r="H11" t="s">
        <v>2735</v>
      </c>
      <c r="I11" t="str">
        <f t="shared" si="0"/>
        <v>{ name: "West Hebra Sky Archipelago 2", landmark: "Old Map", type: "Old Map", region: 4, level: "Sky", x: -3834, y: 2720, z: 544, details: "&lt;strong&gt;Treasure:&lt;/strong&gt; Miner's Trousers" },</v>
      </c>
    </row>
    <row r="12" spans="1:9" x14ac:dyDescent="0.2">
      <c r="A12" s="21" t="s">
        <v>1004</v>
      </c>
      <c r="B12" t="s">
        <v>2726</v>
      </c>
      <c r="C12">
        <v>5</v>
      </c>
      <c r="D12" t="s">
        <v>783</v>
      </c>
      <c r="E12">
        <v>-1648</v>
      </c>
      <c r="F12">
        <v>3508</v>
      </c>
      <c r="G12">
        <v>747</v>
      </c>
      <c r="H12" t="s">
        <v>2736</v>
      </c>
      <c r="I12" t="str">
        <f t="shared" si="0"/>
        <v>{ name: "East Hebra Sky Archipelago", landmark: "Old Map", type: "Old Map", region: 5, level: "Sky", x: -1648, y: 3508, z: 747, details: "&lt;strong&gt;Treasure:&lt;/strong&gt; Ravio's Hood" },</v>
      </c>
    </row>
    <row r="13" spans="1:9" x14ac:dyDescent="0.2">
      <c r="A13" t="s">
        <v>1013</v>
      </c>
      <c r="B13" t="s">
        <v>2726</v>
      </c>
      <c r="C13">
        <v>6</v>
      </c>
      <c r="D13" t="s">
        <v>783</v>
      </c>
      <c r="E13">
        <v>435</v>
      </c>
      <c r="F13">
        <v>2196</v>
      </c>
      <c r="G13">
        <v>2243</v>
      </c>
      <c r="H13" t="s">
        <v>2727</v>
      </c>
      <c r="I13" t="str">
        <f>"{ name: "&amp;CHAR(34)&amp;A13&amp;CHAR(34)&amp;", landmark: "&amp;CHAR(34)&amp;"Old Map"&amp;CHAR(34)&amp;", type: "&amp;CHAR(34)&amp;B13&amp;CHAR(34)&amp;", region: "&amp;C13&amp;", level: "&amp;CHAR(34)&amp;D13&amp;CHAR(34)&amp;", x: "&amp;E13&amp;", y: "&amp;F13&amp;", z: "&amp;G13&amp;", details: "&amp;CHAR(34)&amp;H13&amp;CHAR(34)&amp;" },"</f>
        <v>{ name: "North Hyrule Sky Archipelago", landmark: "Old Map", type: "Old Map", region: 6, level: "Sky", x: 435, y: 2196, z: 2243, details: "&lt;strong&gt;Treasure:&lt;/strong&gt; Korok Mask" },</v>
      </c>
    </row>
    <row r="14" spans="1:9" x14ac:dyDescent="0.2">
      <c r="A14" t="s">
        <v>1017</v>
      </c>
      <c r="B14" t="s">
        <v>2726</v>
      </c>
      <c r="C14">
        <v>7</v>
      </c>
      <c r="D14" t="s">
        <v>783</v>
      </c>
      <c r="E14">
        <v>1809</v>
      </c>
      <c r="F14">
        <v>1014</v>
      </c>
      <c r="G14">
        <v>1183</v>
      </c>
      <c r="H14" t="s">
        <v>2737</v>
      </c>
      <c r="I14" t="str">
        <f t="shared" si="0"/>
        <v>{ name: "South Eldin Sky Archipelago", landmark: "Old Map", type: "Old Map", region: 7, level: "Sky", x: 1809, y: 1014, z: 1183, details: "&lt;strong&gt;Treasure:&lt;/strong&gt; Biggoron's Sword" },</v>
      </c>
    </row>
    <row r="15" spans="1:9" x14ac:dyDescent="0.2">
      <c r="A15" t="s">
        <v>2693</v>
      </c>
      <c r="B15" t="s">
        <v>2726</v>
      </c>
      <c r="C15">
        <v>8</v>
      </c>
      <c r="D15" t="s">
        <v>783</v>
      </c>
      <c r="E15">
        <v>4267</v>
      </c>
      <c r="F15">
        <v>3108</v>
      </c>
      <c r="G15">
        <v>783</v>
      </c>
      <c r="H15" t="s">
        <v>2738</v>
      </c>
      <c r="I15" t="str">
        <f t="shared" si="0"/>
        <v>{ name: "North Akkala Sky Archipelago 1", landmark: "Old Map", type: "Old Map", region: 8, level: "Sky", x: 4267, y: 3108, z: 783, details: "&lt;strong&gt;Treasure:&lt;/strong&gt; Trousers of Twilight" },</v>
      </c>
    </row>
    <row r="16" spans="1:9" x14ac:dyDescent="0.2">
      <c r="A16" t="s">
        <v>2695</v>
      </c>
      <c r="B16" t="s">
        <v>2726</v>
      </c>
      <c r="C16">
        <v>8</v>
      </c>
      <c r="D16" t="s">
        <v>783</v>
      </c>
      <c r="E16">
        <v>3285</v>
      </c>
      <c r="F16">
        <v>3444</v>
      </c>
      <c r="G16">
        <v>794</v>
      </c>
      <c r="H16" t="s">
        <v>2739</v>
      </c>
      <c r="I16" t="str">
        <f t="shared" si="0"/>
        <v>{ name: "North Akkala Sky Archipelago 2", landmark: "Old Map", type: "Old Map", region: 8, level: "Sky", x: 3285, y: 3444, z: 794, details: "&lt;strong&gt;Treasure:&lt;/strong&gt; Cap of Twilight" },</v>
      </c>
    </row>
    <row r="17" spans="1:9" x14ac:dyDescent="0.2">
      <c r="A17" t="s">
        <v>1016</v>
      </c>
      <c r="B17" t="s">
        <v>2726</v>
      </c>
      <c r="C17">
        <v>8</v>
      </c>
      <c r="D17" t="s">
        <v>783</v>
      </c>
      <c r="E17">
        <v>3661</v>
      </c>
      <c r="F17">
        <v>1800</v>
      </c>
      <c r="G17">
        <v>988</v>
      </c>
      <c r="H17" t="s">
        <v>2740</v>
      </c>
      <c r="I17" t="str">
        <f t="shared" si="0"/>
        <v>{ name: "Sokkala Sky Archipelago", landmark: "Old Map", type: "Old Map", region: 8, level: "Sky", x: 3661, y: 1800, z: 988, details: "&lt;strong&gt;Treasure:&lt;/strong&gt; Tunic of Twilight" },</v>
      </c>
    </row>
    <row r="18" spans="1:9" x14ac:dyDescent="0.2">
      <c r="A18" t="s">
        <v>2698</v>
      </c>
      <c r="B18" t="s">
        <v>2726</v>
      </c>
      <c r="C18">
        <v>9</v>
      </c>
      <c r="D18" t="s">
        <v>783</v>
      </c>
      <c r="E18">
        <v>3691</v>
      </c>
      <c r="F18">
        <v>592</v>
      </c>
      <c r="G18">
        <v>1245</v>
      </c>
      <c r="H18" t="s">
        <v>2741</v>
      </c>
      <c r="I18" t="str">
        <f t="shared" si="0"/>
        <v>{ name: "Wellspring Island 1", landmark: "Old Map", type: "Old Map", region: 9, level: "Sky", x: 3691, y: 592, z: 1245, details: "&lt;strong&gt;Treasure:&lt;/strong&gt; Trousers of the Wind" },</v>
      </c>
    </row>
    <row r="19" spans="1:9" x14ac:dyDescent="0.2">
      <c r="A19" t="s">
        <v>2700</v>
      </c>
      <c r="B19" t="s">
        <v>2726</v>
      </c>
      <c r="C19">
        <v>9</v>
      </c>
      <c r="D19" t="s">
        <v>783</v>
      </c>
      <c r="E19">
        <v>3201</v>
      </c>
      <c r="F19">
        <v>598</v>
      </c>
      <c r="G19">
        <v>1417</v>
      </c>
      <c r="H19" t="s">
        <v>2742</v>
      </c>
      <c r="I19" t="str">
        <f t="shared" si="0"/>
        <v>{ name: "Wellspring Island 2", landmark: "Old Map", type: "Old Map", region: 9, level: "Sky", x: 3201, y: 598, z: 1417, details: "&lt;strong&gt;Treasure:&lt;/strong&gt; Cap of the Wind" },</v>
      </c>
    </row>
    <row r="20" spans="1:9" x14ac:dyDescent="0.2">
      <c r="A20" t="s">
        <v>1010</v>
      </c>
      <c r="B20" t="s">
        <v>2726</v>
      </c>
      <c r="C20">
        <v>9</v>
      </c>
      <c r="D20" t="s">
        <v>783</v>
      </c>
      <c r="E20">
        <v>3167</v>
      </c>
      <c r="F20">
        <v>459</v>
      </c>
      <c r="G20">
        <v>935</v>
      </c>
      <c r="H20" t="s">
        <v>2743</v>
      </c>
      <c r="I20" t="str">
        <f t="shared" si="0"/>
        <v>{ name: "Lanayru Sky Archipelago", landmark: "Old Map", type: "Old Map", region: 9, level: "Sky", x: 3167, y: 459, z: 935, details: "&lt;strong&gt;Treasure:&lt;/strong&gt; Tunic of the Wind" },</v>
      </c>
    </row>
    <row r="21" spans="1:9" x14ac:dyDescent="0.2">
      <c r="A21" s="21" t="s">
        <v>1174</v>
      </c>
      <c r="B21" t="s">
        <v>2726</v>
      </c>
      <c r="C21">
        <v>10</v>
      </c>
      <c r="D21" t="s">
        <v>783</v>
      </c>
      <c r="E21">
        <v>1662</v>
      </c>
      <c r="F21">
        <v>-352</v>
      </c>
      <c r="G21">
        <v>400</v>
      </c>
      <c r="H21" t="s">
        <v>2728</v>
      </c>
      <c r="I21" t="str">
        <f>"{ name: "&amp;CHAR(34)&amp;A21&amp;CHAR(34)&amp;", landmark: "&amp;CHAR(34)&amp;"Old Map"&amp;CHAR(34)&amp;", type: "&amp;CHAR(34)&amp;B21&amp;CHAR(34)&amp;", region: "&amp;C21&amp;", level: "&amp;CHAR(34)&amp;D21&amp;CHAR(34)&amp;", x: "&amp;E21&amp;", y: "&amp;F21&amp;", z: "&amp;G21&amp;", details: "&amp;CHAR(34)&amp;H21&amp;CHAR(34)&amp;" },"</f>
        <v>{ name: "Central Hyrule Sky Archipelago", landmark: "Old Map", type: "Old Map", region: 10, level: "Sky", x: 1662, y: -352, z: 400, details: "&lt;strong&gt;Treasure:&lt;/strong&gt; Cap of Time" },</v>
      </c>
    </row>
    <row r="22" spans="1:9" x14ac:dyDescent="0.2">
      <c r="A22" t="s">
        <v>2707</v>
      </c>
      <c r="B22" t="s">
        <v>2726</v>
      </c>
      <c r="C22">
        <v>10</v>
      </c>
      <c r="D22" t="s">
        <v>783</v>
      </c>
      <c r="E22">
        <v>1852</v>
      </c>
      <c r="F22">
        <v>-980</v>
      </c>
      <c r="G22">
        <v>927</v>
      </c>
      <c r="H22" t="s">
        <v>2746</v>
      </c>
      <c r="I22" t="str">
        <f t="shared" si="0"/>
        <v>{ name: "North Necluda Sky Archipelago 1", landmark: "Old Map", type: "Old Map", region: 10, level: "Sky", x: 1852, y: -980, z: 927, details: "&lt;strong&gt;Treasure:&lt;/strong&gt; Tunic of Time" },</v>
      </c>
    </row>
    <row r="23" spans="1:9" x14ac:dyDescent="0.2">
      <c r="A23" t="s">
        <v>2709</v>
      </c>
      <c r="B23" t="s">
        <v>2726</v>
      </c>
      <c r="C23">
        <v>10</v>
      </c>
      <c r="D23" t="s">
        <v>783</v>
      </c>
      <c r="E23">
        <v>1814</v>
      </c>
      <c r="F23">
        <v>-1324</v>
      </c>
      <c r="G23">
        <v>890</v>
      </c>
      <c r="H23" t="s">
        <v>2747</v>
      </c>
      <c r="I23" t="str">
        <f t="shared" si="0"/>
        <v>{ name: "North Necluda Sky Archipelago 2", landmark: "Old Map", type: "Old Map", region: 10, level: "Sky", x: 1814, y: -1324, z: 890, details: "&lt;strong&gt;Treasure:&lt;/strong&gt; Trousers of Time" },</v>
      </c>
    </row>
    <row r="24" spans="1:9" x14ac:dyDescent="0.2">
      <c r="A24" t="s">
        <v>2867</v>
      </c>
      <c r="B24" t="s">
        <v>2726</v>
      </c>
      <c r="C24">
        <v>10</v>
      </c>
      <c r="D24" t="s">
        <v>783</v>
      </c>
      <c r="E24">
        <v>2644</v>
      </c>
      <c r="F24">
        <v>-1415</v>
      </c>
      <c r="G24">
        <v>1477</v>
      </c>
      <c r="H24" t="s">
        <v>2868</v>
      </c>
      <c r="I24" t="str">
        <f t="shared" si="0"/>
        <v>{ name: "East Necluda Sky Archipelago", landmark: "Old Map", type: "Old Map", region: 10, level: "Sky", x: 2644, y: -1415, z: 1477, details: "&lt;strong&gt;Treasure:&lt;/strong&gt; Sea-Breeze Shield" },</v>
      </c>
    </row>
    <row r="25" spans="1:9" x14ac:dyDescent="0.2">
      <c r="A25" s="21" t="s">
        <v>1027</v>
      </c>
      <c r="B25" t="s">
        <v>2726</v>
      </c>
      <c r="C25">
        <v>10</v>
      </c>
      <c r="D25" t="s">
        <v>783</v>
      </c>
      <c r="E25">
        <v>1651</v>
      </c>
      <c r="F25">
        <v>-2190</v>
      </c>
      <c r="G25">
        <v>565</v>
      </c>
      <c r="H25" t="s">
        <v>2749</v>
      </c>
      <c r="I25" t="str">
        <f>"{ name: "&amp;CHAR(34)&amp;A25&amp;CHAR(34)&amp;", landmark: "&amp;CHAR(34)&amp;"Old Map"&amp;CHAR(34)&amp;", type: "&amp;CHAR(34)&amp;B25&amp;CHAR(34)&amp;", region: "&amp;C25&amp;", level: "&amp;CHAR(34)&amp;D25&amp;CHAR(34)&amp;", x: "&amp;E25&amp;", y: "&amp;F25&amp;", z: "&amp;G25&amp;", details: "&amp;CHAR(34)&amp;H25&amp;CHAR(34)&amp;" },"</f>
        <v>{ name: "West Necluda Sky Archipelago", landmark: "Old Map", type: "Old Map", region: 10, level: "Sky", x: 1651, y: -2190, z: 565, details: "&lt;strong&gt;Treasure:&lt;/strong&gt; Tunic of the Sky" },</v>
      </c>
    </row>
    <row r="26" spans="1:9" s="21" customFormat="1" x14ac:dyDescent="0.2">
      <c r="A26" s="21" t="s">
        <v>2703</v>
      </c>
      <c r="B26" s="21" t="s">
        <v>2726</v>
      </c>
      <c r="C26" s="21">
        <v>11</v>
      </c>
      <c r="D26" s="21" t="s">
        <v>783</v>
      </c>
      <c r="E26" s="21">
        <v>4659</v>
      </c>
      <c r="F26" s="21">
        <v>-869</v>
      </c>
      <c r="G26" s="21">
        <v>1758</v>
      </c>
      <c r="H26" s="21" t="s">
        <v>2744</v>
      </c>
      <c r="I26" s="21" t="str">
        <f>"{ name: "&amp;CHAR(34)&amp;A26&amp;CHAR(34)&amp;", landmark: "&amp;CHAR(34)&amp;"Old Map"&amp;CHAR(34)&amp;", type: "&amp;CHAR(34)&amp;B26&amp;CHAR(34)&amp;", region: "&amp;C26&amp;", level: "&amp;CHAR(34)&amp;D26&amp;CHAR(34)&amp;", x: "&amp;E26&amp;", y: "&amp;F26&amp;", z: "&amp;G26&amp;", details: "&amp;CHAR(34)&amp;H26&amp;CHAR(34)&amp;" },"</f>
        <v>{ name: "South Lanayru Sky Archipelago 1", landmark: "Old Map", type: "Old Map", region: 11, level: "Sky", x: 4659, y: -869, z: 1758, details: "&lt;strong&gt;Treasure:&lt;/strong&gt; Midna's Helmet" },</v>
      </c>
    </row>
    <row r="27" spans="1:9" s="21" customFormat="1" x14ac:dyDescent="0.2">
      <c r="A27" s="21" t="s">
        <v>2705</v>
      </c>
      <c r="B27" s="21" t="s">
        <v>2726</v>
      </c>
      <c r="C27" s="21">
        <v>11</v>
      </c>
      <c r="D27" s="21" t="s">
        <v>783</v>
      </c>
      <c r="E27" s="21">
        <v>4750</v>
      </c>
      <c r="F27" s="21">
        <v>-777</v>
      </c>
      <c r="G27" s="21">
        <v>1863</v>
      </c>
      <c r="H27" s="21" t="s">
        <v>2745</v>
      </c>
      <c r="I27" s="21" t="str">
        <f>"{ name: "&amp;CHAR(34)&amp;A27&amp;CHAR(34)&amp;", landmark: "&amp;CHAR(34)&amp;"Old Map"&amp;CHAR(34)&amp;", type: "&amp;CHAR(34)&amp;B27&amp;CHAR(34)&amp;", region: "&amp;C27&amp;", level: "&amp;CHAR(34)&amp;D27&amp;CHAR(34)&amp;", x: "&amp;E27&amp;", y: "&amp;F27&amp;", z: "&amp;G27&amp;", details: "&amp;CHAR(34)&amp;H27&amp;CHAR(34)&amp;" },"</f>
        <v>{ name: "South Lanayru Sky Archipelago 2", landmark: "Old Map", type: "Old Map", region: 11, level: "Sky", x: 4750, y: -777, z: 1863, details: "&lt;strong&gt;Treasure:&lt;/strong&gt; Zant's Helmet" },</v>
      </c>
    </row>
    <row r="28" spans="1:9" x14ac:dyDescent="0.2">
      <c r="A28" t="s">
        <v>1525</v>
      </c>
      <c r="B28" t="s">
        <v>2726</v>
      </c>
      <c r="C28">
        <v>12</v>
      </c>
      <c r="D28" t="s">
        <v>783</v>
      </c>
      <c r="E28">
        <v>2158</v>
      </c>
      <c r="F28">
        <v>-2592</v>
      </c>
      <c r="G28">
        <v>1262</v>
      </c>
      <c r="H28" t="s">
        <v>2748</v>
      </c>
      <c r="I28" t="str">
        <f t="shared" si="0"/>
        <v>{ name: "Necluda Sky Archipelago", landmark: "Old Map", type: "Old Map", region: 12, level: "Sky", x: 2158, y: -2592, z: 1262, details: "&lt;strong&gt;Treasure:&lt;/strong&gt; Sea-Breeze Boomerang" },</v>
      </c>
    </row>
    <row r="29" spans="1:9" x14ac:dyDescent="0.2">
      <c r="A29" t="s">
        <v>2715</v>
      </c>
      <c r="B29" t="s">
        <v>2726</v>
      </c>
      <c r="C29">
        <v>13</v>
      </c>
      <c r="D29" t="s">
        <v>783</v>
      </c>
      <c r="E29">
        <v>953</v>
      </c>
      <c r="F29">
        <v>-3112</v>
      </c>
      <c r="G29">
        <v>756</v>
      </c>
      <c r="H29" t="s">
        <v>2750</v>
      </c>
      <c r="I29" t="str">
        <f t="shared" si="0"/>
        <v>{ name: "Thunderhead Isles 1", landmark: "Old Map", type: "Old Map", region: 13, level: "Sky", x: 953, y: -3112, z: 756, details: "&lt;strong&gt;Treasure:&lt;/strong&gt; Trousers of the Sky" },</v>
      </c>
    </row>
    <row r="30" spans="1:9" x14ac:dyDescent="0.2">
      <c r="A30" t="s">
        <v>2717</v>
      </c>
      <c r="B30" t="s">
        <v>2726</v>
      </c>
      <c r="C30">
        <v>13</v>
      </c>
      <c r="D30" t="s">
        <v>783</v>
      </c>
      <c r="E30">
        <v>1133</v>
      </c>
      <c r="F30">
        <v>-3273</v>
      </c>
      <c r="G30">
        <v>757</v>
      </c>
      <c r="H30" t="s">
        <v>2751</v>
      </c>
      <c r="I30" t="str">
        <f t="shared" si="0"/>
        <v>{ name: "Thunderhead Isles 2", landmark: "Old Map", type: "Old Map", region: 13, level: "Sky", x: 1133, y: -3273, z: 757, details: "&lt;strong&gt;Treasure:&lt;/strong&gt; Cap of the Sky" },</v>
      </c>
    </row>
    <row r="31" spans="1:9" x14ac:dyDescent="0.2">
      <c r="A31" t="s">
        <v>1003</v>
      </c>
      <c r="B31" t="s">
        <v>2726</v>
      </c>
      <c r="C31">
        <v>14</v>
      </c>
      <c r="D31" t="s">
        <v>783</v>
      </c>
      <c r="E31">
        <v>-1955</v>
      </c>
      <c r="F31">
        <v>-1808</v>
      </c>
      <c r="G31">
        <v>1167</v>
      </c>
      <c r="H31" t="s">
        <v>2753</v>
      </c>
      <c r="I31" t="str">
        <f>"{ name: "&amp;CHAR(34)&amp;A31&amp;CHAR(34)&amp;", landmark: "&amp;CHAR(34)&amp;"Old Map"&amp;CHAR(34)&amp;", type: "&amp;CHAR(34)&amp;B31&amp;CHAR(34)&amp;", region: "&amp;C31&amp;", level: "&amp;CHAR(34)&amp;D31&amp;CHAR(34)&amp;", x: "&amp;E31&amp;", y: "&amp;F31&amp;", z: "&amp;G31&amp;", details: "&amp;CHAR(34)&amp;H31&amp;CHAR(34)&amp;" },"</f>
        <v>{ name: "East Gerudo Sky Archipelago", landmark: "Old Map", type: "Old Map", region: 14, level: "Sky", x: -1955, y: -1808, z: 1167, details: "&lt;strong&gt;Treasure:&lt;/strong&gt; Sword of the Hero" },</v>
      </c>
    </row>
    <row r="32" spans="1:9" x14ac:dyDescent="0.2">
      <c r="A32" s="21" t="s">
        <v>1537</v>
      </c>
      <c r="B32" t="s">
        <v>2726</v>
      </c>
      <c r="C32">
        <v>15</v>
      </c>
      <c r="D32" t="s">
        <v>783</v>
      </c>
      <c r="E32">
        <v>-3377</v>
      </c>
      <c r="F32">
        <v>-21</v>
      </c>
      <c r="G32">
        <v>2284</v>
      </c>
      <c r="H32" t="s">
        <v>2752</v>
      </c>
      <c r="I32" t="str">
        <f t="shared" si="0"/>
        <v>{ name: "North Gerudo Sky Archipelago", landmark: "Old Map", type: "Old Map", region: 15, level: "Sky", x: -3377, y: -21, z: 2284, details: "&lt;strong&gt;Treasure:&lt;/strong&gt; Majora's Mask" },</v>
      </c>
    </row>
    <row r="33" spans="1:9" x14ac:dyDescent="0.2">
      <c r="A33" s="21"/>
    </row>
    <row r="34" spans="1:9" x14ac:dyDescent="0.2">
      <c r="A34" s="6" t="s">
        <v>781</v>
      </c>
      <c r="B34" s="6" t="s">
        <v>2129</v>
      </c>
      <c r="C34" s="6" t="s">
        <v>2120</v>
      </c>
      <c r="D34" s="6" t="s">
        <v>777</v>
      </c>
      <c r="E34" s="6" t="s">
        <v>778</v>
      </c>
      <c r="F34" s="6" t="s">
        <v>779</v>
      </c>
      <c r="G34" s="6" t="s">
        <v>780</v>
      </c>
      <c r="H34" s="6" t="s">
        <v>2127</v>
      </c>
      <c r="I34" s="6" t="s">
        <v>2121</v>
      </c>
    </row>
    <row r="35" spans="1:9" x14ac:dyDescent="0.2">
      <c r="A35" t="s">
        <v>2688</v>
      </c>
      <c r="B35" t="s">
        <v>2674</v>
      </c>
      <c r="C35">
        <v>1</v>
      </c>
      <c r="D35" t="s">
        <v>1002</v>
      </c>
      <c r="E35">
        <v>-1077</v>
      </c>
      <c r="F35">
        <v>-556</v>
      </c>
      <c r="G35">
        <v>-514</v>
      </c>
      <c r="H35" t="s">
        <v>2764</v>
      </c>
      <c r="I35" t="str">
        <f>"{ name: "&amp;CHAR(34)&amp;A35&amp;CHAR(34)&amp;", landmark: "&amp;CHAR(34)&amp;"Treasure"&amp;CHAR(34)&amp;", type: "&amp;CHAR(34)&amp;B35&amp;CHAR(34)&amp;", region: "&amp;C35&amp;", level: "&amp;CHAR(34)&amp;D35&amp;CHAR(34)&amp;", x: "&amp;E35&amp;", y: "&amp;F35&amp;", z: "&amp;G35&amp;", details: "&amp;CHAR(34)&amp;H35&amp;CHAR(34)&amp;" },"</f>
        <v>{ name: "Miner's Top", landmark: "Treasure", type: "Treasure", region: 1, level: "Depths", x: -1077, y: -556, z: -514, details: "&lt;strong&gt;Old Map:&lt;/strong&gt; West Hebra Sky Archipelago 1" },</v>
      </c>
    </row>
    <row r="36" spans="1:9" x14ac:dyDescent="0.2">
      <c r="A36" t="s">
        <v>2719</v>
      </c>
      <c r="B36" t="s">
        <v>2674</v>
      </c>
      <c r="C36">
        <v>2</v>
      </c>
      <c r="D36" t="s">
        <v>1002</v>
      </c>
      <c r="E36">
        <v>-1151</v>
      </c>
      <c r="F36">
        <v>-1263</v>
      </c>
      <c r="G36">
        <v>-499</v>
      </c>
      <c r="H36" t="s">
        <v>2782</v>
      </c>
      <c r="I36" t="str">
        <f>"{ name: "&amp;CHAR(34)&amp;A36&amp;CHAR(34)&amp;", landmark: "&amp;CHAR(34)&amp;"Treasure"&amp;CHAR(34)&amp;", type: "&amp;CHAR(34)&amp;B36&amp;CHAR(34)&amp;", region: "&amp;C36&amp;", level: "&amp;CHAR(34)&amp;D36&amp;CHAR(34)&amp;", x: "&amp;E36&amp;", y: "&amp;F36&amp;", z: "&amp;G36&amp;", details: "&amp;CHAR(34)&amp;H36&amp;CHAR(34)&amp;" },"</f>
        <v>{ name: "Majora's Mask", landmark: "Treasure", type: "Treasure", region: 2, level: "Depths", x: -1151, y: -1263, z: -499, details: "&lt;strong&gt;Old Map:&lt;/strong&gt; North Gerudo Sky Archipelago" },</v>
      </c>
    </row>
    <row r="37" spans="1:9" x14ac:dyDescent="0.2">
      <c r="A37" t="s">
        <v>2690</v>
      </c>
      <c r="B37" t="s">
        <v>2674</v>
      </c>
      <c r="C37">
        <v>2</v>
      </c>
      <c r="D37" t="s">
        <v>1002</v>
      </c>
      <c r="E37">
        <v>-1287</v>
      </c>
      <c r="F37">
        <v>-2251</v>
      </c>
      <c r="G37">
        <v>-707</v>
      </c>
      <c r="H37" t="s">
        <v>2765</v>
      </c>
      <c r="I37" t="str">
        <f>"{ name: "&amp;CHAR(34)&amp;A37&amp;CHAR(34)&amp;", landmark: "&amp;CHAR(34)&amp;"Treasure"&amp;CHAR(34)&amp;", type: "&amp;CHAR(34)&amp;B37&amp;CHAR(34)&amp;", region: "&amp;C37&amp;", level: "&amp;CHAR(34)&amp;D37&amp;CHAR(34)&amp;", x: "&amp;E37&amp;", y: "&amp;F37&amp;", z: "&amp;G37&amp;", details: "&amp;CHAR(34)&amp;H37&amp;CHAR(34)&amp;" },"</f>
        <v>{ name: "Miner's Trousers", landmark: "Treasure", type: "Treasure", region: 2, level: "Depths", x: -1287, y: -2251, z: -707, details: "&lt;strong&gt;Old Map:&lt;/strong&gt; West Hebra Sky Archipelago 2" },</v>
      </c>
    </row>
    <row r="38" spans="1:9" x14ac:dyDescent="0.2">
      <c r="A38" t="s">
        <v>2720</v>
      </c>
      <c r="B38" t="s">
        <v>2674</v>
      </c>
      <c r="C38">
        <v>2</v>
      </c>
      <c r="D38" t="s">
        <v>1002</v>
      </c>
      <c r="E38">
        <v>-2048</v>
      </c>
      <c r="F38">
        <v>-1129</v>
      </c>
      <c r="G38">
        <v>-526</v>
      </c>
      <c r="H38" t="s">
        <v>2783</v>
      </c>
      <c r="I38" t="str">
        <f>"{ name: "&amp;CHAR(34)&amp;A38&amp;CHAR(34)&amp;", landmark: "&amp;CHAR(34)&amp;"Treasure"&amp;CHAR(34)&amp;", type: "&amp;CHAR(34)&amp;B38&amp;CHAR(34)&amp;", region: "&amp;C38&amp;", level: "&amp;CHAR(34)&amp;D38&amp;CHAR(34)&amp;", x: "&amp;E38&amp;", y: "&amp;F38&amp;", z: "&amp;G38&amp;", details: "&amp;CHAR(34)&amp;H38&amp;CHAR(34)&amp;" },"</f>
        <v>{ name: "Sword of the Hero", landmark: "Treasure", type: "Treasure", region: 2, level: "Depths", x: -2048, y: -1129, z: -526, details: "&lt;strong&gt;Old Map:&lt;/strong&gt; East Gerudo Sky Archipelago" },</v>
      </c>
    </row>
    <row r="39" spans="1:9" x14ac:dyDescent="0.2">
      <c r="A39" t="s">
        <v>2702</v>
      </c>
      <c r="B39" t="s">
        <v>2674</v>
      </c>
      <c r="C39">
        <v>3</v>
      </c>
      <c r="D39" t="s">
        <v>1002</v>
      </c>
      <c r="E39">
        <v>-3788</v>
      </c>
      <c r="F39">
        <v>1344</v>
      </c>
      <c r="G39">
        <v>-682</v>
      </c>
      <c r="H39" t="s">
        <v>2773</v>
      </c>
      <c r="I39" t="str">
        <f>"{ name: "&amp;CHAR(34)&amp;A39&amp;CHAR(34)&amp;", landmark: "&amp;CHAR(34)&amp;"Treasure"&amp;CHAR(34)&amp;", type: "&amp;CHAR(34)&amp;B39&amp;CHAR(34)&amp;", region: "&amp;C39&amp;", level: "&amp;CHAR(34)&amp;D39&amp;CHAR(34)&amp;", x: "&amp;E39&amp;", y: "&amp;F39&amp;", z: "&amp;G39&amp;", details: "&amp;CHAR(34)&amp;H39&amp;CHAR(34)&amp;" },"</f>
        <v>{ name: "Tunic of the Wind", landmark: "Treasure", type: "Treasure", region: 3, level: "Depths", x: -3788, y: 1344, z: -682, details: "&lt;strong&gt;Old Map:&lt;/strong&gt; Lanayru Sky Archipelago" },</v>
      </c>
    </row>
    <row r="40" spans="1:9" x14ac:dyDescent="0.2">
      <c r="A40" t="s">
        <v>2708</v>
      </c>
      <c r="B40" t="s">
        <v>2674</v>
      </c>
      <c r="C40">
        <v>3</v>
      </c>
      <c r="D40" t="s">
        <v>1002</v>
      </c>
      <c r="E40">
        <v>-2002</v>
      </c>
      <c r="F40">
        <v>1309</v>
      </c>
      <c r="G40">
        <v>-715</v>
      </c>
      <c r="H40" t="s">
        <v>2776</v>
      </c>
      <c r="I40" t="str">
        <f>"{ name: "&amp;CHAR(34)&amp;A40&amp;CHAR(34)&amp;", landmark: "&amp;CHAR(34)&amp;"Treasure"&amp;CHAR(34)&amp;", type: "&amp;CHAR(34)&amp;B40&amp;CHAR(34)&amp;", region: "&amp;C40&amp;", level: "&amp;CHAR(34)&amp;D40&amp;CHAR(34)&amp;", x: "&amp;E40&amp;", y: "&amp;F40&amp;", z: "&amp;G40&amp;", details: "&amp;CHAR(34)&amp;H40&amp;CHAR(34)&amp;" },"</f>
        <v>{ name: "Tunic of Time", landmark: "Treasure", type: "Treasure", region: 3, level: "Depths", x: -2002, y: 1309, z: -715, details: "&lt;strong&gt;Old Map:&lt;/strong&gt; North Necluda Sky Archipelago 1" },</v>
      </c>
    </row>
    <row r="41" spans="1:9" x14ac:dyDescent="0.2">
      <c r="A41" t="s">
        <v>2725</v>
      </c>
      <c r="B41" t="s">
        <v>2674</v>
      </c>
      <c r="C41">
        <v>4</v>
      </c>
      <c r="D41" t="s">
        <v>1002</v>
      </c>
      <c r="E41">
        <v>-3956</v>
      </c>
      <c r="F41">
        <v>3723</v>
      </c>
      <c r="G41">
        <v>-858</v>
      </c>
      <c r="H41" t="s">
        <v>2786</v>
      </c>
      <c r="I41" t="str">
        <f>"{ name: "&amp;CHAR(34)&amp;A41&amp;CHAR(34)&amp;", landmark: "&amp;CHAR(34)&amp;"Treasure"&amp;CHAR(34)&amp;", type: "&amp;CHAR(34)&amp;B41&amp;CHAR(34)&amp;", region: "&amp;C41&amp;", level: "&amp;CHAR(34)&amp;D41&amp;CHAR(34)&amp;", x: "&amp;E41&amp;", y: "&amp;F41&amp;", z: "&amp;G41&amp;", details: "&amp;CHAR(34)&amp;H41&amp;CHAR(34)&amp;" },"</f>
        <v>{ name: "Cap of the Wild", landmark: "Treasure", type: "Treasure", region: 4, level: "Depths", x: -3956, y: 3723, z: -858, details: "&lt;strong&gt;Old Map:&lt;/strong&gt; Tabantha Sky Archipelago 2" },</v>
      </c>
    </row>
    <row r="42" spans="1:9" x14ac:dyDescent="0.2">
      <c r="A42" t="s">
        <v>2676</v>
      </c>
      <c r="B42" t="s">
        <v>2674</v>
      </c>
      <c r="C42">
        <v>4</v>
      </c>
      <c r="D42" t="s">
        <v>1002</v>
      </c>
      <c r="E42">
        <v>-4079</v>
      </c>
      <c r="F42">
        <v>2799</v>
      </c>
      <c r="G42">
        <v>-450</v>
      </c>
      <c r="H42" t="s">
        <v>2758</v>
      </c>
      <c r="I42" t="str">
        <f>"{ name: "&amp;CHAR(34)&amp;A42&amp;CHAR(34)&amp;", landmark: "&amp;CHAR(34)&amp;"Treasure"&amp;CHAR(34)&amp;", type: "&amp;CHAR(34)&amp;B42&amp;CHAR(34)&amp;", region: "&amp;C42&amp;", level: "&amp;CHAR(34)&amp;D42&amp;CHAR(34)&amp;", x: "&amp;E42&amp;", y: "&amp;F42&amp;", z: "&amp;G42&amp;", details: "&amp;CHAR(34)&amp;H42&amp;CHAR(34)&amp;" },"</f>
        <v>{ name: "Cap of Time", landmark: "Treasure", type: "Treasure", region: 4, level: "Depths", x: -4079, y: 2799, z: -450, details: "&lt;strong&gt;Old Map:&lt;/strong&gt; Central Hyrule Sky Archipelago" },</v>
      </c>
    </row>
    <row r="43" spans="1:9" x14ac:dyDescent="0.2">
      <c r="A43" t="s">
        <v>2713</v>
      </c>
      <c r="B43" t="s">
        <v>2674</v>
      </c>
      <c r="C43">
        <v>4</v>
      </c>
      <c r="D43" t="s">
        <v>1002</v>
      </c>
      <c r="E43">
        <v>-2736</v>
      </c>
      <c r="F43">
        <v>2918</v>
      </c>
      <c r="G43">
        <v>-1120</v>
      </c>
      <c r="H43" t="s">
        <v>2778</v>
      </c>
      <c r="I43" t="str">
        <f>"{ name: "&amp;CHAR(34)&amp;A43&amp;CHAR(34)&amp;", landmark: "&amp;CHAR(34)&amp;"Treasure"&amp;CHAR(34)&amp;", type: "&amp;CHAR(34)&amp;B43&amp;CHAR(34)&amp;", region: "&amp;C43&amp;", level: "&amp;CHAR(34)&amp;D43&amp;CHAR(34)&amp;", x: "&amp;E43&amp;", y: "&amp;F43&amp;", z: "&amp;G43&amp;", details: "&amp;CHAR(34)&amp;H43&amp;CHAR(34)&amp;" },"</f>
        <v>{ name: "Sea-Breeze Boomerang", landmark: "Treasure", type: "Treasure", region: 4, level: "Depths", x: -2736, y: 2918, z: -1120, details: "&lt;strong&gt;Old Map:&lt;/strong&gt; Necluda Sky Archipelago" },</v>
      </c>
    </row>
    <row r="44" spans="1:9" x14ac:dyDescent="0.2">
      <c r="A44" t="s">
        <v>2678</v>
      </c>
      <c r="B44" t="s">
        <v>2674</v>
      </c>
      <c r="C44">
        <v>4</v>
      </c>
      <c r="D44" t="s">
        <v>1002</v>
      </c>
      <c r="E44">
        <v>-3354</v>
      </c>
      <c r="F44">
        <v>2312</v>
      </c>
      <c r="G44">
        <v>-812</v>
      </c>
      <c r="H44" t="s">
        <v>2759</v>
      </c>
      <c r="I44" t="str">
        <f>"{ name: "&amp;CHAR(34)&amp;A44&amp;CHAR(34)&amp;", landmark: "&amp;CHAR(34)&amp;"Treasure"&amp;CHAR(34)&amp;", type: "&amp;CHAR(34)&amp;B44&amp;CHAR(34)&amp;", region: "&amp;C44&amp;", level: "&amp;CHAR(34)&amp;D44&amp;CHAR(34)&amp;", x: "&amp;E44&amp;", y: "&amp;F44&amp;", z: "&amp;G44&amp;", details: "&amp;CHAR(34)&amp;H44&amp;CHAR(34)&amp;" },"</f>
        <v>{ name: "Trousers of the Hero", landmark: "Treasure", type: "Treasure", region: 4, level: "Depths", x: -3354, y: 2312, z: -812, details: "&lt;strong&gt;Old Map:&lt;/strong&gt; South Hyrule Sky Archipelago 1" },</v>
      </c>
    </row>
    <row r="45" spans="1:9" x14ac:dyDescent="0.2">
      <c r="A45" t="s">
        <v>2696</v>
      </c>
      <c r="B45" t="s">
        <v>2674</v>
      </c>
      <c r="C45">
        <v>6</v>
      </c>
      <c r="D45" t="s">
        <v>1002</v>
      </c>
      <c r="E45">
        <v>263</v>
      </c>
      <c r="F45">
        <v>3121</v>
      </c>
      <c r="G45">
        <v>-623</v>
      </c>
      <c r="H45" t="s">
        <v>2769</v>
      </c>
      <c r="I45" t="str">
        <f>"{ name: "&amp;CHAR(34)&amp;A45&amp;CHAR(34)&amp;", landmark: "&amp;CHAR(34)&amp;"Treasure"&amp;CHAR(34)&amp;", type: "&amp;CHAR(34)&amp;B45&amp;CHAR(34)&amp;", region: "&amp;C45&amp;", level: "&amp;CHAR(34)&amp;D45&amp;CHAR(34)&amp;", x: "&amp;E45&amp;", y: "&amp;F45&amp;", z: "&amp;G45&amp;", details: "&amp;CHAR(34)&amp;H45&amp;CHAR(34)&amp;" },"</f>
        <v>{ name: "Cap of Twilight", landmark: "Treasure", type: "Treasure", region: 6, level: "Depths", x: 263, y: 3121, z: -623, details: "&lt;strong&gt;Old Map:&lt;/strong&gt; North Akkala Sky Archipelago 2" },</v>
      </c>
    </row>
    <row r="46" spans="1:9" x14ac:dyDescent="0.2">
      <c r="A46" t="s">
        <v>2675</v>
      </c>
      <c r="B46" t="s">
        <v>2674</v>
      </c>
      <c r="C46">
        <v>6</v>
      </c>
      <c r="D46" t="s">
        <v>1002</v>
      </c>
      <c r="E46">
        <v>-114</v>
      </c>
      <c r="F46">
        <v>2433</v>
      </c>
      <c r="G46">
        <v>-620</v>
      </c>
      <c r="H46" t="s">
        <v>2757</v>
      </c>
      <c r="I46" t="str">
        <f>"{ name: "&amp;CHAR(34)&amp;A46&amp;CHAR(34)&amp;", landmark: "&amp;CHAR(34)&amp;"Treasure"&amp;CHAR(34)&amp;", type: "&amp;CHAR(34)&amp;B46&amp;CHAR(34)&amp;", region: "&amp;C46&amp;", level: "&amp;CHAR(34)&amp;D46&amp;CHAR(34)&amp;", x: "&amp;E46&amp;", y: "&amp;F46&amp;", z: "&amp;G46&amp;", details: "&amp;CHAR(34)&amp;H46&amp;CHAR(34)&amp;" },"</f>
        <v>{ name: "Korok Mask", landmark: "Treasure", type: "Treasure", region: 6, level: "Depths", x: -114, y: 2433, z: -620, details: "&lt;strong&gt;Old Map:&lt;/strong&gt; North Hyrule Sky Archipelago" },</v>
      </c>
    </row>
    <row r="47" spans="1:9" x14ac:dyDescent="0.2">
      <c r="A47" t="s">
        <v>2723</v>
      </c>
      <c r="B47" t="s">
        <v>2674</v>
      </c>
      <c r="C47">
        <v>6</v>
      </c>
      <c r="D47" t="s">
        <v>1002</v>
      </c>
      <c r="E47">
        <v>1674</v>
      </c>
      <c r="F47">
        <v>3723</v>
      </c>
      <c r="G47">
        <v>-561</v>
      </c>
      <c r="H47" t="s">
        <v>2785</v>
      </c>
      <c r="I47" t="str">
        <f>"{ name: "&amp;CHAR(34)&amp;A47&amp;CHAR(34)&amp;", landmark: "&amp;CHAR(34)&amp;"Treasure"&amp;CHAR(34)&amp;", type: "&amp;CHAR(34)&amp;B47&amp;CHAR(34)&amp;", region: "&amp;C47&amp;", level: "&amp;CHAR(34)&amp;D47&amp;CHAR(34)&amp;", x: "&amp;E47&amp;", y: "&amp;F47&amp;", z: "&amp;G47&amp;", details: "&amp;CHAR(34)&amp;H47&amp;CHAR(34)&amp;" },"</f>
        <v>{ name: "Trousers of the Wild", landmark: "Treasure", type: "Treasure", region: 6, level: "Depths", x: 1674, y: 3723, z: -561, details: "&lt;strong&gt;Old Map:&lt;/strong&gt; Tabantha Sky Archipelago 1" },</v>
      </c>
    </row>
    <row r="48" spans="1:9" x14ac:dyDescent="0.2">
      <c r="A48" t="s">
        <v>2714</v>
      </c>
      <c r="B48" t="s">
        <v>2674</v>
      </c>
      <c r="C48">
        <v>7</v>
      </c>
      <c r="D48" t="s">
        <v>1002</v>
      </c>
      <c r="E48">
        <v>1022</v>
      </c>
      <c r="F48">
        <v>1408</v>
      </c>
      <c r="G48">
        <v>-543</v>
      </c>
      <c r="H48" t="s">
        <v>2779</v>
      </c>
      <c r="I48" t="str">
        <f>"{ name: "&amp;CHAR(34)&amp;A48&amp;CHAR(34)&amp;", landmark: "&amp;CHAR(34)&amp;"Treasure"&amp;CHAR(34)&amp;", type: "&amp;CHAR(34)&amp;B48&amp;CHAR(34)&amp;", region: "&amp;C48&amp;", level: "&amp;CHAR(34)&amp;D48&amp;CHAR(34)&amp;", x: "&amp;E48&amp;", y: "&amp;F48&amp;", z: "&amp;G48&amp;", details: "&amp;CHAR(34)&amp;H48&amp;CHAR(34)&amp;" },"</f>
        <v>{ name: "Tunic of the Sky", landmark: "Treasure", type: "Treasure", region: 7, level: "Depths", x: 1022, y: 1408, z: -543, details: "&lt;strong&gt;Old Map:&lt;/strong&gt; West Necluda Sky Archipelago" },</v>
      </c>
    </row>
    <row r="49" spans="1:9" x14ac:dyDescent="0.2">
      <c r="A49" t="s">
        <v>2706</v>
      </c>
      <c r="B49" t="s">
        <v>2674</v>
      </c>
      <c r="C49">
        <v>7</v>
      </c>
      <c r="D49" t="s">
        <v>1002</v>
      </c>
      <c r="E49">
        <v>2142</v>
      </c>
      <c r="F49">
        <v>3183</v>
      </c>
      <c r="G49">
        <v>-838</v>
      </c>
      <c r="H49" t="s">
        <v>2775</v>
      </c>
      <c r="I49" t="str">
        <f>"{ name: "&amp;CHAR(34)&amp;A49&amp;CHAR(34)&amp;", landmark: "&amp;CHAR(34)&amp;"Treasure"&amp;CHAR(34)&amp;", type: "&amp;CHAR(34)&amp;B49&amp;CHAR(34)&amp;", region: "&amp;C49&amp;", level: "&amp;CHAR(34)&amp;D49&amp;CHAR(34)&amp;", x: "&amp;E49&amp;", y: "&amp;F49&amp;", z: "&amp;G49&amp;", details: "&amp;CHAR(34)&amp;H49&amp;CHAR(34)&amp;" },"</f>
        <v>{ name: "Zant's Helmet", landmark: "Treasure", type: "Treasure", region: 7, level: "Depths", x: 2142, y: 3183, z: -838, details: "&lt;strong&gt;Old Map:&lt;/strong&gt; South Lanayru Sky Archipelago 2" },</v>
      </c>
    </row>
    <row r="50" spans="1:9" x14ac:dyDescent="0.2">
      <c r="A50" t="s">
        <v>2692</v>
      </c>
      <c r="B50" t="s">
        <v>2674</v>
      </c>
      <c r="C50">
        <v>8</v>
      </c>
      <c r="D50" t="s">
        <v>1002</v>
      </c>
      <c r="E50">
        <v>3240</v>
      </c>
      <c r="F50">
        <v>3446</v>
      </c>
      <c r="G50">
        <v>-430</v>
      </c>
      <c r="H50" t="s">
        <v>2767</v>
      </c>
      <c r="I50" t="str">
        <f>"{ name: "&amp;CHAR(34)&amp;A50&amp;CHAR(34)&amp;", landmark: "&amp;CHAR(34)&amp;"Treasure"&amp;CHAR(34)&amp;", type: "&amp;CHAR(34)&amp;B50&amp;CHAR(34)&amp;", region: "&amp;C50&amp;", level: "&amp;CHAR(34)&amp;D50&amp;CHAR(34)&amp;", x: "&amp;E50&amp;", y: "&amp;F50&amp;", z: "&amp;G50&amp;", details: "&amp;CHAR(34)&amp;H50&amp;CHAR(34)&amp;" },"</f>
        <v>{ name: "Biggoron's Sword", landmark: "Treasure", type: "Treasure", region: 8, level: "Depths", x: 3240, y: 3446, z: -430, details: "&lt;strong&gt;Old Map:&lt;/strong&gt; South Eldin Sky Archipelago" },</v>
      </c>
    </row>
    <row r="51" spans="1:9" x14ac:dyDescent="0.2">
      <c r="A51" t="s">
        <v>2694</v>
      </c>
      <c r="B51" t="s">
        <v>2674</v>
      </c>
      <c r="C51">
        <v>8</v>
      </c>
      <c r="D51" t="s">
        <v>1002</v>
      </c>
      <c r="E51">
        <v>3318</v>
      </c>
      <c r="F51">
        <v>1506</v>
      </c>
      <c r="G51">
        <v>-856</v>
      </c>
      <c r="H51" t="s">
        <v>2768</v>
      </c>
      <c r="I51" t="str">
        <f>"{ name: "&amp;CHAR(34)&amp;A51&amp;CHAR(34)&amp;", landmark: "&amp;CHAR(34)&amp;"Treasure"&amp;CHAR(34)&amp;", type: "&amp;CHAR(34)&amp;B51&amp;CHAR(34)&amp;", region: "&amp;C51&amp;", level: "&amp;CHAR(34)&amp;D51&amp;CHAR(34)&amp;", x: "&amp;E51&amp;", y: "&amp;F51&amp;", z: "&amp;G51&amp;", details: "&amp;CHAR(34)&amp;H51&amp;CHAR(34)&amp;" },"</f>
        <v>{ name: "Trousers of Twilight", landmark: "Treasure", type: "Treasure", region: 8, level: "Depths", x: 3318, y: 1506, z: -856, details: "&lt;strong&gt;Old Map:&lt;/strong&gt; North Akkala Sky Archipelago 1" },</v>
      </c>
    </row>
    <row r="52" spans="1:9" x14ac:dyDescent="0.2">
      <c r="A52" t="s">
        <v>2697</v>
      </c>
      <c r="B52" t="s">
        <v>2674</v>
      </c>
      <c r="C52">
        <v>8</v>
      </c>
      <c r="D52" t="s">
        <v>1002</v>
      </c>
      <c r="E52">
        <v>4517</v>
      </c>
      <c r="F52">
        <v>2169</v>
      </c>
      <c r="G52">
        <v>-454</v>
      </c>
      <c r="H52" t="s">
        <v>2770</v>
      </c>
      <c r="I52" t="str">
        <f>"{ name: "&amp;CHAR(34)&amp;A52&amp;CHAR(34)&amp;", landmark: "&amp;CHAR(34)&amp;"Treasure"&amp;CHAR(34)&amp;", type: "&amp;CHAR(34)&amp;B52&amp;CHAR(34)&amp;", region: "&amp;C52&amp;", level: "&amp;CHAR(34)&amp;D52&amp;CHAR(34)&amp;", x: "&amp;E52&amp;", y: "&amp;F52&amp;", z: "&amp;G52&amp;", details: "&amp;CHAR(34)&amp;H52&amp;CHAR(34)&amp;" },"</f>
        <v>{ name: "Tunic of Twilight", landmark: "Treasure", type: "Treasure", region: 8, level: "Depths", x: 4517, y: 2169, z: -454, details: "&lt;strong&gt;Old Map:&lt;/strong&gt; Sokkala Sky Archipelago" },</v>
      </c>
    </row>
    <row r="53" spans="1:9" x14ac:dyDescent="0.2">
      <c r="A53" t="s">
        <v>2701</v>
      </c>
      <c r="B53" t="s">
        <v>2674</v>
      </c>
      <c r="C53">
        <v>9</v>
      </c>
      <c r="D53" t="s">
        <v>1002</v>
      </c>
      <c r="E53">
        <v>4654</v>
      </c>
      <c r="F53">
        <v>621</v>
      </c>
      <c r="G53">
        <v>-722</v>
      </c>
      <c r="H53" t="s">
        <v>2772</v>
      </c>
      <c r="I53" t="str">
        <f>"{ name: "&amp;CHAR(34)&amp;A53&amp;CHAR(34)&amp;", landmark: "&amp;CHAR(34)&amp;"Treasure"&amp;CHAR(34)&amp;", type: "&amp;CHAR(34)&amp;B53&amp;CHAR(34)&amp;", region: "&amp;C53&amp;", level: "&amp;CHAR(34)&amp;D53&amp;CHAR(34)&amp;", x: "&amp;E53&amp;", y: "&amp;F53&amp;", z: "&amp;G53&amp;", details: "&amp;CHAR(34)&amp;H53&amp;CHAR(34)&amp;" },"</f>
        <v>{ name: "Cap of the Wind", landmark: "Treasure", type: "Treasure", region: 9, level: "Depths", x: 4654, y: 621, z: -722, details: "&lt;strong&gt;Old Map:&lt;/strong&gt; Wellspring Island 2" },</v>
      </c>
    </row>
    <row r="54" spans="1:9" x14ac:dyDescent="0.2">
      <c r="A54" t="s">
        <v>2712</v>
      </c>
      <c r="B54" t="s">
        <v>2674</v>
      </c>
      <c r="C54">
        <v>9</v>
      </c>
      <c r="D54" t="s">
        <v>1002</v>
      </c>
      <c r="E54">
        <v>2667</v>
      </c>
      <c r="F54">
        <v>252</v>
      </c>
      <c r="G54">
        <v>-559</v>
      </c>
      <c r="H54" t="s">
        <v>2869</v>
      </c>
      <c r="I54" t="str">
        <f>"{ name: "&amp;CHAR(34)&amp;A54&amp;CHAR(34)&amp;", landmark: "&amp;CHAR(34)&amp;"Treasure"&amp;CHAR(34)&amp;", type: "&amp;CHAR(34)&amp;B54&amp;CHAR(34)&amp;", region: "&amp;C54&amp;", level: "&amp;CHAR(34)&amp;D54&amp;CHAR(34)&amp;", x: "&amp;E54&amp;", y: "&amp;F54&amp;", z: "&amp;G54&amp;", details: "&amp;CHAR(34)&amp;H54&amp;CHAR(34)&amp;" },"</f>
        <v>{ name: "Sea-Breeze Shield", landmark: "Treasure", type: "Treasure", region: 9, level: "Depths", x: 2667, y: 252, z: -559, details: "&lt;strong&gt;Old Map:&lt;/strong&gt; East Necluda Sky Archipelago" },</v>
      </c>
    </row>
    <row r="55" spans="1:9" x14ac:dyDescent="0.2">
      <c r="A55" t="s">
        <v>2716</v>
      </c>
      <c r="B55" t="s">
        <v>2674</v>
      </c>
      <c r="C55">
        <v>10</v>
      </c>
      <c r="D55" t="s">
        <v>1002</v>
      </c>
      <c r="E55">
        <v>1164</v>
      </c>
      <c r="F55">
        <v>426</v>
      </c>
      <c r="G55">
        <v>-580</v>
      </c>
      <c r="H55" t="s">
        <v>2780</v>
      </c>
      <c r="I55" t="str">
        <f>"{ name: "&amp;CHAR(34)&amp;A55&amp;CHAR(34)&amp;", landmark: "&amp;CHAR(34)&amp;"Treasure"&amp;CHAR(34)&amp;", type: "&amp;CHAR(34)&amp;B55&amp;CHAR(34)&amp;", region: "&amp;C55&amp;", level: "&amp;CHAR(34)&amp;D55&amp;CHAR(34)&amp;", x: "&amp;E55&amp;", y: "&amp;F55&amp;", z: "&amp;G55&amp;", details: "&amp;CHAR(34)&amp;H55&amp;CHAR(34)&amp;" },"</f>
        <v>{ name: "Trousers of the Sky", landmark: "Treasure", type: "Treasure", region: 10, level: "Depths", x: 1164, y: 426, z: -580, details: "&lt;strong&gt;Old Map:&lt;/strong&gt; Thunderhead Isles 1" },</v>
      </c>
    </row>
    <row r="56" spans="1:9" x14ac:dyDescent="0.2">
      <c r="A56" t="s">
        <v>2680</v>
      </c>
      <c r="B56" t="s">
        <v>2674</v>
      </c>
      <c r="C56">
        <v>10</v>
      </c>
      <c r="D56" t="s">
        <v>1002</v>
      </c>
      <c r="E56">
        <v>1283</v>
      </c>
      <c r="F56">
        <v>-1811</v>
      </c>
      <c r="G56">
        <v>-784</v>
      </c>
      <c r="H56" t="s">
        <v>2760</v>
      </c>
      <c r="I56" t="str">
        <f>"{ name: "&amp;CHAR(34)&amp;A56&amp;CHAR(34)&amp;", landmark: "&amp;CHAR(34)&amp;"Treasure"&amp;CHAR(34)&amp;", type: "&amp;CHAR(34)&amp;B56&amp;CHAR(34)&amp;", region: "&amp;C56&amp;", level: "&amp;CHAR(34)&amp;D56&amp;CHAR(34)&amp;", x: "&amp;E56&amp;", y: "&amp;F56&amp;", z: "&amp;G56&amp;", details: "&amp;CHAR(34)&amp;H56&amp;CHAR(34)&amp;" },"</f>
        <v>{ name: "Tunic of the Hero", landmark: "Treasure", type: "Treasure", region: 10, level: "Depths", x: 1283, y: -1811, z: -784, details: "&lt;strong&gt;Old Map:&lt;/strong&gt; South Hyrule Sky Archipelago 2" },</v>
      </c>
    </row>
    <row r="57" spans="1:9" x14ac:dyDescent="0.2">
      <c r="A57" t="s">
        <v>2718</v>
      </c>
      <c r="B57" t="s">
        <v>2674</v>
      </c>
      <c r="C57">
        <v>11</v>
      </c>
      <c r="D57" t="s">
        <v>1002</v>
      </c>
      <c r="E57">
        <v>3822</v>
      </c>
      <c r="F57">
        <v>-1985</v>
      </c>
      <c r="G57">
        <v>-632</v>
      </c>
      <c r="H57" t="s">
        <v>2781</v>
      </c>
      <c r="I57" t="str">
        <f>"{ name: "&amp;CHAR(34)&amp;A57&amp;CHAR(34)&amp;", landmark: "&amp;CHAR(34)&amp;"Treasure"&amp;CHAR(34)&amp;", type: "&amp;CHAR(34)&amp;B57&amp;CHAR(34)&amp;", region: "&amp;C57&amp;", level: "&amp;CHAR(34)&amp;D57&amp;CHAR(34)&amp;", x: "&amp;E57&amp;", y: "&amp;F57&amp;", z: "&amp;G57&amp;", details: "&amp;CHAR(34)&amp;H57&amp;CHAR(34)&amp;" },"</f>
        <v>{ name: "Cap of the Sky", landmark: "Treasure", type: "Treasure", region: 11, level: "Depths", x: 3822, y: -1985, z: -632, details: "&lt;strong&gt;Old Map:&lt;/strong&gt; Thunderhead Isles 2" },</v>
      </c>
    </row>
    <row r="58" spans="1:9" x14ac:dyDescent="0.2">
      <c r="A58" t="s">
        <v>2682</v>
      </c>
      <c r="B58" t="s">
        <v>2674</v>
      </c>
      <c r="C58">
        <v>12</v>
      </c>
      <c r="D58" t="s">
        <v>1002</v>
      </c>
      <c r="E58">
        <v>2518</v>
      </c>
      <c r="F58">
        <v>-3602</v>
      </c>
      <c r="G58">
        <v>-626</v>
      </c>
      <c r="H58" t="s">
        <v>2761</v>
      </c>
      <c r="I58" t="str">
        <f>"{ name: "&amp;CHAR(34)&amp;A58&amp;CHAR(34)&amp;", landmark: "&amp;CHAR(34)&amp;"Treasure"&amp;CHAR(34)&amp;", type: "&amp;CHAR(34)&amp;B58&amp;CHAR(34)&amp;", region: "&amp;C58&amp;", level: "&amp;CHAR(34)&amp;D58&amp;CHAR(34)&amp;", x: "&amp;E58&amp;", y: "&amp;F58&amp;", z: "&amp;G58&amp;", details: "&amp;CHAR(34)&amp;H58&amp;CHAR(34)&amp;" },"</f>
        <v>{ name: "Cap of the Hero", landmark: "Treasure", type: "Treasure", region: 12, level: "Depths", x: 2518, y: -3602, z: -626, details: "&lt;strong&gt;Old Map:&lt;/strong&gt; South Hyrule Sky Archipelago 3" },</v>
      </c>
    </row>
    <row r="59" spans="1:9" x14ac:dyDescent="0.2">
      <c r="A59" t="s">
        <v>2704</v>
      </c>
      <c r="B59" t="s">
        <v>2674</v>
      </c>
      <c r="C59">
        <v>12</v>
      </c>
      <c r="D59" t="s">
        <v>1002</v>
      </c>
      <c r="E59">
        <v>4563</v>
      </c>
      <c r="F59">
        <v>-3619</v>
      </c>
      <c r="G59">
        <v>-471</v>
      </c>
      <c r="H59" t="s">
        <v>2774</v>
      </c>
      <c r="I59" t="str">
        <f>"{ name: "&amp;CHAR(34)&amp;A59&amp;CHAR(34)&amp;", landmark: "&amp;CHAR(34)&amp;"Treasure"&amp;CHAR(34)&amp;", type: "&amp;CHAR(34)&amp;B59&amp;CHAR(34)&amp;", region: "&amp;C59&amp;", level: "&amp;CHAR(34)&amp;D59&amp;CHAR(34)&amp;", x: "&amp;E59&amp;", y: "&amp;F59&amp;", z: "&amp;G59&amp;", details: "&amp;CHAR(34)&amp;H59&amp;CHAR(34)&amp;" },"</f>
        <v>{ name: "Midna's Helmet", landmark: "Treasure", type: "Treasure", region: 12, level: "Depths", x: 4563, y: -3619, z: -471, details: "&lt;strong&gt;Old Map:&lt;/strong&gt; South Lanayru Sky Archipelago 1" },</v>
      </c>
    </row>
    <row r="60" spans="1:9" x14ac:dyDescent="0.2">
      <c r="A60" t="s">
        <v>2691</v>
      </c>
      <c r="B60" t="s">
        <v>2674</v>
      </c>
      <c r="C60">
        <v>12</v>
      </c>
      <c r="D60" t="s">
        <v>1002</v>
      </c>
      <c r="E60">
        <v>2242</v>
      </c>
      <c r="F60">
        <v>-1900</v>
      </c>
      <c r="G60">
        <v>-467</v>
      </c>
      <c r="H60" t="s">
        <v>2766</v>
      </c>
      <c r="I60" t="str">
        <f>"{ name: "&amp;CHAR(34)&amp;A60&amp;CHAR(34)&amp;", landmark: "&amp;CHAR(34)&amp;"Treasure"&amp;CHAR(34)&amp;", type: "&amp;CHAR(34)&amp;B60&amp;CHAR(34)&amp;", region: "&amp;C60&amp;", level: "&amp;CHAR(34)&amp;D60&amp;CHAR(34)&amp;", x: "&amp;E60&amp;", y: "&amp;F60&amp;", z: "&amp;G60&amp;", details: "&amp;CHAR(34)&amp;H60&amp;CHAR(34)&amp;" },"</f>
        <v>{ name: "Ravio's Hood", landmark: "Treasure", type: "Treasure", region: 12, level: "Depths", x: 2242, y: -1900, z: -467, details: "&lt;strong&gt;Old Map:&lt;/strong&gt; East Hebra Sky Archipelago" },</v>
      </c>
    </row>
    <row r="61" spans="1:9" x14ac:dyDescent="0.2">
      <c r="A61" t="s">
        <v>2699</v>
      </c>
      <c r="B61" t="s">
        <v>2674</v>
      </c>
      <c r="C61">
        <v>12</v>
      </c>
      <c r="D61" t="s">
        <v>1002</v>
      </c>
      <c r="E61">
        <v>3794</v>
      </c>
      <c r="F61">
        <v>-3614</v>
      </c>
      <c r="G61">
        <v>-445</v>
      </c>
      <c r="H61" t="s">
        <v>2771</v>
      </c>
      <c r="I61" t="str">
        <f>"{ name: "&amp;CHAR(34)&amp;A61&amp;CHAR(34)&amp;", landmark: "&amp;CHAR(34)&amp;"Treasure"&amp;CHAR(34)&amp;", type: "&amp;CHAR(34)&amp;B61&amp;CHAR(34)&amp;", region: "&amp;C61&amp;", level: "&amp;CHAR(34)&amp;D61&amp;CHAR(34)&amp;", x: "&amp;E61&amp;", y: "&amp;F61&amp;", z: "&amp;G61&amp;", details: "&amp;CHAR(34)&amp;H61&amp;CHAR(34)&amp;" },"</f>
        <v>{ name: "Trousers of the Wind", landmark: "Treasure", type: "Treasure", region: 12, level: "Depths", x: 3794, y: -3614, z: -445, details: "&lt;strong&gt;Old Map:&lt;/strong&gt; Wellspring Island 1" },</v>
      </c>
    </row>
    <row r="62" spans="1:9" x14ac:dyDescent="0.2">
      <c r="A62" t="s">
        <v>2686</v>
      </c>
      <c r="B62" t="s">
        <v>2674</v>
      </c>
      <c r="C62">
        <v>14</v>
      </c>
      <c r="D62" t="s">
        <v>1002</v>
      </c>
      <c r="E62">
        <v>-3230</v>
      </c>
      <c r="F62">
        <v>-2476</v>
      </c>
      <c r="G62">
        <v>-475</v>
      </c>
      <c r="H62" t="s">
        <v>2763</v>
      </c>
      <c r="I62" t="str">
        <f>"{ name: "&amp;CHAR(34)&amp;A62&amp;CHAR(34)&amp;", landmark: "&amp;CHAR(34)&amp;"Treasure"&amp;CHAR(34)&amp;", type: "&amp;CHAR(34)&amp;B62&amp;CHAR(34)&amp;", region: "&amp;C62&amp;", level: "&amp;CHAR(34)&amp;D62&amp;CHAR(34)&amp;", x: "&amp;E62&amp;", y: "&amp;F62&amp;", z: "&amp;G62&amp;", details: "&amp;CHAR(34)&amp;H62&amp;CHAR(34)&amp;" },"</f>
        <v>{ name: "Miner's Mask", landmark: "Treasure", type: "Treasure", region: 14, level: "Depths", x: -3230, y: -2476, z: -475, details: "&lt;strong&gt;Old Map:&lt;/strong&gt; Rising Island Chain" },</v>
      </c>
    </row>
    <row r="63" spans="1:9" x14ac:dyDescent="0.2">
      <c r="A63" t="s">
        <v>2684</v>
      </c>
      <c r="B63" t="s">
        <v>2674</v>
      </c>
      <c r="C63">
        <v>14</v>
      </c>
      <c r="D63" t="s">
        <v>1002</v>
      </c>
      <c r="E63">
        <v>-4310</v>
      </c>
      <c r="F63">
        <v>-3781</v>
      </c>
      <c r="G63">
        <v>-479</v>
      </c>
      <c r="H63" t="s">
        <v>2762</v>
      </c>
      <c r="I63" t="str">
        <f>"{ name: "&amp;CHAR(34)&amp;A63&amp;CHAR(34)&amp;", landmark: "&amp;CHAR(34)&amp;"Treasure"&amp;CHAR(34)&amp;", type: "&amp;CHAR(34)&amp;B63&amp;CHAR(34)&amp;", region: "&amp;C63&amp;", level: "&amp;CHAR(34)&amp;D63&amp;CHAR(34)&amp;", x: "&amp;E63&amp;", y: "&amp;F63&amp;", z: "&amp;G63&amp;", details: "&amp;CHAR(34)&amp;H63&amp;CHAR(34)&amp;" },"</f>
        <v>{ name: "Sheik's Mask", landmark: "Treasure", type: "Treasure", region: 14, level: "Depths", x: -4310, y: -3781, z: -479, details: "&lt;strong&gt;Old Map:&lt;/strong&gt; South Hyrule Sky Archipelago 4" },</v>
      </c>
    </row>
    <row r="64" spans="1:9" x14ac:dyDescent="0.2">
      <c r="A64" t="s">
        <v>2721</v>
      </c>
      <c r="B64" t="s">
        <v>2674</v>
      </c>
      <c r="C64">
        <v>14</v>
      </c>
      <c r="D64" t="s">
        <v>1002</v>
      </c>
      <c r="E64">
        <v>-4879</v>
      </c>
      <c r="F64">
        <v>-3720</v>
      </c>
      <c r="G64">
        <v>-458</v>
      </c>
      <c r="H64" t="s">
        <v>2784</v>
      </c>
      <c r="I64" t="str">
        <f>"{ name: "&amp;CHAR(34)&amp;A64&amp;CHAR(34)&amp;", landmark: "&amp;CHAR(34)&amp;"Treasure"&amp;CHAR(34)&amp;", type: "&amp;CHAR(34)&amp;B64&amp;CHAR(34)&amp;", region: "&amp;C64&amp;", level: "&amp;CHAR(34)&amp;D64&amp;CHAR(34)&amp;", x: "&amp;E64&amp;", y: "&amp;F64&amp;", z: "&amp;G64&amp;", details: "&amp;CHAR(34)&amp;H64&amp;CHAR(34)&amp;" },"</f>
        <v>{ name: "Tunic of the Wild", landmark: "Treasure", type: "Treasure", region: 14, level: "Depths", x: -4879, y: -3720, z: -458, details: "&lt;strong&gt;Old Map:&lt;/strong&gt; North Tabantha Sky Archipelago" },</v>
      </c>
    </row>
    <row r="65" spans="1:9" x14ac:dyDescent="0.2">
      <c r="A65" t="s">
        <v>2710</v>
      </c>
      <c r="B65" t="s">
        <v>2674</v>
      </c>
      <c r="C65">
        <v>15</v>
      </c>
      <c r="D65" t="s">
        <v>1002</v>
      </c>
      <c r="E65">
        <v>-4179</v>
      </c>
      <c r="F65">
        <v>-697</v>
      </c>
      <c r="G65">
        <v>-1121</v>
      </c>
      <c r="H65" t="s">
        <v>2777</v>
      </c>
      <c r="I65" t="str">
        <f>"{ name: "&amp;CHAR(34)&amp;A65&amp;CHAR(34)&amp;", landmark: "&amp;CHAR(34)&amp;"Treasure"&amp;CHAR(34)&amp;", type: "&amp;CHAR(34)&amp;B65&amp;CHAR(34)&amp;", region: "&amp;C65&amp;", level: "&amp;CHAR(34)&amp;D65&amp;CHAR(34)&amp;", x: "&amp;E65&amp;", y: "&amp;F65&amp;", z: "&amp;G65&amp;", details: "&amp;CHAR(34)&amp;H65&amp;CHAR(34)&amp;" },"</f>
        <v>{ name: "Trousers of Time", landmark: "Treasure", type: "Treasure", region: 15, level: "Depths", x: -4179, y: -697, z: -1121, details: "&lt;strong&gt;Old Map:&lt;/strong&gt; North Necluda Sky Archipelago 2" },</v>
      </c>
    </row>
  </sheetData>
  <autoFilter ref="A1:I32" xr:uid="{A095D5C8-FF81-DA46-ADE3-61DE071C2139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D50D9-6DB9-5C44-8AA5-7C1D2FE18817}">
  <sheetPr codeName="Sheet10">
    <tabColor theme="7"/>
  </sheetPr>
  <dimension ref="A1:I47"/>
  <sheetViews>
    <sheetView workbookViewId="0">
      <selection activeCell="P18" sqref="P18"/>
    </sheetView>
  </sheetViews>
  <sheetFormatPr baseColWidth="10" defaultRowHeight="16" x14ac:dyDescent="0.2"/>
  <cols>
    <col min="1" max="1" width="20" bestFit="1" customWidth="1"/>
    <col min="2" max="2" width="13.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1797</v>
      </c>
      <c r="B2" t="s">
        <v>2871</v>
      </c>
      <c r="C2">
        <v>1</v>
      </c>
      <c r="D2" t="s">
        <v>785</v>
      </c>
      <c r="E2">
        <v>-256</v>
      </c>
      <c r="F2">
        <v>153</v>
      </c>
      <c r="G2">
        <v>20</v>
      </c>
      <c r="H2" t="s">
        <v>2872</v>
      </c>
      <c r="I2" t="str">
        <f>"{ name: "&amp;CHAR(34)&amp;A2&amp;CHAR(34)&amp;", landmark: "&amp;CHAR(34)&amp;"Schematic"&amp;CHAR(34)&amp;", type: "&amp;CHAR(34)&amp;B2&amp;CHAR(34)&amp;", region: "&amp;C2&amp;", level: "&amp;CHAR(34)&amp;D2&amp;CHAR(34)&amp;", x: "&amp;E2&amp;", y: "&amp;F2&amp;", z: "&amp;G2&amp;", details: "&amp;CHAR(34)&amp;H2&amp;CHAR(34)&amp;" },"</f>
        <v>{ name: "Hot-Air Balloon", landmark: "Schematic", type: "Schema Stone", region: 1, level: "Surface", x: -256, y: 153, z: 20, details: "Complete &lt;em&gt;Mystery in the Depths&lt;/em&gt; Quest" },</v>
      </c>
    </row>
    <row r="3" spans="1:9" x14ac:dyDescent="0.2">
      <c r="A3" t="s">
        <v>1780</v>
      </c>
      <c r="B3" t="s">
        <v>2871</v>
      </c>
      <c r="C3">
        <v>2</v>
      </c>
      <c r="D3" t="s">
        <v>785</v>
      </c>
      <c r="E3">
        <v>-1122</v>
      </c>
      <c r="F3">
        <v>-1902</v>
      </c>
      <c r="G3">
        <v>101</v>
      </c>
      <c r="H3" t="s">
        <v>2873</v>
      </c>
      <c r="I3" t="s">
        <v>2874</v>
      </c>
    </row>
    <row r="4" spans="1:9" x14ac:dyDescent="0.2">
      <c r="A4" t="s">
        <v>1792</v>
      </c>
      <c r="B4" t="s">
        <v>2871</v>
      </c>
      <c r="C4">
        <v>2</v>
      </c>
      <c r="D4" t="s">
        <v>1002</v>
      </c>
      <c r="E4">
        <v>-821</v>
      </c>
      <c r="F4">
        <v>-1940</v>
      </c>
      <c r="G4">
        <v>-523</v>
      </c>
      <c r="I4" t="s">
        <v>2875</v>
      </c>
    </row>
    <row r="5" spans="1:9" x14ac:dyDescent="0.2">
      <c r="A5" t="s">
        <v>1816</v>
      </c>
      <c r="B5" t="s">
        <v>2870</v>
      </c>
      <c r="C5">
        <v>2</v>
      </c>
      <c r="D5" t="s">
        <v>1002</v>
      </c>
      <c r="E5">
        <v>-1856</v>
      </c>
      <c r="F5">
        <v>-735</v>
      </c>
      <c r="G5">
        <v>-527</v>
      </c>
      <c r="I5" t="s">
        <v>2876</v>
      </c>
    </row>
    <row r="6" spans="1:9" x14ac:dyDescent="0.2">
      <c r="A6" t="s">
        <v>1777</v>
      </c>
      <c r="B6" t="s">
        <v>2870</v>
      </c>
      <c r="C6">
        <v>3</v>
      </c>
      <c r="D6" t="s">
        <v>1002</v>
      </c>
      <c r="E6">
        <v>-3380</v>
      </c>
      <c r="F6">
        <v>665</v>
      </c>
      <c r="G6">
        <v>-619</v>
      </c>
      <c r="I6" t="s">
        <v>2877</v>
      </c>
    </row>
    <row r="7" spans="1:9" x14ac:dyDescent="0.2">
      <c r="A7" t="s">
        <v>1785</v>
      </c>
      <c r="B7" t="s">
        <v>2870</v>
      </c>
      <c r="C7">
        <v>3</v>
      </c>
      <c r="D7" t="s">
        <v>1002</v>
      </c>
      <c r="E7">
        <v>-1620</v>
      </c>
      <c r="F7">
        <v>247</v>
      </c>
      <c r="G7">
        <v>-482</v>
      </c>
      <c r="I7" t="s">
        <v>2878</v>
      </c>
    </row>
    <row r="8" spans="1:9" x14ac:dyDescent="0.2">
      <c r="A8" t="s">
        <v>1787</v>
      </c>
      <c r="B8" t="s">
        <v>2870</v>
      </c>
      <c r="C8">
        <v>3</v>
      </c>
      <c r="D8" t="s">
        <v>1002</v>
      </c>
      <c r="E8">
        <v>-1332</v>
      </c>
      <c r="F8">
        <v>1496</v>
      </c>
      <c r="G8">
        <v>-597</v>
      </c>
      <c r="I8" t="s">
        <v>2879</v>
      </c>
    </row>
    <row r="9" spans="1:9" x14ac:dyDescent="0.2">
      <c r="A9" t="s">
        <v>1794</v>
      </c>
      <c r="B9" t="s">
        <v>2870</v>
      </c>
      <c r="C9">
        <v>3</v>
      </c>
      <c r="D9" t="s">
        <v>1002</v>
      </c>
      <c r="E9">
        <v>-2822</v>
      </c>
      <c r="F9">
        <v>902</v>
      </c>
      <c r="G9">
        <v>-565</v>
      </c>
      <c r="I9" t="s">
        <v>2880</v>
      </c>
    </row>
    <row r="10" spans="1:9" x14ac:dyDescent="0.2">
      <c r="A10" t="s">
        <v>1790</v>
      </c>
      <c r="B10" t="s">
        <v>2870</v>
      </c>
      <c r="C10">
        <v>4</v>
      </c>
      <c r="D10" t="s">
        <v>1002</v>
      </c>
      <c r="E10">
        <v>-3708</v>
      </c>
      <c r="F10">
        <v>3099</v>
      </c>
      <c r="G10">
        <v>-782</v>
      </c>
      <c r="I10" t="s">
        <v>2881</v>
      </c>
    </row>
    <row r="11" spans="1:9" x14ac:dyDescent="0.2">
      <c r="A11" t="s">
        <v>1795</v>
      </c>
      <c r="B11" t="s">
        <v>2870</v>
      </c>
      <c r="C11">
        <v>4</v>
      </c>
      <c r="D11" t="s">
        <v>1002</v>
      </c>
      <c r="E11">
        <v>-2865</v>
      </c>
      <c r="F11">
        <v>2918</v>
      </c>
      <c r="G11">
        <v>-931</v>
      </c>
      <c r="I11" t="s">
        <v>2882</v>
      </c>
    </row>
    <row r="12" spans="1:9" x14ac:dyDescent="0.2">
      <c r="A12" t="s">
        <v>1809</v>
      </c>
      <c r="B12" t="s">
        <v>2871</v>
      </c>
      <c r="C12">
        <v>4</v>
      </c>
      <c r="D12" t="s">
        <v>1002</v>
      </c>
      <c r="E12">
        <v>-3480</v>
      </c>
      <c r="F12">
        <v>1883</v>
      </c>
      <c r="G12">
        <v>-417</v>
      </c>
      <c r="I12" t="s">
        <v>2883</v>
      </c>
    </row>
    <row r="13" spans="1:9" x14ac:dyDescent="0.2">
      <c r="A13" s="22" t="s">
        <v>1813</v>
      </c>
      <c r="B13" t="s">
        <v>2870</v>
      </c>
      <c r="C13">
        <v>5</v>
      </c>
      <c r="D13" t="s">
        <v>1002</v>
      </c>
      <c r="E13">
        <v>-1903</v>
      </c>
      <c r="F13">
        <v>2095</v>
      </c>
      <c r="G13">
        <v>-682</v>
      </c>
      <c r="I13" t="s">
        <v>2884</v>
      </c>
    </row>
    <row r="14" spans="1:9" x14ac:dyDescent="0.2">
      <c r="A14" t="s">
        <v>1821</v>
      </c>
      <c r="B14" t="s">
        <v>2870</v>
      </c>
      <c r="C14">
        <v>5</v>
      </c>
      <c r="D14" t="s">
        <v>1002</v>
      </c>
      <c r="E14">
        <v>-1751</v>
      </c>
      <c r="F14">
        <v>3107</v>
      </c>
      <c r="G14">
        <v>-679</v>
      </c>
      <c r="I14" t="s">
        <v>2885</v>
      </c>
    </row>
    <row r="15" spans="1:9" x14ac:dyDescent="0.2">
      <c r="A15" t="s">
        <v>1776</v>
      </c>
      <c r="B15" t="s">
        <v>2870</v>
      </c>
      <c r="C15">
        <v>6</v>
      </c>
      <c r="D15" t="s">
        <v>1002</v>
      </c>
      <c r="E15">
        <v>-130</v>
      </c>
      <c r="F15">
        <v>2867</v>
      </c>
      <c r="G15">
        <v>-634</v>
      </c>
      <c r="I15" t="s">
        <v>2886</v>
      </c>
    </row>
    <row r="16" spans="1:9" x14ac:dyDescent="0.2">
      <c r="A16" t="s">
        <v>1788</v>
      </c>
      <c r="B16" t="s">
        <v>2870</v>
      </c>
      <c r="C16">
        <v>6</v>
      </c>
      <c r="D16" t="s">
        <v>1002</v>
      </c>
      <c r="E16">
        <v>622</v>
      </c>
      <c r="F16">
        <v>3698</v>
      </c>
      <c r="G16">
        <v>-540</v>
      </c>
      <c r="I16" t="s">
        <v>2887</v>
      </c>
    </row>
    <row r="17" spans="1:9" x14ac:dyDescent="0.2">
      <c r="A17" t="s">
        <v>1793</v>
      </c>
      <c r="B17" t="s">
        <v>2870</v>
      </c>
      <c r="C17">
        <v>6</v>
      </c>
      <c r="D17" t="s">
        <v>1002</v>
      </c>
      <c r="E17">
        <v>-397</v>
      </c>
      <c r="F17">
        <v>1776</v>
      </c>
      <c r="G17">
        <v>-623</v>
      </c>
      <c r="I17" t="s">
        <v>2888</v>
      </c>
    </row>
    <row r="18" spans="1:9" x14ac:dyDescent="0.2">
      <c r="A18" t="s">
        <v>1779</v>
      </c>
      <c r="B18" t="s">
        <v>2871</v>
      </c>
      <c r="C18">
        <v>7</v>
      </c>
      <c r="D18" t="s">
        <v>1002</v>
      </c>
      <c r="E18">
        <v>1641</v>
      </c>
      <c r="F18">
        <v>2397</v>
      </c>
      <c r="G18">
        <v>-824</v>
      </c>
      <c r="I18" t="s">
        <v>2889</v>
      </c>
    </row>
    <row r="19" spans="1:9" x14ac:dyDescent="0.2">
      <c r="A19" s="22" t="s">
        <v>1783</v>
      </c>
      <c r="B19" t="s">
        <v>2870</v>
      </c>
      <c r="C19">
        <v>7</v>
      </c>
      <c r="D19" t="s">
        <v>1002</v>
      </c>
      <c r="E19">
        <v>2667</v>
      </c>
      <c r="F19">
        <v>1578</v>
      </c>
      <c r="G19">
        <v>-591</v>
      </c>
      <c r="I19" t="s">
        <v>2890</v>
      </c>
    </row>
    <row r="20" spans="1:9" x14ac:dyDescent="0.2">
      <c r="A20" t="s">
        <v>1808</v>
      </c>
      <c r="B20" t="s">
        <v>2870</v>
      </c>
      <c r="C20">
        <v>7</v>
      </c>
      <c r="D20" t="s">
        <v>1002</v>
      </c>
      <c r="E20">
        <v>1539</v>
      </c>
      <c r="F20">
        <v>692</v>
      </c>
      <c r="G20">
        <v>-439</v>
      </c>
      <c r="I20" t="s">
        <v>2891</v>
      </c>
    </row>
    <row r="21" spans="1:9" x14ac:dyDescent="0.2">
      <c r="A21" t="s">
        <v>1778</v>
      </c>
      <c r="B21" t="s">
        <v>2870</v>
      </c>
      <c r="C21">
        <v>8</v>
      </c>
      <c r="D21" t="s">
        <v>1002</v>
      </c>
      <c r="E21">
        <v>3273</v>
      </c>
      <c r="F21">
        <v>3697</v>
      </c>
      <c r="G21">
        <v>-660</v>
      </c>
      <c r="I21" t="s">
        <v>2892</v>
      </c>
    </row>
    <row r="22" spans="1:9" x14ac:dyDescent="0.2">
      <c r="A22" t="s">
        <v>1796</v>
      </c>
      <c r="B22" t="s">
        <v>2870</v>
      </c>
      <c r="C22">
        <v>8</v>
      </c>
      <c r="D22" t="s">
        <v>1002</v>
      </c>
      <c r="E22">
        <v>4112</v>
      </c>
      <c r="F22">
        <v>3215</v>
      </c>
      <c r="G22">
        <v>-611</v>
      </c>
      <c r="I22" t="s">
        <v>2893</v>
      </c>
    </row>
    <row r="23" spans="1:9" x14ac:dyDescent="0.2">
      <c r="A23" t="s">
        <v>1800</v>
      </c>
      <c r="B23" t="s">
        <v>2871</v>
      </c>
      <c r="C23">
        <v>8</v>
      </c>
      <c r="D23" t="s">
        <v>1002</v>
      </c>
      <c r="E23">
        <v>3986</v>
      </c>
      <c r="F23">
        <v>1583</v>
      </c>
      <c r="G23">
        <v>-576</v>
      </c>
      <c r="I23" t="s">
        <v>2894</v>
      </c>
    </row>
    <row r="24" spans="1:9" x14ac:dyDescent="0.2">
      <c r="A24" t="s">
        <v>1819</v>
      </c>
      <c r="B24" t="s">
        <v>2870</v>
      </c>
      <c r="C24">
        <v>8</v>
      </c>
      <c r="D24" t="s">
        <v>1002</v>
      </c>
      <c r="E24">
        <v>3606</v>
      </c>
      <c r="F24">
        <v>2281</v>
      </c>
      <c r="G24">
        <v>-478</v>
      </c>
      <c r="I24" t="s">
        <v>2895</v>
      </c>
    </row>
    <row r="25" spans="1:9" x14ac:dyDescent="0.2">
      <c r="A25" t="s">
        <v>1784</v>
      </c>
      <c r="B25" t="s">
        <v>2871</v>
      </c>
      <c r="C25">
        <v>9</v>
      </c>
      <c r="D25" t="s">
        <v>1002</v>
      </c>
      <c r="E25">
        <v>3257</v>
      </c>
      <c r="F25">
        <v>593</v>
      </c>
      <c r="G25">
        <v>-750</v>
      </c>
      <c r="I25" t="s">
        <v>2896</v>
      </c>
    </row>
    <row r="26" spans="1:9" x14ac:dyDescent="0.2">
      <c r="A26" t="s">
        <v>1799</v>
      </c>
      <c r="B26" t="s">
        <v>2870</v>
      </c>
      <c r="C26">
        <v>9</v>
      </c>
      <c r="D26" t="s">
        <v>1002</v>
      </c>
      <c r="E26">
        <v>3618</v>
      </c>
      <c r="F26">
        <v>-569</v>
      </c>
      <c r="G26">
        <v>-455</v>
      </c>
      <c r="I26" t="s">
        <v>2897</v>
      </c>
    </row>
    <row r="27" spans="1:9" x14ac:dyDescent="0.2">
      <c r="A27" t="s">
        <v>1817</v>
      </c>
      <c r="B27" t="s">
        <v>2870</v>
      </c>
      <c r="C27">
        <v>9</v>
      </c>
      <c r="D27" t="s">
        <v>1002</v>
      </c>
      <c r="E27">
        <v>4412</v>
      </c>
      <c r="F27">
        <v>637</v>
      </c>
      <c r="G27">
        <v>-709</v>
      </c>
      <c r="I27" t="s">
        <v>2898</v>
      </c>
    </row>
    <row r="28" spans="1:9" x14ac:dyDescent="0.2">
      <c r="A28" t="s">
        <v>1801</v>
      </c>
      <c r="B28" t="s">
        <v>2870</v>
      </c>
      <c r="C28">
        <v>10</v>
      </c>
      <c r="D28" t="s">
        <v>1002</v>
      </c>
      <c r="E28">
        <v>1168</v>
      </c>
      <c r="F28">
        <v>600</v>
      </c>
      <c r="G28">
        <v>-408</v>
      </c>
      <c r="I28" t="s">
        <v>2899</v>
      </c>
    </row>
    <row r="29" spans="1:9" x14ac:dyDescent="0.2">
      <c r="A29" t="s">
        <v>1804</v>
      </c>
      <c r="B29" t="s">
        <v>2871</v>
      </c>
      <c r="C29">
        <v>10</v>
      </c>
      <c r="D29" t="s">
        <v>1002</v>
      </c>
      <c r="E29">
        <v>1796</v>
      </c>
      <c r="F29">
        <v>-1226</v>
      </c>
      <c r="G29">
        <v>-629</v>
      </c>
      <c r="I29" t="s">
        <v>2900</v>
      </c>
    </row>
    <row r="30" spans="1:9" x14ac:dyDescent="0.2">
      <c r="A30" t="s">
        <v>1810</v>
      </c>
      <c r="B30" t="s">
        <v>2870</v>
      </c>
      <c r="C30">
        <v>10</v>
      </c>
      <c r="D30" t="s">
        <v>1002</v>
      </c>
      <c r="E30">
        <v>2078</v>
      </c>
      <c r="F30">
        <v>-1625</v>
      </c>
      <c r="G30">
        <v>-464</v>
      </c>
      <c r="I30" t="s">
        <v>2901</v>
      </c>
    </row>
    <row r="31" spans="1:9" x14ac:dyDescent="0.2">
      <c r="A31" t="s">
        <v>1814</v>
      </c>
      <c r="B31" t="s">
        <v>2870</v>
      </c>
      <c r="C31">
        <v>10</v>
      </c>
      <c r="D31" t="s">
        <v>1002</v>
      </c>
      <c r="E31">
        <v>2542</v>
      </c>
      <c r="F31">
        <v>-544</v>
      </c>
      <c r="G31">
        <v>-476</v>
      </c>
      <c r="I31" t="s">
        <v>2902</v>
      </c>
    </row>
    <row r="32" spans="1:9" x14ac:dyDescent="0.2">
      <c r="A32" t="s">
        <v>1786</v>
      </c>
      <c r="B32" t="s">
        <v>2871</v>
      </c>
      <c r="C32">
        <v>11</v>
      </c>
      <c r="D32" t="s">
        <v>1002</v>
      </c>
      <c r="E32">
        <v>3562</v>
      </c>
      <c r="F32">
        <v>-2209</v>
      </c>
      <c r="G32">
        <v>-588</v>
      </c>
      <c r="I32" t="s">
        <v>2903</v>
      </c>
    </row>
    <row r="33" spans="1:9" x14ac:dyDescent="0.2">
      <c r="A33" t="s">
        <v>1815</v>
      </c>
      <c r="B33" t="s">
        <v>2870</v>
      </c>
      <c r="C33">
        <v>11</v>
      </c>
      <c r="D33" t="s">
        <v>1002</v>
      </c>
      <c r="E33">
        <v>3261</v>
      </c>
      <c r="F33">
        <v>-1445</v>
      </c>
      <c r="G33">
        <v>-657</v>
      </c>
      <c r="I33" t="s">
        <v>2904</v>
      </c>
    </row>
    <row r="34" spans="1:9" x14ac:dyDescent="0.2">
      <c r="A34" t="s">
        <v>1789</v>
      </c>
      <c r="B34" t="s">
        <v>2871</v>
      </c>
      <c r="C34">
        <v>12</v>
      </c>
      <c r="D34" t="s">
        <v>1002</v>
      </c>
      <c r="E34">
        <v>2946</v>
      </c>
      <c r="F34">
        <v>-3338</v>
      </c>
      <c r="G34">
        <v>-453</v>
      </c>
      <c r="I34" t="s">
        <v>2905</v>
      </c>
    </row>
    <row r="35" spans="1:9" x14ac:dyDescent="0.2">
      <c r="A35" s="22" t="s">
        <v>1805</v>
      </c>
      <c r="B35" t="s">
        <v>2870</v>
      </c>
      <c r="C35">
        <v>12</v>
      </c>
      <c r="D35" t="s">
        <v>1002</v>
      </c>
      <c r="E35">
        <v>2963</v>
      </c>
      <c r="F35">
        <v>-2571</v>
      </c>
      <c r="G35">
        <v>-507</v>
      </c>
      <c r="I35" t="s">
        <v>2906</v>
      </c>
    </row>
    <row r="36" spans="1:9" x14ac:dyDescent="0.2">
      <c r="A36" t="s">
        <v>1781</v>
      </c>
      <c r="B36" t="s">
        <v>2870</v>
      </c>
      <c r="C36">
        <v>13</v>
      </c>
      <c r="D36" t="s">
        <v>1002</v>
      </c>
      <c r="E36">
        <v>246</v>
      </c>
      <c r="F36">
        <v>-2170</v>
      </c>
      <c r="G36">
        <v>-486</v>
      </c>
      <c r="I36" t="s">
        <v>2907</v>
      </c>
    </row>
    <row r="37" spans="1:9" x14ac:dyDescent="0.2">
      <c r="A37" s="22" t="s">
        <v>1806</v>
      </c>
      <c r="B37" t="s">
        <v>2870</v>
      </c>
      <c r="C37">
        <v>13</v>
      </c>
      <c r="D37" t="s">
        <v>1002</v>
      </c>
      <c r="E37">
        <v>-1225</v>
      </c>
      <c r="F37">
        <v>-2611</v>
      </c>
      <c r="G37">
        <v>-480</v>
      </c>
      <c r="I37" t="s">
        <v>2908</v>
      </c>
    </row>
    <row r="38" spans="1:9" x14ac:dyDescent="0.2">
      <c r="A38" t="s">
        <v>1820</v>
      </c>
      <c r="B38" t="s">
        <v>2870</v>
      </c>
      <c r="C38">
        <v>13</v>
      </c>
      <c r="D38" t="s">
        <v>1002</v>
      </c>
      <c r="E38">
        <v>417</v>
      </c>
      <c r="F38">
        <v>-3673</v>
      </c>
      <c r="G38">
        <v>-498</v>
      </c>
      <c r="I38" t="s">
        <v>2909</v>
      </c>
    </row>
    <row r="39" spans="1:9" x14ac:dyDescent="0.2">
      <c r="A39" t="s">
        <v>1782</v>
      </c>
      <c r="B39" t="s">
        <v>2870</v>
      </c>
      <c r="C39">
        <v>14</v>
      </c>
      <c r="D39" t="s">
        <v>1002</v>
      </c>
      <c r="E39">
        <v>-2409</v>
      </c>
      <c r="F39">
        <v>-3485</v>
      </c>
      <c r="G39">
        <v>-394</v>
      </c>
      <c r="I39" t="s">
        <v>2910</v>
      </c>
    </row>
    <row r="40" spans="1:9" x14ac:dyDescent="0.2">
      <c r="A40" t="s">
        <v>1798</v>
      </c>
      <c r="B40" t="s">
        <v>2871</v>
      </c>
      <c r="C40">
        <v>14</v>
      </c>
      <c r="D40" t="s">
        <v>1002</v>
      </c>
      <c r="E40">
        <v>-3846</v>
      </c>
      <c r="F40">
        <v>-2941</v>
      </c>
      <c r="G40">
        <v>-487</v>
      </c>
      <c r="I40" t="s">
        <v>2911</v>
      </c>
    </row>
    <row r="41" spans="1:9" x14ac:dyDescent="0.2">
      <c r="A41" t="s">
        <v>1802</v>
      </c>
      <c r="B41" t="s">
        <v>2871</v>
      </c>
      <c r="C41">
        <v>14</v>
      </c>
      <c r="D41" t="s">
        <v>1002</v>
      </c>
      <c r="E41">
        <v>-3210</v>
      </c>
      <c r="F41">
        <v>-2473</v>
      </c>
      <c r="G41">
        <v>-475</v>
      </c>
      <c r="I41" t="s">
        <v>2912</v>
      </c>
    </row>
    <row r="42" spans="1:9" x14ac:dyDescent="0.2">
      <c r="A42" s="22" t="s">
        <v>1807</v>
      </c>
      <c r="B42" t="s">
        <v>2870</v>
      </c>
      <c r="C42">
        <v>14</v>
      </c>
      <c r="D42" t="s">
        <v>1002</v>
      </c>
      <c r="E42">
        <v>-4546</v>
      </c>
      <c r="F42">
        <v>-2170</v>
      </c>
      <c r="G42">
        <v>-489</v>
      </c>
      <c r="I42" t="s">
        <v>2913</v>
      </c>
    </row>
    <row r="43" spans="1:9" x14ac:dyDescent="0.2">
      <c r="A43" t="s">
        <v>1811</v>
      </c>
      <c r="B43" t="s">
        <v>2870</v>
      </c>
      <c r="C43">
        <v>14</v>
      </c>
      <c r="D43" t="s">
        <v>1002</v>
      </c>
      <c r="E43">
        <v>-2694</v>
      </c>
      <c r="F43">
        <v>-2882</v>
      </c>
      <c r="G43">
        <v>-467</v>
      </c>
      <c r="I43" t="s">
        <v>2914</v>
      </c>
    </row>
    <row r="44" spans="1:9" x14ac:dyDescent="0.2">
      <c r="A44" t="s">
        <v>1818</v>
      </c>
      <c r="B44" t="s">
        <v>2870</v>
      </c>
      <c r="C44">
        <v>14</v>
      </c>
      <c r="D44" t="s">
        <v>1002</v>
      </c>
      <c r="E44">
        <v>-3262</v>
      </c>
      <c r="F44">
        <v>-3780</v>
      </c>
      <c r="G44">
        <v>-494</v>
      </c>
      <c r="I44" t="s">
        <v>2915</v>
      </c>
    </row>
    <row r="45" spans="1:9" x14ac:dyDescent="0.2">
      <c r="A45" t="s">
        <v>1791</v>
      </c>
      <c r="B45" t="s">
        <v>2870</v>
      </c>
      <c r="C45">
        <v>15</v>
      </c>
      <c r="D45" t="s">
        <v>1002</v>
      </c>
      <c r="E45">
        <v>-3075</v>
      </c>
      <c r="F45">
        <v>-1580</v>
      </c>
      <c r="G45">
        <v>-913</v>
      </c>
      <c r="I45" t="s">
        <v>2916</v>
      </c>
    </row>
    <row r="46" spans="1:9" x14ac:dyDescent="0.2">
      <c r="A46" t="s">
        <v>1803</v>
      </c>
      <c r="B46" t="s">
        <v>2870</v>
      </c>
      <c r="C46">
        <v>15</v>
      </c>
      <c r="D46" t="s">
        <v>1002</v>
      </c>
      <c r="E46">
        <v>-3403</v>
      </c>
      <c r="F46">
        <v>-222</v>
      </c>
      <c r="G46">
        <v>-482</v>
      </c>
      <c r="I46" t="s">
        <v>2917</v>
      </c>
    </row>
    <row r="47" spans="1:9" x14ac:dyDescent="0.2">
      <c r="A47" t="s">
        <v>1812</v>
      </c>
      <c r="B47" t="s">
        <v>2870</v>
      </c>
      <c r="C47">
        <v>15</v>
      </c>
      <c r="D47" t="s">
        <v>1002</v>
      </c>
      <c r="E47">
        <v>-4457</v>
      </c>
      <c r="F47">
        <v>-994</v>
      </c>
      <c r="G47">
        <v>-861</v>
      </c>
      <c r="I47" t="s">
        <v>2918</v>
      </c>
    </row>
  </sheetData>
  <autoFilter ref="A1:I47" xr:uid="{3BDD50D9-6DB9-5C44-8AA5-7C1D2FE18817}">
    <sortState xmlns:xlrd2="http://schemas.microsoft.com/office/spreadsheetml/2017/richdata2" ref="A2:I47">
      <sortCondition ref="C1:C47"/>
    </sortState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68EE0-ED4E-D644-BE8D-34069771440A}">
  <sheetPr codeName="Sheet11">
    <tabColor theme="9"/>
  </sheetPr>
  <dimension ref="A1:O198"/>
  <sheetViews>
    <sheetView topLeftCell="A11" workbookViewId="0">
      <selection activeCell="C36" sqref="C36"/>
    </sheetView>
  </sheetViews>
  <sheetFormatPr baseColWidth="10" defaultRowHeight="16" x14ac:dyDescent="0.2"/>
  <cols>
    <col min="1" max="1" width="29.1640625" bestFit="1" customWidth="1"/>
    <col min="2" max="2" width="16.5" bestFit="1" customWidth="1"/>
    <col min="5" max="5" width="12.83203125" bestFit="1" customWidth="1"/>
    <col min="8" max="8" width="25.1640625" customWidth="1"/>
  </cols>
  <sheetData>
    <row r="1" spans="1:15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15" x14ac:dyDescent="0.2">
      <c r="A2" t="s">
        <v>855</v>
      </c>
      <c r="B2" t="s">
        <v>2525</v>
      </c>
      <c r="C2">
        <v>1</v>
      </c>
      <c r="D2" t="s">
        <v>785</v>
      </c>
      <c r="E2" s="2">
        <v>-1111</v>
      </c>
      <c r="F2" s="2">
        <v>-432</v>
      </c>
      <c r="G2" s="2">
        <v>22</v>
      </c>
      <c r="H2" s="28"/>
      <c r="I2" t="str">
        <f>"{ name: "&amp;CHAR(34)&amp;A2&amp;CHAR(34)&amp;", landmark: "&amp;CHAR(34)&amp;"Cave"&amp;CHAR(34)&amp;", type: "&amp;CHAR(34)&amp;B2&amp;CHAR(34)&amp;", region: "&amp;C2&amp;", level: "&amp;CHAR(34)&amp;D2&amp;CHAR(34)&amp;", x: "&amp;E2&amp;", y: "&amp;F2&amp;", z: "&amp;G2&amp;", details: "&amp;CHAR(34)&amp;H2&amp;CHAR(34)&amp;" },"</f>
        <v>{ name: "Ancient Tree Stump Cave", landmark: "Cave", type: "", region: 1, level: "Surface", x: -1111, y: -432, z: 22, details: "" },</v>
      </c>
      <c r="L2" s="28"/>
      <c r="M2" s="28"/>
      <c r="N2" s="28"/>
      <c r="O2" s="28"/>
    </row>
    <row r="3" spans="1:15" x14ac:dyDescent="0.2">
      <c r="A3" t="s">
        <v>934</v>
      </c>
      <c r="B3" t="s">
        <v>2525</v>
      </c>
      <c r="C3">
        <v>1</v>
      </c>
      <c r="D3" t="s">
        <v>785</v>
      </c>
      <c r="E3" s="2">
        <v>-512</v>
      </c>
      <c r="F3" s="2">
        <v>127</v>
      </c>
      <c r="G3" s="2">
        <v>20</v>
      </c>
      <c r="H3" s="28"/>
      <c r="I3" t="s">
        <v>2344</v>
      </c>
      <c r="L3" s="28"/>
      <c r="M3" s="28"/>
      <c r="N3" s="28"/>
      <c r="O3" s="28"/>
    </row>
    <row r="4" spans="1:15" x14ac:dyDescent="0.2">
      <c r="A4" t="s">
        <v>945</v>
      </c>
      <c r="B4" t="s">
        <v>2542</v>
      </c>
      <c r="C4">
        <v>1</v>
      </c>
      <c r="D4" t="s">
        <v>785</v>
      </c>
      <c r="E4" s="2">
        <v>6</v>
      </c>
      <c r="F4" s="2">
        <v>-157</v>
      </c>
      <c r="G4" s="2">
        <v>30</v>
      </c>
      <c r="H4" s="28"/>
      <c r="I4" t="s">
        <v>3095</v>
      </c>
      <c r="L4" s="28"/>
      <c r="M4" s="28"/>
      <c r="N4" s="28"/>
      <c r="O4" s="28"/>
    </row>
    <row r="5" spans="1:15" x14ac:dyDescent="0.2">
      <c r="A5" t="s">
        <v>945</v>
      </c>
      <c r="B5" t="s">
        <v>2543</v>
      </c>
      <c r="C5">
        <v>1</v>
      </c>
      <c r="D5" t="s">
        <v>785</v>
      </c>
      <c r="E5" s="2">
        <v>37</v>
      </c>
      <c r="F5" s="2">
        <v>-198</v>
      </c>
      <c r="G5" s="2">
        <v>18</v>
      </c>
      <c r="H5" s="28"/>
      <c r="I5" t="s">
        <v>3096</v>
      </c>
      <c r="L5" s="28"/>
      <c r="M5" s="28"/>
      <c r="N5" s="28"/>
      <c r="O5" s="28"/>
    </row>
    <row r="6" spans="1:15" x14ac:dyDescent="0.2">
      <c r="A6" t="s">
        <v>955</v>
      </c>
      <c r="B6" t="s">
        <v>2544</v>
      </c>
      <c r="C6">
        <v>1</v>
      </c>
      <c r="D6" t="s">
        <v>785</v>
      </c>
      <c r="E6" s="2">
        <v>-325</v>
      </c>
      <c r="F6" s="2">
        <v>802</v>
      </c>
      <c r="G6" s="2">
        <v>54</v>
      </c>
      <c r="H6" s="28"/>
      <c r="I6" t="s">
        <v>3097</v>
      </c>
      <c r="L6" s="28"/>
      <c r="M6" s="28"/>
      <c r="N6" s="28"/>
      <c r="O6" s="28"/>
    </row>
    <row r="7" spans="1:15" x14ac:dyDescent="0.2">
      <c r="A7" t="s">
        <v>955</v>
      </c>
      <c r="B7" t="s">
        <v>2545</v>
      </c>
      <c r="C7">
        <v>1</v>
      </c>
      <c r="D7" t="s">
        <v>785</v>
      </c>
      <c r="E7" s="2">
        <v>-253</v>
      </c>
      <c r="F7" s="2">
        <v>767</v>
      </c>
      <c r="G7" s="2">
        <v>27</v>
      </c>
      <c r="H7" s="28"/>
      <c r="I7" t="s">
        <v>3098</v>
      </c>
      <c r="L7" s="28"/>
      <c r="M7" s="28"/>
      <c r="N7" s="28"/>
      <c r="O7" s="28"/>
    </row>
    <row r="8" spans="1:15" x14ac:dyDescent="0.2">
      <c r="A8" t="s">
        <v>955</v>
      </c>
      <c r="B8" t="s">
        <v>2546</v>
      </c>
      <c r="C8">
        <v>1</v>
      </c>
      <c r="D8" t="s">
        <v>785</v>
      </c>
      <c r="E8" s="2">
        <v>-254</v>
      </c>
      <c r="F8" s="2">
        <v>129</v>
      </c>
      <c r="G8" s="2">
        <v>8</v>
      </c>
      <c r="H8" s="28"/>
      <c r="I8" t="s">
        <v>3099</v>
      </c>
      <c r="L8" s="28"/>
      <c r="M8" s="28"/>
      <c r="N8" s="28"/>
      <c r="O8" s="28"/>
    </row>
    <row r="9" spans="1:15" x14ac:dyDescent="0.2">
      <c r="A9" t="s">
        <v>956</v>
      </c>
      <c r="B9" t="s">
        <v>2525</v>
      </c>
      <c r="C9">
        <v>1</v>
      </c>
      <c r="D9" t="s">
        <v>785</v>
      </c>
      <c r="E9" s="2">
        <v>-1404</v>
      </c>
      <c r="F9" s="2">
        <v>-256</v>
      </c>
      <c r="G9" s="2">
        <v>-3</v>
      </c>
      <c r="H9" s="28"/>
      <c r="I9" t="s">
        <v>2357</v>
      </c>
      <c r="L9" s="28"/>
      <c r="M9" s="28"/>
      <c r="N9" s="28"/>
      <c r="O9" s="28"/>
    </row>
    <row r="10" spans="1:15" x14ac:dyDescent="0.2">
      <c r="A10" t="s">
        <v>867</v>
      </c>
      <c r="B10" t="s">
        <v>2525</v>
      </c>
      <c r="C10">
        <v>2</v>
      </c>
      <c r="D10" t="s">
        <v>785</v>
      </c>
      <c r="E10" s="2">
        <v>-1167</v>
      </c>
      <c r="F10" s="2">
        <v>-1310</v>
      </c>
      <c r="G10" s="2">
        <v>22</v>
      </c>
      <c r="H10" s="28"/>
      <c r="I10" t="s">
        <v>2295</v>
      </c>
      <c r="L10" s="28"/>
      <c r="M10" s="28"/>
      <c r="N10" s="28"/>
      <c r="O10" s="28"/>
    </row>
    <row r="11" spans="1:15" x14ac:dyDescent="0.2">
      <c r="A11" t="s">
        <v>895</v>
      </c>
      <c r="B11" t="s">
        <v>2525</v>
      </c>
      <c r="C11">
        <v>2</v>
      </c>
      <c r="D11" t="s">
        <v>785</v>
      </c>
      <c r="E11" s="2">
        <v>-832</v>
      </c>
      <c r="F11" s="2">
        <v>-1488</v>
      </c>
      <c r="G11" s="2">
        <v>26</v>
      </c>
      <c r="H11" s="28"/>
      <c r="I11" t="s">
        <v>2315</v>
      </c>
      <c r="L11" s="28"/>
      <c r="M11" s="28"/>
      <c r="N11" s="28"/>
      <c r="O11" s="28"/>
    </row>
    <row r="12" spans="1:15" x14ac:dyDescent="0.2">
      <c r="A12" t="s">
        <v>939</v>
      </c>
      <c r="B12" t="s">
        <v>2542</v>
      </c>
      <c r="C12">
        <v>2</v>
      </c>
      <c r="D12" t="s">
        <v>783</v>
      </c>
      <c r="E12" s="2">
        <v>260</v>
      </c>
      <c r="F12" s="2">
        <v>-1557</v>
      </c>
      <c r="G12" s="2">
        <v>1361</v>
      </c>
      <c r="H12" s="28"/>
      <c r="I12" t="s">
        <v>3100</v>
      </c>
      <c r="L12" s="28"/>
      <c r="M12" s="28"/>
      <c r="N12" s="28"/>
      <c r="O12" s="28"/>
    </row>
    <row r="13" spans="1:15" x14ac:dyDescent="0.2">
      <c r="A13" t="s">
        <v>939</v>
      </c>
      <c r="B13" t="s">
        <v>2543</v>
      </c>
      <c r="C13">
        <v>2</v>
      </c>
      <c r="D13" t="s">
        <v>783</v>
      </c>
      <c r="E13" s="2">
        <v>170</v>
      </c>
      <c r="F13" s="2">
        <v>-1633</v>
      </c>
      <c r="G13" s="2">
        <v>1377</v>
      </c>
      <c r="H13" s="28"/>
      <c r="I13" t="s">
        <v>3101</v>
      </c>
      <c r="L13" s="28"/>
      <c r="M13" s="28"/>
      <c r="N13" s="28"/>
      <c r="O13" s="28"/>
    </row>
    <row r="14" spans="1:15" x14ac:dyDescent="0.2">
      <c r="A14" t="s">
        <v>951</v>
      </c>
      <c r="B14" t="s">
        <v>2525</v>
      </c>
      <c r="C14">
        <v>2</v>
      </c>
      <c r="D14" t="s">
        <v>785</v>
      </c>
      <c r="E14" s="2">
        <v>-1092</v>
      </c>
      <c r="F14" s="2">
        <v>-2162</v>
      </c>
      <c r="G14" s="2">
        <v>143</v>
      </c>
      <c r="H14" s="28"/>
      <c r="I14" t="s">
        <v>2353</v>
      </c>
      <c r="L14" s="28"/>
      <c r="M14" s="28"/>
      <c r="N14" s="28"/>
      <c r="O14" s="28"/>
    </row>
    <row r="15" spans="1:15" x14ac:dyDescent="0.2">
      <c r="A15" t="s">
        <v>959</v>
      </c>
      <c r="B15" t="s">
        <v>2525</v>
      </c>
      <c r="C15">
        <v>2</v>
      </c>
      <c r="D15" t="s">
        <v>785</v>
      </c>
      <c r="E15" s="2">
        <v>-2151</v>
      </c>
      <c r="F15" s="2">
        <v>-360</v>
      </c>
      <c r="G15" s="2">
        <v>276</v>
      </c>
      <c r="H15" s="28"/>
      <c r="I15" t="s">
        <v>2359</v>
      </c>
      <c r="L15" s="28"/>
      <c r="M15" s="28"/>
      <c r="N15" s="28"/>
      <c r="O15" s="28"/>
    </row>
    <row r="16" spans="1:15" x14ac:dyDescent="0.2">
      <c r="A16" t="s">
        <v>960</v>
      </c>
      <c r="B16" t="s">
        <v>2525</v>
      </c>
      <c r="C16">
        <v>2</v>
      </c>
      <c r="D16" t="s">
        <v>785</v>
      </c>
      <c r="E16" s="2">
        <v>-2198</v>
      </c>
      <c r="F16" s="2">
        <v>-807</v>
      </c>
      <c r="G16" s="2">
        <v>117</v>
      </c>
      <c r="H16" s="28"/>
      <c r="I16" t="s">
        <v>2360</v>
      </c>
      <c r="L16" s="28"/>
      <c r="M16" s="28"/>
      <c r="N16" s="28"/>
      <c r="O16" s="28"/>
    </row>
    <row r="17" spans="1:15" x14ac:dyDescent="0.2">
      <c r="A17" t="s">
        <v>961</v>
      </c>
      <c r="B17" t="s">
        <v>2525</v>
      </c>
      <c r="C17">
        <v>2</v>
      </c>
      <c r="D17" t="s">
        <v>785</v>
      </c>
      <c r="E17" s="2">
        <v>-1061</v>
      </c>
      <c r="F17" s="2">
        <v>-1829</v>
      </c>
      <c r="G17" s="2">
        <v>142</v>
      </c>
      <c r="H17" s="28"/>
      <c r="I17" t="s">
        <v>2361</v>
      </c>
      <c r="L17" s="28"/>
      <c r="M17" s="28"/>
      <c r="N17" s="28"/>
      <c r="O17" s="28"/>
    </row>
    <row r="18" spans="1:15" x14ac:dyDescent="0.2">
      <c r="A18" t="s">
        <v>973</v>
      </c>
      <c r="B18" t="s">
        <v>2525</v>
      </c>
      <c r="C18">
        <v>2</v>
      </c>
      <c r="D18" t="s">
        <v>785</v>
      </c>
      <c r="E18" s="2">
        <v>-2921</v>
      </c>
      <c r="F18" s="2">
        <v>-804</v>
      </c>
      <c r="G18" s="2">
        <v>7</v>
      </c>
      <c r="H18" s="28"/>
      <c r="I18" t="s">
        <v>2372</v>
      </c>
      <c r="L18" s="28"/>
      <c r="M18" s="28"/>
      <c r="N18" s="28"/>
      <c r="O18" s="28"/>
    </row>
    <row r="19" spans="1:15" x14ac:dyDescent="0.2">
      <c r="A19" t="s">
        <v>992</v>
      </c>
      <c r="B19" t="s">
        <v>2525</v>
      </c>
      <c r="C19">
        <v>2</v>
      </c>
      <c r="D19" t="s">
        <v>785</v>
      </c>
      <c r="E19" s="2">
        <v>-72</v>
      </c>
      <c r="F19" s="2">
        <v>-1045</v>
      </c>
      <c r="G19" s="2">
        <v>17</v>
      </c>
      <c r="H19" s="28"/>
      <c r="I19" t="s">
        <v>2387</v>
      </c>
      <c r="L19" s="28"/>
      <c r="M19" s="28"/>
      <c r="N19" s="28"/>
      <c r="O19" s="28"/>
    </row>
    <row r="20" spans="1:15" x14ac:dyDescent="0.2">
      <c r="A20" t="s">
        <v>853</v>
      </c>
      <c r="B20" t="s">
        <v>2525</v>
      </c>
      <c r="C20">
        <v>3</v>
      </c>
      <c r="D20" t="s">
        <v>785</v>
      </c>
      <c r="E20" s="2">
        <v>-3465</v>
      </c>
      <c r="F20" s="2">
        <v>449</v>
      </c>
      <c r="G20" s="2">
        <v>254</v>
      </c>
      <c r="H20" s="28"/>
      <c r="I20" t="s">
        <v>2286</v>
      </c>
      <c r="L20" s="28"/>
      <c r="M20" s="28"/>
      <c r="N20" s="28"/>
      <c r="O20" s="28"/>
    </row>
    <row r="21" spans="1:15" x14ac:dyDescent="0.2">
      <c r="A21" t="s">
        <v>860</v>
      </c>
      <c r="B21" t="s">
        <v>2525</v>
      </c>
      <c r="C21">
        <v>3</v>
      </c>
      <c r="D21" t="s">
        <v>785</v>
      </c>
      <c r="E21" s="2">
        <v>-3005</v>
      </c>
      <c r="F21" s="2">
        <v>1635</v>
      </c>
      <c r="G21" s="2">
        <v>199</v>
      </c>
      <c r="H21" s="28"/>
      <c r="I21" t="s">
        <v>2290</v>
      </c>
      <c r="L21" s="28"/>
      <c r="M21" s="28"/>
      <c r="N21" s="28"/>
      <c r="O21" s="28"/>
    </row>
    <row r="22" spans="1:15" x14ac:dyDescent="0.2">
      <c r="A22" t="s">
        <v>892</v>
      </c>
      <c r="B22" t="s">
        <v>2542</v>
      </c>
      <c r="C22">
        <v>3</v>
      </c>
      <c r="D22" t="s">
        <v>785</v>
      </c>
      <c r="E22" s="2">
        <v>-3865</v>
      </c>
      <c r="F22" s="2">
        <v>1011</v>
      </c>
      <c r="G22" s="2">
        <v>72</v>
      </c>
      <c r="H22" s="28"/>
      <c r="I22" t="s">
        <v>3102</v>
      </c>
      <c r="L22" s="28"/>
      <c r="M22" s="28"/>
      <c r="N22" s="28"/>
      <c r="O22" s="28"/>
    </row>
    <row r="23" spans="1:15" x14ac:dyDescent="0.2">
      <c r="A23" t="s">
        <v>892</v>
      </c>
      <c r="B23" t="s">
        <v>2543</v>
      </c>
      <c r="C23">
        <v>3</v>
      </c>
      <c r="D23" t="s">
        <v>785</v>
      </c>
      <c r="E23" s="2">
        <v>-3931</v>
      </c>
      <c r="F23" s="2">
        <v>1090</v>
      </c>
      <c r="G23" s="2">
        <v>72</v>
      </c>
      <c r="H23" s="28"/>
      <c r="I23" t="s">
        <v>3103</v>
      </c>
      <c r="L23" s="28"/>
      <c r="M23" s="28"/>
      <c r="N23" s="28"/>
      <c r="O23" s="28"/>
    </row>
    <row r="24" spans="1:15" x14ac:dyDescent="0.2">
      <c r="A24" t="s">
        <v>905</v>
      </c>
      <c r="B24" t="s">
        <v>2525</v>
      </c>
      <c r="C24">
        <v>3</v>
      </c>
      <c r="D24" t="s">
        <v>785</v>
      </c>
      <c r="E24" s="2">
        <v>-2395</v>
      </c>
      <c r="F24" s="2">
        <v>2276</v>
      </c>
      <c r="G24" s="2">
        <v>169</v>
      </c>
      <c r="H24" s="28"/>
      <c r="I24" t="s">
        <v>2324</v>
      </c>
      <c r="L24" s="28"/>
      <c r="M24" s="28"/>
      <c r="N24" s="28"/>
      <c r="O24" s="28"/>
    </row>
    <row r="25" spans="1:15" x14ac:dyDescent="0.2">
      <c r="A25" t="s">
        <v>914</v>
      </c>
      <c r="B25" t="s">
        <v>2525</v>
      </c>
      <c r="C25">
        <v>3</v>
      </c>
      <c r="D25" t="s">
        <v>785</v>
      </c>
      <c r="E25" s="2">
        <v>-1734</v>
      </c>
      <c r="F25" s="2">
        <v>1165</v>
      </c>
      <c r="G25" s="2">
        <v>228</v>
      </c>
      <c r="H25" s="28"/>
      <c r="I25" t="s">
        <v>2330</v>
      </c>
      <c r="L25" s="28"/>
      <c r="M25" s="28"/>
      <c r="N25" s="28"/>
      <c r="O25" s="28"/>
    </row>
    <row r="26" spans="1:15" x14ac:dyDescent="0.2">
      <c r="A26" t="s">
        <v>929</v>
      </c>
      <c r="B26" t="s">
        <v>2542</v>
      </c>
      <c r="C26">
        <v>3</v>
      </c>
      <c r="D26" t="s">
        <v>785</v>
      </c>
      <c r="E26" s="2">
        <v>-1234</v>
      </c>
      <c r="F26" s="2">
        <v>770</v>
      </c>
      <c r="G26" s="2">
        <v>77</v>
      </c>
      <c r="H26" s="28"/>
      <c r="I26" t="s">
        <v>3104</v>
      </c>
      <c r="L26" s="28"/>
      <c r="M26" s="28"/>
      <c r="N26" s="28"/>
      <c r="O26" s="28"/>
    </row>
    <row r="27" spans="1:15" x14ac:dyDescent="0.2">
      <c r="A27" t="s">
        <v>929</v>
      </c>
      <c r="B27" t="s">
        <v>2543</v>
      </c>
      <c r="C27">
        <v>3</v>
      </c>
      <c r="D27" t="s">
        <v>785</v>
      </c>
      <c r="E27" s="2">
        <v>-1188</v>
      </c>
      <c r="F27" s="2">
        <v>644</v>
      </c>
      <c r="G27" s="2">
        <v>72</v>
      </c>
      <c r="H27" s="28"/>
      <c r="I27" t="s">
        <v>3105</v>
      </c>
      <c r="L27" s="28"/>
      <c r="M27" s="28"/>
      <c r="N27" s="28"/>
      <c r="O27" s="28"/>
    </row>
    <row r="28" spans="1:15" x14ac:dyDescent="0.2">
      <c r="A28" t="s">
        <v>971</v>
      </c>
      <c r="B28" t="s">
        <v>2525</v>
      </c>
      <c r="C28">
        <v>3</v>
      </c>
      <c r="D28" t="s">
        <v>785</v>
      </c>
      <c r="E28" s="2">
        <v>-2840</v>
      </c>
      <c r="F28" s="2">
        <v>1771</v>
      </c>
      <c r="G28" s="2">
        <v>222</v>
      </c>
      <c r="H28" s="28"/>
      <c r="I28" t="s">
        <v>2370</v>
      </c>
      <c r="L28" s="28"/>
      <c r="M28" s="28"/>
      <c r="N28" s="28"/>
      <c r="O28" s="28"/>
    </row>
    <row r="29" spans="1:15" x14ac:dyDescent="0.2">
      <c r="A29" t="s">
        <v>974</v>
      </c>
      <c r="B29" t="s">
        <v>2525</v>
      </c>
      <c r="C29">
        <v>3</v>
      </c>
      <c r="D29" t="s">
        <v>785</v>
      </c>
      <c r="E29" s="2">
        <v>-2049</v>
      </c>
      <c r="F29" s="2">
        <v>1631</v>
      </c>
      <c r="G29" s="2">
        <v>-56</v>
      </c>
      <c r="H29" s="28"/>
      <c r="I29" t="s">
        <v>2373</v>
      </c>
      <c r="L29" s="28"/>
      <c r="M29" s="28"/>
      <c r="N29" s="28"/>
      <c r="O29" s="28"/>
    </row>
    <row r="30" spans="1:15" x14ac:dyDescent="0.2">
      <c r="A30" t="s">
        <v>975</v>
      </c>
      <c r="B30" t="s">
        <v>2525</v>
      </c>
      <c r="C30">
        <v>3</v>
      </c>
      <c r="D30" t="s">
        <v>785</v>
      </c>
      <c r="E30" s="2">
        <v>-3308</v>
      </c>
      <c r="F30" s="2">
        <v>789</v>
      </c>
      <c r="G30" s="2">
        <v>-101</v>
      </c>
      <c r="H30" s="28"/>
      <c r="I30" t="s">
        <v>2374</v>
      </c>
      <c r="L30" s="28"/>
      <c r="M30" s="28"/>
      <c r="N30" s="28"/>
      <c r="O30" s="28"/>
    </row>
    <row r="31" spans="1:15" x14ac:dyDescent="0.2">
      <c r="A31" t="s">
        <v>978</v>
      </c>
      <c r="B31" t="s">
        <v>2525</v>
      </c>
      <c r="C31">
        <v>3</v>
      </c>
      <c r="D31" t="s">
        <v>785</v>
      </c>
      <c r="E31" s="2">
        <v>-2268</v>
      </c>
      <c r="F31" s="2">
        <v>899</v>
      </c>
      <c r="G31" s="2">
        <v>86</v>
      </c>
      <c r="H31" s="28"/>
      <c r="I31" t="s">
        <v>2377</v>
      </c>
      <c r="L31" s="28"/>
      <c r="M31" s="28"/>
      <c r="N31" s="28"/>
      <c r="O31" s="28"/>
    </row>
    <row r="32" spans="1:15" x14ac:dyDescent="0.2">
      <c r="A32" t="s">
        <v>881</v>
      </c>
      <c r="B32" t="s">
        <v>2542</v>
      </c>
      <c r="C32">
        <v>4</v>
      </c>
      <c r="D32" t="s">
        <v>785</v>
      </c>
      <c r="E32" s="2">
        <v>-3989</v>
      </c>
      <c r="F32" s="2">
        <v>3062</v>
      </c>
      <c r="G32" s="2">
        <v>138</v>
      </c>
      <c r="H32" s="28"/>
      <c r="I32" t="s">
        <v>3106</v>
      </c>
      <c r="L32" s="28"/>
      <c r="M32" s="28"/>
      <c r="N32" s="28"/>
      <c r="O32" s="28"/>
    </row>
    <row r="33" spans="1:15" x14ac:dyDescent="0.2">
      <c r="A33" t="s">
        <v>881</v>
      </c>
      <c r="B33" t="s">
        <v>2543</v>
      </c>
      <c r="C33">
        <v>4</v>
      </c>
      <c r="D33" t="s">
        <v>785</v>
      </c>
      <c r="E33" s="2">
        <v>-3555</v>
      </c>
      <c r="F33" s="2">
        <v>3088</v>
      </c>
      <c r="G33" s="2">
        <v>273</v>
      </c>
      <c r="H33" s="28"/>
      <c r="I33" t="s">
        <v>3107</v>
      </c>
      <c r="L33" s="28"/>
      <c r="M33" s="28"/>
      <c r="N33" s="28"/>
      <c r="O33" s="28"/>
    </row>
    <row r="34" spans="1:15" x14ac:dyDescent="0.2">
      <c r="A34" t="s">
        <v>2122</v>
      </c>
      <c r="B34" t="s">
        <v>2525</v>
      </c>
      <c r="C34">
        <v>4</v>
      </c>
      <c r="D34" t="s">
        <v>785</v>
      </c>
      <c r="E34" s="2">
        <v>-3814</v>
      </c>
      <c r="F34" s="2">
        <v>3595</v>
      </c>
      <c r="G34" s="2">
        <v>255</v>
      </c>
      <c r="H34" s="28"/>
      <c r="I34" t="s">
        <v>2316</v>
      </c>
      <c r="L34" s="28"/>
      <c r="M34" s="28"/>
      <c r="N34" s="28"/>
      <c r="O34" s="28"/>
    </row>
    <row r="35" spans="1:15" x14ac:dyDescent="0.2">
      <c r="A35" t="s">
        <v>897</v>
      </c>
      <c r="B35" t="s">
        <v>2525</v>
      </c>
      <c r="C35">
        <v>5</v>
      </c>
      <c r="D35" t="s">
        <v>785</v>
      </c>
      <c r="E35" s="2">
        <v>-2900</v>
      </c>
      <c r="F35" s="2">
        <v>2510</v>
      </c>
      <c r="G35" s="2">
        <v>387</v>
      </c>
      <c r="H35" s="28"/>
      <c r="I35" t="s">
        <v>2317</v>
      </c>
      <c r="L35" s="28"/>
      <c r="M35" s="28"/>
      <c r="N35" s="28"/>
      <c r="O35" s="28"/>
    </row>
    <row r="36" spans="1:15" x14ac:dyDescent="0.2">
      <c r="A36" t="s">
        <v>898</v>
      </c>
      <c r="B36" t="s">
        <v>2525</v>
      </c>
      <c r="C36">
        <v>4</v>
      </c>
      <c r="D36" t="s">
        <v>785</v>
      </c>
      <c r="E36" s="2">
        <v>-2995</v>
      </c>
      <c r="F36" s="2">
        <v>3225</v>
      </c>
      <c r="G36" s="2">
        <v>539</v>
      </c>
      <c r="H36" s="28"/>
      <c r="I36" t="s">
        <v>2318</v>
      </c>
      <c r="L36" s="28"/>
      <c r="M36" s="28"/>
      <c r="N36" s="28"/>
      <c r="O36" s="28"/>
    </row>
    <row r="37" spans="1:15" x14ac:dyDescent="0.2">
      <c r="A37" t="s">
        <v>899</v>
      </c>
      <c r="B37" t="s">
        <v>2542</v>
      </c>
      <c r="C37">
        <v>4</v>
      </c>
      <c r="D37" t="s">
        <v>785</v>
      </c>
      <c r="E37" s="2">
        <v>-3398</v>
      </c>
      <c r="F37" s="2">
        <v>2499</v>
      </c>
      <c r="G37" s="2">
        <v>313</v>
      </c>
      <c r="H37" s="28"/>
      <c r="I37" t="s">
        <v>3108</v>
      </c>
      <c r="L37" s="28"/>
      <c r="M37" s="28"/>
      <c r="N37" s="28"/>
      <c r="O37" s="28"/>
    </row>
    <row r="38" spans="1:15" x14ac:dyDescent="0.2">
      <c r="A38" t="s">
        <v>899</v>
      </c>
      <c r="B38" t="s">
        <v>2543</v>
      </c>
      <c r="C38">
        <v>4</v>
      </c>
      <c r="D38" t="s">
        <v>785</v>
      </c>
      <c r="E38" s="2">
        <v>-3227</v>
      </c>
      <c r="F38" s="2">
        <v>2535</v>
      </c>
      <c r="G38" s="2">
        <v>441</v>
      </c>
      <c r="H38" s="28"/>
      <c r="I38" t="s">
        <v>3109</v>
      </c>
      <c r="L38" s="28"/>
      <c r="M38" s="28"/>
      <c r="N38" s="28"/>
      <c r="O38" s="28"/>
    </row>
    <row r="39" spans="1:15" x14ac:dyDescent="0.2">
      <c r="A39" t="s">
        <v>901</v>
      </c>
      <c r="B39" t="s">
        <v>2525</v>
      </c>
      <c r="C39">
        <v>4</v>
      </c>
      <c r="D39" t="s">
        <v>785</v>
      </c>
      <c r="E39" s="2">
        <v>-4429</v>
      </c>
      <c r="F39" s="2">
        <v>3760</v>
      </c>
      <c r="G39" s="2">
        <v>223</v>
      </c>
      <c r="H39" s="28"/>
      <c r="I39" t="s">
        <v>2320</v>
      </c>
      <c r="L39" s="28"/>
      <c r="M39" s="28"/>
      <c r="N39" s="28"/>
      <c r="O39" s="28"/>
    </row>
    <row r="40" spans="1:15" x14ac:dyDescent="0.2">
      <c r="A40" t="s">
        <v>911</v>
      </c>
      <c r="B40" t="s">
        <v>2525</v>
      </c>
      <c r="C40">
        <v>4</v>
      </c>
      <c r="D40" t="s">
        <v>785</v>
      </c>
      <c r="E40" s="2">
        <v>-3930</v>
      </c>
      <c r="F40" s="2">
        <v>2861</v>
      </c>
      <c r="G40" s="2">
        <v>-18</v>
      </c>
      <c r="H40" s="28"/>
      <c r="I40" t="s">
        <v>2328</v>
      </c>
      <c r="L40" s="28"/>
      <c r="M40" s="28"/>
      <c r="N40" s="28"/>
      <c r="O40" s="28"/>
    </row>
    <row r="41" spans="1:15" x14ac:dyDescent="0.2">
      <c r="A41" t="s">
        <v>928</v>
      </c>
      <c r="B41" t="s">
        <v>2525</v>
      </c>
      <c r="C41">
        <v>4</v>
      </c>
      <c r="D41" t="s">
        <v>785</v>
      </c>
      <c r="E41" s="2">
        <v>-3960</v>
      </c>
      <c r="F41" s="2">
        <v>3245</v>
      </c>
      <c r="G41" s="2">
        <v>236</v>
      </c>
      <c r="H41" s="28"/>
      <c r="I41" t="s">
        <v>2339</v>
      </c>
      <c r="L41" s="28"/>
      <c r="M41" s="28"/>
      <c r="N41" s="28"/>
      <c r="O41" s="28"/>
    </row>
    <row r="42" spans="1:15" x14ac:dyDescent="0.2">
      <c r="A42" t="s">
        <v>954</v>
      </c>
      <c r="B42" t="s">
        <v>2525</v>
      </c>
      <c r="C42">
        <v>4</v>
      </c>
      <c r="D42" t="s">
        <v>785</v>
      </c>
      <c r="E42" s="2">
        <v>-3559</v>
      </c>
      <c r="F42" s="2">
        <v>2488</v>
      </c>
      <c r="G42" s="2">
        <v>227</v>
      </c>
      <c r="H42" s="28"/>
      <c r="I42" t="s">
        <v>2356</v>
      </c>
      <c r="L42" s="28"/>
      <c r="M42" s="28"/>
      <c r="N42" s="28"/>
      <c r="O42" s="28"/>
    </row>
    <row r="43" spans="1:15" x14ac:dyDescent="0.2">
      <c r="A43" t="s">
        <v>968</v>
      </c>
      <c r="B43" t="s">
        <v>2525</v>
      </c>
      <c r="C43">
        <v>4</v>
      </c>
      <c r="D43" t="s">
        <v>785</v>
      </c>
      <c r="E43" s="2">
        <v>-4041</v>
      </c>
      <c r="F43" s="2">
        <v>2671</v>
      </c>
      <c r="G43" s="2">
        <v>23</v>
      </c>
      <c r="H43" s="28"/>
      <c r="I43" t="s">
        <v>2368</v>
      </c>
      <c r="L43" s="28"/>
      <c r="M43" s="28"/>
      <c r="N43" s="28"/>
      <c r="O43" s="28"/>
    </row>
    <row r="44" spans="1:15" x14ac:dyDescent="0.2">
      <c r="A44" t="s">
        <v>972</v>
      </c>
      <c r="B44" t="s">
        <v>2525</v>
      </c>
      <c r="C44">
        <v>4</v>
      </c>
      <c r="D44" t="s">
        <v>785</v>
      </c>
      <c r="E44" s="2">
        <v>-3214</v>
      </c>
      <c r="F44" s="2">
        <v>2462</v>
      </c>
      <c r="G44" s="2">
        <v>345</v>
      </c>
      <c r="H44" s="28"/>
      <c r="I44" t="s">
        <v>2371</v>
      </c>
      <c r="L44" s="28"/>
      <c r="M44" s="28"/>
      <c r="N44" s="28"/>
      <c r="O44" s="28"/>
    </row>
    <row r="45" spans="1:15" x14ac:dyDescent="0.2">
      <c r="A45" t="s">
        <v>990</v>
      </c>
      <c r="B45" t="s">
        <v>2525</v>
      </c>
      <c r="C45">
        <v>4</v>
      </c>
      <c r="D45" t="s">
        <v>785</v>
      </c>
      <c r="E45" s="2">
        <v>-3958</v>
      </c>
      <c r="F45" s="2">
        <v>2029</v>
      </c>
      <c r="G45" s="2">
        <v>200</v>
      </c>
      <c r="H45" s="28"/>
      <c r="I45" t="s">
        <v>2385</v>
      </c>
      <c r="L45" s="28"/>
      <c r="M45" s="28"/>
      <c r="N45" s="28"/>
      <c r="O45" s="28"/>
    </row>
    <row r="46" spans="1:15" x14ac:dyDescent="0.2">
      <c r="A46" t="s">
        <v>921</v>
      </c>
      <c r="B46" t="s">
        <v>2525</v>
      </c>
      <c r="C46">
        <v>5</v>
      </c>
      <c r="D46" t="s">
        <v>785</v>
      </c>
      <c r="E46" s="2">
        <v>-1372</v>
      </c>
      <c r="F46" s="2">
        <v>2861</v>
      </c>
      <c r="G46" s="2">
        <v>197</v>
      </c>
      <c r="H46" s="28"/>
      <c r="I46" t="s">
        <v>2336</v>
      </c>
      <c r="L46" s="28"/>
      <c r="M46" s="28"/>
      <c r="N46" s="28"/>
      <c r="O46" s="28"/>
    </row>
    <row r="47" spans="1:15" x14ac:dyDescent="0.2">
      <c r="A47" t="s">
        <v>936</v>
      </c>
      <c r="B47" t="s">
        <v>2542</v>
      </c>
      <c r="C47">
        <v>5</v>
      </c>
      <c r="D47" t="s">
        <v>785</v>
      </c>
      <c r="E47" s="2">
        <v>-2642</v>
      </c>
      <c r="F47" s="2">
        <v>3268</v>
      </c>
      <c r="G47" s="2">
        <v>249</v>
      </c>
      <c r="H47" s="28"/>
      <c r="I47" t="s">
        <v>3110</v>
      </c>
      <c r="L47" s="28"/>
      <c r="M47" s="28"/>
      <c r="N47" s="28"/>
      <c r="O47" s="28"/>
    </row>
    <row r="48" spans="1:15" x14ac:dyDescent="0.2">
      <c r="A48" t="s">
        <v>936</v>
      </c>
      <c r="B48" t="s">
        <v>2543</v>
      </c>
      <c r="C48">
        <v>5</v>
      </c>
      <c r="D48" t="s">
        <v>785</v>
      </c>
      <c r="E48" s="2">
        <v>-2414</v>
      </c>
      <c r="F48" s="2">
        <v>3136</v>
      </c>
      <c r="G48" s="2">
        <v>372</v>
      </c>
      <c r="H48" s="28"/>
      <c r="I48" t="s">
        <v>3111</v>
      </c>
      <c r="L48" s="28"/>
      <c r="M48" s="28"/>
      <c r="N48" s="28"/>
      <c r="O48" s="28"/>
    </row>
    <row r="49" spans="1:15" x14ac:dyDescent="0.2">
      <c r="A49" t="s">
        <v>878</v>
      </c>
      <c r="B49" t="s">
        <v>2525</v>
      </c>
      <c r="C49">
        <v>6</v>
      </c>
      <c r="D49" t="s">
        <v>785</v>
      </c>
      <c r="E49" s="2">
        <v>307</v>
      </c>
      <c r="F49" s="2">
        <v>3579</v>
      </c>
      <c r="G49" s="2">
        <v>87</v>
      </c>
      <c r="H49" s="28"/>
      <c r="I49" t="s">
        <v>2302</v>
      </c>
      <c r="L49" s="28"/>
      <c r="M49" s="28"/>
      <c r="N49" s="28"/>
      <c r="O49" s="28"/>
    </row>
    <row r="50" spans="1:15" x14ac:dyDescent="0.2">
      <c r="A50" t="s">
        <v>947</v>
      </c>
      <c r="B50" t="s">
        <v>2525</v>
      </c>
      <c r="C50">
        <v>6</v>
      </c>
      <c r="D50" t="s">
        <v>785</v>
      </c>
      <c r="E50" s="2">
        <v>676</v>
      </c>
      <c r="F50" s="2">
        <v>1389</v>
      </c>
      <c r="G50" s="2">
        <v>45</v>
      </c>
      <c r="H50" s="28"/>
      <c r="I50" t="s">
        <v>2351</v>
      </c>
      <c r="L50" s="28"/>
      <c r="M50" s="28"/>
      <c r="N50" s="28"/>
      <c r="O50" s="28"/>
    </row>
    <row r="51" spans="1:15" x14ac:dyDescent="0.2">
      <c r="A51" t="s">
        <v>994</v>
      </c>
      <c r="B51" t="s">
        <v>2525</v>
      </c>
      <c r="C51">
        <v>6</v>
      </c>
      <c r="D51" t="s">
        <v>785</v>
      </c>
      <c r="E51" s="2">
        <v>-643</v>
      </c>
      <c r="F51" s="2">
        <v>2040</v>
      </c>
      <c r="G51" s="2">
        <v>154</v>
      </c>
      <c r="H51" s="28"/>
      <c r="I51" t="s">
        <v>2389</v>
      </c>
      <c r="L51" s="28"/>
      <c r="M51" s="28"/>
      <c r="N51" s="28"/>
      <c r="O51" s="28"/>
    </row>
    <row r="52" spans="1:15" x14ac:dyDescent="0.2">
      <c r="A52" t="s">
        <v>866</v>
      </c>
      <c r="B52" t="s">
        <v>2525</v>
      </c>
      <c r="C52">
        <v>7</v>
      </c>
      <c r="D52" t="s">
        <v>785</v>
      </c>
      <c r="E52" s="2">
        <v>2593</v>
      </c>
      <c r="F52" s="2">
        <v>1330</v>
      </c>
      <c r="G52" s="2">
        <v>150</v>
      </c>
      <c r="H52" s="28"/>
      <c r="I52" t="s">
        <v>2294</v>
      </c>
      <c r="L52" s="28"/>
      <c r="M52" s="28"/>
      <c r="N52" s="28"/>
      <c r="O52" s="28"/>
    </row>
    <row r="53" spans="1:15" x14ac:dyDescent="0.2">
      <c r="A53" t="s">
        <v>874</v>
      </c>
      <c r="B53" t="s">
        <v>2525</v>
      </c>
      <c r="C53">
        <v>7</v>
      </c>
      <c r="D53" t="s">
        <v>785</v>
      </c>
      <c r="E53" s="2">
        <v>2767</v>
      </c>
      <c r="F53" s="2">
        <v>2778</v>
      </c>
      <c r="G53" s="2">
        <v>521</v>
      </c>
      <c r="H53" s="28"/>
      <c r="I53" t="s">
        <v>2298</v>
      </c>
      <c r="L53" s="28"/>
      <c r="M53" s="28"/>
      <c r="N53" s="28"/>
      <c r="O53" s="28"/>
    </row>
    <row r="54" spans="1:15" x14ac:dyDescent="0.2">
      <c r="A54" t="s">
        <v>875</v>
      </c>
      <c r="B54" t="s">
        <v>2525</v>
      </c>
      <c r="C54">
        <v>7</v>
      </c>
      <c r="D54" t="s">
        <v>785</v>
      </c>
      <c r="E54" s="2">
        <v>1949</v>
      </c>
      <c r="F54" s="2">
        <v>2687</v>
      </c>
      <c r="G54" s="2">
        <v>425</v>
      </c>
      <c r="H54" s="28"/>
      <c r="I54" t="s">
        <v>2299</v>
      </c>
      <c r="L54" s="28"/>
      <c r="M54" s="28"/>
      <c r="N54" s="28"/>
      <c r="O54" s="28"/>
    </row>
    <row r="55" spans="1:15" x14ac:dyDescent="0.2">
      <c r="A55" t="s">
        <v>876</v>
      </c>
      <c r="B55" t="s">
        <v>2525</v>
      </c>
      <c r="C55">
        <v>7</v>
      </c>
      <c r="D55" t="s">
        <v>785</v>
      </c>
      <c r="E55" s="2">
        <v>2238</v>
      </c>
      <c r="F55" s="2">
        <v>2682</v>
      </c>
      <c r="G55" s="2">
        <v>520</v>
      </c>
      <c r="H55" s="28"/>
      <c r="I55" t="s">
        <v>2300</v>
      </c>
      <c r="L55" s="28"/>
      <c r="M55" s="28"/>
      <c r="N55" s="28"/>
      <c r="O55" s="28"/>
    </row>
    <row r="56" spans="1:15" x14ac:dyDescent="0.2">
      <c r="A56" t="s">
        <v>883</v>
      </c>
      <c r="B56" t="s">
        <v>2525</v>
      </c>
      <c r="C56">
        <v>7</v>
      </c>
      <c r="D56" t="s">
        <v>785</v>
      </c>
      <c r="E56" s="2">
        <v>1853</v>
      </c>
      <c r="F56" s="2">
        <v>1719</v>
      </c>
      <c r="G56" s="2">
        <v>291</v>
      </c>
      <c r="H56" s="28"/>
      <c r="I56" t="s">
        <v>2306</v>
      </c>
      <c r="L56" s="28"/>
      <c r="M56" s="28"/>
      <c r="N56" s="28"/>
      <c r="O56" s="28"/>
    </row>
    <row r="57" spans="1:15" x14ac:dyDescent="0.2">
      <c r="A57" t="s">
        <v>887</v>
      </c>
      <c r="B57" t="s">
        <v>2525</v>
      </c>
      <c r="C57">
        <v>7</v>
      </c>
      <c r="D57" t="s">
        <v>785</v>
      </c>
      <c r="E57" s="2">
        <v>2275</v>
      </c>
      <c r="F57" s="2">
        <v>1520</v>
      </c>
      <c r="G57" s="2">
        <v>157</v>
      </c>
      <c r="H57" s="28"/>
      <c r="I57" t="s">
        <v>2310</v>
      </c>
      <c r="L57" s="28"/>
      <c r="M57" s="28"/>
      <c r="N57" s="28"/>
      <c r="O57" s="28"/>
    </row>
    <row r="58" spans="1:15" x14ac:dyDescent="0.2">
      <c r="A58" t="s">
        <v>893</v>
      </c>
      <c r="B58" t="s">
        <v>2525</v>
      </c>
      <c r="C58">
        <v>7</v>
      </c>
      <c r="D58" t="s">
        <v>785</v>
      </c>
      <c r="E58" s="2">
        <v>2015</v>
      </c>
      <c r="F58" s="2">
        <v>2038</v>
      </c>
      <c r="G58" s="2">
        <v>420</v>
      </c>
      <c r="H58" s="28"/>
      <c r="I58" t="s">
        <v>2313</v>
      </c>
      <c r="L58" s="28"/>
      <c r="M58" s="28"/>
      <c r="N58" s="28"/>
      <c r="O58" s="28"/>
    </row>
    <row r="59" spans="1:15" x14ac:dyDescent="0.2">
      <c r="A59" t="s">
        <v>894</v>
      </c>
      <c r="B59" t="s">
        <v>2525</v>
      </c>
      <c r="C59">
        <v>7</v>
      </c>
      <c r="D59" t="s">
        <v>785</v>
      </c>
      <c r="E59" s="2">
        <v>1423</v>
      </c>
      <c r="F59" s="2">
        <v>2102</v>
      </c>
      <c r="G59" s="2">
        <v>284</v>
      </c>
      <c r="H59" s="28"/>
      <c r="I59" t="s">
        <v>2314</v>
      </c>
      <c r="L59" s="28"/>
      <c r="M59" s="28"/>
      <c r="N59" s="28"/>
      <c r="O59" s="28"/>
    </row>
    <row r="60" spans="1:15" x14ac:dyDescent="0.2">
      <c r="A60" t="s">
        <v>902</v>
      </c>
      <c r="B60" t="s">
        <v>2525</v>
      </c>
      <c r="C60">
        <v>7</v>
      </c>
      <c r="D60" t="s">
        <v>785</v>
      </c>
      <c r="E60" s="2">
        <v>1554</v>
      </c>
      <c r="F60" s="2">
        <v>3102</v>
      </c>
      <c r="G60" s="2">
        <v>392</v>
      </c>
      <c r="H60" s="28"/>
      <c r="I60" t="s">
        <v>2321</v>
      </c>
      <c r="L60" s="28"/>
      <c r="M60" s="28"/>
      <c r="N60" s="28"/>
      <c r="O60" s="28"/>
    </row>
    <row r="61" spans="1:15" x14ac:dyDescent="0.2">
      <c r="A61" t="s">
        <v>907</v>
      </c>
      <c r="B61" t="s">
        <v>2525</v>
      </c>
      <c r="C61">
        <v>7</v>
      </c>
      <c r="D61" t="s">
        <v>785</v>
      </c>
      <c r="E61" s="2">
        <v>2373</v>
      </c>
      <c r="F61" s="2">
        <v>3051</v>
      </c>
      <c r="G61" s="2">
        <v>445</v>
      </c>
      <c r="H61" s="28"/>
      <c r="I61" t="s">
        <v>2325</v>
      </c>
      <c r="L61" s="28"/>
      <c r="M61" s="28"/>
      <c r="N61" s="28"/>
      <c r="O61" s="28"/>
    </row>
    <row r="62" spans="1:15" x14ac:dyDescent="0.2">
      <c r="A62" t="s">
        <v>908</v>
      </c>
      <c r="B62" t="s">
        <v>2542</v>
      </c>
      <c r="C62">
        <v>7</v>
      </c>
      <c r="D62" t="s">
        <v>785</v>
      </c>
      <c r="E62" s="2">
        <v>1929</v>
      </c>
      <c r="F62" s="2">
        <v>1271</v>
      </c>
      <c r="G62" s="2">
        <v>121</v>
      </c>
      <c r="H62" s="28"/>
      <c r="I62" t="s">
        <v>3112</v>
      </c>
      <c r="L62" s="28"/>
      <c r="M62" s="28"/>
      <c r="N62" s="28"/>
      <c r="O62" s="28"/>
    </row>
    <row r="63" spans="1:15" x14ac:dyDescent="0.2">
      <c r="A63" t="s">
        <v>908</v>
      </c>
      <c r="B63" t="s">
        <v>2543</v>
      </c>
      <c r="C63">
        <v>7</v>
      </c>
      <c r="D63" t="s">
        <v>785</v>
      </c>
      <c r="E63" s="2">
        <v>1931</v>
      </c>
      <c r="F63" s="2">
        <v>1304</v>
      </c>
      <c r="G63" s="2">
        <v>168</v>
      </c>
      <c r="H63" s="28"/>
      <c r="I63" t="s">
        <v>3113</v>
      </c>
      <c r="L63" s="28"/>
      <c r="M63" s="28"/>
      <c r="N63" s="28"/>
      <c r="O63" s="28"/>
    </row>
    <row r="64" spans="1:15" x14ac:dyDescent="0.2">
      <c r="A64" t="s">
        <v>910</v>
      </c>
      <c r="B64" t="s">
        <v>2525</v>
      </c>
      <c r="C64">
        <v>7</v>
      </c>
      <c r="D64" t="s">
        <v>785</v>
      </c>
      <c r="E64" s="2">
        <v>2485</v>
      </c>
      <c r="F64" s="2">
        <v>1792</v>
      </c>
      <c r="G64" s="2">
        <v>157</v>
      </c>
      <c r="H64" s="28"/>
      <c r="I64" t="s">
        <v>2327</v>
      </c>
      <c r="L64" s="28"/>
      <c r="M64" s="28"/>
      <c r="N64" s="28"/>
      <c r="O64" s="28"/>
    </row>
    <row r="65" spans="1:15" x14ac:dyDescent="0.2">
      <c r="A65" t="s">
        <v>915</v>
      </c>
      <c r="B65" t="s">
        <v>2525</v>
      </c>
      <c r="C65">
        <v>7</v>
      </c>
      <c r="D65" t="s">
        <v>785</v>
      </c>
      <c r="E65" s="2">
        <v>2206</v>
      </c>
      <c r="F65" s="2">
        <v>3075</v>
      </c>
      <c r="G65" s="2">
        <v>405</v>
      </c>
      <c r="H65" s="28"/>
      <c r="I65" t="s">
        <v>2331</v>
      </c>
      <c r="L65" s="28"/>
      <c r="M65" s="28"/>
      <c r="N65" s="28"/>
      <c r="O65" s="28"/>
    </row>
    <row r="66" spans="1:15" x14ac:dyDescent="0.2">
      <c r="A66" t="s">
        <v>935</v>
      </c>
      <c r="B66" t="s">
        <v>2525</v>
      </c>
      <c r="C66">
        <v>7</v>
      </c>
      <c r="D66" t="s">
        <v>785</v>
      </c>
      <c r="E66" s="2">
        <v>1247</v>
      </c>
      <c r="F66" s="2">
        <v>1231</v>
      </c>
      <c r="G66" s="2">
        <v>25</v>
      </c>
      <c r="H66" s="28"/>
      <c r="I66" t="s">
        <v>2345</v>
      </c>
      <c r="L66" s="28"/>
      <c r="M66" s="28"/>
      <c r="N66" s="28"/>
      <c r="O66" s="28"/>
    </row>
    <row r="67" spans="1:15" x14ac:dyDescent="0.2">
      <c r="A67" t="s">
        <v>964</v>
      </c>
      <c r="B67" t="s">
        <v>2525</v>
      </c>
      <c r="C67">
        <v>7</v>
      </c>
      <c r="D67" t="s">
        <v>785</v>
      </c>
      <c r="E67" s="2">
        <v>1800</v>
      </c>
      <c r="F67" s="2">
        <v>1983</v>
      </c>
      <c r="G67" s="2">
        <v>320</v>
      </c>
      <c r="H67" s="28"/>
      <c r="I67" t="s">
        <v>2364</v>
      </c>
      <c r="L67" s="28"/>
      <c r="M67" s="28"/>
      <c r="N67" s="28"/>
      <c r="O67" s="28"/>
    </row>
    <row r="68" spans="1:15" x14ac:dyDescent="0.2">
      <c r="A68" t="s">
        <v>991</v>
      </c>
      <c r="B68" t="s">
        <v>2525</v>
      </c>
      <c r="C68">
        <v>7</v>
      </c>
      <c r="D68" t="s">
        <v>785</v>
      </c>
      <c r="E68" s="2">
        <v>1642</v>
      </c>
      <c r="F68" s="2">
        <v>1729</v>
      </c>
      <c r="G68" s="2">
        <v>279</v>
      </c>
      <c r="H68" s="28"/>
      <c r="I68" t="s">
        <v>2386</v>
      </c>
      <c r="L68" s="28"/>
      <c r="M68" s="28"/>
      <c r="N68" s="28"/>
      <c r="O68" s="28"/>
    </row>
    <row r="69" spans="1:15" x14ac:dyDescent="0.2">
      <c r="A69" t="s">
        <v>995</v>
      </c>
      <c r="B69" t="s">
        <v>2525</v>
      </c>
      <c r="C69">
        <v>7</v>
      </c>
      <c r="D69" t="s">
        <v>785</v>
      </c>
      <c r="E69" s="2">
        <v>1764</v>
      </c>
      <c r="F69" s="2">
        <v>2837</v>
      </c>
      <c r="G69" s="2">
        <v>399</v>
      </c>
      <c r="I69" t="s">
        <v>2390</v>
      </c>
      <c r="L69" s="28"/>
      <c r="M69" s="28"/>
      <c r="N69" s="28"/>
      <c r="O69" s="28"/>
    </row>
    <row r="70" spans="1:15" x14ac:dyDescent="0.2">
      <c r="A70" t="s">
        <v>996</v>
      </c>
      <c r="B70" t="s">
        <v>2525</v>
      </c>
      <c r="C70">
        <v>7</v>
      </c>
      <c r="D70" t="s">
        <v>785</v>
      </c>
      <c r="E70" s="2">
        <v>1713</v>
      </c>
      <c r="F70" s="2">
        <v>2718</v>
      </c>
      <c r="G70" s="2">
        <v>400</v>
      </c>
      <c r="I70" t="s">
        <v>2391</v>
      </c>
      <c r="L70" s="28"/>
      <c r="M70" s="28"/>
      <c r="N70" s="28"/>
      <c r="O70" s="28"/>
    </row>
    <row r="71" spans="1:15" x14ac:dyDescent="0.2">
      <c r="A71" t="s">
        <v>849</v>
      </c>
      <c r="B71" t="s">
        <v>2525</v>
      </c>
      <c r="C71">
        <v>8</v>
      </c>
      <c r="D71" t="s">
        <v>785</v>
      </c>
      <c r="E71" s="2">
        <v>3243</v>
      </c>
      <c r="F71" s="2">
        <v>1456</v>
      </c>
      <c r="G71" s="2">
        <v>294</v>
      </c>
      <c r="H71" s="28"/>
      <c r="I71" t="s">
        <v>3114</v>
      </c>
      <c r="L71" s="28"/>
      <c r="M71" s="28"/>
      <c r="N71" s="28"/>
      <c r="O71" s="28"/>
    </row>
    <row r="72" spans="1:15" x14ac:dyDescent="0.2">
      <c r="A72" t="s">
        <v>851</v>
      </c>
      <c r="B72" t="s">
        <v>2525</v>
      </c>
      <c r="C72">
        <v>8</v>
      </c>
      <c r="D72" t="s">
        <v>785</v>
      </c>
      <c r="E72" s="2">
        <v>3292</v>
      </c>
      <c r="F72" s="2">
        <v>1492</v>
      </c>
      <c r="G72" s="2">
        <v>394</v>
      </c>
      <c r="H72" s="28"/>
      <c r="I72" t="s">
        <v>2285</v>
      </c>
      <c r="L72" s="28"/>
      <c r="M72" s="28"/>
      <c r="N72" s="28"/>
      <c r="O72" s="28"/>
    </row>
    <row r="73" spans="1:15" x14ac:dyDescent="0.2">
      <c r="A73" t="s">
        <v>868</v>
      </c>
      <c r="B73" t="s">
        <v>2542</v>
      </c>
      <c r="C73">
        <v>8</v>
      </c>
      <c r="D73" t="s">
        <v>785</v>
      </c>
      <c r="E73" s="2">
        <v>3678</v>
      </c>
      <c r="F73" s="2">
        <v>1538</v>
      </c>
      <c r="G73" s="2">
        <v>74</v>
      </c>
      <c r="H73" s="28"/>
      <c r="I73" t="s">
        <v>3115</v>
      </c>
      <c r="L73" s="28"/>
      <c r="M73" s="28"/>
      <c r="N73" s="28"/>
      <c r="O73" s="28"/>
    </row>
    <row r="74" spans="1:15" x14ac:dyDescent="0.2">
      <c r="A74" t="s">
        <v>868</v>
      </c>
      <c r="B74" t="s">
        <v>2543</v>
      </c>
      <c r="C74">
        <v>8</v>
      </c>
      <c r="D74" t="s">
        <v>785</v>
      </c>
      <c r="E74" s="2">
        <v>3735</v>
      </c>
      <c r="F74" s="2">
        <v>1534</v>
      </c>
      <c r="G74" s="2">
        <v>80</v>
      </c>
      <c r="H74" s="28"/>
      <c r="I74" t="s">
        <v>3116</v>
      </c>
      <c r="L74" s="28"/>
      <c r="M74" s="28"/>
      <c r="N74" s="28"/>
      <c r="O74" s="28"/>
    </row>
    <row r="75" spans="1:15" x14ac:dyDescent="0.2">
      <c r="A75" t="s">
        <v>927</v>
      </c>
      <c r="B75" t="s">
        <v>2542</v>
      </c>
      <c r="C75">
        <v>8</v>
      </c>
      <c r="D75" t="s">
        <v>785</v>
      </c>
      <c r="E75" s="2">
        <v>4650</v>
      </c>
      <c r="F75" s="2">
        <v>3584</v>
      </c>
      <c r="G75" s="2">
        <v>-51</v>
      </c>
      <c r="H75" s="28"/>
      <c r="I75" t="s">
        <v>3117</v>
      </c>
      <c r="L75" s="28"/>
      <c r="M75" s="28"/>
      <c r="N75" s="28"/>
      <c r="O75" s="28"/>
    </row>
    <row r="76" spans="1:15" x14ac:dyDescent="0.2">
      <c r="A76" t="s">
        <v>927</v>
      </c>
      <c r="B76" t="s">
        <v>2543</v>
      </c>
      <c r="C76">
        <v>8</v>
      </c>
      <c r="D76" t="s">
        <v>785</v>
      </c>
      <c r="E76" s="2">
        <v>4645</v>
      </c>
      <c r="F76" s="2">
        <v>3206</v>
      </c>
      <c r="G76" s="2">
        <v>6</v>
      </c>
      <c r="H76" s="28"/>
      <c r="I76" t="s">
        <v>3118</v>
      </c>
      <c r="L76" s="28"/>
      <c r="M76" s="28"/>
      <c r="N76" s="28"/>
      <c r="O76" s="28"/>
    </row>
    <row r="77" spans="1:15" x14ac:dyDescent="0.2">
      <c r="A77" t="s">
        <v>962</v>
      </c>
      <c r="B77" t="s">
        <v>2525</v>
      </c>
      <c r="C77">
        <v>8</v>
      </c>
      <c r="D77" t="s">
        <v>785</v>
      </c>
      <c r="E77" s="2">
        <v>3321</v>
      </c>
      <c r="F77" s="2">
        <v>3424</v>
      </c>
      <c r="G77" s="2">
        <v>171</v>
      </c>
      <c r="H77" s="28"/>
      <c r="I77" t="s">
        <v>2362</v>
      </c>
      <c r="L77" s="28"/>
      <c r="M77" s="28"/>
      <c r="N77" s="28"/>
      <c r="O77" s="28"/>
    </row>
    <row r="78" spans="1:15" x14ac:dyDescent="0.2">
      <c r="A78" t="s">
        <v>977</v>
      </c>
      <c r="B78" t="s">
        <v>2525</v>
      </c>
      <c r="C78">
        <v>8</v>
      </c>
      <c r="D78" t="s">
        <v>785</v>
      </c>
      <c r="E78" s="2">
        <v>3925</v>
      </c>
      <c r="F78" s="2">
        <v>1576</v>
      </c>
      <c r="G78" s="2">
        <v>107</v>
      </c>
      <c r="H78" s="28"/>
      <c r="I78" t="s">
        <v>2376</v>
      </c>
      <c r="L78" s="28"/>
      <c r="M78" s="28"/>
      <c r="N78" s="28"/>
      <c r="O78" s="28"/>
    </row>
    <row r="79" spans="1:15" x14ac:dyDescent="0.2">
      <c r="A79" t="s">
        <v>856</v>
      </c>
      <c r="B79" t="s">
        <v>2525</v>
      </c>
      <c r="C79">
        <v>9</v>
      </c>
      <c r="D79" t="s">
        <v>785</v>
      </c>
      <c r="E79" s="2">
        <v>3606</v>
      </c>
      <c r="F79" s="2">
        <v>122</v>
      </c>
      <c r="G79" s="2">
        <v>-1</v>
      </c>
      <c r="H79" s="28"/>
      <c r="I79" t="s">
        <v>2288</v>
      </c>
      <c r="L79" s="28"/>
      <c r="M79" s="28"/>
      <c r="N79" s="28"/>
      <c r="O79" s="28"/>
    </row>
    <row r="80" spans="1:15" x14ac:dyDescent="0.2">
      <c r="A80" t="s">
        <v>858</v>
      </c>
      <c r="B80" t="s">
        <v>2538</v>
      </c>
      <c r="C80" s="19">
        <v>9</v>
      </c>
      <c r="D80" t="s">
        <v>785</v>
      </c>
      <c r="E80" s="2">
        <v>2185</v>
      </c>
      <c r="F80" s="2">
        <v>142</v>
      </c>
      <c r="G80" s="2">
        <v>37</v>
      </c>
      <c r="H80" s="28"/>
      <c r="I80" t="s">
        <v>3119</v>
      </c>
      <c r="L80" s="28"/>
      <c r="M80" s="28"/>
      <c r="N80" s="28"/>
      <c r="O80" s="28"/>
    </row>
    <row r="81" spans="1:15" x14ac:dyDescent="0.2">
      <c r="A81" t="s">
        <v>858</v>
      </c>
      <c r="B81" t="s">
        <v>2539</v>
      </c>
      <c r="C81" s="19">
        <v>9</v>
      </c>
      <c r="D81" t="s">
        <v>785</v>
      </c>
      <c r="E81" s="2">
        <v>2215</v>
      </c>
      <c r="F81" s="2">
        <v>100</v>
      </c>
      <c r="G81" s="2">
        <v>71</v>
      </c>
      <c r="H81" s="28"/>
      <c r="I81" t="s">
        <v>3120</v>
      </c>
      <c r="L81" s="28"/>
      <c r="M81" s="28"/>
      <c r="N81" s="28"/>
      <c r="O81" s="28"/>
    </row>
    <row r="82" spans="1:15" x14ac:dyDescent="0.2">
      <c r="A82" t="s">
        <v>858</v>
      </c>
      <c r="B82" t="s">
        <v>2540</v>
      </c>
      <c r="C82" s="19">
        <v>9</v>
      </c>
      <c r="D82" t="s">
        <v>785</v>
      </c>
      <c r="E82" s="2">
        <v>2260</v>
      </c>
      <c r="F82" s="2">
        <v>108</v>
      </c>
      <c r="G82" s="2">
        <v>110</v>
      </c>
      <c r="H82" s="28"/>
      <c r="I82" t="s">
        <v>3121</v>
      </c>
      <c r="L82" s="28"/>
      <c r="M82" s="28"/>
      <c r="N82" s="28"/>
      <c r="O82" s="28"/>
    </row>
    <row r="83" spans="1:15" x14ac:dyDescent="0.2">
      <c r="A83" t="s">
        <v>858</v>
      </c>
      <c r="B83" t="s">
        <v>2541</v>
      </c>
      <c r="C83" s="19">
        <v>9</v>
      </c>
      <c r="D83" t="s">
        <v>785</v>
      </c>
      <c r="E83" s="2">
        <v>2253</v>
      </c>
      <c r="F83" s="2">
        <v>14</v>
      </c>
      <c r="G83" s="2">
        <v>16</v>
      </c>
      <c r="H83" s="28"/>
      <c r="I83" t="s">
        <v>3122</v>
      </c>
      <c r="L83" s="28"/>
      <c r="M83" s="28"/>
      <c r="N83" s="28"/>
      <c r="O83" s="28"/>
    </row>
    <row r="84" spans="1:15" x14ac:dyDescent="0.2">
      <c r="A84" t="s">
        <v>864</v>
      </c>
      <c r="B84" t="s">
        <v>2525</v>
      </c>
      <c r="C84">
        <v>9</v>
      </c>
      <c r="D84" t="s">
        <v>785</v>
      </c>
      <c r="E84" s="2">
        <v>3240</v>
      </c>
      <c r="F84" s="2">
        <v>373</v>
      </c>
      <c r="G84" s="2">
        <v>75</v>
      </c>
      <c r="H84" s="28"/>
      <c r="I84" t="s">
        <v>2292</v>
      </c>
      <c r="L84" s="28"/>
      <c r="M84" s="28"/>
      <c r="N84" s="28"/>
      <c r="O84" s="28"/>
    </row>
    <row r="85" spans="1:15" x14ac:dyDescent="0.2">
      <c r="A85" t="s">
        <v>900</v>
      </c>
      <c r="B85" t="s">
        <v>2525</v>
      </c>
      <c r="C85">
        <v>9</v>
      </c>
      <c r="D85" t="s">
        <v>785</v>
      </c>
      <c r="E85" s="2">
        <v>4243</v>
      </c>
      <c r="F85" s="2">
        <v>-255</v>
      </c>
      <c r="G85" s="2">
        <v>-16</v>
      </c>
      <c r="H85" s="28"/>
      <c r="I85" t="s">
        <v>2319</v>
      </c>
      <c r="L85" s="28"/>
      <c r="M85" s="28"/>
      <c r="N85" s="28"/>
      <c r="O85" s="28"/>
    </row>
    <row r="86" spans="1:15" x14ac:dyDescent="0.2">
      <c r="A86" t="s">
        <v>917</v>
      </c>
      <c r="B86" t="s">
        <v>2525</v>
      </c>
      <c r="C86">
        <v>9</v>
      </c>
      <c r="D86" t="s">
        <v>785</v>
      </c>
      <c r="E86" s="2">
        <v>3094</v>
      </c>
      <c r="F86" s="2">
        <v>-51</v>
      </c>
      <c r="G86" s="2">
        <v>79</v>
      </c>
      <c r="H86" s="28"/>
      <c r="I86" t="s">
        <v>2333</v>
      </c>
      <c r="L86" s="28"/>
      <c r="M86" s="28"/>
      <c r="N86" s="28"/>
      <c r="O86" s="28"/>
    </row>
    <row r="87" spans="1:15" x14ac:dyDescent="0.2">
      <c r="A87" t="s">
        <v>932</v>
      </c>
      <c r="B87" t="s">
        <v>2525</v>
      </c>
      <c r="C87">
        <v>9</v>
      </c>
      <c r="D87" t="s">
        <v>785</v>
      </c>
      <c r="E87" s="2">
        <v>2909</v>
      </c>
      <c r="F87" s="2">
        <v>-65</v>
      </c>
      <c r="G87" s="2">
        <v>81</v>
      </c>
      <c r="H87" s="28"/>
      <c r="I87" t="s">
        <v>2342</v>
      </c>
      <c r="L87" s="28"/>
      <c r="M87" s="28"/>
      <c r="N87" s="28"/>
      <c r="O87" s="28"/>
    </row>
    <row r="88" spans="1:15" x14ac:dyDescent="0.2">
      <c r="A88" t="s">
        <v>938</v>
      </c>
      <c r="B88" t="s">
        <v>2525</v>
      </c>
      <c r="C88">
        <v>9</v>
      </c>
      <c r="D88" t="s">
        <v>785</v>
      </c>
      <c r="E88" s="2">
        <v>3660</v>
      </c>
      <c r="F88" s="2">
        <v>538</v>
      </c>
      <c r="G88" s="2">
        <v>268</v>
      </c>
      <c r="H88" s="28"/>
      <c r="I88" t="s">
        <v>2346</v>
      </c>
      <c r="L88" s="28"/>
      <c r="M88" s="28"/>
      <c r="N88" s="28"/>
      <c r="O88" s="28"/>
    </row>
    <row r="89" spans="1:15" x14ac:dyDescent="0.2">
      <c r="A89" t="s">
        <v>941</v>
      </c>
      <c r="B89" t="s">
        <v>2542</v>
      </c>
      <c r="C89">
        <v>9</v>
      </c>
      <c r="D89" t="s">
        <v>785</v>
      </c>
      <c r="E89" s="2">
        <v>3708</v>
      </c>
      <c r="F89" s="2">
        <v>608</v>
      </c>
      <c r="G89" s="2">
        <v>343</v>
      </c>
      <c r="H89" s="28"/>
      <c r="I89" t="s">
        <v>3123</v>
      </c>
      <c r="L89" s="28"/>
      <c r="M89" s="28"/>
      <c r="N89" s="28"/>
      <c r="O89" s="28"/>
    </row>
    <row r="90" spans="1:15" x14ac:dyDescent="0.2">
      <c r="A90" t="s">
        <v>941</v>
      </c>
      <c r="B90" t="s">
        <v>2543</v>
      </c>
      <c r="C90">
        <v>9</v>
      </c>
      <c r="D90" t="s">
        <v>785</v>
      </c>
      <c r="E90" s="2">
        <v>3622</v>
      </c>
      <c r="F90" s="2">
        <v>583</v>
      </c>
      <c r="G90" s="2">
        <v>169</v>
      </c>
      <c r="H90" s="28"/>
      <c r="I90" t="s">
        <v>3124</v>
      </c>
      <c r="L90" s="28"/>
      <c r="M90" s="28"/>
      <c r="N90" s="28"/>
      <c r="O90" s="28"/>
    </row>
    <row r="91" spans="1:15" x14ac:dyDescent="0.2">
      <c r="A91" t="s">
        <v>944</v>
      </c>
      <c r="B91" t="s">
        <v>2542</v>
      </c>
      <c r="C91">
        <v>9</v>
      </c>
      <c r="D91" t="s">
        <v>785</v>
      </c>
      <c r="E91" s="2">
        <v>2958</v>
      </c>
      <c r="F91" s="2">
        <v>253</v>
      </c>
      <c r="G91" s="2">
        <v>202</v>
      </c>
      <c r="H91" s="28"/>
      <c r="I91" t="s">
        <v>3125</v>
      </c>
      <c r="L91" s="28"/>
      <c r="M91" s="28"/>
      <c r="N91" s="28"/>
      <c r="O91" s="28"/>
    </row>
    <row r="92" spans="1:15" x14ac:dyDescent="0.2">
      <c r="A92" t="s">
        <v>944</v>
      </c>
      <c r="B92" t="s">
        <v>2543</v>
      </c>
      <c r="C92">
        <v>9</v>
      </c>
      <c r="D92" t="s">
        <v>785</v>
      </c>
      <c r="E92" s="2">
        <v>2912</v>
      </c>
      <c r="F92" s="2">
        <v>170</v>
      </c>
      <c r="G92" s="2">
        <v>157</v>
      </c>
      <c r="H92" s="28"/>
      <c r="I92" t="s">
        <v>3126</v>
      </c>
      <c r="L92" s="28"/>
      <c r="M92" s="28"/>
      <c r="N92" s="28"/>
      <c r="O92" s="28"/>
    </row>
    <row r="93" spans="1:15" x14ac:dyDescent="0.2">
      <c r="A93" t="s">
        <v>949</v>
      </c>
      <c r="B93" t="s">
        <v>2525</v>
      </c>
      <c r="C93">
        <v>9</v>
      </c>
      <c r="D93" t="s">
        <v>785</v>
      </c>
      <c r="E93" s="2">
        <v>3809</v>
      </c>
      <c r="F93" s="2">
        <v>419</v>
      </c>
      <c r="G93" s="2">
        <v>208</v>
      </c>
      <c r="H93" s="28"/>
      <c r="I93" t="s">
        <v>2352</v>
      </c>
      <c r="L93" s="28"/>
      <c r="M93" s="28"/>
      <c r="N93" s="28"/>
      <c r="O93" s="28"/>
    </row>
    <row r="94" spans="1:15" x14ac:dyDescent="0.2">
      <c r="A94" t="s">
        <v>970</v>
      </c>
      <c r="B94" t="s">
        <v>2544</v>
      </c>
      <c r="C94" s="19">
        <v>9</v>
      </c>
      <c r="D94" t="s">
        <v>785</v>
      </c>
      <c r="E94" s="2">
        <v>2674</v>
      </c>
      <c r="F94" s="2">
        <v>287</v>
      </c>
      <c r="G94" s="2">
        <v>89</v>
      </c>
      <c r="H94" s="28"/>
      <c r="I94" t="s">
        <v>3127</v>
      </c>
      <c r="L94" s="28"/>
      <c r="M94" s="28"/>
      <c r="N94" s="28"/>
      <c r="O94" s="28"/>
    </row>
    <row r="95" spans="1:15" x14ac:dyDescent="0.2">
      <c r="A95" t="s">
        <v>970</v>
      </c>
      <c r="B95" t="s">
        <v>2545</v>
      </c>
      <c r="C95" s="19">
        <v>9</v>
      </c>
      <c r="D95" t="s">
        <v>785</v>
      </c>
      <c r="E95" s="2">
        <v>2605</v>
      </c>
      <c r="F95" s="2">
        <v>227</v>
      </c>
      <c r="G95" s="2">
        <v>75</v>
      </c>
      <c r="H95" s="28"/>
      <c r="I95" t="s">
        <v>3128</v>
      </c>
      <c r="L95" s="28"/>
      <c r="M95" s="28"/>
      <c r="N95" s="28"/>
      <c r="O95" s="28"/>
    </row>
    <row r="96" spans="1:15" x14ac:dyDescent="0.2">
      <c r="A96" t="s">
        <v>970</v>
      </c>
      <c r="B96" t="s">
        <v>2546</v>
      </c>
      <c r="C96" s="19">
        <v>9</v>
      </c>
      <c r="D96" t="s">
        <v>785</v>
      </c>
      <c r="E96" s="2">
        <v>2679</v>
      </c>
      <c r="F96" s="2">
        <v>217</v>
      </c>
      <c r="G96" s="2">
        <v>92</v>
      </c>
      <c r="H96" s="28"/>
      <c r="I96" t="s">
        <v>3129</v>
      </c>
      <c r="L96" s="28"/>
      <c r="M96" s="28"/>
      <c r="N96" s="28"/>
      <c r="O96" s="28"/>
    </row>
    <row r="97" spans="1:15" x14ac:dyDescent="0.2">
      <c r="A97" t="s">
        <v>981</v>
      </c>
      <c r="B97" t="s">
        <v>2542</v>
      </c>
      <c r="C97">
        <v>9</v>
      </c>
      <c r="D97" t="s">
        <v>785</v>
      </c>
      <c r="E97" s="2">
        <v>4272</v>
      </c>
      <c r="F97" s="2">
        <v>774</v>
      </c>
      <c r="G97" s="2">
        <v>144</v>
      </c>
      <c r="H97" s="28"/>
      <c r="I97" t="s">
        <v>3130</v>
      </c>
      <c r="L97" s="28"/>
      <c r="M97" s="28"/>
      <c r="N97" s="28"/>
      <c r="O97" s="28"/>
    </row>
    <row r="98" spans="1:15" x14ac:dyDescent="0.2">
      <c r="A98" t="s">
        <v>981</v>
      </c>
      <c r="B98" t="s">
        <v>2543</v>
      </c>
      <c r="C98">
        <v>9</v>
      </c>
      <c r="D98" t="s">
        <v>785</v>
      </c>
      <c r="E98" s="2">
        <v>4505</v>
      </c>
      <c r="F98" s="2">
        <v>705</v>
      </c>
      <c r="G98" s="2">
        <v>96</v>
      </c>
      <c r="H98" s="28"/>
      <c r="I98" t="s">
        <v>3131</v>
      </c>
      <c r="L98" s="28"/>
      <c r="M98" s="28"/>
      <c r="N98" s="28"/>
      <c r="O98" s="28"/>
    </row>
    <row r="99" spans="1:15" x14ac:dyDescent="0.2">
      <c r="A99" t="s">
        <v>982</v>
      </c>
      <c r="B99" t="s">
        <v>2525</v>
      </c>
      <c r="C99">
        <v>9</v>
      </c>
      <c r="D99" t="s">
        <v>785</v>
      </c>
      <c r="E99" s="2">
        <v>4122</v>
      </c>
      <c r="F99" s="2">
        <v>662</v>
      </c>
      <c r="G99" s="2">
        <v>187</v>
      </c>
      <c r="H99" s="28"/>
      <c r="I99" t="s">
        <v>2380</v>
      </c>
      <c r="L99" s="28"/>
      <c r="M99" s="28"/>
      <c r="N99" s="28"/>
      <c r="O99" s="28"/>
    </row>
    <row r="100" spans="1:15" x14ac:dyDescent="0.2">
      <c r="A100" t="s">
        <v>2126</v>
      </c>
      <c r="B100" t="s">
        <v>2542</v>
      </c>
      <c r="C100">
        <v>9</v>
      </c>
      <c r="D100" t="s">
        <v>785</v>
      </c>
      <c r="E100" s="2">
        <v>2863</v>
      </c>
      <c r="F100" s="2">
        <v>346</v>
      </c>
      <c r="G100" s="2">
        <v>227</v>
      </c>
      <c r="H100" s="28"/>
      <c r="I100" t="s">
        <v>3132</v>
      </c>
      <c r="L100" s="28"/>
      <c r="M100" s="28"/>
      <c r="N100" s="28"/>
      <c r="O100" s="28"/>
    </row>
    <row r="101" spans="1:15" x14ac:dyDescent="0.2">
      <c r="A101" t="s">
        <v>2126</v>
      </c>
      <c r="B101" t="s">
        <v>2543</v>
      </c>
      <c r="C101">
        <v>9</v>
      </c>
      <c r="D101" t="s">
        <v>785</v>
      </c>
      <c r="E101" s="2">
        <v>2700</v>
      </c>
      <c r="F101" s="2">
        <v>479</v>
      </c>
      <c r="G101" s="2">
        <v>201</v>
      </c>
      <c r="H101" s="28"/>
      <c r="I101" t="s">
        <v>3133</v>
      </c>
      <c r="L101" s="28"/>
      <c r="M101" s="28"/>
      <c r="N101" s="28"/>
      <c r="O101" s="28"/>
    </row>
    <row r="102" spans="1:15" x14ac:dyDescent="0.2">
      <c r="A102" t="s">
        <v>984</v>
      </c>
      <c r="B102" t="s">
        <v>2525</v>
      </c>
      <c r="C102">
        <v>9</v>
      </c>
      <c r="D102" t="s">
        <v>785</v>
      </c>
      <c r="E102" s="2">
        <v>3147</v>
      </c>
      <c r="F102" s="2">
        <v>667</v>
      </c>
      <c r="G102" s="2">
        <v>177</v>
      </c>
      <c r="H102" s="28"/>
      <c r="I102" t="s">
        <v>2381</v>
      </c>
      <c r="L102" s="28"/>
      <c r="M102" s="28"/>
      <c r="N102" s="28"/>
      <c r="O102" s="28"/>
    </row>
    <row r="103" spans="1:15" x14ac:dyDescent="0.2">
      <c r="A103" t="s">
        <v>985</v>
      </c>
      <c r="B103" t="s">
        <v>2542</v>
      </c>
      <c r="C103" s="19">
        <v>9</v>
      </c>
      <c r="D103" t="s">
        <v>785</v>
      </c>
      <c r="E103" s="2">
        <v>2570</v>
      </c>
      <c r="F103" s="2">
        <v>517</v>
      </c>
      <c r="G103" s="2">
        <v>164</v>
      </c>
      <c r="H103" s="28"/>
      <c r="I103" t="s">
        <v>3134</v>
      </c>
      <c r="L103" s="28"/>
      <c r="M103" s="28"/>
      <c r="N103" s="28"/>
      <c r="O103" s="28"/>
    </row>
    <row r="104" spans="1:15" x14ac:dyDescent="0.2">
      <c r="A104" t="s">
        <v>985</v>
      </c>
      <c r="B104" t="s">
        <v>2543</v>
      </c>
      <c r="C104">
        <v>9</v>
      </c>
      <c r="D104" t="s">
        <v>785</v>
      </c>
      <c r="E104" s="2">
        <v>2633</v>
      </c>
      <c r="F104" s="2">
        <v>526</v>
      </c>
      <c r="G104" s="2">
        <v>188</v>
      </c>
      <c r="H104" s="28"/>
      <c r="I104" t="s">
        <v>3135</v>
      </c>
      <c r="L104" s="28"/>
      <c r="M104" s="28"/>
      <c r="N104" s="28"/>
      <c r="O104" s="28"/>
    </row>
    <row r="105" spans="1:15" x14ac:dyDescent="0.2">
      <c r="A105" t="s">
        <v>986</v>
      </c>
      <c r="B105" t="s">
        <v>2525</v>
      </c>
      <c r="C105" s="19">
        <v>9</v>
      </c>
      <c r="D105" t="s">
        <v>785</v>
      </c>
      <c r="E105" s="2">
        <v>2850</v>
      </c>
      <c r="F105" s="2">
        <v>477</v>
      </c>
      <c r="G105" s="2">
        <v>324</v>
      </c>
      <c r="H105" s="28"/>
      <c r="I105" t="s">
        <v>2382</v>
      </c>
      <c r="L105" s="28"/>
      <c r="M105" s="28"/>
      <c r="N105" s="28"/>
      <c r="O105" s="28"/>
    </row>
    <row r="106" spans="1:15" x14ac:dyDescent="0.2">
      <c r="A106" t="s">
        <v>2125</v>
      </c>
      <c r="B106" t="s">
        <v>2542</v>
      </c>
      <c r="C106">
        <v>10</v>
      </c>
      <c r="D106" t="s">
        <v>785</v>
      </c>
      <c r="E106" s="2">
        <v>1617</v>
      </c>
      <c r="F106" s="2">
        <v>-1260</v>
      </c>
      <c r="G106" s="2">
        <v>6</v>
      </c>
      <c r="H106" s="28"/>
      <c r="I106" t="s">
        <v>3136</v>
      </c>
      <c r="L106" s="28"/>
      <c r="M106" s="28"/>
      <c r="N106" s="28"/>
      <c r="O106" s="28"/>
    </row>
    <row r="107" spans="1:15" x14ac:dyDescent="0.2">
      <c r="A107" t="s">
        <v>2125</v>
      </c>
      <c r="B107" t="s">
        <v>2542</v>
      </c>
      <c r="C107">
        <v>10</v>
      </c>
      <c r="D107" t="s">
        <v>785</v>
      </c>
      <c r="E107" s="2">
        <v>1587</v>
      </c>
      <c r="F107" s="2">
        <v>-812</v>
      </c>
      <c r="G107" s="2">
        <v>6</v>
      </c>
      <c r="H107" s="28"/>
      <c r="I107" t="s">
        <v>3137</v>
      </c>
      <c r="L107" s="28"/>
      <c r="M107" s="28"/>
      <c r="N107" s="28"/>
      <c r="O107" s="28"/>
    </row>
    <row r="108" spans="1:15" x14ac:dyDescent="0.2">
      <c r="A108" t="s">
        <v>871</v>
      </c>
      <c r="B108" t="s">
        <v>2525</v>
      </c>
      <c r="C108">
        <v>10</v>
      </c>
      <c r="D108" t="s">
        <v>785</v>
      </c>
      <c r="E108" s="2">
        <v>493</v>
      </c>
      <c r="F108" s="2">
        <v>730</v>
      </c>
      <c r="G108" s="2">
        <v>40</v>
      </c>
      <c r="H108" s="28"/>
      <c r="I108" t="s">
        <v>3138</v>
      </c>
      <c r="L108" s="28"/>
      <c r="M108" s="28"/>
      <c r="N108" s="28"/>
      <c r="O108" s="28"/>
    </row>
    <row r="109" spans="1:15" x14ac:dyDescent="0.2">
      <c r="A109" t="s">
        <v>872</v>
      </c>
      <c r="B109" t="s">
        <v>2542</v>
      </c>
      <c r="C109">
        <v>10</v>
      </c>
      <c r="D109" t="s">
        <v>785</v>
      </c>
      <c r="E109" s="2">
        <v>1144</v>
      </c>
      <c r="F109" s="2">
        <v>247</v>
      </c>
      <c r="G109" s="2">
        <v>57</v>
      </c>
      <c r="H109" s="28"/>
      <c r="I109" t="s">
        <v>3139</v>
      </c>
      <c r="L109" s="28"/>
      <c r="M109" s="28"/>
      <c r="N109" s="28"/>
      <c r="O109" s="28"/>
    </row>
    <row r="110" spans="1:15" x14ac:dyDescent="0.2">
      <c r="A110" t="s">
        <v>872</v>
      </c>
      <c r="B110" t="s">
        <v>2543</v>
      </c>
      <c r="C110">
        <v>10</v>
      </c>
      <c r="D110" t="s">
        <v>785</v>
      </c>
      <c r="E110" s="2">
        <v>1349</v>
      </c>
      <c r="F110" s="2">
        <v>296</v>
      </c>
      <c r="G110" s="2">
        <v>28</v>
      </c>
      <c r="H110" s="28"/>
      <c r="I110" t="s">
        <v>3140</v>
      </c>
      <c r="L110" s="28"/>
      <c r="M110" s="28"/>
      <c r="N110" s="28"/>
      <c r="O110" s="28"/>
    </row>
    <row r="111" spans="1:15" x14ac:dyDescent="0.2">
      <c r="A111" t="s">
        <v>873</v>
      </c>
      <c r="B111" t="s">
        <v>2525</v>
      </c>
      <c r="C111" s="19">
        <v>10</v>
      </c>
      <c r="D111" t="s">
        <v>785</v>
      </c>
      <c r="E111" s="2">
        <v>1877</v>
      </c>
      <c r="F111" s="2">
        <v>-1160</v>
      </c>
      <c r="G111" s="2">
        <v>198</v>
      </c>
      <c r="H111" s="28"/>
      <c r="I111" t="s">
        <v>2297</v>
      </c>
      <c r="L111" s="28"/>
      <c r="M111" s="28"/>
      <c r="N111" s="28"/>
      <c r="O111" s="28"/>
    </row>
    <row r="112" spans="1:15" x14ac:dyDescent="0.2">
      <c r="A112" t="s">
        <v>879</v>
      </c>
      <c r="B112" t="s">
        <v>2525</v>
      </c>
      <c r="C112">
        <v>10</v>
      </c>
      <c r="D112" t="s">
        <v>785</v>
      </c>
      <c r="E112" s="2">
        <v>1194</v>
      </c>
      <c r="F112" s="2">
        <v>-1854</v>
      </c>
      <c r="G112" s="2">
        <v>157</v>
      </c>
      <c r="H112" s="28"/>
      <c r="I112" t="s">
        <v>2303</v>
      </c>
      <c r="L112" s="28"/>
      <c r="M112" s="28"/>
      <c r="N112" s="28"/>
      <c r="O112" s="28"/>
    </row>
    <row r="113" spans="1:15" x14ac:dyDescent="0.2">
      <c r="A113" t="s">
        <v>880</v>
      </c>
      <c r="B113" t="s">
        <v>2525</v>
      </c>
      <c r="C113">
        <v>10</v>
      </c>
      <c r="D113" t="s">
        <v>785</v>
      </c>
      <c r="E113" s="2">
        <v>1183</v>
      </c>
      <c r="F113" s="2">
        <v>-1947</v>
      </c>
      <c r="G113" s="2">
        <v>245</v>
      </c>
      <c r="H113" s="28"/>
      <c r="I113" t="s">
        <v>2304</v>
      </c>
      <c r="L113" s="28"/>
      <c r="M113" s="28"/>
      <c r="N113" s="28"/>
      <c r="O113" s="28"/>
    </row>
    <row r="114" spans="1:15" x14ac:dyDescent="0.2">
      <c r="A114" t="s">
        <v>888</v>
      </c>
      <c r="B114" t="s">
        <v>2525</v>
      </c>
      <c r="C114" s="19">
        <v>10</v>
      </c>
      <c r="D114" t="s">
        <v>785</v>
      </c>
      <c r="E114" s="2">
        <v>2243</v>
      </c>
      <c r="F114" s="2">
        <v>-1689</v>
      </c>
      <c r="G114" s="2">
        <v>23</v>
      </c>
      <c r="H114" s="28"/>
      <c r="I114" t="s">
        <v>2311</v>
      </c>
      <c r="L114" s="28"/>
      <c r="M114" s="28"/>
      <c r="N114" s="28"/>
      <c r="O114" s="28"/>
    </row>
    <row r="115" spans="1:15" x14ac:dyDescent="0.2">
      <c r="A115" t="s">
        <v>903</v>
      </c>
      <c r="B115" t="s">
        <v>2525</v>
      </c>
      <c r="C115" s="19">
        <v>10</v>
      </c>
      <c r="D115" t="s">
        <v>785</v>
      </c>
      <c r="E115" s="2">
        <v>1947</v>
      </c>
      <c r="F115" s="2">
        <v>-981</v>
      </c>
      <c r="G115" s="2">
        <v>157</v>
      </c>
      <c r="H115" s="28"/>
      <c r="I115" t="s">
        <v>2322</v>
      </c>
      <c r="L115" s="28"/>
      <c r="M115" s="28"/>
      <c r="N115" s="28"/>
      <c r="O115" s="28"/>
    </row>
    <row r="116" spans="1:15" x14ac:dyDescent="0.2">
      <c r="A116" t="s">
        <v>913</v>
      </c>
      <c r="B116" t="s">
        <v>2525</v>
      </c>
      <c r="C116" s="19">
        <v>10</v>
      </c>
      <c r="D116" t="s">
        <v>785</v>
      </c>
      <c r="E116" s="2">
        <v>2698</v>
      </c>
      <c r="F116" s="2">
        <v>-1314</v>
      </c>
      <c r="G116" s="2">
        <v>111</v>
      </c>
      <c r="H116" s="28"/>
      <c r="I116" t="s">
        <v>2329</v>
      </c>
      <c r="L116" s="28"/>
      <c r="M116" s="28"/>
      <c r="N116" s="28"/>
      <c r="O116" s="28"/>
    </row>
    <row r="117" spans="1:15" x14ac:dyDescent="0.2">
      <c r="A117" t="s">
        <v>948</v>
      </c>
      <c r="B117" t="s">
        <v>2525</v>
      </c>
      <c r="C117">
        <v>10</v>
      </c>
      <c r="D117" t="s">
        <v>785</v>
      </c>
      <c r="E117" s="2">
        <v>845</v>
      </c>
      <c r="F117" s="2">
        <v>31</v>
      </c>
      <c r="G117" s="2">
        <v>15</v>
      </c>
      <c r="H117" s="28"/>
      <c r="I117" t="s">
        <v>3141</v>
      </c>
      <c r="L117" s="28"/>
      <c r="M117" s="28"/>
      <c r="N117" s="28"/>
      <c r="O117" s="28"/>
    </row>
    <row r="118" spans="1:15" x14ac:dyDescent="0.2">
      <c r="A118" t="s">
        <v>952</v>
      </c>
      <c r="B118" t="s">
        <v>2525</v>
      </c>
      <c r="C118" s="19">
        <v>10</v>
      </c>
      <c r="D118" t="s">
        <v>785</v>
      </c>
      <c r="E118" s="2">
        <v>2492</v>
      </c>
      <c r="F118" s="2">
        <v>-1477</v>
      </c>
      <c r="G118" s="2">
        <v>12</v>
      </c>
      <c r="H118" s="28"/>
      <c r="I118" t="s">
        <v>2354</v>
      </c>
      <c r="L118" s="28"/>
      <c r="M118" s="28"/>
      <c r="N118" s="28"/>
      <c r="O118" s="28"/>
    </row>
    <row r="119" spans="1:15" x14ac:dyDescent="0.2">
      <c r="A119" t="s">
        <v>957</v>
      </c>
      <c r="B119" t="s">
        <v>2542</v>
      </c>
      <c r="C119">
        <v>10</v>
      </c>
      <c r="D119" t="s">
        <v>785</v>
      </c>
      <c r="E119" s="2">
        <v>1328</v>
      </c>
      <c r="F119" s="2">
        <v>-1156</v>
      </c>
      <c r="G119" s="2">
        <v>134</v>
      </c>
      <c r="H119" s="28"/>
      <c r="I119" t="s">
        <v>3142</v>
      </c>
      <c r="L119" s="28"/>
      <c r="M119" s="28"/>
      <c r="N119" s="28"/>
      <c r="O119" s="28"/>
    </row>
    <row r="120" spans="1:15" x14ac:dyDescent="0.2">
      <c r="A120" t="s">
        <v>957</v>
      </c>
      <c r="B120" t="s">
        <v>2543</v>
      </c>
      <c r="C120">
        <v>10</v>
      </c>
      <c r="D120" t="s">
        <v>785</v>
      </c>
      <c r="E120" s="2">
        <v>1373</v>
      </c>
      <c r="F120" s="2">
        <v>-1197</v>
      </c>
      <c r="G120" s="2">
        <v>129</v>
      </c>
      <c r="H120" s="28"/>
      <c r="I120" t="s">
        <v>3143</v>
      </c>
      <c r="L120" s="28"/>
      <c r="M120" s="28"/>
      <c r="N120" s="28"/>
      <c r="O120" s="28"/>
    </row>
    <row r="121" spans="1:15" x14ac:dyDescent="0.2">
      <c r="A121" t="s">
        <v>979</v>
      </c>
      <c r="B121" t="s">
        <v>2525</v>
      </c>
      <c r="C121">
        <v>10</v>
      </c>
      <c r="D121" t="s">
        <v>785</v>
      </c>
      <c r="E121" s="2">
        <v>1169</v>
      </c>
      <c r="F121" s="2">
        <v>-2443</v>
      </c>
      <c r="G121" s="2">
        <v>177</v>
      </c>
      <c r="H121" s="28"/>
      <c r="I121" t="s">
        <v>2378</v>
      </c>
      <c r="L121" s="28"/>
      <c r="M121" s="28"/>
      <c r="N121" s="28"/>
      <c r="O121" s="28"/>
    </row>
    <row r="122" spans="1:15" x14ac:dyDescent="0.2">
      <c r="A122" t="s">
        <v>877</v>
      </c>
      <c r="B122" t="s">
        <v>2525</v>
      </c>
      <c r="C122">
        <v>11</v>
      </c>
      <c r="D122" t="s">
        <v>785</v>
      </c>
      <c r="E122" s="2">
        <v>4213</v>
      </c>
      <c r="F122" s="2">
        <v>-2262</v>
      </c>
      <c r="G122" s="2">
        <v>0</v>
      </c>
      <c r="H122" s="28"/>
      <c r="I122" t="s">
        <v>2301</v>
      </c>
      <c r="L122" s="28"/>
      <c r="M122" s="28"/>
      <c r="N122" s="28"/>
      <c r="O122" s="28"/>
    </row>
    <row r="123" spans="1:15" x14ac:dyDescent="0.2">
      <c r="A123" t="s">
        <v>912</v>
      </c>
      <c r="B123" t="s">
        <v>2542</v>
      </c>
      <c r="C123">
        <v>11</v>
      </c>
      <c r="D123" t="s">
        <v>785</v>
      </c>
      <c r="E123" s="2">
        <v>3073</v>
      </c>
      <c r="F123" s="2">
        <v>-1137</v>
      </c>
      <c r="G123" s="2">
        <v>91</v>
      </c>
      <c r="H123" s="28"/>
      <c r="I123" t="s">
        <v>3144</v>
      </c>
      <c r="L123" s="28"/>
      <c r="M123" s="28"/>
      <c r="N123" s="28"/>
      <c r="O123" s="28"/>
    </row>
    <row r="124" spans="1:15" x14ac:dyDescent="0.2">
      <c r="A124" t="s">
        <v>912</v>
      </c>
      <c r="B124" t="s">
        <v>2543</v>
      </c>
      <c r="C124">
        <v>11</v>
      </c>
      <c r="D124" t="s">
        <v>785</v>
      </c>
      <c r="E124" s="2">
        <v>3476</v>
      </c>
      <c r="F124" s="2">
        <v>-968</v>
      </c>
      <c r="G124" s="2">
        <v>-8</v>
      </c>
      <c r="H124" s="28"/>
      <c r="I124" t="s">
        <v>3145</v>
      </c>
      <c r="L124" s="28"/>
      <c r="M124" s="28"/>
      <c r="N124" s="28"/>
      <c r="O124" s="28"/>
    </row>
    <row r="125" spans="1:15" x14ac:dyDescent="0.2">
      <c r="A125" t="s">
        <v>918</v>
      </c>
      <c r="B125" t="s">
        <v>2525</v>
      </c>
      <c r="C125">
        <v>11</v>
      </c>
      <c r="D125" t="s">
        <v>785</v>
      </c>
      <c r="E125" s="2">
        <v>4585</v>
      </c>
      <c r="F125" s="2">
        <v>-2246</v>
      </c>
      <c r="G125" s="2">
        <v>-1</v>
      </c>
      <c r="H125" s="28"/>
      <c r="I125" t="s">
        <v>2334</v>
      </c>
      <c r="L125" s="28"/>
      <c r="M125" s="28"/>
      <c r="N125" s="28"/>
      <c r="O125" s="28"/>
    </row>
    <row r="126" spans="1:15" x14ac:dyDescent="0.2">
      <c r="A126" t="s">
        <v>930</v>
      </c>
      <c r="B126" t="s">
        <v>2525</v>
      </c>
      <c r="C126">
        <v>11</v>
      </c>
      <c r="D126" t="s">
        <v>785</v>
      </c>
      <c r="E126" s="2">
        <v>2504</v>
      </c>
      <c r="F126" s="2">
        <v>-2106</v>
      </c>
      <c r="G126" s="2">
        <v>6</v>
      </c>
      <c r="H126" s="28"/>
      <c r="I126" t="s">
        <v>2340</v>
      </c>
      <c r="L126" s="28"/>
      <c r="M126" s="28"/>
      <c r="N126" s="28"/>
      <c r="O126" s="28"/>
    </row>
    <row r="127" spans="1:15" x14ac:dyDescent="0.2">
      <c r="A127" t="s">
        <v>950</v>
      </c>
      <c r="B127" t="s">
        <v>2542</v>
      </c>
      <c r="C127">
        <v>11</v>
      </c>
      <c r="D127" t="s">
        <v>785</v>
      </c>
      <c r="E127" s="2">
        <v>3748</v>
      </c>
      <c r="F127" s="2">
        <v>-2026</v>
      </c>
      <c r="G127" s="2">
        <v>190</v>
      </c>
      <c r="H127" s="28"/>
      <c r="I127" t="s">
        <v>3146</v>
      </c>
      <c r="L127" s="28"/>
      <c r="M127" s="28"/>
      <c r="N127" s="28"/>
      <c r="O127" s="28"/>
    </row>
    <row r="128" spans="1:15" x14ac:dyDescent="0.2">
      <c r="A128" t="s">
        <v>950</v>
      </c>
      <c r="B128" t="s">
        <v>2543</v>
      </c>
      <c r="C128">
        <v>11</v>
      </c>
      <c r="D128" t="s">
        <v>785</v>
      </c>
      <c r="E128" s="2">
        <v>3757</v>
      </c>
      <c r="F128" s="2">
        <v>-2066</v>
      </c>
      <c r="G128" s="2">
        <v>214</v>
      </c>
      <c r="H128" s="28"/>
      <c r="I128" t="s">
        <v>3147</v>
      </c>
      <c r="L128" s="28"/>
      <c r="M128" s="28"/>
      <c r="N128" s="28"/>
      <c r="O128" s="28"/>
    </row>
    <row r="129" spans="1:15" x14ac:dyDescent="0.2">
      <c r="A129" t="s">
        <v>976</v>
      </c>
      <c r="B129" t="s">
        <v>2525</v>
      </c>
      <c r="C129">
        <v>11</v>
      </c>
      <c r="D129" t="s">
        <v>785</v>
      </c>
      <c r="E129" s="2">
        <v>4473</v>
      </c>
      <c r="F129" s="2">
        <v>-826</v>
      </c>
      <c r="G129" s="2">
        <v>31</v>
      </c>
      <c r="H129" s="28"/>
      <c r="I129" t="s">
        <v>2375</v>
      </c>
      <c r="L129" s="28"/>
      <c r="M129" s="28"/>
      <c r="N129" s="28"/>
      <c r="O129" s="28"/>
    </row>
    <row r="130" spans="1:15" x14ac:dyDescent="0.2">
      <c r="A130" t="s">
        <v>988</v>
      </c>
      <c r="B130" t="s">
        <v>2542</v>
      </c>
      <c r="C130">
        <v>11</v>
      </c>
      <c r="D130" t="s">
        <v>785</v>
      </c>
      <c r="E130" s="2">
        <v>4225</v>
      </c>
      <c r="F130" s="2">
        <v>-1738</v>
      </c>
      <c r="G130" s="2">
        <v>180</v>
      </c>
      <c r="H130" s="28"/>
      <c r="I130" t="s">
        <v>3148</v>
      </c>
      <c r="L130" s="28"/>
      <c r="M130" s="28"/>
      <c r="N130" s="28"/>
      <c r="O130" s="28"/>
    </row>
    <row r="131" spans="1:15" x14ac:dyDescent="0.2">
      <c r="A131" t="s">
        <v>988</v>
      </c>
      <c r="B131" t="s">
        <v>2543</v>
      </c>
      <c r="C131">
        <v>11</v>
      </c>
      <c r="D131" t="s">
        <v>785</v>
      </c>
      <c r="E131" s="2">
        <v>3933</v>
      </c>
      <c r="F131" s="2">
        <v>-2069</v>
      </c>
      <c r="G131" s="2">
        <v>127</v>
      </c>
      <c r="H131" s="28"/>
      <c r="I131" t="s">
        <v>3149</v>
      </c>
      <c r="L131" s="28"/>
      <c r="M131" s="28"/>
      <c r="N131" s="28"/>
      <c r="O131" s="28"/>
    </row>
    <row r="132" spans="1:15" x14ac:dyDescent="0.2">
      <c r="A132" t="s">
        <v>857</v>
      </c>
      <c r="B132" t="s">
        <v>2525</v>
      </c>
      <c r="C132">
        <v>12</v>
      </c>
      <c r="D132" t="s">
        <v>785</v>
      </c>
      <c r="E132" s="2">
        <v>2454</v>
      </c>
      <c r="F132" s="2">
        <v>-3193</v>
      </c>
      <c r="G132" s="2">
        <v>64</v>
      </c>
      <c r="H132" s="28"/>
      <c r="I132" t="s">
        <v>2289</v>
      </c>
      <c r="L132" s="28"/>
      <c r="M132" s="28"/>
      <c r="N132" s="28"/>
      <c r="O132" s="28"/>
    </row>
    <row r="133" spans="1:15" x14ac:dyDescent="0.2">
      <c r="A133" t="s">
        <v>863</v>
      </c>
      <c r="B133" t="s">
        <v>2525</v>
      </c>
      <c r="C133">
        <v>12</v>
      </c>
      <c r="D133" t="s">
        <v>785</v>
      </c>
      <c r="E133" s="2">
        <v>3650</v>
      </c>
      <c r="F133" s="2">
        <v>-3210</v>
      </c>
      <c r="G133" s="2">
        <v>-6</v>
      </c>
      <c r="H133" s="28"/>
      <c r="I133" t="s">
        <v>2291</v>
      </c>
      <c r="L133" s="28"/>
      <c r="M133" s="28"/>
      <c r="N133" s="28"/>
      <c r="O133" s="28"/>
    </row>
    <row r="134" spans="1:15" x14ac:dyDescent="0.2">
      <c r="A134" t="s">
        <v>884</v>
      </c>
      <c r="B134" t="s">
        <v>2525</v>
      </c>
      <c r="C134">
        <v>12</v>
      </c>
      <c r="D134" t="s">
        <v>785</v>
      </c>
      <c r="E134" s="2">
        <v>4752</v>
      </c>
      <c r="F134" s="2">
        <v>-3781</v>
      </c>
      <c r="G134" s="2">
        <v>-6</v>
      </c>
      <c r="H134" s="28"/>
      <c r="I134" t="s">
        <v>2307</v>
      </c>
      <c r="L134" s="28"/>
      <c r="M134" s="28"/>
      <c r="N134" s="28"/>
      <c r="O134" s="28"/>
    </row>
    <row r="135" spans="1:15" x14ac:dyDescent="0.2">
      <c r="A135" t="s">
        <v>922</v>
      </c>
      <c r="B135" t="s">
        <v>2542</v>
      </c>
      <c r="C135">
        <v>12</v>
      </c>
      <c r="D135" t="s">
        <v>785</v>
      </c>
      <c r="E135" s="2">
        <v>3224</v>
      </c>
      <c r="F135" s="2">
        <v>-3017</v>
      </c>
      <c r="G135" s="2">
        <v>59</v>
      </c>
      <c r="H135" s="28"/>
      <c r="I135" t="s">
        <v>3150</v>
      </c>
      <c r="L135" s="28"/>
      <c r="M135" s="28"/>
      <c r="N135" s="28"/>
      <c r="O135" s="28"/>
    </row>
    <row r="136" spans="1:15" x14ac:dyDescent="0.2">
      <c r="A136" t="s">
        <v>922</v>
      </c>
      <c r="B136" t="s">
        <v>2543</v>
      </c>
      <c r="C136">
        <v>12</v>
      </c>
      <c r="D136" t="s">
        <v>785</v>
      </c>
      <c r="E136" s="2">
        <v>3291</v>
      </c>
      <c r="F136" s="2">
        <v>-3296</v>
      </c>
      <c r="G136" s="2">
        <v>64</v>
      </c>
      <c r="H136" s="28"/>
      <c r="I136" t="s">
        <v>3151</v>
      </c>
      <c r="L136" s="28"/>
      <c r="M136" s="28"/>
      <c r="N136" s="28"/>
      <c r="O136" s="28"/>
    </row>
    <row r="137" spans="1:15" x14ac:dyDescent="0.2">
      <c r="A137" t="s">
        <v>859</v>
      </c>
      <c r="B137" t="s">
        <v>2542</v>
      </c>
      <c r="C137">
        <v>13</v>
      </c>
      <c r="D137" t="s">
        <v>783</v>
      </c>
      <c r="E137" s="2">
        <v>739</v>
      </c>
      <c r="F137" s="2">
        <v>-1358</v>
      </c>
      <c r="G137" s="2">
        <v>1542</v>
      </c>
      <c r="H137" s="28"/>
      <c r="I137" t="s">
        <v>3152</v>
      </c>
      <c r="L137" s="28"/>
      <c r="M137" s="28"/>
      <c r="N137" s="28"/>
      <c r="O137" s="28"/>
    </row>
    <row r="138" spans="1:15" x14ac:dyDescent="0.2">
      <c r="A138" t="s">
        <v>859</v>
      </c>
      <c r="B138" t="s">
        <v>2543</v>
      </c>
      <c r="C138">
        <v>13</v>
      </c>
      <c r="D138" t="s">
        <v>783</v>
      </c>
      <c r="E138" s="2">
        <v>711</v>
      </c>
      <c r="F138" s="2">
        <v>-1449</v>
      </c>
      <c r="G138" s="2">
        <v>1485</v>
      </c>
      <c r="H138" s="28"/>
      <c r="I138" t="s">
        <v>3153</v>
      </c>
      <c r="L138" s="28"/>
      <c r="M138" s="28"/>
      <c r="N138" s="28"/>
      <c r="O138" s="28"/>
    </row>
    <row r="139" spans="1:15" x14ac:dyDescent="0.2">
      <c r="A139" t="s">
        <v>862</v>
      </c>
      <c r="B139" t="s">
        <v>2542</v>
      </c>
      <c r="C139">
        <v>13</v>
      </c>
      <c r="D139" t="s">
        <v>785</v>
      </c>
      <c r="E139" s="2">
        <v>1958</v>
      </c>
      <c r="F139" s="2">
        <v>-3032</v>
      </c>
      <c r="G139" s="2">
        <v>192</v>
      </c>
      <c r="H139" s="28"/>
      <c r="I139" t="s">
        <v>3154</v>
      </c>
      <c r="L139" s="28"/>
      <c r="M139" s="28"/>
      <c r="N139" s="28"/>
      <c r="O139" s="28"/>
    </row>
    <row r="140" spans="1:15" x14ac:dyDescent="0.2">
      <c r="A140" t="s">
        <v>862</v>
      </c>
      <c r="B140" t="s">
        <v>2543</v>
      </c>
      <c r="C140">
        <v>13</v>
      </c>
      <c r="D140" t="s">
        <v>785</v>
      </c>
      <c r="E140" s="2">
        <v>2009</v>
      </c>
      <c r="F140" s="2">
        <v>-3164</v>
      </c>
      <c r="G140" s="2">
        <v>176</v>
      </c>
      <c r="H140" s="28"/>
      <c r="I140" t="s">
        <v>3155</v>
      </c>
      <c r="L140" s="28"/>
      <c r="M140" s="28"/>
      <c r="N140" s="28"/>
      <c r="O140" s="28"/>
    </row>
    <row r="141" spans="1:15" x14ac:dyDescent="0.2">
      <c r="A141" t="s">
        <v>869</v>
      </c>
      <c r="B141" t="s">
        <v>2542</v>
      </c>
      <c r="C141">
        <v>13</v>
      </c>
      <c r="D141" t="s">
        <v>785</v>
      </c>
      <c r="E141" s="2">
        <v>-171</v>
      </c>
      <c r="F141" s="2">
        <v>-3067</v>
      </c>
      <c r="G141" s="2">
        <v>-13</v>
      </c>
      <c r="H141" s="28"/>
      <c r="I141" t="s">
        <v>3156</v>
      </c>
      <c r="L141" s="28"/>
      <c r="M141" s="28"/>
      <c r="N141" s="28"/>
      <c r="O141" s="28"/>
    </row>
    <row r="142" spans="1:15" x14ac:dyDescent="0.2">
      <c r="A142" t="s">
        <v>869</v>
      </c>
      <c r="B142" t="s">
        <v>2543</v>
      </c>
      <c r="C142">
        <v>13</v>
      </c>
      <c r="D142" t="s">
        <v>785</v>
      </c>
      <c r="E142" s="2">
        <v>-256</v>
      </c>
      <c r="F142" s="2">
        <v>-2940</v>
      </c>
      <c r="G142" s="2">
        <v>-18</v>
      </c>
      <c r="H142" s="28"/>
      <c r="I142" t="s">
        <v>3157</v>
      </c>
      <c r="L142" s="28"/>
      <c r="M142" s="28"/>
      <c r="N142" s="28"/>
      <c r="O142" s="28"/>
    </row>
    <row r="143" spans="1:15" x14ac:dyDescent="0.2">
      <c r="A143" t="s">
        <v>870</v>
      </c>
      <c r="B143" t="s">
        <v>2525</v>
      </c>
      <c r="C143">
        <v>13</v>
      </c>
      <c r="D143" t="s">
        <v>785</v>
      </c>
      <c r="E143" s="2">
        <v>1676</v>
      </c>
      <c r="F143" s="2">
        <v>-3038</v>
      </c>
      <c r="G143" s="2">
        <v>164</v>
      </c>
      <c r="H143" s="28"/>
      <c r="I143" t="s">
        <v>2296</v>
      </c>
      <c r="L143" s="28"/>
      <c r="M143" s="28"/>
      <c r="N143" s="28"/>
      <c r="O143" s="28"/>
    </row>
    <row r="144" spans="1:15" x14ac:dyDescent="0.2">
      <c r="A144" t="s">
        <v>885</v>
      </c>
      <c r="B144" t="s">
        <v>2525</v>
      </c>
      <c r="C144">
        <v>13</v>
      </c>
      <c r="D144" t="s">
        <v>785</v>
      </c>
      <c r="E144" s="2">
        <v>568</v>
      </c>
      <c r="F144" s="2">
        <v>-2981</v>
      </c>
      <c r="G144" s="2">
        <v>12</v>
      </c>
      <c r="H144" s="28"/>
      <c r="I144" t="s">
        <v>2308</v>
      </c>
      <c r="L144" s="28"/>
      <c r="M144" s="28"/>
      <c r="N144" s="28"/>
      <c r="O144" s="28"/>
    </row>
    <row r="145" spans="1:15" x14ac:dyDescent="0.2">
      <c r="A145" t="s">
        <v>886</v>
      </c>
      <c r="B145" t="s">
        <v>2525</v>
      </c>
      <c r="C145">
        <v>13</v>
      </c>
      <c r="D145" t="s">
        <v>785</v>
      </c>
      <c r="E145" s="2">
        <v>809</v>
      </c>
      <c r="F145" s="2">
        <v>-2971</v>
      </c>
      <c r="G145" s="2">
        <v>10</v>
      </c>
      <c r="H145" s="28"/>
      <c r="I145" t="s">
        <v>2309</v>
      </c>
      <c r="L145" s="28"/>
      <c r="M145" s="28"/>
      <c r="N145" s="28"/>
      <c r="O145" s="28"/>
    </row>
    <row r="146" spans="1:15" x14ac:dyDescent="0.2">
      <c r="A146" t="s">
        <v>904</v>
      </c>
      <c r="B146" t="s">
        <v>2525</v>
      </c>
      <c r="C146">
        <v>13</v>
      </c>
      <c r="D146" t="s">
        <v>785</v>
      </c>
      <c r="E146" s="2">
        <v>486</v>
      </c>
      <c r="F146" s="2">
        <v>-3831</v>
      </c>
      <c r="G146" s="2">
        <v>7</v>
      </c>
      <c r="H146" s="28"/>
      <c r="I146" t="s">
        <v>2323</v>
      </c>
      <c r="L146" s="28"/>
      <c r="M146" s="28"/>
      <c r="N146" s="28"/>
      <c r="O146" s="28"/>
    </row>
    <row r="147" spans="1:15" x14ac:dyDescent="0.2">
      <c r="A147" t="s">
        <v>909</v>
      </c>
      <c r="B147" t="s">
        <v>2525</v>
      </c>
      <c r="C147">
        <v>13</v>
      </c>
      <c r="D147" t="s">
        <v>785</v>
      </c>
      <c r="E147" s="2">
        <v>125</v>
      </c>
      <c r="F147" s="2">
        <v>-2501</v>
      </c>
      <c r="G147" s="2">
        <v>-89</v>
      </c>
      <c r="H147" s="28"/>
      <c r="I147" t="s">
        <v>2326</v>
      </c>
      <c r="L147" s="28"/>
      <c r="M147" s="28"/>
      <c r="N147" s="28"/>
      <c r="O147" s="28"/>
    </row>
    <row r="148" spans="1:15" x14ac:dyDescent="0.2">
      <c r="A148" t="s">
        <v>920</v>
      </c>
      <c r="B148" t="s">
        <v>2542</v>
      </c>
      <c r="C148">
        <v>13</v>
      </c>
      <c r="D148" t="s">
        <v>783</v>
      </c>
      <c r="E148" s="2">
        <v>380</v>
      </c>
      <c r="F148" s="2">
        <v>-1631</v>
      </c>
      <c r="G148" s="2">
        <v>1411</v>
      </c>
      <c r="H148" s="28"/>
      <c r="I148" t="s">
        <v>3158</v>
      </c>
      <c r="L148" s="28"/>
      <c r="M148" s="28"/>
      <c r="N148" s="28"/>
      <c r="O148" s="28"/>
    </row>
    <row r="149" spans="1:15" x14ac:dyDescent="0.2">
      <c r="A149" t="s">
        <v>920</v>
      </c>
      <c r="B149" t="s">
        <v>2543</v>
      </c>
      <c r="C149">
        <v>13</v>
      </c>
      <c r="D149" t="s">
        <v>783</v>
      </c>
      <c r="E149" s="2">
        <v>489</v>
      </c>
      <c r="F149" s="2">
        <v>-1625</v>
      </c>
      <c r="G149" s="2">
        <v>1367</v>
      </c>
      <c r="H149" s="28"/>
      <c r="I149" t="s">
        <v>3159</v>
      </c>
      <c r="L149" s="28"/>
      <c r="M149" s="28"/>
      <c r="N149" s="28"/>
      <c r="O149" s="28"/>
    </row>
    <row r="150" spans="1:15" x14ac:dyDescent="0.2">
      <c r="A150" t="s">
        <v>923</v>
      </c>
      <c r="B150" t="s">
        <v>2542</v>
      </c>
      <c r="C150">
        <v>13</v>
      </c>
      <c r="D150" t="s">
        <v>785</v>
      </c>
      <c r="E150" s="2">
        <v>1959</v>
      </c>
      <c r="F150" s="2">
        <v>-2611</v>
      </c>
      <c r="G150" s="2">
        <v>71</v>
      </c>
      <c r="H150" s="28"/>
      <c r="I150" t="s">
        <v>3160</v>
      </c>
      <c r="L150" s="28"/>
      <c r="M150" s="28"/>
      <c r="N150" s="28"/>
      <c r="O150" s="28"/>
    </row>
    <row r="151" spans="1:15" x14ac:dyDescent="0.2">
      <c r="A151" t="s">
        <v>923</v>
      </c>
      <c r="B151" t="s">
        <v>2543</v>
      </c>
      <c r="C151">
        <v>13</v>
      </c>
      <c r="D151" t="s">
        <v>785</v>
      </c>
      <c r="E151" s="2">
        <v>1789</v>
      </c>
      <c r="F151" s="2">
        <v>-2985</v>
      </c>
      <c r="G151" s="2">
        <v>80</v>
      </c>
      <c r="H151" s="28"/>
      <c r="I151" t="s">
        <v>3161</v>
      </c>
      <c r="L151" s="28"/>
      <c r="M151" s="28"/>
      <c r="N151" s="28"/>
      <c r="O151" s="28"/>
    </row>
    <row r="152" spans="1:15" x14ac:dyDescent="0.2">
      <c r="A152" t="s">
        <v>933</v>
      </c>
      <c r="B152" t="s">
        <v>2525</v>
      </c>
      <c r="C152">
        <v>13</v>
      </c>
      <c r="D152" t="s">
        <v>785</v>
      </c>
      <c r="E152" s="2">
        <v>671</v>
      </c>
      <c r="F152" s="2">
        <v>-3109</v>
      </c>
      <c r="G152" s="2">
        <v>23</v>
      </c>
      <c r="H152" s="28"/>
      <c r="I152" t="s">
        <v>2343</v>
      </c>
      <c r="L152" s="28"/>
      <c r="M152" s="28"/>
      <c r="N152" s="28"/>
      <c r="O152" s="28"/>
    </row>
    <row r="153" spans="1:15" x14ac:dyDescent="0.2">
      <c r="A153" t="s">
        <v>937</v>
      </c>
      <c r="B153" t="s">
        <v>2542</v>
      </c>
      <c r="C153">
        <v>13</v>
      </c>
      <c r="D153" t="s">
        <v>783</v>
      </c>
      <c r="E153" s="2">
        <v>587</v>
      </c>
      <c r="F153" s="2">
        <v>-1624</v>
      </c>
      <c r="G153" s="2">
        <v>1442</v>
      </c>
      <c r="H153" s="28"/>
      <c r="I153" t="s">
        <v>3162</v>
      </c>
      <c r="L153" s="28"/>
      <c r="M153" s="28"/>
      <c r="N153" s="28"/>
      <c r="O153" s="28"/>
    </row>
    <row r="154" spans="1:15" x14ac:dyDescent="0.2">
      <c r="A154" t="s">
        <v>937</v>
      </c>
      <c r="B154" t="s">
        <v>2543</v>
      </c>
      <c r="C154">
        <v>13</v>
      </c>
      <c r="D154" t="s">
        <v>783</v>
      </c>
      <c r="E154" s="2">
        <v>632</v>
      </c>
      <c r="F154" s="2">
        <v>-1638</v>
      </c>
      <c r="G154" s="2">
        <v>1483</v>
      </c>
      <c r="H154" s="28"/>
      <c r="I154" t="s">
        <v>3163</v>
      </c>
      <c r="L154" s="28"/>
      <c r="M154" s="28"/>
      <c r="N154" s="28"/>
      <c r="O154" s="28"/>
    </row>
    <row r="155" spans="1:15" x14ac:dyDescent="0.2">
      <c r="A155" t="s">
        <v>940</v>
      </c>
      <c r="B155" t="s">
        <v>2525</v>
      </c>
      <c r="C155">
        <v>13</v>
      </c>
      <c r="D155" t="s">
        <v>785</v>
      </c>
      <c r="E155" s="2">
        <v>608</v>
      </c>
      <c r="F155" s="2">
        <v>-2210</v>
      </c>
      <c r="G155" s="2">
        <v>50</v>
      </c>
      <c r="H155" s="28"/>
      <c r="I155" t="s">
        <v>2347</v>
      </c>
      <c r="L155" s="28"/>
      <c r="M155" s="28"/>
      <c r="N155" s="28"/>
      <c r="O155" s="28"/>
    </row>
    <row r="156" spans="1:15" x14ac:dyDescent="0.2">
      <c r="A156" t="s">
        <v>942</v>
      </c>
      <c r="B156" t="s">
        <v>2525</v>
      </c>
      <c r="C156">
        <v>13</v>
      </c>
      <c r="D156" t="s">
        <v>785</v>
      </c>
      <c r="E156" s="2">
        <v>283</v>
      </c>
      <c r="F156" s="2">
        <v>-3851</v>
      </c>
      <c r="G156" s="2">
        <v>33</v>
      </c>
      <c r="H156" s="28"/>
      <c r="I156" t="s">
        <v>2348</v>
      </c>
      <c r="L156" s="28"/>
      <c r="M156" s="28"/>
      <c r="N156" s="28"/>
      <c r="O156" s="28"/>
    </row>
    <row r="157" spans="1:15" x14ac:dyDescent="0.2">
      <c r="A157" t="s">
        <v>946</v>
      </c>
      <c r="B157" t="s">
        <v>2525</v>
      </c>
      <c r="C157">
        <v>13</v>
      </c>
      <c r="D157" t="s">
        <v>785</v>
      </c>
      <c r="E157" s="2">
        <v>1813</v>
      </c>
      <c r="F157" s="2">
        <v>-3738</v>
      </c>
      <c r="G157" s="2">
        <v>118</v>
      </c>
      <c r="H157" s="28"/>
      <c r="I157" t="s">
        <v>2350</v>
      </c>
      <c r="L157" s="28"/>
      <c r="M157" s="28"/>
      <c r="N157" s="28"/>
      <c r="O157" s="28"/>
    </row>
    <row r="158" spans="1:15" x14ac:dyDescent="0.2">
      <c r="A158" t="s">
        <v>953</v>
      </c>
      <c r="B158" t="s">
        <v>2525</v>
      </c>
      <c r="C158">
        <v>13</v>
      </c>
      <c r="D158" t="s">
        <v>785</v>
      </c>
      <c r="E158" s="2">
        <v>1896</v>
      </c>
      <c r="F158" s="2">
        <v>-3111</v>
      </c>
      <c r="G158" s="2">
        <v>132</v>
      </c>
      <c r="H158" s="28"/>
      <c r="I158" t="s">
        <v>2355</v>
      </c>
      <c r="L158" s="28"/>
      <c r="M158" s="28"/>
      <c r="N158" s="28"/>
      <c r="O158" s="28"/>
    </row>
    <row r="159" spans="1:15" x14ac:dyDescent="0.2">
      <c r="A159" t="s">
        <v>958</v>
      </c>
      <c r="B159" t="s">
        <v>2525</v>
      </c>
      <c r="C159">
        <v>13</v>
      </c>
      <c r="D159" t="s">
        <v>785</v>
      </c>
      <c r="E159" s="2">
        <v>1203</v>
      </c>
      <c r="F159" s="2">
        <v>-3170</v>
      </c>
      <c r="G159" s="2">
        <v>25</v>
      </c>
      <c r="H159" s="28"/>
      <c r="I159" t="s">
        <v>2358</v>
      </c>
      <c r="L159" s="28"/>
      <c r="M159" s="28"/>
      <c r="N159" s="28"/>
      <c r="O159" s="28"/>
    </row>
    <row r="160" spans="1:15" x14ac:dyDescent="0.2">
      <c r="A160" t="s">
        <v>980</v>
      </c>
      <c r="B160" t="s">
        <v>2525</v>
      </c>
      <c r="C160">
        <v>13</v>
      </c>
      <c r="D160" t="s">
        <v>785</v>
      </c>
      <c r="E160" s="2">
        <v>1446</v>
      </c>
      <c r="F160" s="2">
        <v>-3483</v>
      </c>
      <c r="G160" s="2">
        <v>77</v>
      </c>
      <c r="H160" s="28"/>
      <c r="I160" t="s">
        <v>2379</v>
      </c>
      <c r="L160" s="28"/>
      <c r="M160" s="28"/>
      <c r="N160" s="28"/>
      <c r="O160" s="28"/>
    </row>
    <row r="161" spans="1:15" x14ac:dyDescent="0.2">
      <c r="A161" t="s">
        <v>852</v>
      </c>
      <c r="B161" t="s">
        <v>2526</v>
      </c>
      <c r="C161" s="19">
        <v>14</v>
      </c>
      <c r="D161" t="s">
        <v>785</v>
      </c>
      <c r="E161" s="2">
        <v>-2584</v>
      </c>
      <c r="F161" s="2">
        <v>-3638</v>
      </c>
      <c r="G161" s="2">
        <v>-47</v>
      </c>
      <c r="H161" s="28"/>
      <c r="I161" t="s">
        <v>3164</v>
      </c>
      <c r="L161" s="28"/>
      <c r="M161" s="28"/>
      <c r="N161" s="28"/>
      <c r="O161" s="28"/>
    </row>
    <row r="162" spans="1:15" x14ac:dyDescent="0.2">
      <c r="A162" t="s">
        <v>852</v>
      </c>
      <c r="B162" t="s">
        <v>2527</v>
      </c>
      <c r="C162" s="19">
        <v>14</v>
      </c>
      <c r="D162" t="s">
        <v>785</v>
      </c>
      <c r="E162" s="2">
        <v>-2535</v>
      </c>
      <c r="F162" s="2">
        <v>-3626</v>
      </c>
      <c r="G162" s="2">
        <v>-48</v>
      </c>
      <c r="H162" s="28"/>
      <c r="I162" t="s">
        <v>3165</v>
      </c>
      <c r="L162" s="28"/>
      <c r="M162" s="28"/>
      <c r="N162" s="28"/>
      <c r="O162" s="28"/>
    </row>
    <row r="163" spans="1:15" x14ac:dyDescent="0.2">
      <c r="A163" t="s">
        <v>852</v>
      </c>
      <c r="B163" t="s">
        <v>2528</v>
      </c>
      <c r="C163" s="19">
        <v>14</v>
      </c>
      <c r="D163" t="s">
        <v>785</v>
      </c>
      <c r="E163" s="2">
        <v>-2480</v>
      </c>
      <c r="F163" s="2">
        <v>-3632</v>
      </c>
      <c r="G163" s="2">
        <v>-46</v>
      </c>
      <c r="H163" s="28"/>
      <c r="I163" t="s">
        <v>3166</v>
      </c>
      <c r="L163" s="28"/>
      <c r="M163" s="28"/>
      <c r="N163" s="28"/>
      <c r="O163" s="28"/>
    </row>
    <row r="164" spans="1:15" x14ac:dyDescent="0.2">
      <c r="A164" t="s">
        <v>852</v>
      </c>
      <c r="B164" t="s">
        <v>2529</v>
      </c>
      <c r="C164" s="19">
        <v>14</v>
      </c>
      <c r="D164" t="s">
        <v>785</v>
      </c>
      <c r="E164" s="2">
        <v>-2604</v>
      </c>
      <c r="F164" s="2">
        <v>-3709</v>
      </c>
      <c r="G164" s="2">
        <v>-49</v>
      </c>
      <c r="H164" s="28"/>
      <c r="I164" t="s">
        <v>3167</v>
      </c>
      <c r="L164" s="28"/>
      <c r="M164" s="28"/>
      <c r="N164" s="28"/>
      <c r="O164" s="28"/>
    </row>
    <row r="165" spans="1:15" x14ac:dyDescent="0.2">
      <c r="A165" t="s">
        <v>852</v>
      </c>
      <c r="B165" t="s">
        <v>2530</v>
      </c>
      <c r="C165" s="19">
        <v>14</v>
      </c>
      <c r="D165" t="s">
        <v>785</v>
      </c>
      <c r="E165" s="2">
        <v>-2564</v>
      </c>
      <c r="F165" s="2">
        <v>-3681</v>
      </c>
      <c r="G165" s="2">
        <v>-48</v>
      </c>
      <c r="H165" s="28"/>
      <c r="I165" t="s">
        <v>3168</v>
      </c>
      <c r="L165" s="28"/>
      <c r="M165" s="28"/>
      <c r="N165" s="28"/>
      <c r="O165" s="28"/>
    </row>
    <row r="166" spans="1:15" x14ac:dyDescent="0.2">
      <c r="A166" t="s">
        <v>852</v>
      </c>
      <c r="B166" t="s">
        <v>2531</v>
      </c>
      <c r="C166" s="19">
        <v>14</v>
      </c>
      <c r="D166" t="s">
        <v>785</v>
      </c>
      <c r="E166" s="2">
        <v>-2518</v>
      </c>
      <c r="F166" s="2">
        <v>-3671</v>
      </c>
      <c r="G166" s="2">
        <v>-47</v>
      </c>
      <c r="H166" s="28"/>
      <c r="I166" t="s">
        <v>3169</v>
      </c>
      <c r="L166" s="28"/>
      <c r="M166" s="28"/>
      <c r="N166" s="28"/>
      <c r="O166" s="28"/>
    </row>
    <row r="167" spans="1:15" x14ac:dyDescent="0.2">
      <c r="A167" t="s">
        <v>852</v>
      </c>
      <c r="B167" t="s">
        <v>2532</v>
      </c>
      <c r="C167" s="19">
        <v>14</v>
      </c>
      <c r="D167" t="s">
        <v>785</v>
      </c>
      <c r="E167" s="2">
        <v>-2451</v>
      </c>
      <c r="F167" s="2">
        <v>-3676</v>
      </c>
      <c r="G167" s="2">
        <v>-46</v>
      </c>
      <c r="H167" s="28"/>
      <c r="I167" t="s">
        <v>3170</v>
      </c>
      <c r="L167" s="28"/>
      <c r="M167" s="28"/>
      <c r="N167" s="28"/>
      <c r="O167" s="28"/>
    </row>
    <row r="168" spans="1:15" x14ac:dyDescent="0.2">
      <c r="A168" t="s">
        <v>852</v>
      </c>
      <c r="B168" t="s">
        <v>2533</v>
      </c>
      <c r="C168" s="19">
        <v>14</v>
      </c>
      <c r="D168" t="s">
        <v>785</v>
      </c>
      <c r="E168" s="2">
        <v>-2570</v>
      </c>
      <c r="F168" s="2">
        <v>-3744</v>
      </c>
      <c r="G168" s="2">
        <v>-51</v>
      </c>
      <c r="H168" s="28"/>
      <c r="I168" t="s">
        <v>3171</v>
      </c>
      <c r="L168" s="28"/>
      <c r="M168" s="28"/>
      <c r="N168" s="28"/>
      <c r="O168" s="28"/>
    </row>
    <row r="169" spans="1:15" x14ac:dyDescent="0.2">
      <c r="A169" t="s">
        <v>852</v>
      </c>
      <c r="B169" t="s">
        <v>2534</v>
      </c>
      <c r="C169" s="19">
        <v>14</v>
      </c>
      <c r="D169" t="s">
        <v>785</v>
      </c>
      <c r="E169" s="2">
        <v>-2521</v>
      </c>
      <c r="F169" s="2">
        <v>-3724</v>
      </c>
      <c r="G169" s="2">
        <v>-47</v>
      </c>
      <c r="H169" s="28"/>
      <c r="I169" t="s">
        <v>3172</v>
      </c>
      <c r="L169" s="28"/>
      <c r="M169" s="28"/>
      <c r="N169" s="28"/>
      <c r="O169" s="28"/>
    </row>
    <row r="170" spans="1:15" x14ac:dyDescent="0.2">
      <c r="A170" t="s">
        <v>852</v>
      </c>
      <c r="B170" t="s">
        <v>2535</v>
      </c>
      <c r="C170" s="19">
        <v>14</v>
      </c>
      <c r="D170" t="s">
        <v>785</v>
      </c>
      <c r="E170" s="2">
        <v>-2477</v>
      </c>
      <c r="F170" s="2">
        <v>-3709</v>
      </c>
      <c r="G170" s="2">
        <v>-47</v>
      </c>
      <c r="H170" s="28"/>
      <c r="I170" t="s">
        <v>3173</v>
      </c>
      <c r="L170" s="28"/>
      <c r="M170" s="28"/>
      <c r="N170" s="28"/>
      <c r="O170" s="28"/>
    </row>
    <row r="171" spans="1:15" x14ac:dyDescent="0.2">
      <c r="A171" t="s">
        <v>852</v>
      </c>
      <c r="B171" t="s">
        <v>2536</v>
      </c>
      <c r="C171" s="19">
        <v>14</v>
      </c>
      <c r="D171" t="s">
        <v>785</v>
      </c>
      <c r="E171" s="2">
        <v>-2530</v>
      </c>
      <c r="F171" s="2">
        <v>-3769</v>
      </c>
      <c r="G171" s="2">
        <v>-46</v>
      </c>
      <c r="H171" s="28"/>
      <c r="I171" t="s">
        <v>3174</v>
      </c>
      <c r="L171" s="28"/>
      <c r="M171" s="28"/>
      <c r="N171" s="28"/>
      <c r="O171" s="28"/>
    </row>
    <row r="172" spans="1:15" x14ac:dyDescent="0.2">
      <c r="A172" t="s">
        <v>852</v>
      </c>
      <c r="B172" t="s">
        <v>2537</v>
      </c>
      <c r="C172" s="19">
        <v>14</v>
      </c>
      <c r="D172" t="s">
        <v>785</v>
      </c>
      <c r="E172" s="2">
        <v>-2480</v>
      </c>
      <c r="F172" s="2">
        <v>-3758</v>
      </c>
      <c r="G172" s="2">
        <v>-46</v>
      </c>
      <c r="H172" s="28"/>
      <c r="I172" t="s">
        <v>3175</v>
      </c>
      <c r="L172" s="28"/>
      <c r="M172" s="28"/>
      <c r="N172" s="28"/>
      <c r="O172" s="28"/>
    </row>
    <row r="173" spans="1:15" x14ac:dyDescent="0.2">
      <c r="A173" t="s">
        <v>854</v>
      </c>
      <c r="B173" t="s">
        <v>2525</v>
      </c>
      <c r="C173" s="19">
        <v>14</v>
      </c>
      <c r="D173" t="s">
        <v>785</v>
      </c>
      <c r="E173" s="2">
        <v>-3099</v>
      </c>
      <c r="F173" s="2">
        <v>-3063</v>
      </c>
      <c r="G173" s="2">
        <v>-51</v>
      </c>
      <c r="H173" s="28"/>
      <c r="I173" t="s">
        <v>2287</v>
      </c>
      <c r="L173" s="28"/>
      <c r="M173" s="28"/>
      <c r="N173" s="28"/>
      <c r="O173" s="28"/>
    </row>
    <row r="174" spans="1:15" x14ac:dyDescent="0.2">
      <c r="A174" t="s">
        <v>865</v>
      </c>
      <c r="B174" t="s">
        <v>2525</v>
      </c>
      <c r="C174" s="19">
        <v>14</v>
      </c>
      <c r="D174" t="s">
        <v>785</v>
      </c>
      <c r="E174" s="2">
        <v>-3679</v>
      </c>
      <c r="F174" s="2">
        <v>-3255</v>
      </c>
      <c r="G174" s="2">
        <v>-18</v>
      </c>
      <c r="H174" s="28"/>
      <c r="I174" t="s">
        <v>2293</v>
      </c>
      <c r="L174" s="28"/>
      <c r="M174" s="28"/>
      <c r="N174" s="28"/>
      <c r="O174" s="28"/>
    </row>
    <row r="175" spans="1:15" x14ac:dyDescent="0.2">
      <c r="A175" t="s">
        <v>882</v>
      </c>
      <c r="B175" t="s">
        <v>2525</v>
      </c>
      <c r="C175">
        <v>14</v>
      </c>
      <c r="D175" t="s">
        <v>785</v>
      </c>
      <c r="E175" s="2">
        <v>-2696</v>
      </c>
      <c r="F175" s="2">
        <v>-2808</v>
      </c>
      <c r="G175" s="2">
        <v>-67</v>
      </c>
      <c r="H175" s="28"/>
      <c r="I175" t="s">
        <v>2305</v>
      </c>
      <c r="L175" s="28"/>
      <c r="M175" s="28"/>
      <c r="N175" s="28"/>
      <c r="O175" s="28"/>
    </row>
    <row r="176" spans="1:15" x14ac:dyDescent="0.2">
      <c r="A176" t="s">
        <v>889</v>
      </c>
      <c r="B176" t="s">
        <v>2542</v>
      </c>
      <c r="C176">
        <v>14</v>
      </c>
      <c r="D176" t="s">
        <v>785</v>
      </c>
      <c r="E176" s="2">
        <v>-2676</v>
      </c>
      <c r="F176" s="2">
        <v>-2402</v>
      </c>
      <c r="G176" s="2">
        <v>79</v>
      </c>
      <c r="H176" s="28"/>
      <c r="I176" t="s">
        <v>3176</v>
      </c>
      <c r="L176" s="28"/>
      <c r="M176" s="28"/>
      <c r="N176" s="28"/>
      <c r="O176" s="28"/>
    </row>
    <row r="177" spans="1:15" x14ac:dyDescent="0.2">
      <c r="A177" t="s">
        <v>889</v>
      </c>
      <c r="B177" t="s">
        <v>2543</v>
      </c>
      <c r="C177">
        <v>14</v>
      </c>
      <c r="D177" t="s">
        <v>785</v>
      </c>
      <c r="E177" s="2">
        <v>-2611</v>
      </c>
      <c r="F177" s="2">
        <v>-2604</v>
      </c>
      <c r="G177" s="2">
        <v>112</v>
      </c>
      <c r="H177" s="28"/>
      <c r="I177" t="s">
        <v>3177</v>
      </c>
      <c r="L177" s="28"/>
      <c r="M177" s="28"/>
      <c r="N177" s="28"/>
      <c r="O177" s="28"/>
    </row>
    <row r="178" spans="1:15" x14ac:dyDescent="0.2">
      <c r="A178" t="s">
        <v>2124</v>
      </c>
      <c r="B178" t="s">
        <v>2525</v>
      </c>
      <c r="C178" s="19">
        <v>14</v>
      </c>
      <c r="D178" t="s">
        <v>785</v>
      </c>
      <c r="E178" s="2">
        <v>-4814</v>
      </c>
      <c r="F178" s="2">
        <v>-3875</v>
      </c>
      <c r="G178" s="2">
        <v>-1</v>
      </c>
      <c r="H178" s="28"/>
      <c r="I178" t="s">
        <v>2312</v>
      </c>
      <c r="L178" s="28"/>
      <c r="M178" s="28"/>
      <c r="N178" s="28"/>
      <c r="O178" s="28"/>
    </row>
    <row r="179" spans="1:15" x14ac:dyDescent="0.2">
      <c r="A179" t="s">
        <v>891</v>
      </c>
      <c r="B179" t="s">
        <v>2542</v>
      </c>
      <c r="C179" s="19">
        <v>14</v>
      </c>
      <c r="D179" t="s">
        <v>785</v>
      </c>
      <c r="E179" s="2">
        <v>-3763</v>
      </c>
      <c r="F179" s="2">
        <v>-2420</v>
      </c>
      <c r="G179" s="2">
        <v>24</v>
      </c>
      <c r="H179" s="28"/>
      <c r="I179" t="s">
        <v>3178</v>
      </c>
      <c r="L179" s="28"/>
      <c r="M179" s="28"/>
      <c r="N179" s="28"/>
      <c r="O179" s="28"/>
    </row>
    <row r="180" spans="1:15" x14ac:dyDescent="0.2">
      <c r="A180" t="s">
        <v>891</v>
      </c>
      <c r="B180" t="s">
        <v>2543</v>
      </c>
      <c r="C180" s="19">
        <v>14</v>
      </c>
      <c r="D180" t="s">
        <v>785</v>
      </c>
      <c r="E180" s="2">
        <v>-3763</v>
      </c>
      <c r="F180" s="2">
        <v>-2698</v>
      </c>
      <c r="G180" s="2">
        <v>35</v>
      </c>
      <c r="H180" s="28"/>
      <c r="I180" t="s">
        <v>3179</v>
      </c>
      <c r="L180" s="28"/>
      <c r="M180" s="28"/>
      <c r="N180" s="28"/>
      <c r="O180" s="28"/>
    </row>
    <row r="181" spans="1:15" x14ac:dyDescent="0.2">
      <c r="A181" t="s">
        <v>906</v>
      </c>
      <c r="B181" t="s">
        <v>2542</v>
      </c>
      <c r="C181">
        <v>14</v>
      </c>
      <c r="D181" t="s">
        <v>785</v>
      </c>
      <c r="E181" s="2">
        <v>-2258</v>
      </c>
      <c r="F181" s="2">
        <v>-1759</v>
      </c>
      <c r="G181" s="2">
        <v>56</v>
      </c>
      <c r="H181" s="28"/>
      <c r="I181" t="s">
        <v>3180</v>
      </c>
      <c r="L181" s="28"/>
      <c r="M181" s="28"/>
      <c r="N181" s="28"/>
      <c r="O181" s="28"/>
    </row>
    <row r="182" spans="1:15" x14ac:dyDescent="0.2">
      <c r="A182" t="s">
        <v>906</v>
      </c>
      <c r="B182" t="s">
        <v>2543</v>
      </c>
      <c r="C182">
        <v>14</v>
      </c>
      <c r="D182" t="s">
        <v>785</v>
      </c>
      <c r="E182" s="2">
        <v>-2173</v>
      </c>
      <c r="F182" s="2">
        <v>-1841</v>
      </c>
      <c r="G182" s="2">
        <v>126</v>
      </c>
      <c r="H182" s="28"/>
      <c r="I182" t="s">
        <v>3181</v>
      </c>
      <c r="L182" s="28"/>
      <c r="M182" s="28"/>
      <c r="N182" s="28"/>
      <c r="O182" s="28"/>
    </row>
    <row r="183" spans="1:15" x14ac:dyDescent="0.2">
      <c r="A183" t="s">
        <v>916</v>
      </c>
      <c r="B183" t="s">
        <v>2525</v>
      </c>
      <c r="C183">
        <v>14</v>
      </c>
      <c r="D183" t="s">
        <v>785</v>
      </c>
      <c r="E183" s="2">
        <v>-1744</v>
      </c>
      <c r="F183" s="2">
        <v>-2394</v>
      </c>
      <c r="G183" s="2">
        <v>-11</v>
      </c>
      <c r="H183" s="28"/>
      <c r="I183" t="s">
        <v>2332</v>
      </c>
      <c r="L183" s="28"/>
      <c r="M183" s="28"/>
      <c r="N183" s="28"/>
      <c r="O183" s="28"/>
    </row>
    <row r="184" spans="1:15" x14ac:dyDescent="0.2">
      <c r="A184" t="s">
        <v>924</v>
      </c>
      <c r="B184" t="s">
        <v>2542</v>
      </c>
      <c r="C184">
        <v>14</v>
      </c>
      <c r="D184" t="s">
        <v>785</v>
      </c>
      <c r="E184" s="2">
        <v>-1967</v>
      </c>
      <c r="F184" s="2">
        <v>-2059</v>
      </c>
      <c r="G184" s="2">
        <v>30</v>
      </c>
      <c r="H184" s="28"/>
      <c r="I184" t="s">
        <v>3182</v>
      </c>
      <c r="L184" s="28"/>
      <c r="M184" s="28"/>
      <c r="N184" s="28"/>
      <c r="O184" s="28"/>
    </row>
    <row r="185" spans="1:15" x14ac:dyDescent="0.2">
      <c r="A185" t="s">
        <v>924</v>
      </c>
      <c r="B185" t="s">
        <v>2543</v>
      </c>
      <c r="C185">
        <v>14</v>
      </c>
      <c r="D185" t="s">
        <v>785</v>
      </c>
      <c r="E185" s="2">
        <v>-1795</v>
      </c>
      <c r="F185" s="2">
        <v>-1961</v>
      </c>
      <c r="G185" s="2">
        <v>31</v>
      </c>
      <c r="H185" s="28"/>
      <c r="I185" t="s">
        <v>3183</v>
      </c>
      <c r="L185" s="28"/>
      <c r="M185" s="28"/>
      <c r="N185" s="28"/>
      <c r="O185" s="28"/>
    </row>
    <row r="186" spans="1:15" x14ac:dyDescent="0.2">
      <c r="A186" t="s">
        <v>925</v>
      </c>
      <c r="B186" t="s">
        <v>2525</v>
      </c>
      <c r="C186">
        <v>14</v>
      </c>
      <c r="D186" t="s">
        <v>785</v>
      </c>
      <c r="E186" s="2">
        <v>-1726</v>
      </c>
      <c r="F186" s="2">
        <v>-2183</v>
      </c>
      <c r="G186" s="2">
        <v>5</v>
      </c>
      <c r="H186" s="28"/>
      <c r="I186" t="s">
        <v>2337</v>
      </c>
      <c r="L186" s="28"/>
      <c r="M186" s="28"/>
      <c r="N186" s="28"/>
      <c r="O186" s="28"/>
    </row>
    <row r="187" spans="1:15" x14ac:dyDescent="0.2">
      <c r="A187" t="s">
        <v>2123</v>
      </c>
      <c r="B187" t="s">
        <v>2525</v>
      </c>
      <c r="C187" s="19">
        <v>14</v>
      </c>
      <c r="D187" t="s">
        <v>785</v>
      </c>
      <c r="E187" s="2">
        <v>-3354</v>
      </c>
      <c r="F187" s="2">
        <v>-2693</v>
      </c>
      <c r="G187" s="2">
        <v>-4</v>
      </c>
      <c r="H187" s="28"/>
      <c r="I187" t="s">
        <v>2341</v>
      </c>
      <c r="L187" s="28"/>
      <c r="M187" s="28"/>
      <c r="N187" s="28"/>
      <c r="O187" s="28"/>
    </row>
    <row r="188" spans="1:15" x14ac:dyDescent="0.2">
      <c r="A188" t="s">
        <v>943</v>
      </c>
      <c r="B188" t="s">
        <v>2525</v>
      </c>
      <c r="C188" s="19">
        <v>14</v>
      </c>
      <c r="D188" t="s">
        <v>785</v>
      </c>
      <c r="E188" s="2">
        <v>-3238</v>
      </c>
      <c r="F188" s="2">
        <v>-2939</v>
      </c>
      <c r="G188" s="2">
        <v>-65</v>
      </c>
      <c r="H188" s="28"/>
      <c r="I188" t="s">
        <v>2349</v>
      </c>
      <c r="L188" s="28"/>
      <c r="M188" s="28"/>
      <c r="N188" s="28"/>
      <c r="O188" s="28"/>
    </row>
    <row r="189" spans="1:15" x14ac:dyDescent="0.2">
      <c r="A189" t="s">
        <v>963</v>
      </c>
      <c r="B189" t="s">
        <v>2525</v>
      </c>
      <c r="C189" s="19">
        <v>14</v>
      </c>
      <c r="D189" t="s">
        <v>785</v>
      </c>
      <c r="E189" s="2">
        <v>-2939</v>
      </c>
      <c r="F189" s="2">
        <v>-3857</v>
      </c>
      <c r="G189" s="2">
        <v>-37</v>
      </c>
      <c r="H189" s="28"/>
      <c r="I189" t="s">
        <v>2363</v>
      </c>
      <c r="L189" s="28"/>
      <c r="M189" s="28"/>
      <c r="N189" s="28"/>
      <c r="O189" s="28"/>
    </row>
    <row r="190" spans="1:15" x14ac:dyDescent="0.2">
      <c r="A190" t="s">
        <v>965</v>
      </c>
      <c r="B190" t="s">
        <v>2525</v>
      </c>
      <c r="C190">
        <v>14</v>
      </c>
      <c r="D190" t="s">
        <v>785</v>
      </c>
      <c r="E190" s="2">
        <v>-2215</v>
      </c>
      <c r="F190" s="2">
        <v>-2395</v>
      </c>
      <c r="G190" s="2">
        <v>247</v>
      </c>
      <c r="H190" s="28"/>
      <c r="I190" t="s">
        <v>2365</v>
      </c>
      <c r="L190" s="28"/>
      <c r="M190" s="28"/>
      <c r="N190" s="28"/>
      <c r="O190" s="28"/>
    </row>
    <row r="191" spans="1:15" x14ac:dyDescent="0.2">
      <c r="A191" t="s">
        <v>966</v>
      </c>
      <c r="B191" t="s">
        <v>2525</v>
      </c>
      <c r="C191">
        <v>14</v>
      </c>
      <c r="D191" t="s">
        <v>785</v>
      </c>
      <c r="E191" s="2">
        <v>-1527</v>
      </c>
      <c r="F191" s="2">
        <v>-2222</v>
      </c>
      <c r="G191" s="2">
        <v>-20</v>
      </c>
      <c r="H191" s="28"/>
      <c r="I191" t="s">
        <v>2366</v>
      </c>
      <c r="L191" s="28"/>
      <c r="M191" s="28"/>
      <c r="N191" s="28"/>
      <c r="O191" s="28"/>
    </row>
    <row r="192" spans="1:15" x14ac:dyDescent="0.2">
      <c r="A192" t="s">
        <v>969</v>
      </c>
      <c r="B192" t="s">
        <v>2525</v>
      </c>
      <c r="C192">
        <v>14</v>
      </c>
      <c r="D192" t="s">
        <v>785</v>
      </c>
      <c r="E192" s="2">
        <v>-2457</v>
      </c>
      <c r="F192" s="2">
        <v>-1798</v>
      </c>
      <c r="G192" s="2">
        <v>176</v>
      </c>
      <c r="H192" s="28"/>
      <c r="I192" t="s">
        <v>2369</v>
      </c>
      <c r="L192" s="28"/>
      <c r="M192" s="28"/>
      <c r="N192" s="28"/>
      <c r="O192" s="28"/>
    </row>
    <row r="193" spans="1:15" x14ac:dyDescent="0.2">
      <c r="A193" t="s">
        <v>987</v>
      </c>
      <c r="B193" t="s">
        <v>2525</v>
      </c>
      <c r="C193" s="19">
        <v>14</v>
      </c>
      <c r="D193" t="s">
        <v>785</v>
      </c>
      <c r="E193" s="2">
        <v>-3827</v>
      </c>
      <c r="F193" s="2">
        <v>-2650</v>
      </c>
      <c r="G193" s="2">
        <v>35</v>
      </c>
      <c r="H193" s="28"/>
      <c r="I193" t="s">
        <v>2383</v>
      </c>
      <c r="L193" s="28"/>
      <c r="M193" s="28"/>
      <c r="N193" s="28"/>
      <c r="O193" s="28"/>
    </row>
    <row r="194" spans="1:15" x14ac:dyDescent="0.2">
      <c r="A194" t="s">
        <v>989</v>
      </c>
      <c r="B194" t="s">
        <v>2525</v>
      </c>
      <c r="C194" s="19">
        <v>14</v>
      </c>
      <c r="D194" t="s">
        <v>785</v>
      </c>
      <c r="E194" s="2">
        <v>-4673</v>
      </c>
      <c r="F194" s="2">
        <v>-1986</v>
      </c>
      <c r="G194" s="2">
        <v>9</v>
      </c>
      <c r="H194" s="28"/>
      <c r="I194" t="s">
        <v>2384</v>
      </c>
      <c r="L194" s="28"/>
      <c r="M194" s="28"/>
      <c r="N194" s="28"/>
      <c r="O194" s="28"/>
    </row>
    <row r="195" spans="1:15" x14ac:dyDescent="0.2">
      <c r="A195" t="s">
        <v>993</v>
      </c>
      <c r="B195" t="s">
        <v>2525</v>
      </c>
      <c r="C195">
        <v>14</v>
      </c>
      <c r="D195" t="s">
        <v>785</v>
      </c>
      <c r="E195" s="2">
        <v>-2433</v>
      </c>
      <c r="F195" s="2">
        <v>-1819</v>
      </c>
      <c r="G195" s="2">
        <v>145</v>
      </c>
      <c r="H195" s="28"/>
      <c r="I195" t="s">
        <v>2388</v>
      </c>
      <c r="L195" s="28"/>
      <c r="M195" s="28"/>
      <c r="N195" s="28"/>
      <c r="O195" s="28"/>
    </row>
    <row r="196" spans="1:15" x14ac:dyDescent="0.2">
      <c r="A196" t="s">
        <v>919</v>
      </c>
      <c r="B196" t="s">
        <v>2525</v>
      </c>
      <c r="C196">
        <v>15</v>
      </c>
      <c r="D196" t="s">
        <v>785</v>
      </c>
      <c r="E196" s="2">
        <v>-3982</v>
      </c>
      <c r="F196" s="2">
        <v>-1245</v>
      </c>
      <c r="G196" s="2">
        <v>426</v>
      </c>
      <c r="H196" s="28"/>
      <c r="I196" t="s">
        <v>2335</v>
      </c>
      <c r="L196" s="28"/>
      <c r="M196" s="28"/>
      <c r="N196" s="28"/>
      <c r="O196" s="28"/>
    </row>
    <row r="197" spans="1:15" x14ac:dyDescent="0.2">
      <c r="A197" t="s">
        <v>926</v>
      </c>
      <c r="B197" t="s">
        <v>2525</v>
      </c>
      <c r="C197">
        <v>15</v>
      </c>
      <c r="D197" t="s">
        <v>785</v>
      </c>
      <c r="E197" s="2">
        <v>-3881</v>
      </c>
      <c r="F197" s="2">
        <v>-726</v>
      </c>
      <c r="G197" s="2">
        <v>569</v>
      </c>
      <c r="H197" s="28"/>
      <c r="I197" t="s">
        <v>2338</v>
      </c>
    </row>
    <row r="198" spans="1:15" x14ac:dyDescent="0.2">
      <c r="A198" t="s">
        <v>967</v>
      </c>
      <c r="B198" t="s">
        <v>2525</v>
      </c>
      <c r="C198">
        <v>15</v>
      </c>
      <c r="D198" t="s">
        <v>785</v>
      </c>
      <c r="E198" s="2">
        <v>-4384</v>
      </c>
      <c r="F198" s="2">
        <v>-536</v>
      </c>
      <c r="G198" s="2">
        <v>473</v>
      </c>
      <c r="H198" s="28"/>
      <c r="I198" t="s">
        <v>2367</v>
      </c>
    </row>
  </sheetData>
  <autoFilter ref="A1:I198" xr:uid="{9F268EE0-ED4E-D644-BE8D-34069771440A}">
    <sortState xmlns:xlrd2="http://schemas.microsoft.com/office/spreadsheetml/2017/richdata2" ref="A2:I198">
      <sortCondition ref="C1:C198"/>
    </sortState>
  </autoFilter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56292-572C-6940-86CF-28B5941B8F64}">
  <sheetPr codeName="Sheet12">
    <tabColor theme="9"/>
  </sheetPr>
  <dimension ref="A1:N37"/>
  <sheetViews>
    <sheetView topLeftCell="A20" workbookViewId="0">
      <selection activeCell="C38" sqref="C38"/>
    </sheetView>
  </sheetViews>
  <sheetFormatPr baseColWidth="10" defaultRowHeight="16" x14ac:dyDescent="0.2"/>
  <cols>
    <col min="1" max="1" width="31.5" bestFit="1" customWidth="1"/>
    <col min="2" max="2" width="7.33203125" bestFit="1" customWidth="1"/>
    <col min="3" max="3" width="25.33203125" bestFit="1" customWidth="1"/>
    <col min="4" max="4" width="10.6640625" style="2" bestFit="1" customWidth="1"/>
    <col min="6" max="8" width="10.83203125" style="2"/>
  </cols>
  <sheetData>
    <row r="1" spans="1:14" x14ac:dyDescent="0.2">
      <c r="A1" s="6" t="s">
        <v>781</v>
      </c>
      <c r="B1" s="6" t="s">
        <v>2129</v>
      </c>
      <c r="C1" s="6" t="s">
        <v>8</v>
      </c>
      <c r="D1" s="4" t="s">
        <v>2120</v>
      </c>
      <c r="E1" s="6" t="s">
        <v>777</v>
      </c>
      <c r="F1" s="4" t="s">
        <v>778</v>
      </c>
      <c r="G1" s="4" t="s">
        <v>779</v>
      </c>
      <c r="H1" s="4" t="s">
        <v>780</v>
      </c>
      <c r="I1" s="4" t="s">
        <v>2127</v>
      </c>
      <c r="J1" s="4" t="s">
        <v>2121</v>
      </c>
    </row>
    <row r="2" spans="1:14" x14ac:dyDescent="0.2">
      <c r="A2" t="s">
        <v>813</v>
      </c>
      <c r="C2" t="s">
        <v>797</v>
      </c>
      <c r="D2" s="2">
        <v>15</v>
      </c>
      <c r="E2" t="s">
        <v>785</v>
      </c>
      <c r="F2" s="2">
        <v>-3680</v>
      </c>
      <c r="G2" s="2">
        <v>-1853</v>
      </c>
      <c r="H2" s="2">
        <v>76</v>
      </c>
      <c r="J2" t="s">
        <v>2610</v>
      </c>
      <c r="M2" s="28" t="s">
        <v>808</v>
      </c>
      <c r="N2" t="str">
        <f>IF(COUNTIF(M:M,A2)=0,"OH NO","")</f>
        <v/>
      </c>
    </row>
    <row r="3" spans="1:14" x14ac:dyDescent="0.2">
      <c r="A3" t="s">
        <v>832</v>
      </c>
      <c r="C3" t="s">
        <v>801</v>
      </c>
      <c r="D3" s="2">
        <v>9</v>
      </c>
      <c r="E3" t="s">
        <v>785</v>
      </c>
      <c r="F3" s="2">
        <v>3272</v>
      </c>
      <c r="G3" s="2">
        <v>442</v>
      </c>
      <c r="H3" s="2">
        <v>-21</v>
      </c>
      <c r="J3" t="s">
        <v>2598</v>
      </c>
      <c r="M3" s="28" t="s">
        <v>809</v>
      </c>
      <c r="N3" t="str">
        <f>IF(COUNTIF(M:M,A3)=0,"OH NO","")</f>
        <v/>
      </c>
    </row>
    <row r="4" spans="1:14" x14ac:dyDescent="0.2">
      <c r="A4" t="s">
        <v>812</v>
      </c>
      <c r="C4" t="s">
        <v>1252</v>
      </c>
      <c r="D4" s="2">
        <v>7</v>
      </c>
      <c r="E4" t="s">
        <v>785</v>
      </c>
      <c r="F4" s="2">
        <v>2535</v>
      </c>
      <c r="G4" s="2">
        <v>2603</v>
      </c>
      <c r="H4" s="2">
        <v>644</v>
      </c>
      <c r="J4" t="s">
        <v>2592</v>
      </c>
      <c r="M4" s="28" t="s">
        <v>833</v>
      </c>
      <c r="N4" t="str">
        <f>IF(COUNTIF(M:M,A4)=0,"OH NO","")</f>
        <v/>
      </c>
    </row>
    <row r="5" spans="1:14" x14ac:dyDescent="0.2">
      <c r="A5" t="s">
        <v>1209</v>
      </c>
      <c r="C5" t="s">
        <v>789</v>
      </c>
      <c r="D5" s="2">
        <v>6</v>
      </c>
      <c r="E5" t="s">
        <v>785</v>
      </c>
      <c r="F5" s="2">
        <v>418</v>
      </c>
      <c r="G5" s="2">
        <v>2193</v>
      </c>
      <c r="H5" s="2">
        <v>144</v>
      </c>
      <c r="J5" t="s">
        <v>2589</v>
      </c>
      <c r="M5" s="28" t="s">
        <v>810</v>
      </c>
      <c r="N5" t="str">
        <f>IF(COUNTIF(M:M,A5)=0,"OH NO","")</f>
        <v/>
      </c>
    </row>
    <row r="6" spans="1:14" x14ac:dyDescent="0.2">
      <c r="A6" t="s">
        <v>1228</v>
      </c>
      <c r="C6" t="s">
        <v>789</v>
      </c>
      <c r="D6" s="2">
        <v>6</v>
      </c>
      <c r="E6" t="s">
        <v>785</v>
      </c>
      <c r="F6" s="2">
        <v>-63</v>
      </c>
      <c r="G6" s="2">
        <v>2984</v>
      </c>
      <c r="H6" s="2">
        <v>127</v>
      </c>
      <c r="J6" t="s">
        <v>2590</v>
      </c>
      <c r="M6" s="28" t="s">
        <v>812</v>
      </c>
      <c r="N6" t="str">
        <f>IF(COUNTIF(M:M,A6)=0,"OH NO","")</f>
        <v/>
      </c>
    </row>
    <row r="7" spans="1:14" x14ac:dyDescent="0.2">
      <c r="A7" t="s">
        <v>808</v>
      </c>
      <c r="C7" t="s">
        <v>1113</v>
      </c>
      <c r="D7" s="2">
        <v>8</v>
      </c>
      <c r="E7" t="s">
        <v>785</v>
      </c>
      <c r="F7" s="2">
        <v>4037</v>
      </c>
      <c r="G7" s="2">
        <v>2177</v>
      </c>
      <c r="H7" s="2">
        <v>29</v>
      </c>
      <c r="J7" t="s">
        <v>2594</v>
      </c>
      <c r="M7" s="28" t="s">
        <v>811</v>
      </c>
      <c r="N7" t="str">
        <f>IF(COUNTIF(M:M,A7)=0,"OH NO","")</f>
        <v/>
      </c>
    </row>
    <row r="8" spans="1:14" x14ac:dyDescent="0.2">
      <c r="A8" t="s">
        <v>814</v>
      </c>
      <c r="C8" t="s">
        <v>798</v>
      </c>
      <c r="D8" s="2">
        <v>14</v>
      </c>
      <c r="E8" t="s">
        <v>785</v>
      </c>
      <c r="F8" s="2">
        <v>-2491</v>
      </c>
      <c r="G8" s="2">
        <v>-3068</v>
      </c>
      <c r="H8" s="2">
        <v>81</v>
      </c>
      <c r="J8" t="s">
        <v>2608</v>
      </c>
      <c r="M8" s="28" t="s">
        <v>1488</v>
      </c>
      <c r="N8" t="str">
        <f>IF(COUNTIF(M:M,A8)=0,"OH NO","")</f>
        <v/>
      </c>
    </row>
    <row r="9" spans="1:14" x14ac:dyDescent="0.2">
      <c r="A9" t="s">
        <v>828</v>
      </c>
      <c r="C9" t="s">
        <v>803</v>
      </c>
      <c r="D9" s="2">
        <v>10</v>
      </c>
      <c r="E9" t="s">
        <v>785</v>
      </c>
      <c r="F9" s="2">
        <v>1974</v>
      </c>
      <c r="G9" s="2">
        <v>-855</v>
      </c>
      <c r="H9" s="2">
        <v>178</v>
      </c>
      <c r="J9" t="s">
        <v>2600</v>
      </c>
      <c r="M9" s="28" t="s">
        <v>813</v>
      </c>
      <c r="N9" t="str">
        <f>IF(COUNTIF(M:M,A9)=0,"OH NO","")</f>
        <v/>
      </c>
    </row>
    <row r="10" spans="1:14" x14ac:dyDescent="0.2">
      <c r="A10" t="s">
        <v>1260</v>
      </c>
      <c r="C10" t="s">
        <v>789</v>
      </c>
      <c r="D10" s="2">
        <v>6</v>
      </c>
      <c r="E10" t="s">
        <v>785</v>
      </c>
      <c r="F10" s="2">
        <v>-453</v>
      </c>
      <c r="G10" s="2">
        <v>1721</v>
      </c>
      <c r="H10" s="2">
        <v>169</v>
      </c>
      <c r="J10" t="s">
        <v>2591</v>
      </c>
      <c r="M10" s="28" t="s">
        <v>814</v>
      </c>
      <c r="N10" t="str">
        <f>IF(COUNTIF(M:M,A10)=0,"OH NO","")</f>
        <v/>
      </c>
    </row>
    <row r="11" spans="1:14" x14ac:dyDescent="0.2">
      <c r="A11" t="s">
        <v>1263</v>
      </c>
      <c r="C11" t="s">
        <v>805</v>
      </c>
      <c r="D11" s="2">
        <v>12</v>
      </c>
      <c r="E11" t="s">
        <v>785</v>
      </c>
      <c r="F11" s="2">
        <v>4507</v>
      </c>
      <c r="G11" s="2">
        <v>-3459</v>
      </c>
      <c r="H11" s="2">
        <v>-17</v>
      </c>
      <c r="J11" t="s">
        <v>2603</v>
      </c>
      <c r="M11" s="28" t="s">
        <v>815</v>
      </c>
      <c r="N11" t="str">
        <f>IF(COUNTIF(M:M,A11)=0,"OH NO","")</f>
        <v>OH NO</v>
      </c>
    </row>
    <row r="12" spans="1:14" x14ac:dyDescent="0.2">
      <c r="A12" t="s">
        <v>818</v>
      </c>
      <c r="C12" t="s">
        <v>2111</v>
      </c>
      <c r="D12" s="2">
        <v>2</v>
      </c>
      <c r="E12" t="s">
        <v>785</v>
      </c>
      <c r="F12" s="2">
        <v>-128</v>
      </c>
      <c r="G12" s="2">
        <v>-1658</v>
      </c>
      <c r="H12" s="2">
        <v>10</v>
      </c>
      <c r="J12" t="s">
        <v>2581</v>
      </c>
      <c r="M12" s="28" t="s">
        <v>816</v>
      </c>
      <c r="N12" t="str">
        <f>IF(COUNTIF(M:M,A12)=0,"OH NO","")</f>
        <v/>
      </c>
    </row>
    <row r="13" spans="1:14" x14ac:dyDescent="0.2">
      <c r="A13" t="s">
        <v>815</v>
      </c>
      <c r="C13" t="s">
        <v>797</v>
      </c>
      <c r="D13" s="2">
        <v>15</v>
      </c>
      <c r="E13" t="s">
        <v>785</v>
      </c>
      <c r="F13" s="2">
        <v>-4203</v>
      </c>
      <c r="G13" s="2">
        <v>-639</v>
      </c>
      <c r="H13" s="2">
        <v>682</v>
      </c>
      <c r="J13" t="s">
        <v>2611</v>
      </c>
      <c r="M13" s="28" t="s">
        <v>817</v>
      </c>
      <c r="N13" t="str">
        <f>IF(COUNTIF(M:M,A13)=0,"OH NO","")</f>
        <v/>
      </c>
    </row>
    <row r="14" spans="1:14" x14ac:dyDescent="0.2">
      <c r="A14" t="s">
        <v>819</v>
      </c>
      <c r="C14" t="s">
        <v>2111</v>
      </c>
      <c r="D14" s="2">
        <v>2</v>
      </c>
      <c r="E14" t="s">
        <v>785</v>
      </c>
      <c r="F14" s="2">
        <v>-450</v>
      </c>
      <c r="G14" s="2">
        <v>-1993</v>
      </c>
      <c r="H14" s="2">
        <v>71</v>
      </c>
      <c r="J14" t="s">
        <v>2582</v>
      </c>
      <c r="M14" s="28" t="s">
        <v>1209</v>
      </c>
      <c r="N14" t="str">
        <f>IF(COUNTIF(M:M,A14)=0,"OH NO","")</f>
        <v/>
      </c>
    </row>
    <row r="15" spans="1:14" x14ac:dyDescent="0.2">
      <c r="A15" t="s">
        <v>820</v>
      </c>
      <c r="C15" t="s">
        <v>2111</v>
      </c>
      <c r="D15" s="2">
        <v>2</v>
      </c>
      <c r="E15" t="s">
        <v>785</v>
      </c>
      <c r="F15" s="2">
        <v>-662</v>
      </c>
      <c r="G15" s="2">
        <v>-1510</v>
      </c>
      <c r="H15" s="2">
        <v>-518</v>
      </c>
      <c r="J15" t="s">
        <v>2583</v>
      </c>
      <c r="M15" s="28" t="s">
        <v>1228</v>
      </c>
      <c r="N15" t="str">
        <f>IF(COUNTIF(M:M,A15)=0,"OH NO","")</f>
        <v/>
      </c>
    </row>
    <row r="16" spans="1:14" x14ac:dyDescent="0.2">
      <c r="A16" t="s">
        <v>821</v>
      </c>
      <c r="C16" t="s">
        <v>2111</v>
      </c>
      <c r="D16" s="2">
        <v>2</v>
      </c>
      <c r="E16" t="s">
        <v>785</v>
      </c>
      <c r="F16" s="2">
        <v>-930</v>
      </c>
      <c r="G16" s="2">
        <v>-2316</v>
      </c>
      <c r="H16" s="2">
        <v>167</v>
      </c>
      <c r="J16" t="s">
        <v>2584</v>
      </c>
      <c r="M16" s="28" t="s">
        <v>1260</v>
      </c>
      <c r="N16" t="str">
        <f>IF(COUNTIF(M:M,A16)=0,"OH NO","")</f>
        <v/>
      </c>
    </row>
    <row r="17" spans="1:14" x14ac:dyDescent="0.2">
      <c r="A17" t="s">
        <v>822</v>
      </c>
      <c r="C17" t="s">
        <v>2111</v>
      </c>
      <c r="D17" s="2">
        <v>2</v>
      </c>
      <c r="E17" t="s">
        <v>785</v>
      </c>
      <c r="F17" s="2">
        <v>-1429</v>
      </c>
      <c r="G17" s="2">
        <v>-1993</v>
      </c>
      <c r="H17" s="2">
        <v>231</v>
      </c>
      <c r="J17" t="s">
        <v>2585</v>
      </c>
      <c r="M17" s="28" t="s">
        <v>1500</v>
      </c>
      <c r="N17" t="str">
        <f>IF(COUNTIF(M:M,A17)=0,"OH NO","")</f>
        <v/>
      </c>
    </row>
    <row r="18" spans="1:14" x14ac:dyDescent="0.2">
      <c r="A18" t="s">
        <v>829</v>
      </c>
      <c r="C18" t="s">
        <v>794</v>
      </c>
      <c r="D18" s="2">
        <v>13</v>
      </c>
      <c r="E18" t="s">
        <v>785</v>
      </c>
      <c r="F18" s="2">
        <v>222</v>
      </c>
      <c r="G18" s="2">
        <v>-2119</v>
      </c>
      <c r="H18" s="2">
        <v>53</v>
      </c>
      <c r="J18" t="s">
        <v>2605</v>
      </c>
      <c r="M18" s="28" t="s">
        <v>830</v>
      </c>
      <c r="N18" t="str">
        <f>IF(COUNTIF(M:M,A18)=0,"OH NO","")</f>
        <v/>
      </c>
    </row>
    <row r="19" spans="1:14" x14ac:dyDescent="0.2">
      <c r="A19" t="s">
        <v>823</v>
      </c>
      <c r="C19" t="s">
        <v>2110</v>
      </c>
      <c r="D19" s="2">
        <v>1</v>
      </c>
      <c r="E19" t="s">
        <v>785</v>
      </c>
      <c r="F19" s="2">
        <v>-254</v>
      </c>
      <c r="G19" s="2">
        <v>1012</v>
      </c>
      <c r="H19" s="2">
        <v>-65</v>
      </c>
      <c r="J19" t="str">
        <f>"{ name: "&amp;CHAR(34)&amp;A19&amp;CHAR(34)&amp;", landmark: "&amp;CHAR(34)&amp;"Chasm"&amp;CHAR(34)&amp;", type: "&amp;CHAR(34)&amp;B19&amp;CHAR(34)&amp;", region: "&amp;D19&amp;", level: "&amp;CHAR(34)&amp;E19&amp;CHAR(34)&amp;", x: "&amp;F19&amp;", y: "&amp;G19&amp;", z: "&amp;H19&amp;", details: "&amp;CHAR(34)&amp;I19&amp;CHAR(34)&amp;" },"</f>
        <v>{ name: "Hyrule Castle Chasm", landmark: "Chasm", type: "", region: 1, level: "Surface", x: -254, y: 1012, z: -65, details: "" },</v>
      </c>
      <c r="M19" s="28" t="s">
        <v>818</v>
      </c>
      <c r="N19" t="str">
        <f>IF(COUNTIF(M:M,A19)=0,"OH NO","")</f>
        <v/>
      </c>
    </row>
    <row r="20" spans="1:14" x14ac:dyDescent="0.2">
      <c r="A20" t="s">
        <v>824</v>
      </c>
      <c r="C20" t="s">
        <v>2110</v>
      </c>
      <c r="D20" s="2">
        <v>1</v>
      </c>
      <c r="E20" t="s">
        <v>785</v>
      </c>
      <c r="F20" s="2">
        <v>170</v>
      </c>
      <c r="G20" s="2">
        <v>882</v>
      </c>
      <c r="H20" s="2">
        <v>9</v>
      </c>
      <c r="J20" t="s">
        <v>2578</v>
      </c>
      <c r="M20" s="28" t="s">
        <v>819</v>
      </c>
      <c r="N20" t="str">
        <f>IF(COUNTIF(M:M,A20)=0,"OH NO","")</f>
        <v/>
      </c>
    </row>
    <row r="21" spans="1:14" x14ac:dyDescent="0.2">
      <c r="A21" t="s">
        <v>1380</v>
      </c>
      <c r="C21" t="s">
        <v>2110</v>
      </c>
      <c r="D21" s="2">
        <v>1</v>
      </c>
      <c r="E21" t="s">
        <v>785</v>
      </c>
      <c r="F21" s="2">
        <v>-923</v>
      </c>
      <c r="G21" s="2">
        <v>667</v>
      </c>
      <c r="H21" s="2">
        <v>15</v>
      </c>
      <c r="J21" t="s">
        <v>2579</v>
      </c>
      <c r="M21" s="28" t="s">
        <v>820</v>
      </c>
      <c r="N21" t="str">
        <f>IF(COUNTIF(M:M,A21)=0,"OH NO","")</f>
        <v/>
      </c>
    </row>
    <row r="22" spans="1:14" x14ac:dyDescent="0.2">
      <c r="A22" t="s">
        <v>825</v>
      </c>
      <c r="C22" t="s">
        <v>2110</v>
      </c>
      <c r="D22" s="2">
        <v>1</v>
      </c>
      <c r="E22" t="s">
        <v>785</v>
      </c>
      <c r="F22" s="2">
        <v>-251</v>
      </c>
      <c r="G22" s="2">
        <v>-305</v>
      </c>
      <c r="H22" s="2">
        <v>-479</v>
      </c>
      <c r="J22" t="s">
        <v>2580</v>
      </c>
      <c r="M22" s="28" t="s">
        <v>821</v>
      </c>
      <c r="N22" t="str">
        <f>IF(COUNTIF(M:M,A22)=0,"OH NO","")</f>
        <v/>
      </c>
    </row>
    <row r="23" spans="1:14" x14ac:dyDescent="0.2">
      <c r="A23" t="s">
        <v>826</v>
      </c>
      <c r="C23" t="s">
        <v>787</v>
      </c>
      <c r="D23" s="2">
        <v>3</v>
      </c>
      <c r="E23" t="s">
        <v>785</v>
      </c>
      <c r="F23" s="2">
        <v>-2645</v>
      </c>
      <c r="G23" s="2">
        <v>1126</v>
      </c>
      <c r="H23" s="2">
        <v>175</v>
      </c>
      <c r="J23" t="s">
        <v>2586</v>
      </c>
      <c r="M23" s="28" t="s">
        <v>822</v>
      </c>
      <c r="N23" t="str">
        <f>IF(COUNTIF(M:M,A23)=0,"OH NO","")</f>
        <v/>
      </c>
    </row>
    <row r="24" spans="1:14" x14ac:dyDescent="0.2">
      <c r="A24" t="s">
        <v>1422</v>
      </c>
      <c r="C24" t="s">
        <v>794</v>
      </c>
      <c r="D24" s="2">
        <v>13</v>
      </c>
      <c r="E24" t="s">
        <v>785</v>
      </c>
      <c r="F24" s="2">
        <v>-332</v>
      </c>
      <c r="G24" s="2">
        <v>-2598</v>
      </c>
      <c r="H24" s="2">
        <v>-52</v>
      </c>
      <c r="J24" t="s">
        <v>2606</v>
      </c>
      <c r="M24" s="28" t="s">
        <v>823</v>
      </c>
      <c r="N24" t="str">
        <f>IF(COUNTIF(M:M,A24)=0,"OH NO","")</f>
        <v>OH NO</v>
      </c>
    </row>
    <row r="25" spans="1:14" x14ac:dyDescent="0.2">
      <c r="A25" t="s">
        <v>1442</v>
      </c>
      <c r="C25" t="s">
        <v>803</v>
      </c>
      <c r="D25" s="2">
        <v>10</v>
      </c>
      <c r="E25" t="s">
        <v>785</v>
      </c>
      <c r="F25" s="2">
        <v>1727</v>
      </c>
      <c r="G25" s="2">
        <v>158</v>
      </c>
      <c r="H25" s="2">
        <v>-5</v>
      </c>
      <c r="J25" t="s">
        <v>2601</v>
      </c>
      <c r="M25" s="28" t="s">
        <v>824</v>
      </c>
      <c r="N25" t="str">
        <f>IF(COUNTIF(M:M,A25)=0,"OH NO","")</f>
        <v/>
      </c>
    </row>
    <row r="26" spans="1:14" x14ac:dyDescent="0.2">
      <c r="A26" t="s">
        <v>833</v>
      </c>
      <c r="C26" t="s">
        <v>1113</v>
      </c>
      <c r="D26" s="2">
        <v>8</v>
      </c>
      <c r="E26" t="s">
        <v>785</v>
      </c>
      <c r="F26" s="2">
        <v>4663</v>
      </c>
      <c r="G26" s="2">
        <v>3697</v>
      </c>
      <c r="H26" s="2">
        <v>50</v>
      </c>
      <c r="J26" t="s">
        <v>2595</v>
      </c>
      <c r="M26" s="28" t="s">
        <v>1380</v>
      </c>
      <c r="N26" t="str">
        <f>IF(COUNTIF(M:M,A26)=0,"OH NO","")</f>
        <v/>
      </c>
    </row>
    <row r="27" spans="1:14" x14ac:dyDescent="0.2">
      <c r="A27" t="s">
        <v>1488</v>
      </c>
      <c r="C27" t="s">
        <v>805</v>
      </c>
      <c r="D27" s="2">
        <v>12</v>
      </c>
      <c r="E27" t="s">
        <v>785</v>
      </c>
      <c r="F27" s="2">
        <v>2513</v>
      </c>
      <c r="G27" s="2">
        <v>-2380</v>
      </c>
      <c r="H27" s="2">
        <v>131</v>
      </c>
      <c r="J27" t="s">
        <v>2604</v>
      </c>
      <c r="M27" s="28" t="s">
        <v>825</v>
      </c>
      <c r="N27" t="str">
        <f>IF(COUNTIF(M:M,A27)=0,"OH NO","")</f>
        <v/>
      </c>
    </row>
    <row r="28" spans="1:14" x14ac:dyDescent="0.2">
      <c r="A28" t="s">
        <v>1500</v>
      </c>
      <c r="C28" t="s">
        <v>1252</v>
      </c>
      <c r="D28" s="2">
        <v>7</v>
      </c>
      <c r="E28" t="s">
        <v>785</v>
      </c>
      <c r="F28" s="2">
        <v>1055</v>
      </c>
      <c r="G28" s="2">
        <v>1668</v>
      </c>
      <c r="H28" s="2">
        <v>150</v>
      </c>
      <c r="J28" t="s">
        <v>2593</v>
      </c>
      <c r="M28" s="28" t="s">
        <v>826</v>
      </c>
      <c r="N28" t="str">
        <f>IF(COUNTIF(M:M,A28)=0,"OH NO","")</f>
        <v/>
      </c>
    </row>
    <row r="29" spans="1:14" x14ac:dyDescent="0.2">
      <c r="A29" t="s">
        <v>827</v>
      </c>
      <c r="C29" t="s">
        <v>804</v>
      </c>
      <c r="D29" s="2">
        <v>11</v>
      </c>
      <c r="E29" t="s">
        <v>785</v>
      </c>
      <c r="F29" s="2">
        <v>3591</v>
      </c>
      <c r="G29" s="2">
        <v>-1341</v>
      </c>
      <c r="H29" s="2">
        <v>117</v>
      </c>
      <c r="J29" t="s">
        <v>2602</v>
      </c>
      <c r="M29" s="28" t="s">
        <v>832</v>
      </c>
      <c r="N29" t="str">
        <f>IF(COUNTIF(M:M,A29)=0,"OH NO","")</f>
        <v/>
      </c>
    </row>
    <row r="30" spans="1:14" x14ac:dyDescent="0.2">
      <c r="A30" t="s">
        <v>830</v>
      </c>
      <c r="C30" t="s">
        <v>1684</v>
      </c>
      <c r="D30" s="2">
        <v>5</v>
      </c>
      <c r="E30" t="s">
        <v>785</v>
      </c>
      <c r="F30" s="2">
        <v>-814</v>
      </c>
      <c r="G30" s="2">
        <v>3535</v>
      </c>
      <c r="H30" s="2">
        <v>235</v>
      </c>
      <c r="J30" t="s">
        <v>2588</v>
      </c>
      <c r="M30" s="28" t="s">
        <v>1442</v>
      </c>
      <c r="N30" t="str">
        <f>IF(COUNTIF(M:M,A30)=0,"OH NO","")</f>
        <v/>
      </c>
    </row>
    <row r="31" spans="1:14" x14ac:dyDescent="0.2">
      <c r="A31" t="s">
        <v>831</v>
      </c>
      <c r="C31" t="s">
        <v>800</v>
      </c>
      <c r="D31" s="2">
        <v>4</v>
      </c>
      <c r="E31" t="s">
        <v>785</v>
      </c>
      <c r="F31" s="2">
        <v>-3571</v>
      </c>
      <c r="G31" s="2">
        <v>1803</v>
      </c>
      <c r="H31" s="2">
        <v>123</v>
      </c>
      <c r="J31" t="s">
        <v>2587</v>
      </c>
      <c r="M31" s="28" t="s">
        <v>827</v>
      </c>
      <c r="N31" t="str">
        <f>IF(COUNTIF(M:M,A31)=0,"OH NO","")</f>
        <v/>
      </c>
    </row>
    <row r="32" spans="1:14" x14ac:dyDescent="0.2">
      <c r="A32" t="s">
        <v>811</v>
      </c>
      <c r="C32" t="s">
        <v>1113</v>
      </c>
      <c r="D32" s="2">
        <v>8</v>
      </c>
      <c r="E32" t="s">
        <v>785</v>
      </c>
      <c r="F32" s="2">
        <v>3248</v>
      </c>
      <c r="G32" s="2">
        <v>3441</v>
      </c>
      <c r="H32" s="2">
        <v>-43</v>
      </c>
      <c r="J32" t="s">
        <v>2596</v>
      </c>
      <c r="M32" s="28" t="s">
        <v>831</v>
      </c>
      <c r="N32" t="str">
        <f>IF(COUNTIF(M:M,A32)=0,"OH NO","")</f>
        <v/>
      </c>
    </row>
    <row r="33" spans="1:14" x14ac:dyDescent="0.2">
      <c r="A33" t="s">
        <v>809</v>
      </c>
      <c r="C33" t="s">
        <v>1113</v>
      </c>
      <c r="D33" s="2">
        <v>8</v>
      </c>
      <c r="E33" t="s">
        <v>785</v>
      </c>
      <c r="F33" s="2">
        <v>3284</v>
      </c>
      <c r="G33" s="2">
        <v>1303</v>
      </c>
      <c r="H33" s="2">
        <v>217</v>
      </c>
      <c r="J33" t="s">
        <v>2597</v>
      </c>
      <c r="M33" s="28" t="s">
        <v>828</v>
      </c>
      <c r="N33" t="str">
        <f>IF(COUNTIF(M:M,A33)=0,"OH NO","")</f>
        <v/>
      </c>
    </row>
    <row r="34" spans="1:14" x14ac:dyDescent="0.2">
      <c r="A34" t="s">
        <v>816</v>
      </c>
      <c r="C34" t="s">
        <v>798</v>
      </c>
      <c r="D34" s="2">
        <v>14</v>
      </c>
      <c r="E34" t="s">
        <v>785</v>
      </c>
      <c r="F34" s="2">
        <v>-1795</v>
      </c>
      <c r="G34" s="2">
        <v>-3462</v>
      </c>
      <c r="H34" s="2">
        <v>46</v>
      </c>
      <c r="J34" t="s">
        <v>2609</v>
      </c>
      <c r="M34" s="28" t="s">
        <v>829</v>
      </c>
      <c r="N34" t="str">
        <f>IF(COUNTIF(M:M,A34)=0,"OH NO","")</f>
        <v/>
      </c>
    </row>
    <row r="35" spans="1:14" x14ac:dyDescent="0.2">
      <c r="A35" t="s">
        <v>810</v>
      </c>
      <c r="C35" t="s">
        <v>801</v>
      </c>
      <c r="D35" s="2">
        <v>9</v>
      </c>
      <c r="E35" t="s">
        <v>785</v>
      </c>
      <c r="F35" s="2">
        <v>4708</v>
      </c>
      <c r="G35" s="2">
        <v>1308</v>
      </c>
      <c r="H35" s="2">
        <v>61</v>
      </c>
      <c r="J35" t="s">
        <v>2599</v>
      </c>
      <c r="M35" s="21"/>
      <c r="N35" t="str">
        <f>IF(COUNTIF(M:M,A35)=0,"OH NO","")</f>
        <v/>
      </c>
    </row>
    <row r="36" spans="1:14" x14ac:dyDescent="0.2">
      <c r="A36" t="s">
        <v>1710</v>
      </c>
      <c r="C36" t="s">
        <v>794</v>
      </c>
      <c r="D36" s="2">
        <v>13</v>
      </c>
      <c r="E36" t="s">
        <v>785</v>
      </c>
      <c r="F36" s="2">
        <v>1305</v>
      </c>
      <c r="G36" s="2">
        <v>-2397</v>
      </c>
      <c r="H36" s="2">
        <v>62</v>
      </c>
      <c r="J36" t="s">
        <v>2607</v>
      </c>
      <c r="M36" s="21"/>
      <c r="N36" t="str">
        <f>IF(COUNTIF(M:M,A36)=0,"OH NO","")</f>
        <v>OH NO</v>
      </c>
    </row>
    <row r="37" spans="1:14" x14ac:dyDescent="0.2">
      <c r="A37" t="s">
        <v>817</v>
      </c>
      <c r="C37" t="s">
        <v>797</v>
      </c>
      <c r="D37" s="2">
        <v>15</v>
      </c>
      <c r="E37" t="s">
        <v>785</v>
      </c>
      <c r="F37" s="2">
        <v>-3429</v>
      </c>
      <c r="G37" s="2">
        <v>-1334</v>
      </c>
      <c r="H37" s="2">
        <v>335</v>
      </c>
      <c r="J37" t="s">
        <v>2612</v>
      </c>
      <c r="M37" s="21"/>
      <c r="N37" t="str">
        <f>IF(COUNTIF(M:M,A37)=0,"OH NO","")</f>
        <v/>
      </c>
    </row>
  </sheetData>
  <autoFilter ref="A1:J37" xr:uid="{D3556292-572C-6940-86CF-28B5941B8F64}">
    <sortState xmlns:xlrd2="http://schemas.microsoft.com/office/spreadsheetml/2017/richdata2" ref="A2:J37">
      <sortCondition ref="A1:A37"/>
    </sortState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B9E3-8783-154E-9ABB-C6A7605FBA2B}">
  <sheetPr codeName="Sheet13">
    <tabColor theme="9"/>
  </sheetPr>
  <dimension ref="A1:L93"/>
  <sheetViews>
    <sheetView workbookViewId="0">
      <selection activeCell="D18" sqref="D15:D18"/>
    </sheetView>
  </sheetViews>
  <sheetFormatPr baseColWidth="10" defaultRowHeight="16" x14ac:dyDescent="0.2"/>
  <cols>
    <col min="1" max="1" width="30.83203125" bestFit="1" customWidth="1"/>
    <col min="2" max="2" width="7.33203125" bestFit="1" customWidth="1"/>
    <col min="5" max="7" width="10.83203125" style="2"/>
    <col min="8" max="8" width="58.3320312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4" t="s">
        <v>778</v>
      </c>
      <c r="F1" s="4" t="s">
        <v>779</v>
      </c>
      <c r="G1" s="4" t="s">
        <v>780</v>
      </c>
      <c r="H1" s="6" t="s">
        <v>2127</v>
      </c>
      <c r="I1" s="6" t="s">
        <v>2121</v>
      </c>
    </row>
    <row r="2" spans="1:9" x14ac:dyDescent="0.2">
      <c r="A2" s="21" t="s">
        <v>2640</v>
      </c>
      <c r="C2">
        <v>2</v>
      </c>
      <c r="D2" t="s">
        <v>785</v>
      </c>
      <c r="E2" s="2">
        <v>-1619</v>
      </c>
      <c r="F2" s="2">
        <v>-1888</v>
      </c>
      <c r="G2" s="2">
        <v>1</v>
      </c>
      <c r="H2" t="s">
        <v>2566</v>
      </c>
      <c r="I2" t="str">
        <f>"{ name: "&amp;CHAR(34)&amp;A2&amp;CHAR(34)&amp;", landmark: "&amp;CHAR(34)&amp;"Dispenser"&amp;CHAR(34)&amp;", type: "&amp;CHAR(34)&amp;B2&amp;CHAR(34)&amp;", region: "&amp;C2&amp;", level: "&amp;CHAR(34)&amp;D2&amp;CHAR(34)&amp;", x: "&amp;E2&amp;", y: "&amp;F2&amp;", z: "&amp;G2&amp;", details: "&amp;CHAR(34)&amp;H2&amp;CHAR(34)&amp;" },"</f>
        <v>{ name: "Gerudo Canyon Pass Dispenser", landmark: "Dispenser", type: "", region: 2, level: "Surface", x: -1619, y: -1888, z: 1, details: "Battery, Big Wheel, Portable Pot, Spring, Stake" },</v>
      </c>
    </row>
    <row r="3" spans="1:9" x14ac:dyDescent="0.2">
      <c r="A3" s="21" t="s">
        <v>2629</v>
      </c>
      <c r="C3">
        <v>2</v>
      </c>
      <c r="D3" t="s">
        <v>783</v>
      </c>
      <c r="E3" s="2">
        <v>-1212</v>
      </c>
      <c r="F3" s="2">
        <v>-1585</v>
      </c>
      <c r="G3" s="2">
        <v>1006</v>
      </c>
      <c r="H3" t="s">
        <v>2558</v>
      </c>
      <c r="I3" t="s">
        <v>2643</v>
      </c>
    </row>
    <row r="4" spans="1:9" x14ac:dyDescent="0.2">
      <c r="A4" s="21" t="s">
        <v>2616</v>
      </c>
      <c r="C4">
        <v>3</v>
      </c>
      <c r="D4" t="s">
        <v>783</v>
      </c>
      <c r="E4" s="2">
        <v>-2370</v>
      </c>
      <c r="F4" s="2">
        <v>781</v>
      </c>
      <c r="G4" s="2">
        <v>610</v>
      </c>
      <c r="H4" t="s">
        <v>2549</v>
      </c>
      <c r="I4" t="s">
        <v>2644</v>
      </c>
    </row>
    <row r="5" spans="1:9" x14ac:dyDescent="0.2">
      <c r="A5" s="21" t="s">
        <v>2623</v>
      </c>
      <c r="C5">
        <v>3</v>
      </c>
      <c r="D5" t="s">
        <v>783</v>
      </c>
      <c r="E5" s="2">
        <v>-3612</v>
      </c>
      <c r="F5" s="2">
        <v>1066</v>
      </c>
      <c r="G5" s="2">
        <v>1655</v>
      </c>
      <c r="H5" t="s">
        <v>2570</v>
      </c>
      <c r="I5" t="s">
        <v>2645</v>
      </c>
    </row>
    <row r="6" spans="1:9" x14ac:dyDescent="0.2">
      <c r="A6" s="21" t="s">
        <v>2633</v>
      </c>
      <c r="C6">
        <v>3</v>
      </c>
      <c r="D6" t="s">
        <v>783</v>
      </c>
      <c r="E6" s="2">
        <v>-3455</v>
      </c>
      <c r="F6" s="2">
        <v>393</v>
      </c>
      <c r="G6" s="2">
        <v>1694</v>
      </c>
      <c r="H6" t="s">
        <v>2561</v>
      </c>
      <c r="I6" t="s">
        <v>2646</v>
      </c>
    </row>
    <row r="7" spans="1:9" x14ac:dyDescent="0.2">
      <c r="A7" s="21" t="s">
        <v>2637</v>
      </c>
      <c r="C7">
        <v>4</v>
      </c>
      <c r="D7" t="s">
        <v>783</v>
      </c>
      <c r="E7" s="2">
        <v>-3803</v>
      </c>
      <c r="F7" s="2">
        <v>2766</v>
      </c>
      <c r="G7" s="2">
        <v>701</v>
      </c>
      <c r="H7" t="s">
        <v>2564</v>
      </c>
      <c r="I7" t="s">
        <v>2647</v>
      </c>
    </row>
    <row r="8" spans="1:9" x14ac:dyDescent="0.2">
      <c r="A8" s="21" t="s">
        <v>2619</v>
      </c>
      <c r="C8">
        <v>5</v>
      </c>
      <c r="D8" t="s">
        <v>783</v>
      </c>
      <c r="E8" s="2">
        <v>-1705</v>
      </c>
      <c r="F8" s="2">
        <v>3371</v>
      </c>
      <c r="G8" s="2">
        <v>947</v>
      </c>
      <c r="H8" t="s">
        <v>2569</v>
      </c>
      <c r="I8" t="s">
        <v>2648</v>
      </c>
    </row>
    <row r="9" spans="1:9" x14ac:dyDescent="0.2">
      <c r="A9" s="21" t="s">
        <v>2615</v>
      </c>
      <c r="C9">
        <v>6</v>
      </c>
      <c r="D9" t="s">
        <v>783</v>
      </c>
      <c r="E9" s="2">
        <v>215</v>
      </c>
      <c r="F9" s="2">
        <v>1981</v>
      </c>
      <c r="G9" s="2">
        <v>754</v>
      </c>
      <c r="H9" t="s">
        <v>2548</v>
      </c>
      <c r="I9" t="s">
        <v>2649</v>
      </c>
    </row>
    <row r="10" spans="1:9" x14ac:dyDescent="0.2">
      <c r="A10" s="21" t="s">
        <v>2624</v>
      </c>
      <c r="C10">
        <v>6</v>
      </c>
      <c r="D10" t="s">
        <v>783</v>
      </c>
      <c r="E10" s="2">
        <v>443</v>
      </c>
      <c r="F10" s="2">
        <v>2821</v>
      </c>
      <c r="G10" s="2">
        <v>1819</v>
      </c>
      <c r="H10" t="s">
        <v>2554</v>
      </c>
      <c r="I10" t="s">
        <v>2650</v>
      </c>
    </row>
    <row r="11" spans="1:9" x14ac:dyDescent="0.2">
      <c r="A11" s="21" t="s">
        <v>2613</v>
      </c>
      <c r="C11">
        <v>7</v>
      </c>
      <c r="D11" t="s">
        <v>1002</v>
      </c>
      <c r="E11" s="2">
        <v>2190</v>
      </c>
      <c r="F11" s="2">
        <v>2640</v>
      </c>
      <c r="G11" s="2">
        <v>-963</v>
      </c>
      <c r="H11" t="s">
        <v>2547</v>
      </c>
      <c r="I11" t="s">
        <v>2651</v>
      </c>
    </row>
    <row r="12" spans="1:9" x14ac:dyDescent="0.2">
      <c r="A12" s="21" t="s">
        <v>2628</v>
      </c>
      <c r="C12">
        <v>7</v>
      </c>
      <c r="D12" t="s">
        <v>783</v>
      </c>
      <c r="E12" s="2">
        <v>1983</v>
      </c>
      <c r="F12" s="2">
        <v>1221</v>
      </c>
      <c r="G12" s="2">
        <v>1250</v>
      </c>
      <c r="H12" t="s">
        <v>2557</v>
      </c>
      <c r="I12" t="s">
        <v>2652</v>
      </c>
    </row>
    <row r="13" spans="1:9" x14ac:dyDescent="0.2">
      <c r="A13" s="21" t="s">
        <v>2626</v>
      </c>
      <c r="C13">
        <v>8</v>
      </c>
      <c r="D13" t="s">
        <v>783</v>
      </c>
      <c r="E13" s="2">
        <v>4557</v>
      </c>
      <c r="F13" s="2">
        <v>2076</v>
      </c>
      <c r="G13" s="2">
        <v>1154</v>
      </c>
      <c r="H13" t="s">
        <v>2556</v>
      </c>
      <c r="I13" t="s">
        <v>2653</v>
      </c>
    </row>
    <row r="14" spans="1:9" x14ac:dyDescent="0.2">
      <c r="A14" s="21" t="s">
        <v>2627</v>
      </c>
      <c r="C14">
        <v>8</v>
      </c>
      <c r="D14" t="s">
        <v>783</v>
      </c>
      <c r="E14" s="2">
        <v>3755</v>
      </c>
      <c r="F14" s="2">
        <v>1542</v>
      </c>
      <c r="G14" s="2">
        <v>1156</v>
      </c>
      <c r="H14" t="s">
        <v>2572</v>
      </c>
      <c r="I14" t="s">
        <v>2654</v>
      </c>
    </row>
    <row r="15" spans="1:9" x14ac:dyDescent="0.2">
      <c r="A15" s="21" t="s">
        <v>2641</v>
      </c>
      <c r="C15">
        <v>8</v>
      </c>
      <c r="D15" t="s">
        <v>785</v>
      </c>
      <c r="E15" s="2">
        <v>3807</v>
      </c>
      <c r="F15" s="2">
        <v>1561</v>
      </c>
      <c r="G15" s="2">
        <v>89</v>
      </c>
      <c r="H15" t="s">
        <v>2567</v>
      </c>
      <c r="I15" t="s">
        <v>2655</v>
      </c>
    </row>
    <row r="16" spans="1:9" x14ac:dyDescent="0.2">
      <c r="A16" s="21" t="s">
        <v>2622</v>
      </c>
      <c r="C16">
        <v>9</v>
      </c>
      <c r="D16" t="s">
        <v>783</v>
      </c>
      <c r="E16" s="2">
        <v>2915</v>
      </c>
      <c r="F16" s="2">
        <v>502</v>
      </c>
      <c r="G16" s="2">
        <v>950</v>
      </c>
      <c r="H16" t="s">
        <v>2553</v>
      </c>
      <c r="I16" t="s">
        <v>2656</v>
      </c>
    </row>
    <row r="17" spans="1:9" x14ac:dyDescent="0.2">
      <c r="A17" s="21" t="s">
        <v>2636</v>
      </c>
      <c r="C17">
        <v>9</v>
      </c>
      <c r="D17" t="s">
        <v>783</v>
      </c>
      <c r="E17" s="2">
        <v>3430</v>
      </c>
      <c r="F17" s="2">
        <v>636</v>
      </c>
      <c r="G17" s="2">
        <v>1316</v>
      </c>
      <c r="H17" t="s">
        <v>2575</v>
      </c>
      <c r="I17" t="s">
        <v>2657</v>
      </c>
    </row>
    <row r="18" spans="1:9" x14ac:dyDescent="0.2">
      <c r="A18" s="21" t="s">
        <v>2642</v>
      </c>
      <c r="C18">
        <v>10</v>
      </c>
      <c r="D18" t="s">
        <v>785</v>
      </c>
      <c r="E18" s="2">
        <v>1838</v>
      </c>
      <c r="F18" s="2">
        <v>-1093</v>
      </c>
      <c r="G18" s="2">
        <v>154</v>
      </c>
      <c r="H18" t="s">
        <v>2565</v>
      </c>
      <c r="I18" t="s">
        <v>2658</v>
      </c>
    </row>
    <row r="19" spans="1:9" x14ac:dyDescent="0.2">
      <c r="A19" s="21" t="s">
        <v>2625</v>
      </c>
      <c r="C19">
        <v>10</v>
      </c>
      <c r="D19" t="s">
        <v>783</v>
      </c>
      <c r="E19" s="2">
        <v>1778</v>
      </c>
      <c r="F19" s="2">
        <v>-1096</v>
      </c>
      <c r="G19" s="2">
        <v>917</v>
      </c>
      <c r="H19" t="s">
        <v>2555</v>
      </c>
      <c r="I19" t="s">
        <v>2659</v>
      </c>
    </row>
    <row r="20" spans="1:9" x14ac:dyDescent="0.2">
      <c r="A20" s="21" t="s">
        <v>2638</v>
      </c>
      <c r="C20">
        <v>10</v>
      </c>
      <c r="D20" t="s">
        <v>783</v>
      </c>
      <c r="E20" s="2">
        <v>1344</v>
      </c>
      <c r="F20" s="2">
        <v>-2151</v>
      </c>
      <c r="G20" s="2">
        <v>584</v>
      </c>
      <c r="H20" t="s">
        <v>2574</v>
      </c>
      <c r="I20" t="s">
        <v>2660</v>
      </c>
    </row>
    <row r="21" spans="1:9" x14ac:dyDescent="0.2">
      <c r="A21" s="21" t="s">
        <v>2639</v>
      </c>
      <c r="C21">
        <v>10</v>
      </c>
      <c r="D21" t="s">
        <v>783</v>
      </c>
      <c r="E21" s="2">
        <v>2320</v>
      </c>
      <c r="F21" s="2">
        <v>-1718</v>
      </c>
      <c r="G21" s="2">
        <v>1484</v>
      </c>
      <c r="H21" t="s">
        <v>2576</v>
      </c>
      <c r="I21" t="s">
        <v>2661</v>
      </c>
    </row>
    <row r="22" spans="1:9" x14ac:dyDescent="0.2">
      <c r="A22" s="21" t="s">
        <v>2630</v>
      </c>
      <c r="C22">
        <v>11</v>
      </c>
      <c r="D22" t="s">
        <v>783</v>
      </c>
      <c r="E22" s="2">
        <v>4675</v>
      </c>
      <c r="F22" s="2">
        <v>-1029</v>
      </c>
      <c r="G22" s="2">
        <v>1788</v>
      </c>
      <c r="H22" t="s">
        <v>2559</v>
      </c>
      <c r="I22" t="s">
        <v>2662</v>
      </c>
    </row>
    <row r="23" spans="1:9" x14ac:dyDescent="0.2">
      <c r="A23" s="21" t="s">
        <v>2635</v>
      </c>
      <c r="C23">
        <v>11</v>
      </c>
      <c r="D23" t="s">
        <v>783</v>
      </c>
      <c r="E23" s="2">
        <v>4510</v>
      </c>
      <c r="F23" s="2">
        <v>-805</v>
      </c>
      <c r="G23" s="2">
        <v>1116</v>
      </c>
      <c r="H23" t="s">
        <v>2563</v>
      </c>
      <c r="I23" t="s">
        <v>2663</v>
      </c>
    </row>
    <row r="24" spans="1:9" x14ac:dyDescent="0.2">
      <c r="A24" s="21" t="s">
        <v>2631</v>
      </c>
      <c r="C24">
        <v>12</v>
      </c>
      <c r="D24" t="s">
        <v>783</v>
      </c>
      <c r="E24" s="2">
        <v>2851</v>
      </c>
      <c r="F24" s="2">
        <v>-2958</v>
      </c>
      <c r="G24" s="2">
        <v>1211</v>
      </c>
      <c r="H24" t="s">
        <v>2560</v>
      </c>
      <c r="I24" t="s">
        <v>2664</v>
      </c>
    </row>
    <row r="25" spans="1:9" x14ac:dyDescent="0.2">
      <c r="A25" s="21" t="s">
        <v>2614</v>
      </c>
      <c r="C25">
        <v>13</v>
      </c>
      <c r="D25" t="s">
        <v>1002</v>
      </c>
      <c r="E25" s="2">
        <v>1058</v>
      </c>
      <c r="F25" s="2">
        <v>-2320</v>
      </c>
      <c r="G25" s="2">
        <v>-553</v>
      </c>
      <c r="H25" t="s">
        <v>2571</v>
      </c>
      <c r="I25" t="s">
        <v>2665</v>
      </c>
    </row>
    <row r="26" spans="1:9" x14ac:dyDescent="0.2">
      <c r="A26" s="21" t="s">
        <v>2617</v>
      </c>
      <c r="C26">
        <v>13</v>
      </c>
      <c r="D26" t="s">
        <v>783</v>
      </c>
      <c r="E26" s="2">
        <v>1390</v>
      </c>
      <c r="F26" s="2">
        <v>-3239</v>
      </c>
      <c r="G26" s="2">
        <v>416</v>
      </c>
      <c r="H26" t="s">
        <v>2550</v>
      </c>
      <c r="I26" t="s">
        <v>2666</v>
      </c>
    </row>
    <row r="27" spans="1:9" x14ac:dyDescent="0.2">
      <c r="A27" s="21" t="s">
        <v>2620</v>
      </c>
      <c r="C27">
        <v>13</v>
      </c>
      <c r="D27" t="s">
        <v>783</v>
      </c>
      <c r="E27" s="2">
        <v>769</v>
      </c>
      <c r="F27" s="2">
        <v>-1259</v>
      </c>
      <c r="G27" s="2">
        <v>1578</v>
      </c>
      <c r="H27" t="s">
        <v>2551</v>
      </c>
      <c r="I27" t="s">
        <v>2667</v>
      </c>
    </row>
    <row r="28" spans="1:9" x14ac:dyDescent="0.2">
      <c r="A28" s="21" t="s">
        <v>2621</v>
      </c>
      <c r="C28">
        <v>13</v>
      </c>
      <c r="D28" t="s">
        <v>783</v>
      </c>
      <c r="E28" s="2">
        <v>435</v>
      </c>
      <c r="F28" s="2">
        <v>-1686</v>
      </c>
      <c r="G28" s="2">
        <v>1442</v>
      </c>
      <c r="H28" t="s">
        <v>2552</v>
      </c>
      <c r="I28" t="s">
        <v>2668</v>
      </c>
    </row>
    <row r="29" spans="1:9" x14ac:dyDescent="0.2">
      <c r="A29" s="21" t="s">
        <v>2634</v>
      </c>
      <c r="C29">
        <v>13</v>
      </c>
      <c r="D29" t="s">
        <v>783</v>
      </c>
      <c r="E29" s="2">
        <v>1104</v>
      </c>
      <c r="F29" s="2">
        <v>-3331</v>
      </c>
      <c r="G29" s="2">
        <v>827</v>
      </c>
      <c r="H29" t="s">
        <v>2562</v>
      </c>
      <c r="I29" t="s">
        <v>2669</v>
      </c>
    </row>
    <row r="30" spans="1:9" x14ac:dyDescent="0.2">
      <c r="A30" s="21" t="s">
        <v>2618</v>
      </c>
      <c r="C30">
        <v>14</v>
      </c>
      <c r="D30" t="s">
        <v>783</v>
      </c>
      <c r="E30" s="2">
        <v>-1771</v>
      </c>
      <c r="F30" s="2">
        <v>-2019</v>
      </c>
      <c r="G30" s="2">
        <v>1147</v>
      </c>
      <c r="H30" t="s">
        <v>2568</v>
      </c>
      <c r="I30" t="s">
        <v>2670</v>
      </c>
    </row>
    <row r="31" spans="1:9" x14ac:dyDescent="0.2">
      <c r="A31" s="21" t="s">
        <v>2632</v>
      </c>
      <c r="C31">
        <v>15</v>
      </c>
      <c r="D31" t="s">
        <v>783</v>
      </c>
      <c r="E31" s="2">
        <v>-3457</v>
      </c>
      <c r="F31" s="2">
        <v>-373</v>
      </c>
      <c r="G31" s="2">
        <v>1942</v>
      </c>
      <c r="H31" t="s">
        <v>2573</v>
      </c>
      <c r="I31" t="s">
        <v>2671</v>
      </c>
    </row>
    <row r="33" spans="8:12" x14ac:dyDescent="0.2">
      <c r="H33" s="2"/>
      <c r="I33" s="2"/>
      <c r="J33" s="2"/>
      <c r="K33" s="2"/>
      <c r="L33" s="2"/>
    </row>
    <row r="34" spans="8:12" x14ac:dyDescent="0.2">
      <c r="H34" s="2"/>
      <c r="I34" s="2"/>
      <c r="J34" s="2"/>
      <c r="K34" s="2"/>
      <c r="L34" s="2"/>
    </row>
    <row r="35" spans="8:12" x14ac:dyDescent="0.2">
      <c r="H35" s="2"/>
      <c r="I35" s="2"/>
      <c r="J35" s="2"/>
      <c r="K35" s="2"/>
      <c r="L35" s="2"/>
    </row>
    <row r="36" spans="8:12" x14ac:dyDescent="0.2">
      <c r="H36" s="2"/>
      <c r="I36" s="2"/>
      <c r="J36" s="2"/>
      <c r="K36" s="2"/>
      <c r="L36" s="2"/>
    </row>
    <row r="37" spans="8:12" x14ac:dyDescent="0.2">
      <c r="H37" s="2"/>
      <c r="I37" s="2"/>
      <c r="J37" s="2"/>
      <c r="K37" s="2"/>
      <c r="L37" s="2"/>
    </row>
    <row r="38" spans="8:12" x14ac:dyDescent="0.2">
      <c r="H38" s="2"/>
      <c r="I38" s="2"/>
      <c r="J38" s="2"/>
      <c r="K38" s="2"/>
      <c r="L38" s="2"/>
    </row>
    <row r="39" spans="8:12" x14ac:dyDescent="0.2">
      <c r="H39" s="2"/>
      <c r="I39" s="2"/>
      <c r="J39" s="2"/>
      <c r="K39" s="2"/>
      <c r="L39" s="2"/>
    </row>
    <row r="40" spans="8:12" x14ac:dyDescent="0.2">
      <c r="H40" s="2"/>
      <c r="I40" s="2"/>
      <c r="J40" s="2"/>
      <c r="K40" s="2"/>
      <c r="L40" s="2"/>
    </row>
    <row r="41" spans="8:12" x14ac:dyDescent="0.2">
      <c r="H41" s="2"/>
      <c r="I41" s="2"/>
      <c r="J41" s="2"/>
      <c r="K41" s="2"/>
      <c r="L41" s="2"/>
    </row>
    <row r="42" spans="8:12" x14ac:dyDescent="0.2">
      <c r="H42" s="2"/>
      <c r="I42" s="2"/>
      <c r="J42" s="2"/>
      <c r="K42" s="2"/>
      <c r="L42" s="2"/>
    </row>
    <row r="43" spans="8:12" x14ac:dyDescent="0.2">
      <c r="H43" s="2"/>
      <c r="I43" s="2"/>
      <c r="J43" s="2"/>
      <c r="K43" s="2"/>
      <c r="L43" s="2"/>
    </row>
    <row r="44" spans="8:12" x14ac:dyDescent="0.2">
      <c r="H44" s="2"/>
      <c r="I44" s="2"/>
      <c r="J44" s="2"/>
      <c r="K44" s="2"/>
      <c r="L44" s="2"/>
    </row>
    <row r="45" spans="8:12" x14ac:dyDescent="0.2">
      <c r="H45" s="2"/>
      <c r="I45" s="2"/>
      <c r="J45" s="2"/>
      <c r="K45" s="2"/>
      <c r="L45" s="2"/>
    </row>
    <row r="46" spans="8:12" x14ac:dyDescent="0.2">
      <c r="H46" s="2"/>
      <c r="I46" s="2"/>
      <c r="J46" s="2"/>
      <c r="K46" s="2"/>
      <c r="L46" s="2"/>
    </row>
    <row r="47" spans="8:12" x14ac:dyDescent="0.2">
      <c r="H47" s="2"/>
      <c r="I47" s="2"/>
      <c r="J47" s="2"/>
      <c r="K47" s="2"/>
      <c r="L47" s="2"/>
    </row>
    <row r="48" spans="8:12" x14ac:dyDescent="0.2">
      <c r="H48" s="2"/>
      <c r="I48" s="2"/>
      <c r="J48" s="2"/>
      <c r="K48" s="2"/>
      <c r="L48" s="2"/>
    </row>
    <row r="49" spans="5:12" x14ac:dyDescent="0.2">
      <c r="H49" s="2"/>
      <c r="I49" s="2"/>
      <c r="J49" s="2"/>
      <c r="K49" s="2"/>
      <c r="L49" s="2"/>
    </row>
    <row r="50" spans="5:12" x14ac:dyDescent="0.2">
      <c r="H50" s="2"/>
      <c r="I50" s="2"/>
      <c r="J50" s="2"/>
      <c r="K50" s="2"/>
      <c r="L50" s="2"/>
    </row>
    <row r="51" spans="5:12" x14ac:dyDescent="0.2">
      <c r="H51" s="2"/>
      <c r="I51" s="2"/>
      <c r="J51" s="2"/>
      <c r="K51" s="2"/>
      <c r="L51" s="2"/>
    </row>
    <row r="52" spans="5:12" x14ac:dyDescent="0.2">
      <c r="H52" s="2"/>
      <c r="I52" s="2"/>
      <c r="J52" s="2"/>
      <c r="K52" s="2"/>
      <c r="L52" s="2"/>
    </row>
    <row r="53" spans="5:12" x14ac:dyDescent="0.2">
      <c r="H53" s="2"/>
      <c r="I53" s="2"/>
      <c r="J53" s="2"/>
      <c r="K53" s="2"/>
      <c r="L53" s="2"/>
    </row>
    <row r="54" spans="5:12" x14ac:dyDescent="0.2">
      <c r="H54" s="2"/>
      <c r="I54" s="2"/>
      <c r="J54" s="2"/>
      <c r="K54" s="2"/>
      <c r="L54" s="2"/>
    </row>
    <row r="55" spans="5:12" x14ac:dyDescent="0.2">
      <c r="H55" s="2"/>
      <c r="I55" s="2"/>
      <c r="J55" s="2"/>
      <c r="K55" s="2"/>
      <c r="L55" s="2"/>
    </row>
    <row r="56" spans="5:12" x14ac:dyDescent="0.2">
      <c r="H56" s="2"/>
      <c r="I56" s="2"/>
      <c r="J56" s="2"/>
      <c r="K56" s="2"/>
      <c r="L56" s="2"/>
    </row>
    <row r="57" spans="5:12" x14ac:dyDescent="0.2">
      <c r="H57" s="2"/>
      <c r="I57" s="2"/>
      <c r="J57" s="2"/>
      <c r="K57" s="2"/>
      <c r="L57" s="2"/>
    </row>
    <row r="58" spans="5:12" x14ac:dyDescent="0.2">
      <c r="H58" s="2"/>
      <c r="I58" s="2"/>
      <c r="J58" s="2"/>
      <c r="K58" s="2"/>
      <c r="L58" s="2"/>
    </row>
    <row r="59" spans="5:12" x14ac:dyDescent="0.2">
      <c r="H59" s="2"/>
      <c r="I59" s="2"/>
      <c r="J59" s="2"/>
      <c r="K59" s="2"/>
      <c r="L59" s="2"/>
    </row>
    <row r="60" spans="5:12" x14ac:dyDescent="0.2">
      <c r="H60" s="2"/>
      <c r="I60" s="2"/>
      <c r="J60" s="2"/>
      <c r="K60" s="2"/>
      <c r="L60" s="2"/>
    </row>
    <row r="61" spans="5:12" x14ac:dyDescent="0.2">
      <c r="H61" s="2"/>
      <c r="I61" s="2"/>
      <c r="J61" s="2"/>
      <c r="K61" s="2"/>
      <c r="L61" s="2"/>
    </row>
    <row r="62" spans="5:12" x14ac:dyDescent="0.2">
      <c r="H62" s="2"/>
      <c r="I62" s="2"/>
      <c r="J62" s="2"/>
      <c r="K62" s="2"/>
      <c r="L62" s="2"/>
    </row>
    <row r="64" spans="5:12" x14ac:dyDescent="0.2">
      <c r="E64"/>
    </row>
    <row r="65" spans="5:5" x14ac:dyDescent="0.2">
      <c r="E65"/>
    </row>
    <row r="66" spans="5:5" x14ac:dyDescent="0.2">
      <c r="E66"/>
    </row>
    <row r="67" spans="5:5" x14ac:dyDescent="0.2">
      <c r="E67"/>
    </row>
    <row r="68" spans="5:5" x14ac:dyDescent="0.2">
      <c r="E68"/>
    </row>
    <row r="69" spans="5:5" x14ac:dyDescent="0.2">
      <c r="E69"/>
    </row>
    <row r="70" spans="5:5" x14ac:dyDescent="0.2">
      <c r="E70"/>
    </row>
    <row r="71" spans="5:5" x14ac:dyDescent="0.2">
      <c r="E71"/>
    </row>
    <row r="72" spans="5:5" x14ac:dyDescent="0.2">
      <c r="E72"/>
    </row>
    <row r="73" spans="5:5" x14ac:dyDescent="0.2">
      <c r="E73"/>
    </row>
    <row r="74" spans="5:5" x14ac:dyDescent="0.2">
      <c r="E74"/>
    </row>
    <row r="75" spans="5:5" x14ac:dyDescent="0.2">
      <c r="E75"/>
    </row>
    <row r="76" spans="5:5" x14ac:dyDescent="0.2">
      <c r="E76"/>
    </row>
    <row r="77" spans="5:5" x14ac:dyDescent="0.2">
      <c r="E77"/>
    </row>
    <row r="78" spans="5:5" x14ac:dyDescent="0.2">
      <c r="E78"/>
    </row>
    <row r="79" spans="5:5" x14ac:dyDescent="0.2">
      <c r="E79"/>
    </row>
    <row r="80" spans="5:5" x14ac:dyDescent="0.2">
      <c r="E80"/>
    </row>
    <row r="81" spans="5:5" x14ac:dyDescent="0.2">
      <c r="E81"/>
    </row>
    <row r="82" spans="5:5" x14ac:dyDescent="0.2">
      <c r="E82"/>
    </row>
    <row r="83" spans="5:5" x14ac:dyDescent="0.2">
      <c r="E83"/>
    </row>
    <row r="84" spans="5:5" x14ac:dyDescent="0.2">
      <c r="E84"/>
    </row>
    <row r="85" spans="5:5" x14ac:dyDescent="0.2">
      <c r="E85"/>
    </row>
    <row r="86" spans="5:5" x14ac:dyDescent="0.2">
      <c r="E86"/>
    </row>
    <row r="87" spans="5:5" x14ac:dyDescent="0.2">
      <c r="E87"/>
    </row>
    <row r="88" spans="5:5" x14ac:dyDescent="0.2">
      <c r="E88"/>
    </row>
    <row r="89" spans="5:5" x14ac:dyDescent="0.2">
      <c r="E89"/>
    </row>
    <row r="90" spans="5:5" x14ac:dyDescent="0.2">
      <c r="E90"/>
    </row>
    <row r="91" spans="5:5" x14ac:dyDescent="0.2">
      <c r="E91"/>
    </row>
    <row r="92" spans="5:5" x14ac:dyDescent="0.2">
      <c r="E92"/>
    </row>
    <row r="93" spans="5:5" x14ac:dyDescent="0.2">
      <c r="E93"/>
    </row>
  </sheetData>
  <autoFilter ref="A1:I30" xr:uid="{9224B9E3-8783-154E-9ABB-C6A7605FBA2B}">
    <sortState xmlns:xlrd2="http://schemas.microsoft.com/office/spreadsheetml/2017/richdata2" ref="A2:I30">
      <sortCondition ref="C1:C30"/>
    </sortState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DC08D-24C7-1C43-BA27-774C1FF9C429}">
  <sheetPr codeName="Sheet5">
    <tabColor theme="9"/>
  </sheetPr>
  <dimension ref="A1:I13"/>
  <sheetViews>
    <sheetView workbookViewId="0">
      <selection activeCell="I2" sqref="I2:I13"/>
    </sheetView>
  </sheetViews>
  <sheetFormatPr baseColWidth="10" defaultRowHeight="16" x14ac:dyDescent="0.2"/>
  <cols>
    <col min="1" max="1" width="14.164062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3207</v>
      </c>
      <c r="B2" t="s">
        <v>3206</v>
      </c>
      <c r="C2">
        <v>3</v>
      </c>
      <c r="D2" t="s">
        <v>785</v>
      </c>
      <c r="E2">
        <v>-1412</v>
      </c>
      <c r="F2">
        <v>965</v>
      </c>
      <c r="G2">
        <v>123</v>
      </c>
      <c r="I2" t="str">
        <f>"{ name: "&amp;CHAR(34)&amp;A2&amp;CHAR(34)&amp;", landmark: "&amp;CHAR(34)&amp;"Dragon Tear"&amp;CHAR(34)&amp;", type: "&amp;CHAR(34)&amp;B2&amp;CHAR(34)&amp;", region: "&amp;C2&amp;", level: "&amp;CHAR(34)&amp;D2&amp;CHAR(34)&amp;", x: "&amp;E2&amp;", y: "&amp;F2&amp;", z: "&amp;G2&amp;", details: "&amp;CHAR(34)&amp;H2&amp;CHAR(34)&amp;" },"</f>
        <v>{ name: "Dragon Tear #1", landmark: "Dragon Tear", type: "Rauru Geoglyph", region: 3, level: "Surface", x: -1412, y: 965, z: 123, details: "" },</v>
      </c>
    </row>
    <row r="3" spans="1:9" x14ac:dyDescent="0.2">
      <c r="A3" t="s">
        <v>3212</v>
      </c>
      <c r="B3" t="s">
        <v>3226</v>
      </c>
      <c r="C3">
        <v>3</v>
      </c>
      <c r="D3" t="s">
        <v>785</v>
      </c>
      <c r="E3">
        <v>-3096</v>
      </c>
      <c r="F3">
        <v>-77</v>
      </c>
      <c r="G3">
        <v>211</v>
      </c>
      <c r="I3" t="str">
        <f>"{ name: "&amp;CHAR(34)&amp;A3&amp;CHAR(34)&amp;", landmark: "&amp;CHAR(34)&amp;"Dragon Tear"&amp;CHAR(34)&amp;", type: "&amp;CHAR(34)&amp;B3&amp;CHAR(34)&amp;", region: "&amp;C3&amp;", level: "&amp;CHAR(34)&amp;D3&amp;CHAR(34)&amp;", x: "&amp;E3&amp;", y: "&amp;F3&amp;", z: "&amp;G3&amp;", details: "&amp;CHAR(34)&amp;H3&amp;CHAR(34)&amp;" },"</f>
        <v>{ name: "Dragon Tear #6", landmark: "Dragon Tear", type: "Sonia Geoglyph", region: 3, level: "Surface", x: -3096, y: -77, z: 211, details: "" },</v>
      </c>
    </row>
    <row r="4" spans="1:9" x14ac:dyDescent="0.2">
      <c r="A4" t="s">
        <v>3208</v>
      </c>
      <c r="B4" t="s">
        <v>3219</v>
      </c>
      <c r="C4">
        <v>5</v>
      </c>
      <c r="D4" t="s">
        <v>785</v>
      </c>
      <c r="E4">
        <v>-2550</v>
      </c>
      <c r="F4">
        <v>1887</v>
      </c>
      <c r="G4">
        <v>319</v>
      </c>
      <c r="I4" t="str">
        <f>"{ name: "&amp;CHAR(34)&amp;A4&amp;CHAR(34)&amp;", landmark: "&amp;CHAR(34)&amp;"Dragon Tear"&amp;CHAR(34)&amp;", type: "&amp;CHAR(34)&amp;B4&amp;CHAR(34)&amp;", region: "&amp;C4&amp;", level: "&amp;CHAR(34)&amp;D4&amp;CHAR(34)&amp;", x: "&amp;E4&amp;", y: "&amp;F4&amp;", z: "&amp;G4&amp;", details: "&amp;CHAR(34)&amp;H4&amp;CHAR(34)&amp;" },"</f>
        <v>{ name: "Dragon Tear #2", landmark: "Dragon Tear", type: "Castle Geoglyph", region: 5, level: "Surface", x: -2550, y: 1887, z: 319, details: "" },</v>
      </c>
    </row>
    <row r="5" spans="1:9" x14ac:dyDescent="0.2">
      <c r="A5" t="s">
        <v>3214</v>
      </c>
      <c r="B5" t="s">
        <v>3222</v>
      </c>
      <c r="C5">
        <v>5</v>
      </c>
      <c r="D5" t="s">
        <v>785</v>
      </c>
      <c r="E5">
        <v>-1863</v>
      </c>
      <c r="F5">
        <v>3621</v>
      </c>
      <c r="G5">
        <v>236</v>
      </c>
      <c r="I5" t="str">
        <f>"{ name: "&amp;CHAR(34)&amp;A5&amp;CHAR(34)&amp;", landmark: "&amp;CHAR(34)&amp;"Dragon Tear"&amp;CHAR(34)&amp;", type: "&amp;CHAR(34)&amp;B5&amp;CHAR(34)&amp;", region: "&amp;C5&amp;", level: "&amp;CHAR(34)&amp;D5&amp;CHAR(34)&amp;", x: "&amp;E5&amp;", y: "&amp;F5&amp;", z: "&amp;G5&amp;", details: "&amp;CHAR(34)&amp;H5&amp;CHAR(34)&amp;" },"</f>
        <v>{ name: "Dragon Tear #8", landmark: "Dragon Tear", type: "Demon King Geoglyph", region: 5, level: "Surface", x: -1863, y: 3621, z: 236, details: "" },</v>
      </c>
    </row>
    <row r="6" spans="1:9" x14ac:dyDescent="0.2">
      <c r="A6" t="s">
        <v>3217</v>
      </c>
      <c r="B6" t="s">
        <v>3224</v>
      </c>
      <c r="C6">
        <v>6</v>
      </c>
      <c r="D6" t="s">
        <v>785</v>
      </c>
      <c r="E6">
        <v>892</v>
      </c>
      <c r="F6">
        <v>2951</v>
      </c>
      <c r="G6">
        <v>362</v>
      </c>
      <c r="I6" t="str">
        <f>"{ name: "&amp;CHAR(34)&amp;A6&amp;CHAR(34)&amp;", landmark: "&amp;CHAR(34)&amp;"Dragon Tear"&amp;CHAR(34)&amp;", type: "&amp;CHAR(34)&amp;B6&amp;CHAR(34)&amp;", region: "&amp;C6&amp;", level: "&amp;CHAR(34)&amp;D6&amp;CHAR(34)&amp;", x: "&amp;E6&amp;", y: "&amp;F6&amp;", z: "&amp;G6&amp;", details: "&amp;CHAR(34)&amp;H6&amp;CHAR(34)&amp;" },"</f>
        <v>{ name: "Dragon Tear #11", landmark: "Dragon Tear", type: "Master Sword Geoglyph", region: 6, level: "Surface", x: 892, y: 2951, z: 362, details: "" },</v>
      </c>
    </row>
    <row r="7" spans="1:9" x14ac:dyDescent="0.2">
      <c r="A7" t="s">
        <v>3209</v>
      </c>
      <c r="B7" t="s">
        <v>3220</v>
      </c>
      <c r="C7">
        <v>7</v>
      </c>
      <c r="D7" t="s">
        <v>785</v>
      </c>
      <c r="E7">
        <v>1829</v>
      </c>
      <c r="F7">
        <v>737</v>
      </c>
      <c r="G7">
        <v>89</v>
      </c>
      <c r="I7" t="str">
        <f>"{ name: "&amp;CHAR(34)&amp;A7&amp;CHAR(34)&amp;", landmark: "&amp;CHAR(34)&amp;"Dragon Tear"&amp;CHAR(34)&amp;", type: "&amp;CHAR(34)&amp;B7&amp;CHAR(34)&amp;", region: "&amp;C7&amp;", level: "&amp;CHAR(34)&amp;D7&amp;CHAR(34)&amp;", x: "&amp;E7&amp;", y: "&amp;F7&amp;", z: "&amp;G7&amp;", details: "&amp;CHAR(34)&amp;H7&amp;CHAR(34)&amp;" },"</f>
        <v>{ name: "Dragon Tear #3", landmark: "Dragon Tear", type: "Purah Pad Geoglyph", region: 7, level: "Surface", x: 1829, y: 737, z: 89, details: "" },</v>
      </c>
    </row>
    <row r="8" spans="1:9" x14ac:dyDescent="0.2">
      <c r="A8" t="s">
        <v>3218</v>
      </c>
      <c r="B8" t="s">
        <v>3225</v>
      </c>
      <c r="C8">
        <v>8</v>
      </c>
      <c r="D8" t="s">
        <v>785</v>
      </c>
      <c r="E8">
        <v>4534</v>
      </c>
      <c r="F8">
        <v>2143</v>
      </c>
      <c r="G8">
        <v>0</v>
      </c>
      <c r="I8" t="str">
        <f>"{ name: "&amp;CHAR(34)&amp;A8&amp;CHAR(34)&amp;", landmark: "&amp;CHAR(34)&amp;"Dragon Tear"&amp;CHAR(34)&amp;", type: "&amp;CHAR(34)&amp;B8&amp;CHAR(34)&amp;", region: "&amp;C8&amp;", level: "&amp;CHAR(34)&amp;D8&amp;CHAR(34)&amp;", x: "&amp;E8&amp;", y: "&amp;F8&amp;", z: "&amp;G8&amp;", details: "&amp;CHAR(34)&amp;H8&amp;CHAR(34)&amp;" },"</f>
        <v>{ name: "Dragon Tear #12", landmark: "Dragon Tear", type: "Final Tear Geoglyph", region: 8, level: "Surface", x: 4534, y: 2143, z: 0, details: "" },</v>
      </c>
    </row>
    <row r="9" spans="1:9" x14ac:dyDescent="0.2">
      <c r="A9" t="s">
        <v>3215</v>
      </c>
      <c r="B9" t="s">
        <v>3229</v>
      </c>
      <c r="C9">
        <v>9</v>
      </c>
      <c r="D9" t="s">
        <v>785</v>
      </c>
      <c r="E9">
        <v>4468</v>
      </c>
      <c r="F9">
        <v>-304</v>
      </c>
      <c r="G9">
        <v>74</v>
      </c>
      <c r="I9" t="str">
        <f>"{ name: "&amp;CHAR(34)&amp;A9&amp;CHAR(34)&amp;", landmark: "&amp;CHAR(34)&amp;"Dragon Tear"&amp;CHAR(34)&amp;", type: "&amp;CHAR(34)&amp;B9&amp;CHAR(34)&amp;", region: "&amp;C9&amp;", level: "&amp;CHAR(34)&amp;D9&amp;CHAR(34)&amp;", x: "&amp;E9&amp;", y: "&amp;F9&amp;", z: "&amp;G9&amp;", details: "&amp;CHAR(34)&amp;H9&amp;CHAR(34)&amp;" },"</f>
        <v>{ name: "Dragon Tear #9", landmark: "Dragon Tear", type: "Sacred Stone Geoglyph", region: 9, level: "Surface", x: 4468, y: -304, z: 74, details: "" },</v>
      </c>
    </row>
    <row r="10" spans="1:9" x14ac:dyDescent="0.2">
      <c r="A10" t="s">
        <v>3213</v>
      </c>
      <c r="B10" t="s">
        <v>3228</v>
      </c>
      <c r="C10">
        <v>12</v>
      </c>
      <c r="D10" t="s">
        <v>785</v>
      </c>
      <c r="E10">
        <v>3325</v>
      </c>
      <c r="F10">
        <v>-3567</v>
      </c>
      <c r="G10">
        <v>4</v>
      </c>
      <c r="I10" t="str">
        <f>"{ name: "&amp;CHAR(34)&amp;A10&amp;CHAR(34)&amp;", landmark: "&amp;CHAR(34)&amp;"Dragon Tear"&amp;CHAR(34)&amp;", type: "&amp;CHAR(34)&amp;B10&amp;CHAR(34)&amp;", region: "&amp;C10&amp;", level: "&amp;CHAR(34)&amp;D10&amp;CHAR(34)&amp;", x: "&amp;E10&amp;", y: "&amp;F10&amp;", z: "&amp;G10&amp;", details: "&amp;CHAR(34)&amp;H10&amp;CHAR(34)&amp;" },"</f>
        <v>{ name: "Dragon Tear #7", landmark: "Dragon Tear", type: "Scimitar Geoglyph", region: 12, level: "Surface", x: 3325, y: -3567, z: 4, details: "" },</v>
      </c>
    </row>
    <row r="11" spans="1:9" x14ac:dyDescent="0.2">
      <c r="A11" t="s">
        <v>3210</v>
      </c>
      <c r="B11" t="s">
        <v>3221</v>
      </c>
      <c r="C11">
        <v>13</v>
      </c>
      <c r="D11" t="s">
        <v>785</v>
      </c>
      <c r="E11">
        <v>694</v>
      </c>
      <c r="F11">
        <v>-1309</v>
      </c>
      <c r="G11">
        <v>53</v>
      </c>
      <c r="I11" t="str">
        <f>"{ name: "&amp;CHAR(34)&amp;A11&amp;CHAR(34)&amp;", landmark: "&amp;CHAR(34)&amp;"Dragon Tear"&amp;CHAR(34)&amp;", type: "&amp;CHAR(34)&amp;B11&amp;CHAR(34)&amp;", region: "&amp;C11&amp;", level: "&amp;CHAR(34)&amp;D11&amp;CHAR(34)&amp;", x: "&amp;E11&amp;", y: "&amp;F11&amp;", z: "&amp;G11&amp;", details: "&amp;CHAR(34)&amp;H11&amp;CHAR(34)&amp;" },"</f>
        <v>{ name: "Dragon Tear #4", landmark: "Dragon Tear", type: "Molduga Geoglyph", region: 13, level: "Surface", x: 694, y: -1309, z: 53, details: "" },</v>
      </c>
    </row>
    <row r="12" spans="1:9" x14ac:dyDescent="0.2">
      <c r="A12" t="s">
        <v>3216</v>
      </c>
      <c r="B12" t="s">
        <v>3223</v>
      </c>
      <c r="C12">
        <v>13</v>
      </c>
      <c r="D12" t="s">
        <v>785</v>
      </c>
      <c r="E12">
        <v>-649</v>
      </c>
      <c r="F12">
        <v>-2682</v>
      </c>
      <c r="G12">
        <v>68</v>
      </c>
      <c r="I12" t="str">
        <f>"{ name: "&amp;CHAR(34)&amp;A12&amp;CHAR(34)&amp;", landmark: "&amp;CHAR(34)&amp;"Dragon Tear"&amp;CHAR(34)&amp;", type: "&amp;CHAR(34)&amp;B12&amp;CHAR(34)&amp;", region: "&amp;C12&amp;", level: "&amp;CHAR(34)&amp;D12&amp;CHAR(34)&amp;", x: "&amp;E12&amp;", y: "&amp;F12&amp;", z: "&amp;G12&amp;", details: "&amp;CHAR(34)&amp;H12&amp;CHAR(34)&amp;" },"</f>
        <v>{ name: "Dragon Tear #10", landmark: "Dragon Tear", type: "Shrine Geoglyph", region: 13, level: "Surface", x: -649, y: -2682, z: 68, details: "" },</v>
      </c>
    </row>
    <row r="13" spans="1:9" x14ac:dyDescent="0.2">
      <c r="A13" t="s">
        <v>3211</v>
      </c>
      <c r="B13" t="s">
        <v>3227</v>
      </c>
      <c r="C13">
        <v>15</v>
      </c>
      <c r="D13" t="s">
        <v>785</v>
      </c>
      <c r="E13">
        <v>-3179</v>
      </c>
      <c r="F13">
        <v>-1699</v>
      </c>
      <c r="G13">
        <v>1048</v>
      </c>
      <c r="I13" t="str">
        <f>"{ name: "&amp;CHAR(34)&amp;A13&amp;CHAR(34)&amp;", landmark: "&amp;CHAR(34)&amp;"Dragon Tear"&amp;CHAR(34)&amp;", type: "&amp;CHAR(34)&amp;B13&amp;CHAR(34)&amp;", region: "&amp;C13&amp;", level: "&amp;CHAR(34)&amp;D13&amp;CHAR(34)&amp;", x: "&amp;E13&amp;", y: "&amp;F13&amp;", z: "&amp;G13&amp;", details: "&amp;CHAR(34)&amp;H13&amp;CHAR(34)&amp;" },"</f>
        <v>{ name: "Dragon Tear #5", landmark: "Dragon Tear", type: "Ganondorf Geoglyph", region: 15, level: "Surface", x: -3179, y: -1699, z: 1048, details: "" },</v>
      </c>
    </row>
  </sheetData>
  <autoFilter ref="A1:I2" xr:uid="{A095D5C8-FF81-DA46-ADE3-61DE071C2139}">
    <sortState xmlns:xlrd2="http://schemas.microsoft.com/office/spreadsheetml/2017/richdata2" ref="A2:I13">
      <sortCondition ref="C1:C13"/>
    </sortState>
  </autoFilter>
  <phoneticPr fontId="14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17B2F-88B3-D043-82D1-8464B78A8BDD}">
  <sheetPr codeName="Sheet21">
    <tabColor theme="9"/>
  </sheetPr>
  <dimension ref="A1:I12"/>
  <sheetViews>
    <sheetView workbookViewId="0">
      <selection activeCell="C17" sqref="C17"/>
    </sheetView>
  </sheetViews>
  <sheetFormatPr baseColWidth="10" defaultRowHeight="16" x14ac:dyDescent="0.2"/>
  <cols>
    <col min="1" max="1" width="16.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3185</v>
      </c>
      <c r="B2" t="s">
        <v>3186</v>
      </c>
      <c r="C2">
        <v>0</v>
      </c>
      <c r="D2" t="s">
        <v>783</v>
      </c>
      <c r="E2">
        <v>463</v>
      </c>
      <c r="F2">
        <v>-1679</v>
      </c>
      <c r="G2">
        <v>1371</v>
      </c>
      <c r="I2" t="str">
        <f>"{ name: "&amp;CHAR(34)&amp;A2&amp;CHAR(34)&amp;", landmark: "&amp;CHAR(34)&amp;"Forge Construct"&amp;CHAR(34)&amp;",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"Mining Cave Forge", landmark: "Forge Construct", type: "Construct", region: 0, level: "Sky", x: 463, y: -1679, z: 1371, details: "" },</v>
      </c>
    </row>
    <row r="3" spans="1:9" x14ac:dyDescent="0.2">
      <c r="A3" t="s">
        <v>3194</v>
      </c>
      <c r="B3" t="s">
        <v>3186</v>
      </c>
      <c r="C3">
        <v>2</v>
      </c>
      <c r="D3" t="s">
        <v>1002</v>
      </c>
      <c r="E3">
        <v>-851</v>
      </c>
      <c r="F3">
        <v>-1944</v>
      </c>
      <c r="G3">
        <v>-522</v>
      </c>
      <c r="I3" t="s">
        <v>3196</v>
      </c>
    </row>
    <row r="4" spans="1:9" x14ac:dyDescent="0.2">
      <c r="A4" t="s">
        <v>3189</v>
      </c>
      <c r="B4" t="s">
        <v>3186</v>
      </c>
      <c r="C4">
        <v>4</v>
      </c>
      <c r="D4" t="s">
        <v>1002</v>
      </c>
      <c r="E4">
        <v>-3463</v>
      </c>
      <c r="F4">
        <v>1915</v>
      </c>
      <c r="G4">
        <v>-416</v>
      </c>
      <c r="I4" t="s">
        <v>3197</v>
      </c>
    </row>
    <row r="5" spans="1:9" x14ac:dyDescent="0.2">
      <c r="A5" t="s">
        <v>3184</v>
      </c>
      <c r="B5" t="s">
        <v>3186</v>
      </c>
      <c r="C5">
        <v>7</v>
      </c>
      <c r="D5" t="s">
        <v>1002</v>
      </c>
      <c r="E5">
        <v>1689</v>
      </c>
      <c r="F5">
        <v>2387</v>
      </c>
      <c r="G5">
        <v>-824</v>
      </c>
      <c r="I5" t="s">
        <v>3198</v>
      </c>
    </row>
    <row r="6" spans="1:9" x14ac:dyDescent="0.2">
      <c r="A6" t="s">
        <v>3195</v>
      </c>
      <c r="B6" t="s">
        <v>3186</v>
      </c>
      <c r="C6">
        <v>8</v>
      </c>
      <c r="D6" t="s">
        <v>1002</v>
      </c>
      <c r="E6">
        <v>3959</v>
      </c>
      <c r="F6">
        <v>1566</v>
      </c>
      <c r="G6">
        <v>-576</v>
      </c>
      <c r="I6" t="s">
        <v>3199</v>
      </c>
    </row>
    <row r="7" spans="1:9" x14ac:dyDescent="0.2">
      <c r="A7" t="s">
        <v>3192</v>
      </c>
      <c r="B7" t="s">
        <v>3186</v>
      </c>
      <c r="C7">
        <v>9</v>
      </c>
      <c r="D7" t="s">
        <v>1002</v>
      </c>
      <c r="E7">
        <v>3253</v>
      </c>
      <c r="F7">
        <v>559</v>
      </c>
      <c r="G7">
        <v>-750</v>
      </c>
      <c r="I7" t="s">
        <v>3200</v>
      </c>
    </row>
    <row r="8" spans="1:9" x14ac:dyDescent="0.2">
      <c r="A8" t="s">
        <v>3190</v>
      </c>
      <c r="B8" t="s">
        <v>3186</v>
      </c>
      <c r="C8">
        <v>10</v>
      </c>
      <c r="D8" t="s">
        <v>1002</v>
      </c>
      <c r="E8">
        <v>1777</v>
      </c>
      <c r="F8">
        <v>-1183</v>
      </c>
      <c r="G8">
        <v>-629</v>
      </c>
      <c r="I8" t="s">
        <v>3201</v>
      </c>
    </row>
    <row r="9" spans="1:9" x14ac:dyDescent="0.2">
      <c r="A9" t="s">
        <v>3188</v>
      </c>
      <c r="B9" t="s">
        <v>3186</v>
      </c>
      <c r="C9">
        <v>11</v>
      </c>
      <c r="D9" t="s">
        <v>1002</v>
      </c>
      <c r="E9">
        <v>3529</v>
      </c>
      <c r="F9">
        <v>-2914</v>
      </c>
      <c r="G9">
        <v>-587</v>
      </c>
      <c r="I9" t="s">
        <v>3202</v>
      </c>
    </row>
    <row r="10" spans="1:9" x14ac:dyDescent="0.2">
      <c r="A10" t="s">
        <v>3193</v>
      </c>
      <c r="B10" t="s">
        <v>3186</v>
      </c>
      <c r="C10">
        <v>12</v>
      </c>
      <c r="D10" t="s">
        <v>1002</v>
      </c>
      <c r="E10">
        <v>2942</v>
      </c>
      <c r="F10">
        <v>-3378</v>
      </c>
      <c r="G10">
        <v>-452</v>
      </c>
      <c r="I10" t="s">
        <v>3203</v>
      </c>
    </row>
    <row r="11" spans="1:9" x14ac:dyDescent="0.2">
      <c r="A11" t="s">
        <v>3187</v>
      </c>
      <c r="B11" t="s">
        <v>3186</v>
      </c>
      <c r="C11">
        <v>14</v>
      </c>
      <c r="D11" t="s">
        <v>1002</v>
      </c>
      <c r="E11">
        <v>-3815</v>
      </c>
      <c r="F11">
        <v>-2952</v>
      </c>
      <c r="G11">
        <v>-487</v>
      </c>
      <c r="I11" t="s">
        <v>3204</v>
      </c>
    </row>
    <row r="12" spans="1:9" x14ac:dyDescent="0.2">
      <c r="A12" t="s">
        <v>3191</v>
      </c>
      <c r="B12" t="s">
        <v>3186</v>
      </c>
      <c r="C12">
        <v>14</v>
      </c>
      <c r="D12" t="s">
        <v>1002</v>
      </c>
      <c r="E12">
        <v>-3196</v>
      </c>
      <c r="F12">
        <v>-2508</v>
      </c>
      <c r="G12">
        <v>-475</v>
      </c>
      <c r="I12" t="s">
        <v>3205</v>
      </c>
    </row>
  </sheetData>
  <autoFilter ref="A1:I12" xr:uid="{DEC17B2F-88B3-D043-82D1-8464B78A8BDD}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B8C7C-C45E-F947-B4ED-93BCBD79419E}">
  <sheetPr codeName="Sheet14">
    <tabColor theme="9"/>
  </sheetPr>
  <dimension ref="A1:I121"/>
  <sheetViews>
    <sheetView topLeftCell="A66" workbookViewId="0">
      <selection activeCell="H93" sqref="H93"/>
    </sheetView>
  </sheetViews>
  <sheetFormatPr baseColWidth="10" defaultRowHeight="16" x14ac:dyDescent="0.2"/>
  <cols>
    <col min="1" max="1" width="21.6640625" bestFit="1" customWidth="1"/>
    <col min="2" max="2" width="18.5" bestFit="1" customWidth="1"/>
    <col min="3" max="3" width="10.6640625" bestFit="1" customWidth="1"/>
    <col min="8" max="8" width="21.5" bestFit="1" customWidth="1"/>
  </cols>
  <sheetData>
    <row r="1" spans="1:9" s="6" customFormat="1" x14ac:dyDescent="0.2">
      <c r="A1" s="6" t="s">
        <v>781</v>
      </c>
      <c r="B1" s="6" t="s">
        <v>8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2116</v>
      </c>
    </row>
    <row r="2" spans="1:9" x14ac:dyDescent="0.2">
      <c r="A2" s="1" t="s">
        <v>1858</v>
      </c>
      <c r="B2" t="s">
        <v>2110</v>
      </c>
      <c r="C2">
        <v>1</v>
      </c>
      <c r="D2" t="s">
        <v>1002</v>
      </c>
      <c r="E2">
        <v>219</v>
      </c>
      <c r="F2">
        <v>1082</v>
      </c>
      <c r="G2">
        <v>-474</v>
      </c>
      <c r="H2" t="s">
        <v>2030</v>
      </c>
      <c r="I2" t="str">
        <f>"{ name: "&amp;CHAR(34)&amp;A2&amp;CHAR(34)&amp;", landmark: "&amp;CHAR(34)&amp;"Lightroot"&amp;CHAR(34)&amp;", type: "&amp;CHAR(34)&amp;""&amp;CHAR(34)&amp;", region: "&amp;C2&amp;", level: "&amp;CHAR(34)&amp;D2&amp;CHAR(34)&amp;", x: "&amp;E2&amp;", y: "&amp;F2&amp;", z: "&amp;G2&amp;", details: "&amp;CHAR(34)&amp;CHAR(34)&amp;" },"</f>
        <v>{ name: "Apapes Lightroot", landmark: "Lightroot", type: "", region: 1, level: "Depths", x: 219, y: 1082, z: -474, details: "" },</v>
      </c>
    </row>
    <row r="3" spans="1:9" x14ac:dyDescent="0.2">
      <c r="A3" s="1" t="s">
        <v>1859</v>
      </c>
      <c r="B3" t="s">
        <v>2110</v>
      </c>
      <c r="C3">
        <v>1</v>
      </c>
      <c r="D3" t="s">
        <v>1002</v>
      </c>
      <c r="E3">
        <v>-180</v>
      </c>
      <c r="F3">
        <v>1170</v>
      </c>
      <c r="G3">
        <v>-515</v>
      </c>
      <c r="H3" t="s">
        <v>2027</v>
      </c>
      <c r="I3" t="s">
        <v>2392</v>
      </c>
    </row>
    <row r="4" spans="1:9" x14ac:dyDescent="0.2">
      <c r="A4" s="1" t="s">
        <v>1853</v>
      </c>
      <c r="B4" t="s">
        <v>2110</v>
      </c>
      <c r="C4">
        <v>1</v>
      </c>
      <c r="D4" t="s">
        <v>1002</v>
      </c>
      <c r="E4">
        <v>-885</v>
      </c>
      <c r="F4">
        <v>418</v>
      </c>
      <c r="G4">
        <v>-497</v>
      </c>
      <c r="H4" t="s">
        <v>2005</v>
      </c>
      <c r="I4" t="s">
        <v>2393</v>
      </c>
    </row>
    <row r="5" spans="1:9" x14ac:dyDescent="0.2">
      <c r="A5" s="1" t="s">
        <v>1852</v>
      </c>
      <c r="B5" t="s">
        <v>2110</v>
      </c>
      <c r="C5">
        <v>1</v>
      </c>
      <c r="D5" t="s">
        <v>1002</v>
      </c>
      <c r="E5">
        <v>-785</v>
      </c>
      <c r="F5">
        <v>-433</v>
      </c>
      <c r="G5">
        <v>-469</v>
      </c>
      <c r="H5" t="s">
        <v>1991</v>
      </c>
      <c r="I5" t="s">
        <v>2394</v>
      </c>
    </row>
    <row r="6" spans="1:9" x14ac:dyDescent="0.2">
      <c r="A6" s="1" t="s">
        <v>1851</v>
      </c>
      <c r="B6" t="s">
        <v>2110</v>
      </c>
      <c r="C6">
        <v>1</v>
      </c>
      <c r="D6" t="s">
        <v>1002</v>
      </c>
      <c r="E6">
        <v>-240</v>
      </c>
      <c r="F6">
        <v>-374</v>
      </c>
      <c r="G6">
        <v>-478</v>
      </c>
      <c r="H6" t="s">
        <v>2004</v>
      </c>
      <c r="I6" t="s">
        <v>2395</v>
      </c>
    </row>
    <row r="7" spans="1:9" x14ac:dyDescent="0.2">
      <c r="A7" s="1" t="s">
        <v>1855</v>
      </c>
      <c r="B7" t="s">
        <v>2110</v>
      </c>
      <c r="C7">
        <v>1</v>
      </c>
      <c r="D7" t="s">
        <v>1002</v>
      </c>
      <c r="E7">
        <v>333</v>
      </c>
      <c r="F7">
        <v>468</v>
      </c>
      <c r="G7">
        <v>-479</v>
      </c>
      <c r="H7" t="s">
        <v>2023</v>
      </c>
      <c r="I7" t="s">
        <v>2396</v>
      </c>
    </row>
    <row r="8" spans="1:9" x14ac:dyDescent="0.2">
      <c r="A8" s="1" t="s">
        <v>1854</v>
      </c>
      <c r="B8" t="s">
        <v>2110</v>
      </c>
      <c r="C8">
        <v>1</v>
      </c>
      <c r="D8" t="s">
        <v>1002</v>
      </c>
      <c r="E8">
        <v>-205</v>
      </c>
      <c r="F8">
        <v>451</v>
      </c>
      <c r="G8">
        <v>-472</v>
      </c>
      <c r="H8" t="s">
        <v>2016</v>
      </c>
      <c r="I8" t="s">
        <v>2397</v>
      </c>
    </row>
    <row r="9" spans="1:9" x14ac:dyDescent="0.2">
      <c r="A9" s="1" t="s">
        <v>1844</v>
      </c>
      <c r="B9" t="s">
        <v>2111</v>
      </c>
      <c r="C9">
        <v>2</v>
      </c>
      <c r="D9" t="s">
        <v>1002</v>
      </c>
      <c r="E9">
        <v>-1443</v>
      </c>
      <c r="F9">
        <v>-1616</v>
      </c>
      <c r="G9">
        <v>-538</v>
      </c>
      <c r="H9" t="s">
        <v>1963</v>
      </c>
      <c r="I9" t="s">
        <v>2398</v>
      </c>
    </row>
    <row r="10" spans="1:9" x14ac:dyDescent="0.2">
      <c r="A10" s="1" t="s">
        <v>1845</v>
      </c>
      <c r="B10" t="s">
        <v>2111</v>
      </c>
      <c r="C10">
        <v>2</v>
      </c>
      <c r="D10" t="s">
        <v>1002</v>
      </c>
      <c r="E10">
        <v>-1082</v>
      </c>
      <c r="F10">
        <v>-2187</v>
      </c>
      <c r="G10">
        <v>-562</v>
      </c>
      <c r="H10" t="s">
        <v>1962</v>
      </c>
      <c r="I10" t="s">
        <v>2399</v>
      </c>
    </row>
    <row r="11" spans="1:9" x14ac:dyDescent="0.2">
      <c r="A11" s="1" t="s">
        <v>1843</v>
      </c>
      <c r="B11" t="s">
        <v>2111</v>
      </c>
      <c r="C11">
        <v>2</v>
      </c>
      <c r="D11" t="s">
        <v>1002</v>
      </c>
      <c r="E11">
        <v>-1422</v>
      </c>
      <c r="F11">
        <v>-1350</v>
      </c>
      <c r="G11">
        <v>-517</v>
      </c>
      <c r="H11" t="s">
        <v>1967</v>
      </c>
      <c r="I11" t="s">
        <v>2400</v>
      </c>
    </row>
    <row r="12" spans="1:9" x14ac:dyDescent="0.2">
      <c r="A12" s="1" t="s">
        <v>1842</v>
      </c>
      <c r="B12" t="s">
        <v>2111</v>
      </c>
      <c r="C12">
        <v>2</v>
      </c>
      <c r="D12" t="s">
        <v>1002</v>
      </c>
      <c r="E12">
        <v>-2140</v>
      </c>
      <c r="F12">
        <v>-873</v>
      </c>
      <c r="G12">
        <v>-542</v>
      </c>
      <c r="H12" t="s">
        <v>1964</v>
      </c>
      <c r="I12" t="s">
        <v>2401</v>
      </c>
    </row>
    <row r="13" spans="1:9" x14ac:dyDescent="0.2">
      <c r="A13" s="1" t="s">
        <v>1841</v>
      </c>
      <c r="B13" t="s">
        <v>2111</v>
      </c>
      <c r="C13">
        <v>2</v>
      </c>
      <c r="D13" t="s">
        <v>1002</v>
      </c>
      <c r="E13">
        <v>-1921</v>
      </c>
      <c r="F13">
        <v>-356</v>
      </c>
      <c r="G13">
        <v>-635</v>
      </c>
      <c r="H13" t="s">
        <v>1972</v>
      </c>
      <c r="I13" t="s">
        <v>2402</v>
      </c>
    </row>
    <row r="14" spans="1:9" x14ac:dyDescent="0.2">
      <c r="A14" s="1" t="s">
        <v>1848</v>
      </c>
      <c r="B14" t="s">
        <v>2111</v>
      </c>
      <c r="C14">
        <v>2</v>
      </c>
      <c r="D14" t="s">
        <v>1002</v>
      </c>
      <c r="E14">
        <v>-73</v>
      </c>
      <c r="F14">
        <v>-1115</v>
      </c>
      <c r="G14">
        <v>-471</v>
      </c>
      <c r="H14" t="s">
        <v>1992</v>
      </c>
      <c r="I14" t="s">
        <v>2403</v>
      </c>
    </row>
    <row r="15" spans="1:9" x14ac:dyDescent="0.2">
      <c r="A15" s="1" t="s">
        <v>1849</v>
      </c>
      <c r="B15" t="s">
        <v>2111</v>
      </c>
      <c r="C15">
        <v>2</v>
      </c>
      <c r="D15" t="s">
        <v>1002</v>
      </c>
      <c r="E15">
        <v>-705</v>
      </c>
      <c r="F15">
        <v>-866</v>
      </c>
      <c r="G15">
        <v>-481</v>
      </c>
      <c r="H15" t="s">
        <v>1985</v>
      </c>
      <c r="I15" t="s">
        <v>2404</v>
      </c>
    </row>
    <row r="16" spans="1:9" x14ac:dyDescent="0.2">
      <c r="A16" s="1" t="s">
        <v>1846</v>
      </c>
      <c r="B16" t="s">
        <v>2111</v>
      </c>
      <c r="C16">
        <v>2</v>
      </c>
      <c r="D16" t="s">
        <v>1002</v>
      </c>
      <c r="E16">
        <v>-710</v>
      </c>
      <c r="F16">
        <v>-1550</v>
      </c>
      <c r="G16">
        <v>-517</v>
      </c>
      <c r="H16" t="s">
        <v>1974</v>
      </c>
      <c r="I16" t="s">
        <v>2405</v>
      </c>
    </row>
    <row r="17" spans="1:9" x14ac:dyDescent="0.2">
      <c r="A17" s="1" t="s">
        <v>1847</v>
      </c>
      <c r="B17" t="s">
        <v>2111</v>
      </c>
      <c r="C17">
        <v>2</v>
      </c>
      <c r="D17" t="s">
        <v>1002</v>
      </c>
      <c r="E17">
        <v>-176</v>
      </c>
      <c r="F17">
        <v>-1557</v>
      </c>
      <c r="G17">
        <v>-473</v>
      </c>
      <c r="H17" t="s">
        <v>1980</v>
      </c>
      <c r="I17" t="s">
        <v>2406</v>
      </c>
    </row>
    <row r="18" spans="1:9" x14ac:dyDescent="0.2">
      <c r="A18" s="1" t="s">
        <v>1850</v>
      </c>
      <c r="B18" t="s">
        <v>2111</v>
      </c>
      <c r="C18">
        <v>2</v>
      </c>
      <c r="D18" t="s">
        <v>1002</v>
      </c>
      <c r="E18">
        <v>344</v>
      </c>
      <c r="F18">
        <v>-1007</v>
      </c>
      <c r="G18">
        <v>-468</v>
      </c>
      <c r="H18" t="s">
        <v>2000</v>
      </c>
      <c r="I18" t="s">
        <v>2407</v>
      </c>
    </row>
    <row r="19" spans="1:9" x14ac:dyDescent="0.2">
      <c r="A19" s="1" t="s">
        <v>1904</v>
      </c>
      <c r="B19" t="s">
        <v>787</v>
      </c>
      <c r="C19">
        <v>3</v>
      </c>
      <c r="D19" t="s">
        <v>1002</v>
      </c>
      <c r="E19">
        <v>-3950</v>
      </c>
      <c r="F19">
        <v>1138</v>
      </c>
      <c r="G19">
        <v>-551</v>
      </c>
      <c r="H19" t="s">
        <v>1966</v>
      </c>
      <c r="I19" t="s">
        <v>2408</v>
      </c>
    </row>
    <row r="20" spans="1:9" x14ac:dyDescent="0.2">
      <c r="A20" s="1" t="s">
        <v>1837</v>
      </c>
      <c r="B20" t="s">
        <v>787</v>
      </c>
      <c r="C20">
        <v>3</v>
      </c>
      <c r="D20" t="s">
        <v>1002</v>
      </c>
      <c r="E20">
        <v>-1413</v>
      </c>
      <c r="F20">
        <v>757</v>
      </c>
      <c r="G20">
        <v>-538</v>
      </c>
      <c r="H20" t="s">
        <v>2001</v>
      </c>
      <c r="I20" t="s">
        <v>2409</v>
      </c>
    </row>
    <row r="21" spans="1:9" x14ac:dyDescent="0.2">
      <c r="A21" s="1" t="s">
        <v>1905</v>
      </c>
      <c r="B21" t="s">
        <v>787</v>
      </c>
      <c r="C21">
        <v>3</v>
      </c>
      <c r="D21" t="s">
        <v>1002</v>
      </c>
      <c r="E21">
        <v>-3079</v>
      </c>
      <c r="F21">
        <v>1618</v>
      </c>
      <c r="G21">
        <v>-687</v>
      </c>
      <c r="H21" t="s">
        <v>1987</v>
      </c>
      <c r="I21" t="s">
        <v>2410</v>
      </c>
    </row>
    <row r="22" spans="1:9" x14ac:dyDescent="0.2">
      <c r="A22" s="1" t="s">
        <v>1903</v>
      </c>
      <c r="B22" t="s">
        <v>787</v>
      </c>
      <c r="C22">
        <v>3</v>
      </c>
      <c r="D22" t="s">
        <v>1002</v>
      </c>
      <c r="E22">
        <v>-3538</v>
      </c>
      <c r="F22">
        <v>853</v>
      </c>
      <c r="G22">
        <v>-576</v>
      </c>
      <c r="H22" t="s">
        <v>1970</v>
      </c>
      <c r="I22" t="s">
        <v>2411</v>
      </c>
    </row>
    <row r="23" spans="1:9" x14ac:dyDescent="0.2">
      <c r="A23" s="1" t="s">
        <v>1838</v>
      </c>
      <c r="B23" t="s">
        <v>787</v>
      </c>
      <c r="C23">
        <v>3</v>
      </c>
      <c r="D23" t="s">
        <v>1002</v>
      </c>
      <c r="E23">
        <v>-1828</v>
      </c>
      <c r="F23">
        <v>1196</v>
      </c>
      <c r="G23">
        <v>-723</v>
      </c>
      <c r="H23" t="s">
        <v>2003</v>
      </c>
      <c r="I23" t="s">
        <v>2412</v>
      </c>
    </row>
    <row r="24" spans="1:9" x14ac:dyDescent="0.2">
      <c r="A24" s="1" t="s">
        <v>1840</v>
      </c>
      <c r="B24" t="s">
        <v>787</v>
      </c>
      <c r="C24">
        <v>3</v>
      </c>
      <c r="D24" t="s">
        <v>1002</v>
      </c>
      <c r="E24">
        <v>-2848</v>
      </c>
      <c r="F24">
        <v>629</v>
      </c>
      <c r="G24">
        <v>-621</v>
      </c>
      <c r="H24" t="s">
        <v>1975</v>
      </c>
      <c r="I24" t="s">
        <v>2413</v>
      </c>
    </row>
    <row r="25" spans="1:9" x14ac:dyDescent="0.2">
      <c r="A25" s="1" t="s">
        <v>1839</v>
      </c>
      <c r="B25" t="s">
        <v>787</v>
      </c>
      <c r="C25">
        <v>3</v>
      </c>
      <c r="D25" t="s">
        <v>1002</v>
      </c>
      <c r="E25">
        <v>-2534</v>
      </c>
      <c r="F25">
        <v>1167</v>
      </c>
      <c r="G25">
        <v>-623</v>
      </c>
      <c r="H25" t="s">
        <v>1989</v>
      </c>
      <c r="I25" t="s">
        <v>2414</v>
      </c>
    </row>
    <row r="26" spans="1:9" x14ac:dyDescent="0.2">
      <c r="A26" s="1" t="s">
        <v>1835</v>
      </c>
      <c r="B26" t="s">
        <v>787</v>
      </c>
      <c r="C26">
        <v>3</v>
      </c>
      <c r="D26" t="s">
        <v>1002</v>
      </c>
      <c r="E26">
        <v>-1106</v>
      </c>
      <c r="F26">
        <v>2086</v>
      </c>
      <c r="G26">
        <v>-554</v>
      </c>
      <c r="H26" t="s">
        <v>2026</v>
      </c>
      <c r="I26" t="s">
        <v>2415</v>
      </c>
    </row>
    <row r="27" spans="1:9" x14ac:dyDescent="0.2">
      <c r="A27" s="1" t="s">
        <v>1910</v>
      </c>
      <c r="B27" t="s">
        <v>800</v>
      </c>
      <c r="C27">
        <v>4</v>
      </c>
      <c r="D27" t="s">
        <v>1002</v>
      </c>
      <c r="E27">
        <v>-4391</v>
      </c>
      <c r="F27">
        <v>3714</v>
      </c>
      <c r="G27">
        <v>-702</v>
      </c>
      <c r="H27" t="s">
        <v>1998</v>
      </c>
      <c r="I27" t="s">
        <v>2416</v>
      </c>
    </row>
    <row r="28" spans="1:9" x14ac:dyDescent="0.2">
      <c r="A28" s="1" t="s">
        <v>2092</v>
      </c>
      <c r="B28" t="s">
        <v>800</v>
      </c>
      <c r="C28">
        <v>4</v>
      </c>
      <c r="D28" t="s">
        <v>1002</v>
      </c>
      <c r="E28">
        <v>-2996</v>
      </c>
      <c r="F28">
        <v>3102</v>
      </c>
      <c r="G28">
        <v>-1027</v>
      </c>
      <c r="H28" t="s">
        <v>2014</v>
      </c>
      <c r="I28" t="s">
        <v>2417</v>
      </c>
    </row>
    <row r="29" spans="1:9" x14ac:dyDescent="0.2">
      <c r="A29" s="1" t="s">
        <v>1911</v>
      </c>
      <c r="B29" t="s">
        <v>800</v>
      </c>
      <c r="C29">
        <v>4</v>
      </c>
      <c r="D29" t="s">
        <v>1002</v>
      </c>
      <c r="E29">
        <v>-3506</v>
      </c>
      <c r="F29">
        <v>3570</v>
      </c>
      <c r="G29">
        <v>-826</v>
      </c>
      <c r="H29" t="s">
        <v>2012</v>
      </c>
      <c r="I29" t="s">
        <v>2418</v>
      </c>
    </row>
    <row r="30" spans="1:9" x14ac:dyDescent="0.2">
      <c r="A30" s="1" t="s">
        <v>1912</v>
      </c>
      <c r="B30" t="s">
        <v>800</v>
      </c>
      <c r="C30">
        <v>4</v>
      </c>
      <c r="D30" t="s">
        <v>1002</v>
      </c>
      <c r="E30">
        <v>-2559</v>
      </c>
      <c r="F30">
        <v>3353</v>
      </c>
      <c r="G30">
        <v>-690</v>
      </c>
      <c r="H30" t="s">
        <v>2022</v>
      </c>
      <c r="I30" t="s">
        <v>2419</v>
      </c>
    </row>
    <row r="31" spans="1:9" x14ac:dyDescent="0.2">
      <c r="A31" s="1" t="s">
        <v>1909</v>
      </c>
      <c r="B31" t="s">
        <v>800</v>
      </c>
      <c r="C31">
        <v>4</v>
      </c>
      <c r="D31" t="s">
        <v>1002</v>
      </c>
      <c r="E31">
        <v>-4539</v>
      </c>
      <c r="F31">
        <v>2881</v>
      </c>
      <c r="G31">
        <v>-707</v>
      </c>
      <c r="H31" t="s">
        <v>1983</v>
      </c>
      <c r="I31" t="s">
        <v>2420</v>
      </c>
    </row>
    <row r="32" spans="1:9" x14ac:dyDescent="0.2">
      <c r="A32" s="1" t="s">
        <v>1906</v>
      </c>
      <c r="B32" t="s">
        <v>800</v>
      </c>
      <c r="C32">
        <v>4</v>
      </c>
      <c r="D32" t="s">
        <v>1002</v>
      </c>
      <c r="E32">
        <v>-3650</v>
      </c>
      <c r="F32">
        <v>1805</v>
      </c>
      <c r="G32">
        <v>-417</v>
      </c>
      <c r="H32" t="s">
        <v>1979</v>
      </c>
      <c r="I32" t="s">
        <v>2421</v>
      </c>
    </row>
    <row r="33" spans="1:9" x14ac:dyDescent="0.2">
      <c r="A33" s="1" t="s">
        <v>1907</v>
      </c>
      <c r="B33" t="s">
        <v>800</v>
      </c>
      <c r="C33">
        <v>4</v>
      </c>
      <c r="D33" t="s">
        <v>1002</v>
      </c>
      <c r="E33">
        <v>-4059</v>
      </c>
      <c r="F33">
        <v>1991</v>
      </c>
      <c r="G33">
        <v>-674</v>
      </c>
      <c r="H33" t="s">
        <v>1976</v>
      </c>
      <c r="I33" t="s">
        <v>2422</v>
      </c>
    </row>
    <row r="34" spans="1:9" x14ac:dyDescent="0.2">
      <c r="A34" s="1" t="s">
        <v>1908</v>
      </c>
      <c r="B34" t="s">
        <v>800</v>
      </c>
      <c r="C34">
        <v>4</v>
      </c>
      <c r="D34" t="s">
        <v>1002</v>
      </c>
      <c r="E34">
        <v>-3355</v>
      </c>
      <c r="F34">
        <v>2387</v>
      </c>
      <c r="G34">
        <v>-802</v>
      </c>
      <c r="H34" t="s">
        <v>1995</v>
      </c>
      <c r="I34" t="s">
        <v>2423</v>
      </c>
    </row>
    <row r="35" spans="1:9" x14ac:dyDescent="0.2">
      <c r="A35" s="1" t="s">
        <v>1913</v>
      </c>
      <c r="B35" t="s">
        <v>1684</v>
      </c>
      <c r="C35">
        <v>5</v>
      </c>
      <c r="D35" t="s">
        <v>1002</v>
      </c>
      <c r="E35">
        <v>-2319</v>
      </c>
      <c r="F35">
        <v>2201</v>
      </c>
      <c r="G35">
        <v>-781</v>
      </c>
      <c r="H35" t="s">
        <v>2008</v>
      </c>
      <c r="I35" t="s">
        <v>2424</v>
      </c>
    </row>
    <row r="36" spans="1:9" x14ac:dyDescent="0.2">
      <c r="A36" s="1" t="s">
        <v>1917</v>
      </c>
      <c r="B36" t="s">
        <v>1684</v>
      </c>
      <c r="C36">
        <v>5</v>
      </c>
      <c r="D36" t="s">
        <v>1002</v>
      </c>
      <c r="E36">
        <v>-823</v>
      </c>
      <c r="F36">
        <v>3535</v>
      </c>
      <c r="G36">
        <v>-636</v>
      </c>
      <c r="H36" t="s">
        <v>2051</v>
      </c>
      <c r="I36" t="s">
        <v>2425</v>
      </c>
    </row>
    <row r="37" spans="1:9" x14ac:dyDescent="0.2">
      <c r="A37" s="1" t="s">
        <v>1914</v>
      </c>
      <c r="B37" t="s">
        <v>1684</v>
      </c>
      <c r="C37">
        <v>5</v>
      </c>
      <c r="D37" t="s">
        <v>1002</v>
      </c>
      <c r="E37">
        <v>-1638</v>
      </c>
      <c r="F37">
        <v>2643</v>
      </c>
      <c r="G37">
        <v>-685</v>
      </c>
      <c r="H37" t="s">
        <v>2028</v>
      </c>
      <c r="I37" t="s">
        <v>2426</v>
      </c>
    </row>
    <row r="38" spans="1:9" x14ac:dyDescent="0.2">
      <c r="A38" s="1" t="s">
        <v>1916</v>
      </c>
      <c r="B38" t="s">
        <v>1684</v>
      </c>
      <c r="C38">
        <v>5</v>
      </c>
      <c r="D38" t="s">
        <v>1002</v>
      </c>
      <c r="E38">
        <v>-1404</v>
      </c>
      <c r="F38">
        <v>3677</v>
      </c>
      <c r="G38">
        <v>-712</v>
      </c>
      <c r="H38" t="s">
        <v>2044</v>
      </c>
      <c r="I38" t="s">
        <v>2427</v>
      </c>
    </row>
    <row r="39" spans="1:9" x14ac:dyDescent="0.2">
      <c r="A39" s="1" t="s">
        <v>1915</v>
      </c>
      <c r="B39" t="s">
        <v>1684</v>
      </c>
      <c r="C39">
        <v>5</v>
      </c>
      <c r="D39" t="s">
        <v>1002</v>
      </c>
      <c r="E39">
        <v>-1165</v>
      </c>
      <c r="F39">
        <v>2602</v>
      </c>
      <c r="G39">
        <v>-350</v>
      </c>
      <c r="H39" t="s">
        <v>2031</v>
      </c>
      <c r="I39" t="s">
        <v>2428</v>
      </c>
    </row>
    <row r="40" spans="1:9" x14ac:dyDescent="0.2">
      <c r="A40" s="1" t="s">
        <v>1863</v>
      </c>
      <c r="B40" t="s">
        <v>789</v>
      </c>
      <c r="C40">
        <v>6</v>
      </c>
      <c r="D40" t="s">
        <v>1002</v>
      </c>
      <c r="E40">
        <v>619</v>
      </c>
      <c r="F40">
        <v>2211</v>
      </c>
      <c r="G40">
        <v>-611</v>
      </c>
      <c r="H40" t="s">
        <v>2052</v>
      </c>
      <c r="I40" t="s">
        <v>2429</v>
      </c>
    </row>
    <row r="41" spans="1:9" x14ac:dyDescent="0.2">
      <c r="A41" s="1" t="s">
        <v>1876</v>
      </c>
      <c r="B41" t="s">
        <v>789</v>
      </c>
      <c r="C41">
        <v>6</v>
      </c>
      <c r="D41" t="s">
        <v>1002</v>
      </c>
      <c r="E41">
        <v>393</v>
      </c>
      <c r="F41">
        <v>3485</v>
      </c>
      <c r="G41">
        <v>-594</v>
      </c>
      <c r="H41" t="s">
        <v>2066</v>
      </c>
      <c r="I41" t="s">
        <v>2430</v>
      </c>
    </row>
    <row r="42" spans="1:9" x14ac:dyDescent="0.2">
      <c r="A42" s="1" t="s">
        <v>1875</v>
      </c>
      <c r="B42" t="s">
        <v>789</v>
      </c>
      <c r="C42">
        <v>6</v>
      </c>
      <c r="D42" t="s">
        <v>1002</v>
      </c>
      <c r="E42">
        <v>1270</v>
      </c>
      <c r="F42">
        <v>3733</v>
      </c>
      <c r="G42">
        <v>-553</v>
      </c>
      <c r="H42" t="s">
        <v>2075</v>
      </c>
      <c r="I42" t="s">
        <v>2431</v>
      </c>
    </row>
    <row r="43" spans="1:9" x14ac:dyDescent="0.2">
      <c r="A43" s="1" t="s">
        <v>1836</v>
      </c>
      <c r="B43" t="s">
        <v>789</v>
      </c>
      <c r="C43">
        <v>6</v>
      </c>
      <c r="D43" t="s">
        <v>1002</v>
      </c>
      <c r="E43">
        <v>-594</v>
      </c>
      <c r="F43">
        <v>1551</v>
      </c>
      <c r="G43">
        <v>-599</v>
      </c>
      <c r="H43" t="s">
        <v>2025</v>
      </c>
      <c r="I43" t="s">
        <v>2432</v>
      </c>
    </row>
    <row r="44" spans="1:9" x14ac:dyDescent="0.2">
      <c r="A44" s="1" t="s">
        <v>1834</v>
      </c>
      <c r="B44" t="s">
        <v>789</v>
      </c>
      <c r="C44">
        <v>6</v>
      </c>
      <c r="D44" t="s">
        <v>1002</v>
      </c>
      <c r="E44">
        <v>-395</v>
      </c>
      <c r="F44">
        <v>2736</v>
      </c>
      <c r="G44">
        <v>-725</v>
      </c>
      <c r="H44" t="s">
        <v>2046</v>
      </c>
      <c r="I44" t="s">
        <v>2433</v>
      </c>
    </row>
    <row r="45" spans="1:9" x14ac:dyDescent="0.2">
      <c r="A45" s="1" t="s">
        <v>1862</v>
      </c>
      <c r="B45" t="s">
        <v>789</v>
      </c>
      <c r="C45">
        <v>6</v>
      </c>
      <c r="D45" t="s">
        <v>1002</v>
      </c>
      <c r="E45">
        <v>166</v>
      </c>
      <c r="F45">
        <v>2319</v>
      </c>
      <c r="G45">
        <v>-625</v>
      </c>
      <c r="H45" t="s">
        <v>2048</v>
      </c>
      <c r="I45" t="s">
        <v>2434</v>
      </c>
    </row>
    <row r="46" spans="1:9" x14ac:dyDescent="0.2">
      <c r="A46" s="1" t="s">
        <v>1860</v>
      </c>
      <c r="B46" t="s">
        <v>789</v>
      </c>
      <c r="C46">
        <v>6</v>
      </c>
      <c r="D46" t="s">
        <v>1002</v>
      </c>
      <c r="E46">
        <v>408</v>
      </c>
      <c r="F46">
        <v>2133</v>
      </c>
      <c r="G46">
        <v>-592</v>
      </c>
      <c r="H46" t="s">
        <v>2049</v>
      </c>
      <c r="I46" t="s">
        <v>2435</v>
      </c>
    </row>
    <row r="47" spans="1:9" x14ac:dyDescent="0.2">
      <c r="A47" s="1" t="s">
        <v>1861</v>
      </c>
      <c r="B47" t="s">
        <v>789</v>
      </c>
      <c r="C47">
        <v>6</v>
      </c>
      <c r="D47" t="s">
        <v>1002</v>
      </c>
      <c r="E47">
        <v>353</v>
      </c>
      <c r="F47">
        <v>1890</v>
      </c>
      <c r="G47">
        <v>-625</v>
      </c>
      <c r="H47" t="s">
        <v>2043</v>
      </c>
      <c r="I47" t="s">
        <v>2436</v>
      </c>
    </row>
    <row r="48" spans="1:9" x14ac:dyDescent="0.2">
      <c r="A48" s="1" t="s">
        <v>1833</v>
      </c>
      <c r="B48" t="s">
        <v>789</v>
      </c>
      <c r="C48">
        <v>6</v>
      </c>
      <c r="D48" t="s">
        <v>1002</v>
      </c>
      <c r="E48">
        <v>700</v>
      </c>
      <c r="F48">
        <v>2793</v>
      </c>
      <c r="G48">
        <v>-671</v>
      </c>
      <c r="H48" t="s">
        <v>2059</v>
      </c>
      <c r="I48" t="s">
        <v>2437</v>
      </c>
    </row>
    <row r="49" spans="1:9" x14ac:dyDescent="0.2">
      <c r="A49" s="1" t="s">
        <v>1866</v>
      </c>
      <c r="B49" t="s">
        <v>1252</v>
      </c>
      <c r="C49">
        <v>7</v>
      </c>
      <c r="D49" t="s">
        <v>1002</v>
      </c>
      <c r="E49">
        <v>2567</v>
      </c>
      <c r="F49">
        <v>1245</v>
      </c>
      <c r="G49">
        <v>-600</v>
      </c>
      <c r="H49" t="s">
        <v>2065</v>
      </c>
      <c r="I49" t="s">
        <v>2438</v>
      </c>
    </row>
    <row r="50" spans="1:9" x14ac:dyDescent="0.2">
      <c r="A50" s="1" t="s">
        <v>1867</v>
      </c>
      <c r="B50" t="s">
        <v>1252</v>
      </c>
      <c r="C50">
        <v>7</v>
      </c>
      <c r="D50" t="s">
        <v>1002</v>
      </c>
      <c r="E50">
        <v>1761</v>
      </c>
      <c r="F50">
        <v>2508</v>
      </c>
      <c r="G50">
        <v>-719</v>
      </c>
      <c r="H50" t="s">
        <v>2068</v>
      </c>
      <c r="I50" t="s">
        <v>2439</v>
      </c>
    </row>
    <row r="51" spans="1:9" x14ac:dyDescent="0.2">
      <c r="A51" s="1" t="s">
        <v>1871</v>
      </c>
      <c r="B51" t="s">
        <v>1252</v>
      </c>
      <c r="C51">
        <v>7</v>
      </c>
      <c r="D51" t="s">
        <v>1002</v>
      </c>
      <c r="E51">
        <v>2401</v>
      </c>
      <c r="F51">
        <v>3273</v>
      </c>
      <c r="G51">
        <v>-844</v>
      </c>
      <c r="H51" t="s">
        <v>2081</v>
      </c>
      <c r="I51" t="s">
        <v>2440</v>
      </c>
    </row>
    <row r="52" spans="1:9" x14ac:dyDescent="0.2">
      <c r="A52" s="1" t="s">
        <v>1870</v>
      </c>
      <c r="B52" t="s">
        <v>1252</v>
      </c>
      <c r="C52">
        <v>7</v>
      </c>
      <c r="D52" t="s">
        <v>1002</v>
      </c>
      <c r="E52">
        <v>1833</v>
      </c>
      <c r="F52">
        <v>3179</v>
      </c>
      <c r="G52">
        <v>-838</v>
      </c>
      <c r="H52" t="s">
        <v>2076</v>
      </c>
      <c r="I52" t="s">
        <v>2441</v>
      </c>
    </row>
    <row r="53" spans="1:9" x14ac:dyDescent="0.2">
      <c r="A53" s="1" t="s">
        <v>1865</v>
      </c>
      <c r="B53" t="s">
        <v>1252</v>
      </c>
      <c r="C53">
        <v>7</v>
      </c>
      <c r="D53" t="s">
        <v>1002</v>
      </c>
      <c r="E53">
        <v>1798</v>
      </c>
      <c r="F53">
        <v>1639</v>
      </c>
      <c r="G53">
        <v>-749</v>
      </c>
      <c r="H53" t="s">
        <v>2056</v>
      </c>
      <c r="I53" t="s">
        <v>2442</v>
      </c>
    </row>
    <row r="54" spans="1:9" x14ac:dyDescent="0.2">
      <c r="A54" s="1" t="s">
        <v>1873</v>
      </c>
      <c r="B54" t="s">
        <v>1252</v>
      </c>
      <c r="C54">
        <v>7</v>
      </c>
      <c r="D54" t="s">
        <v>1002</v>
      </c>
      <c r="E54">
        <v>2959</v>
      </c>
      <c r="F54">
        <v>2758</v>
      </c>
      <c r="G54">
        <v>-963</v>
      </c>
      <c r="H54" t="s">
        <v>2082</v>
      </c>
      <c r="I54" t="s">
        <v>2443</v>
      </c>
    </row>
    <row r="55" spans="1:9" x14ac:dyDescent="0.2">
      <c r="A55" s="1" t="s">
        <v>1868</v>
      </c>
      <c r="B55" t="s">
        <v>1252</v>
      </c>
      <c r="C55">
        <v>7</v>
      </c>
      <c r="D55" t="s">
        <v>1002</v>
      </c>
      <c r="E55">
        <v>1842</v>
      </c>
      <c r="F55">
        <v>2841</v>
      </c>
      <c r="G55">
        <v>-838</v>
      </c>
      <c r="H55" t="s">
        <v>2071</v>
      </c>
      <c r="I55" t="s">
        <v>2444</v>
      </c>
    </row>
    <row r="56" spans="1:9" x14ac:dyDescent="0.2">
      <c r="A56" s="1" t="s">
        <v>1869</v>
      </c>
      <c r="B56" t="s">
        <v>1252</v>
      </c>
      <c r="C56">
        <v>7</v>
      </c>
      <c r="D56" t="s">
        <v>1002</v>
      </c>
      <c r="E56">
        <v>2367</v>
      </c>
      <c r="F56">
        <v>2598</v>
      </c>
      <c r="G56">
        <v>-948</v>
      </c>
      <c r="H56" t="s">
        <v>2074</v>
      </c>
      <c r="I56" t="s">
        <v>2445</v>
      </c>
    </row>
    <row r="57" spans="1:9" x14ac:dyDescent="0.2">
      <c r="A57" s="1" t="s">
        <v>1874</v>
      </c>
      <c r="B57" t="s">
        <v>1252</v>
      </c>
      <c r="C57">
        <v>7</v>
      </c>
      <c r="D57" t="s">
        <v>1002</v>
      </c>
      <c r="E57">
        <v>2678</v>
      </c>
      <c r="F57">
        <v>1905</v>
      </c>
      <c r="G57">
        <v>-688</v>
      </c>
      <c r="H57" t="s">
        <v>2070</v>
      </c>
      <c r="I57" t="s">
        <v>2446</v>
      </c>
    </row>
    <row r="58" spans="1:9" x14ac:dyDescent="0.2">
      <c r="A58" s="1" t="s">
        <v>1872</v>
      </c>
      <c r="B58" t="s">
        <v>1252</v>
      </c>
      <c r="C58">
        <v>7</v>
      </c>
      <c r="D58" t="s">
        <v>1002</v>
      </c>
      <c r="E58">
        <v>2863</v>
      </c>
      <c r="F58">
        <v>3637</v>
      </c>
      <c r="G58">
        <v>-685</v>
      </c>
      <c r="H58" t="s">
        <v>2084</v>
      </c>
      <c r="I58" t="s">
        <v>2447</v>
      </c>
    </row>
    <row r="59" spans="1:9" x14ac:dyDescent="0.2">
      <c r="A59" s="1" t="s">
        <v>1864</v>
      </c>
      <c r="B59" t="s">
        <v>1252</v>
      </c>
      <c r="C59">
        <v>7</v>
      </c>
      <c r="D59" t="s">
        <v>1002</v>
      </c>
      <c r="E59">
        <v>1059</v>
      </c>
      <c r="F59">
        <v>1276</v>
      </c>
      <c r="G59">
        <v>-495</v>
      </c>
      <c r="H59" t="s">
        <v>2045</v>
      </c>
      <c r="I59" t="s">
        <v>2448</v>
      </c>
    </row>
    <row r="60" spans="1:9" x14ac:dyDescent="0.2">
      <c r="A60" s="1" t="s">
        <v>1829</v>
      </c>
      <c r="B60" t="s">
        <v>1113</v>
      </c>
      <c r="C60">
        <v>8</v>
      </c>
      <c r="D60" t="s">
        <v>1002</v>
      </c>
      <c r="E60">
        <v>3809</v>
      </c>
      <c r="F60">
        <v>1219</v>
      </c>
      <c r="G60">
        <v>-536</v>
      </c>
      <c r="H60" t="s">
        <v>2077</v>
      </c>
      <c r="I60" t="s">
        <v>2449</v>
      </c>
    </row>
    <row r="61" spans="1:9" x14ac:dyDescent="0.2">
      <c r="A61" s="1" t="s">
        <v>1826</v>
      </c>
      <c r="B61" t="s">
        <v>1113</v>
      </c>
      <c r="C61">
        <v>8</v>
      </c>
      <c r="D61" t="s">
        <v>1002</v>
      </c>
      <c r="E61">
        <v>3839</v>
      </c>
      <c r="F61">
        <v>2301</v>
      </c>
      <c r="G61">
        <v>-488</v>
      </c>
      <c r="H61" t="s">
        <v>2083</v>
      </c>
      <c r="I61" t="s">
        <v>2450</v>
      </c>
    </row>
    <row r="62" spans="1:9" x14ac:dyDescent="0.2">
      <c r="A62" s="1" t="s">
        <v>1827</v>
      </c>
      <c r="B62" t="s">
        <v>1113</v>
      </c>
      <c r="C62">
        <v>8</v>
      </c>
      <c r="D62" t="s">
        <v>1002</v>
      </c>
      <c r="E62">
        <v>3061</v>
      </c>
      <c r="F62">
        <v>1823</v>
      </c>
      <c r="G62">
        <v>-662</v>
      </c>
      <c r="H62" t="s">
        <v>2073</v>
      </c>
      <c r="I62" t="s">
        <v>2451</v>
      </c>
    </row>
    <row r="63" spans="1:9" x14ac:dyDescent="0.2">
      <c r="A63" s="1" t="s">
        <v>1824</v>
      </c>
      <c r="B63" t="s">
        <v>1113</v>
      </c>
      <c r="C63">
        <v>8</v>
      </c>
      <c r="D63" t="s">
        <v>1002</v>
      </c>
      <c r="E63">
        <v>4664</v>
      </c>
      <c r="F63">
        <v>3262</v>
      </c>
      <c r="G63">
        <v>-454</v>
      </c>
      <c r="H63" t="s">
        <v>2090</v>
      </c>
      <c r="I63" t="s">
        <v>2452</v>
      </c>
    </row>
    <row r="64" spans="1:9" x14ac:dyDescent="0.2">
      <c r="A64" s="1" t="s">
        <v>1831</v>
      </c>
      <c r="B64" t="s">
        <v>1113</v>
      </c>
      <c r="C64">
        <v>8</v>
      </c>
      <c r="D64" t="s">
        <v>1002</v>
      </c>
      <c r="E64">
        <v>4513</v>
      </c>
      <c r="F64">
        <v>2116</v>
      </c>
      <c r="G64">
        <v>-453</v>
      </c>
      <c r="H64" t="s">
        <v>2085</v>
      </c>
      <c r="I64" t="s">
        <v>2453</v>
      </c>
    </row>
    <row r="65" spans="1:9" x14ac:dyDescent="0.2">
      <c r="A65" s="1" t="s">
        <v>1823</v>
      </c>
      <c r="B65" t="s">
        <v>1113</v>
      </c>
      <c r="C65">
        <v>8</v>
      </c>
      <c r="D65" t="s">
        <v>1002</v>
      </c>
      <c r="E65">
        <v>4653</v>
      </c>
      <c r="F65">
        <v>3702</v>
      </c>
      <c r="G65">
        <v>-400</v>
      </c>
      <c r="H65" t="s">
        <v>2091</v>
      </c>
      <c r="I65" t="s">
        <v>2454</v>
      </c>
    </row>
    <row r="66" spans="1:9" x14ac:dyDescent="0.2">
      <c r="A66" s="1" t="s">
        <v>1828</v>
      </c>
      <c r="B66" t="s">
        <v>1113</v>
      </c>
      <c r="C66">
        <v>8</v>
      </c>
      <c r="D66" t="s">
        <v>1002</v>
      </c>
      <c r="E66">
        <v>3305</v>
      </c>
      <c r="F66">
        <v>1443</v>
      </c>
      <c r="G66">
        <v>-790</v>
      </c>
      <c r="H66" t="s">
        <v>2072</v>
      </c>
      <c r="I66" t="s">
        <v>2455</v>
      </c>
    </row>
    <row r="67" spans="1:9" x14ac:dyDescent="0.2">
      <c r="A67" s="1" t="s">
        <v>1822</v>
      </c>
      <c r="B67" t="s">
        <v>1113</v>
      </c>
      <c r="C67">
        <v>8</v>
      </c>
      <c r="D67" t="s">
        <v>1002</v>
      </c>
      <c r="E67">
        <v>3431</v>
      </c>
      <c r="F67">
        <v>3355</v>
      </c>
      <c r="G67">
        <v>-431</v>
      </c>
      <c r="H67" t="s">
        <v>2087</v>
      </c>
      <c r="I67" t="s">
        <v>2456</v>
      </c>
    </row>
    <row r="68" spans="1:9" x14ac:dyDescent="0.2">
      <c r="A68" s="1" t="s">
        <v>1825</v>
      </c>
      <c r="B68" t="s">
        <v>1113</v>
      </c>
      <c r="C68">
        <v>8</v>
      </c>
      <c r="D68" t="s">
        <v>1002</v>
      </c>
      <c r="E68">
        <v>4346</v>
      </c>
      <c r="F68">
        <v>2875</v>
      </c>
      <c r="G68">
        <v>-608</v>
      </c>
      <c r="H68" t="s">
        <v>2089</v>
      </c>
      <c r="I68" t="s">
        <v>2457</v>
      </c>
    </row>
    <row r="69" spans="1:9" x14ac:dyDescent="0.2">
      <c r="A69" s="1" t="s">
        <v>1923</v>
      </c>
      <c r="B69" t="s">
        <v>801</v>
      </c>
      <c r="C69">
        <v>9</v>
      </c>
      <c r="D69" t="s">
        <v>1002</v>
      </c>
      <c r="E69">
        <v>3784</v>
      </c>
      <c r="F69">
        <v>579</v>
      </c>
      <c r="G69">
        <v>-926</v>
      </c>
      <c r="H69" t="s">
        <v>2069</v>
      </c>
      <c r="I69" t="s">
        <v>2458</v>
      </c>
    </row>
    <row r="70" spans="1:9" x14ac:dyDescent="0.2">
      <c r="A70" s="1" t="s">
        <v>1922</v>
      </c>
      <c r="B70" t="s">
        <v>801</v>
      </c>
      <c r="C70">
        <v>9</v>
      </c>
      <c r="D70" t="s">
        <v>1002</v>
      </c>
      <c r="E70">
        <v>3298</v>
      </c>
      <c r="F70">
        <v>424</v>
      </c>
      <c r="G70">
        <v>-749</v>
      </c>
      <c r="H70" t="s">
        <v>2063</v>
      </c>
      <c r="I70" t="s">
        <v>2459</v>
      </c>
    </row>
    <row r="71" spans="1:9" x14ac:dyDescent="0.2">
      <c r="A71" s="1" t="s">
        <v>1830</v>
      </c>
      <c r="B71" t="s">
        <v>801</v>
      </c>
      <c r="C71">
        <v>9</v>
      </c>
      <c r="D71" t="s">
        <v>1002</v>
      </c>
      <c r="E71">
        <v>4166</v>
      </c>
      <c r="F71">
        <v>1323</v>
      </c>
      <c r="G71">
        <v>-673</v>
      </c>
      <c r="H71" t="s">
        <v>2080</v>
      </c>
      <c r="I71" t="s">
        <v>2460</v>
      </c>
    </row>
    <row r="72" spans="1:9" x14ac:dyDescent="0.2">
      <c r="A72" s="1" t="s">
        <v>1924</v>
      </c>
      <c r="B72" t="s">
        <v>801</v>
      </c>
      <c r="C72">
        <v>9</v>
      </c>
      <c r="D72" t="s">
        <v>1002</v>
      </c>
      <c r="E72">
        <v>3887</v>
      </c>
      <c r="F72">
        <v>-217</v>
      </c>
      <c r="G72">
        <v>-608</v>
      </c>
      <c r="H72" t="s">
        <v>2062</v>
      </c>
      <c r="I72" t="s">
        <v>2461</v>
      </c>
    </row>
    <row r="73" spans="1:9" x14ac:dyDescent="0.2">
      <c r="A73" s="1" t="s">
        <v>1925</v>
      </c>
      <c r="B73" t="s">
        <v>801</v>
      </c>
      <c r="C73">
        <v>9</v>
      </c>
      <c r="D73" t="s">
        <v>1002</v>
      </c>
      <c r="E73">
        <v>4412</v>
      </c>
      <c r="F73">
        <v>-610</v>
      </c>
      <c r="G73">
        <v>-513</v>
      </c>
      <c r="H73" t="s">
        <v>2064</v>
      </c>
      <c r="I73" t="s">
        <v>2462</v>
      </c>
    </row>
    <row r="74" spans="1:9" x14ac:dyDescent="0.2">
      <c r="A74" s="1" t="s">
        <v>1920</v>
      </c>
      <c r="B74" t="s">
        <v>801</v>
      </c>
      <c r="C74">
        <v>9</v>
      </c>
      <c r="D74" t="s">
        <v>1002</v>
      </c>
      <c r="E74">
        <v>2277</v>
      </c>
      <c r="F74">
        <v>150</v>
      </c>
      <c r="G74">
        <v>-501</v>
      </c>
      <c r="H74" t="s">
        <v>2047</v>
      </c>
      <c r="I74" t="s">
        <v>2463</v>
      </c>
    </row>
    <row r="75" spans="1:9" x14ac:dyDescent="0.2">
      <c r="A75" s="1" t="s">
        <v>1832</v>
      </c>
      <c r="B75" t="s">
        <v>801</v>
      </c>
      <c r="C75">
        <v>9</v>
      </c>
      <c r="D75" t="s">
        <v>1002</v>
      </c>
      <c r="E75">
        <v>4498</v>
      </c>
      <c r="F75">
        <v>825</v>
      </c>
      <c r="G75">
        <v>-535</v>
      </c>
      <c r="H75" t="s">
        <v>2079</v>
      </c>
      <c r="I75" t="s">
        <v>2464</v>
      </c>
    </row>
    <row r="76" spans="1:9" x14ac:dyDescent="0.2">
      <c r="A76" s="1" t="s">
        <v>1921</v>
      </c>
      <c r="B76" t="s">
        <v>801</v>
      </c>
      <c r="C76">
        <v>9</v>
      </c>
      <c r="D76" t="s">
        <v>1002</v>
      </c>
      <c r="E76">
        <v>2918</v>
      </c>
      <c r="F76">
        <v>505</v>
      </c>
      <c r="G76">
        <v>-795</v>
      </c>
      <c r="H76" t="s">
        <v>2055</v>
      </c>
      <c r="I76" t="s">
        <v>2465</v>
      </c>
    </row>
    <row r="77" spans="1:9" x14ac:dyDescent="0.2">
      <c r="A77" s="1" t="s">
        <v>1932</v>
      </c>
      <c r="B77" t="s">
        <v>803</v>
      </c>
      <c r="C77">
        <v>10</v>
      </c>
      <c r="D77" t="s">
        <v>1002</v>
      </c>
      <c r="E77">
        <v>1770</v>
      </c>
      <c r="F77">
        <v>-1050</v>
      </c>
      <c r="G77">
        <v>-61</v>
      </c>
      <c r="H77" t="s">
        <v>2021</v>
      </c>
      <c r="I77" t="s">
        <v>2466</v>
      </c>
    </row>
    <row r="78" spans="1:9" x14ac:dyDescent="0.2">
      <c r="A78" s="1" t="s">
        <v>1918</v>
      </c>
      <c r="B78" t="s">
        <v>803</v>
      </c>
      <c r="C78">
        <v>10</v>
      </c>
      <c r="D78" t="s">
        <v>1002</v>
      </c>
      <c r="E78">
        <v>915</v>
      </c>
      <c r="F78">
        <v>-250</v>
      </c>
      <c r="G78">
        <v>-481</v>
      </c>
      <c r="H78" t="s">
        <v>2020</v>
      </c>
      <c r="I78" t="s">
        <v>2467</v>
      </c>
    </row>
    <row r="79" spans="1:9" x14ac:dyDescent="0.2">
      <c r="A79" s="1" t="s">
        <v>1931</v>
      </c>
      <c r="B79" t="s">
        <v>803</v>
      </c>
      <c r="C79">
        <v>10</v>
      </c>
      <c r="D79" t="s">
        <v>1002</v>
      </c>
      <c r="E79">
        <v>1183</v>
      </c>
      <c r="F79">
        <v>-780</v>
      </c>
      <c r="G79">
        <v>-500</v>
      </c>
      <c r="H79" t="s">
        <v>2017</v>
      </c>
      <c r="I79" t="s">
        <v>2468</v>
      </c>
    </row>
    <row r="80" spans="1:9" x14ac:dyDescent="0.2">
      <c r="A80" s="1" t="s">
        <v>1927</v>
      </c>
      <c r="B80" t="s">
        <v>803</v>
      </c>
      <c r="C80">
        <v>10</v>
      </c>
      <c r="D80" t="s">
        <v>1002</v>
      </c>
      <c r="E80">
        <v>2755</v>
      </c>
      <c r="F80">
        <v>-1089</v>
      </c>
      <c r="G80">
        <v>-54</v>
      </c>
      <c r="H80" t="s">
        <v>2035</v>
      </c>
      <c r="I80" t="s">
        <v>2469</v>
      </c>
    </row>
    <row r="81" spans="1:9" x14ac:dyDescent="0.2">
      <c r="A81" s="1" t="s">
        <v>1856</v>
      </c>
      <c r="B81" t="s">
        <v>803</v>
      </c>
      <c r="C81">
        <v>10</v>
      </c>
      <c r="D81" t="s">
        <v>1002</v>
      </c>
      <c r="E81">
        <v>1202</v>
      </c>
      <c r="F81">
        <v>329</v>
      </c>
      <c r="G81">
        <v>-574</v>
      </c>
      <c r="H81" t="s">
        <v>2032</v>
      </c>
      <c r="I81" t="s">
        <v>2470</v>
      </c>
    </row>
    <row r="82" spans="1:9" x14ac:dyDescent="0.2">
      <c r="A82" s="1" t="s">
        <v>1933</v>
      </c>
      <c r="B82" t="s">
        <v>803</v>
      </c>
      <c r="C82">
        <v>10</v>
      </c>
      <c r="D82" t="s">
        <v>1002</v>
      </c>
      <c r="E82">
        <v>1564</v>
      </c>
      <c r="F82">
        <v>-1945</v>
      </c>
      <c r="G82">
        <v>-464</v>
      </c>
      <c r="H82" t="s">
        <v>2007</v>
      </c>
      <c r="I82" t="s">
        <v>2471</v>
      </c>
    </row>
    <row r="83" spans="1:9" x14ac:dyDescent="0.2">
      <c r="A83" s="1" t="s">
        <v>1926</v>
      </c>
      <c r="B83" t="s">
        <v>803</v>
      </c>
      <c r="C83">
        <v>10</v>
      </c>
      <c r="D83" t="s">
        <v>1002</v>
      </c>
      <c r="E83">
        <v>2362</v>
      </c>
      <c r="F83">
        <v>-511</v>
      </c>
      <c r="G83">
        <v>-589</v>
      </c>
      <c r="H83" t="s">
        <v>2038</v>
      </c>
      <c r="I83" t="s">
        <v>2472</v>
      </c>
    </row>
    <row r="84" spans="1:9" x14ac:dyDescent="0.2">
      <c r="A84" s="1" t="s">
        <v>1919</v>
      </c>
      <c r="B84" t="s">
        <v>803</v>
      </c>
      <c r="C84">
        <v>10</v>
      </c>
      <c r="D84" t="s">
        <v>1002</v>
      </c>
      <c r="E84">
        <v>1743</v>
      </c>
      <c r="F84">
        <v>18</v>
      </c>
      <c r="G84">
        <v>-459</v>
      </c>
      <c r="H84" t="s">
        <v>2037</v>
      </c>
      <c r="I84" t="s">
        <v>2473</v>
      </c>
    </row>
    <row r="85" spans="1:9" x14ac:dyDescent="0.2">
      <c r="A85" s="1" t="s">
        <v>1857</v>
      </c>
      <c r="B85" t="s">
        <v>803</v>
      </c>
      <c r="C85">
        <v>10</v>
      </c>
      <c r="D85" t="s">
        <v>1002</v>
      </c>
      <c r="E85">
        <v>756</v>
      </c>
      <c r="F85">
        <v>823</v>
      </c>
      <c r="G85">
        <v>-531</v>
      </c>
      <c r="H85" t="s">
        <v>2033</v>
      </c>
      <c r="I85" t="s">
        <v>2474</v>
      </c>
    </row>
    <row r="86" spans="1:9" x14ac:dyDescent="0.2">
      <c r="A86" s="1" t="s">
        <v>1940</v>
      </c>
      <c r="B86" t="s">
        <v>804</v>
      </c>
      <c r="C86">
        <v>11</v>
      </c>
      <c r="D86" t="s">
        <v>1002</v>
      </c>
      <c r="E86">
        <v>4231</v>
      </c>
      <c r="F86">
        <v>-2178</v>
      </c>
      <c r="G86">
        <v>-521</v>
      </c>
      <c r="H86" t="s">
        <v>2040</v>
      </c>
      <c r="I86" t="s">
        <v>2475</v>
      </c>
    </row>
    <row r="87" spans="1:9" x14ac:dyDescent="0.2">
      <c r="A87" s="1" t="s">
        <v>1938</v>
      </c>
      <c r="B87" t="s">
        <v>804</v>
      </c>
      <c r="C87">
        <v>11</v>
      </c>
      <c r="D87" t="s">
        <v>1002</v>
      </c>
      <c r="E87">
        <v>3469</v>
      </c>
      <c r="F87">
        <v>-2180</v>
      </c>
      <c r="G87">
        <v>-594</v>
      </c>
      <c r="H87" t="s">
        <v>2029</v>
      </c>
      <c r="I87" t="s">
        <v>2476</v>
      </c>
    </row>
    <row r="88" spans="1:9" x14ac:dyDescent="0.2">
      <c r="A88" s="1" t="s">
        <v>1939</v>
      </c>
      <c r="B88" t="s">
        <v>804</v>
      </c>
      <c r="C88">
        <v>11</v>
      </c>
      <c r="D88" t="s">
        <v>1002</v>
      </c>
      <c r="E88">
        <v>3730</v>
      </c>
      <c r="F88">
        <v>-2057</v>
      </c>
      <c r="G88">
        <v>-665</v>
      </c>
      <c r="H88" t="s">
        <v>2036</v>
      </c>
      <c r="I88" t="s">
        <v>2477</v>
      </c>
    </row>
    <row r="89" spans="1:9" x14ac:dyDescent="0.2">
      <c r="A89" s="1" t="s">
        <v>1930</v>
      </c>
      <c r="B89" t="s">
        <v>804</v>
      </c>
      <c r="C89">
        <v>11</v>
      </c>
      <c r="D89" t="s">
        <v>1002</v>
      </c>
      <c r="E89">
        <v>4266</v>
      </c>
      <c r="F89">
        <v>-1674</v>
      </c>
      <c r="G89">
        <v>-628</v>
      </c>
      <c r="H89" t="s">
        <v>2050</v>
      </c>
      <c r="I89" t="s">
        <v>2478</v>
      </c>
    </row>
    <row r="90" spans="1:9" x14ac:dyDescent="0.2">
      <c r="A90" s="1" t="s">
        <v>1928</v>
      </c>
      <c r="B90" t="s">
        <v>804</v>
      </c>
      <c r="C90">
        <v>11</v>
      </c>
      <c r="D90" t="s">
        <v>1002</v>
      </c>
      <c r="E90">
        <v>3346</v>
      </c>
      <c r="F90">
        <v>-1188</v>
      </c>
      <c r="G90">
        <v>-610</v>
      </c>
      <c r="H90" t="s">
        <v>2042</v>
      </c>
      <c r="I90" t="s">
        <v>2479</v>
      </c>
    </row>
    <row r="91" spans="1:9" x14ac:dyDescent="0.2">
      <c r="A91" s="1" t="s">
        <v>1929</v>
      </c>
      <c r="B91" t="s">
        <v>804</v>
      </c>
      <c r="C91">
        <v>11</v>
      </c>
      <c r="D91" t="s">
        <v>1002</v>
      </c>
      <c r="E91">
        <v>3527</v>
      </c>
      <c r="F91">
        <v>-1481</v>
      </c>
      <c r="G91">
        <v>-612</v>
      </c>
      <c r="H91" t="s">
        <v>2039</v>
      </c>
      <c r="I91" t="s">
        <v>2480</v>
      </c>
    </row>
    <row r="92" spans="1:9" x14ac:dyDescent="0.2">
      <c r="A92" s="1" t="s">
        <v>1935</v>
      </c>
      <c r="B92" t="s">
        <v>805</v>
      </c>
      <c r="C92">
        <v>12</v>
      </c>
      <c r="D92" t="s">
        <v>1002</v>
      </c>
      <c r="E92">
        <v>3094</v>
      </c>
      <c r="F92">
        <v>-3209</v>
      </c>
      <c r="G92">
        <v>-594</v>
      </c>
      <c r="H92" t="s">
        <v>2009</v>
      </c>
      <c r="I92" t="s">
        <v>2481</v>
      </c>
    </row>
    <row r="93" spans="1:9" x14ac:dyDescent="0.2">
      <c r="A93" s="1" t="s">
        <v>1936</v>
      </c>
      <c r="B93" t="s">
        <v>805</v>
      </c>
      <c r="C93">
        <v>12</v>
      </c>
      <c r="D93" t="s">
        <v>1002</v>
      </c>
      <c r="E93">
        <v>2826</v>
      </c>
      <c r="F93">
        <v>-3271</v>
      </c>
      <c r="G93">
        <v>-527</v>
      </c>
      <c r="H93" t="s">
        <v>2006</v>
      </c>
      <c r="I93" t="s">
        <v>2482</v>
      </c>
    </row>
    <row r="94" spans="1:9" x14ac:dyDescent="0.2">
      <c r="A94" s="1" t="s">
        <v>1937</v>
      </c>
      <c r="B94" t="s">
        <v>805</v>
      </c>
      <c r="C94">
        <v>12</v>
      </c>
      <c r="D94" t="s">
        <v>1002</v>
      </c>
      <c r="E94">
        <v>4632</v>
      </c>
      <c r="F94">
        <v>-3712</v>
      </c>
      <c r="G94">
        <v>-506</v>
      </c>
      <c r="H94" t="s">
        <v>2115</v>
      </c>
      <c r="I94" t="s">
        <v>2483</v>
      </c>
    </row>
    <row r="95" spans="1:9" x14ac:dyDescent="0.2">
      <c r="A95" s="1" t="s">
        <v>1934</v>
      </c>
      <c r="B95" t="s">
        <v>805</v>
      </c>
      <c r="C95">
        <v>12</v>
      </c>
      <c r="D95" t="s">
        <v>1002</v>
      </c>
      <c r="E95">
        <v>2304</v>
      </c>
      <c r="F95">
        <v>-2377</v>
      </c>
      <c r="G95">
        <v>-617</v>
      </c>
      <c r="H95" t="s">
        <v>2010</v>
      </c>
      <c r="I95" t="s">
        <v>2484</v>
      </c>
    </row>
    <row r="96" spans="1:9" x14ac:dyDescent="0.2">
      <c r="A96" s="1" t="s">
        <v>1881</v>
      </c>
      <c r="B96" t="s">
        <v>794</v>
      </c>
      <c r="C96">
        <v>13</v>
      </c>
      <c r="D96" t="s">
        <v>1002</v>
      </c>
      <c r="E96">
        <v>104</v>
      </c>
      <c r="F96">
        <v>-2517</v>
      </c>
      <c r="G96">
        <v>-414</v>
      </c>
      <c r="H96" t="s">
        <v>1971</v>
      </c>
      <c r="I96" t="s">
        <v>2485</v>
      </c>
    </row>
    <row r="97" spans="1:9" x14ac:dyDescent="0.2">
      <c r="A97" s="1" t="s">
        <v>1878</v>
      </c>
      <c r="B97" t="s">
        <v>794</v>
      </c>
      <c r="C97">
        <v>13</v>
      </c>
      <c r="D97" t="s">
        <v>1002</v>
      </c>
      <c r="E97">
        <v>348</v>
      </c>
      <c r="F97">
        <v>-2050</v>
      </c>
      <c r="G97">
        <v>-471</v>
      </c>
      <c r="H97" t="s">
        <v>1981</v>
      </c>
      <c r="I97" t="s">
        <v>2486</v>
      </c>
    </row>
    <row r="98" spans="1:9" x14ac:dyDescent="0.2">
      <c r="A98" s="1" t="s">
        <v>1883</v>
      </c>
      <c r="B98" t="s">
        <v>794</v>
      </c>
      <c r="C98">
        <v>13</v>
      </c>
      <c r="D98" t="s">
        <v>1002</v>
      </c>
      <c r="E98">
        <v>669</v>
      </c>
      <c r="F98">
        <v>-3358</v>
      </c>
      <c r="G98">
        <v>-484</v>
      </c>
      <c r="H98" t="s">
        <v>1969</v>
      </c>
      <c r="I98" t="s">
        <v>2487</v>
      </c>
    </row>
    <row r="99" spans="1:9" x14ac:dyDescent="0.2">
      <c r="A99" s="1" t="s">
        <v>1879</v>
      </c>
      <c r="B99" t="s">
        <v>794</v>
      </c>
      <c r="C99">
        <v>13</v>
      </c>
      <c r="D99" t="s">
        <v>1002</v>
      </c>
      <c r="E99">
        <v>867</v>
      </c>
      <c r="F99">
        <v>-2280</v>
      </c>
      <c r="G99">
        <v>-556</v>
      </c>
      <c r="H99" t="s">
        <v>1988</v>
      </c>
      <c r="I99" t="s">
        <v>2488</v>
      </c>
    </row>
    <row r="100" spans="1:9" x14ac:dyDescent="0.2">
      <c r="A100" s="1" t="s">
        <v>1884</v>
      </c>
      <c r="B100" t="s">
        <v>794</v>
      </c>
      <c r="C100">
        <v>13</v>
      </c>
      <c r="D100" t="s">
        <v>1002</v>
      </c>
      <c r="E100">
        <v>-562</v>
      </c>
      <c r="F100">
        <v>-3524</v>
      </c>
      <c r="G100">
        <v>-574</v>
      </c>
      <c r="H100" t="s">
        <v>1956</v>
      </c>
      <c r="I100" t="s">
        <v>2489</v>
      </c>
    </row>
    <row r="101" spans="1:9" x14ac:dyDescent="0.2">
      <c r="A101" s="1" t="s">
        <v>1880</v>
      </c>
      <c r="B101" t="s">
        <v>794</v>
      </c>
      <c r="C101">
        <v>13</v>
      </c>
      <c r="D101" t="s">
        <v>1002</v>
      </c>
      <c r="E101">
        <v>1217</v>
      </c>
      <c r="F101">
        <v>-2542</v>
      </c>
      <c r="G101">
        <v>-612</v>
      </c>
      <c r="H101" t="s">
        <v>1990</v>
      </c>
      <c r="I101" t="s">
        <v>2490</v>
      </c>
    </row>
    <row r="102" spans="1:9" x14ac:dyDescent="0.2">
      <c r="A102" s="1" t="s">
        <v>1882</v>
      </c>
      <c r="B102" t="s">
        <v>794</v>
      </c>
      <c r="C102">
        <v>13</v>
      </c>
      <c r="D102" t="s">
        <v>1002</v>
      </c>
      <c r="E102">
        <v>1516</v>
      </c>
      <c r="F102">
        <v>-3576</v>
      </c>
      <c r="G102">
        <v>-529</v>
      </c>
      <c r="H102" t="s">
        <v>1977</v>
      </c>
      <c r="I102" t="s">
        <v>2491</v>
      </c>
    </row>
    <row r="103" spans="1:9" x14ac:dyDescent="0.2">
      <c r="A103" s="1" t="s">
        <v>1877</v>
      </c>
      <c r="B103" t="s">
        <v>794</v>
      </c>
      <c r="C103">
        <v>13</v>
      </c>
      <c r="D103" t="s">
        <v>1002</v>
      </c>
      <c r="E103">
        <v>931</v>
      </c>
      <c r="F103">
        <v>-1902</v>
      </c>
      <c r="G103">
        <v>-461</v>
      </c>
      <c r="H103" t="s">
        <v>1994</v>
      </c>
      <c r="I103" t="s">
        <v>2492</v>
      </c>
    </row>
    <row r="104" spans="1:9" x14ac:dyDescent="0.2">
      <c r="A104" s="1" t="s">
        <v>1893</v>
      </c>
      <c r="B104" t="s">
        <v>798</v>
      </c>
      <c r="C104">
        <v>14</v>
      </c>
      <c r="D104" t="s">
        <v>1002</v>
      </c>
      <c r="E104">
        <v>-2445</v>
      </c>
      <c r="F104">
        <v>-3345</v>
      </c>
      <c r="G104">
        <v>-465</v>
      </c>
      <c r="H104" t="s">
        <v>1949</v>
      </c>
      <c r="I104" t="s">
        <v>2493</v>
      </c>
    </row>
    <row r="105" spans="1:9" x14ac:dyDescent="0.2">
      <c r="A105" s="1" t="s">
        <v>1897</v>
      </c>
      <c r="B105" t="s">
        <v>798</v>
      </c>
      <c r="C105">
        <v>14</v>
      </c>
      <c r="D105" t="s">
        <v>1002</v>
      </c>
      <c r="E105">
        <v>-3726</v>
      </c>
      <c r="F105">
        <v>-3625</v>
      </c>
      <c r="G105">
        <v>-494</v>
      </c>
      <c r="H105" t="s">
        <v>1943</v>
      </c>
      <c r="I105" t="s">
        <v>2494</v>
      </c>
    </row>
    <row r="106" spans="1:9" x14ac:dyDescent="0.2">
      <c r="A106" s="1" t="s">
        <v>1899</v>
      </c>
      <c r="B106" t="s">
        <v>798</v>
      </c>
      <c r="C106">
        <v>14</v>
      </c>
      <c r="D106" t="s">
        <v>1002</v>
      </c>
      <c r="E106">
        <v>-4679</v>
      </c>
      <c r="F106">
        <v>-3086</v>
      </c>
      <c r="G106">
        <v>-503</v>
      </c>
      <c r="H106" t="s">
        <v>1942</v>
      </c>
      <c r="I106" t="s">
        <v>2495</v>
      </c>
    </row>
    <row r="107" spans="1:9" x14ac:dyDescent="0.2">
      <c r="A107" s="1" t="s">
        <v>1896</v>
      </c>
      <c r="B107" t="s">
        <v>798</v>
      </c>
      <c r="C107">
        <v>14</v>
      </c>
      <c r="D107" t="s">
        <v>1002</v>
      </c>
      <c r="E107">
        <v>-3883</v>
      </c>
      <c r="F107">
        <v>-2964</v>
      </c>
      <c r="G107">
        <v>-434</v>
      </c>
      <c r="H107" t="s">
        <v>1944</v>
      </c>
      <c r="I107" t="s">
        <v>2496</v>
      </c>
    </row>
    <row r="108" spans="1:9" x14ac:dyDescent="0.2">
      <c r="A108" s="1" t="s">
        <v>1889</v>
      </c>
      <c r="B108" t="s">
        <v>798</v>
      </c>
      <c r="C108">
        <v>14</v>
      </c>
      <c r="D108" t="s">
        <v>1002</v>
      </c>
      <c r="E108">
        <v>-2031</v>
      </c>
      <c r="F108">
        <v>-1847</v>
      </c>
      <c r="G108">
        <v>-504</v>
      </c>
      <c r="H108" t="s">
        <v>1958</v>
      </c>
      <c r="I108" t="s">
        <v>2497</v>
      </c>
    </row>
    <row r="109" spans="1:9" x14ac:dyDescent="0.2">
      <c r="A109" s="1" t="s">
        <v>1898</v>
      </c>
      <c r="B109" t="s">
        <v>798</v>
      </c>
      <c r="C109">
        <v>14</v>
      </c>
      <c r="D109" t="s">
        <v>1002</v>
      </c>
      <c r="E109">
        <v>-4159</v>
      </c>
      <c r="F109">
        <v>-3824</v>
      </c>
      <c r="G109">
        <v>-478</v>
      </c>
      <c r="H109" t="s">
        <v>1941</v>
      </c>
      <c r="I109" t="s">
        <v>2498</v>
      </c>
    </row>
    <row r="110" spans="1:9" x14ac:dyDescent="0.2">
      <c r="A110" s="1" t="s">
        <v>1890</v>
      </c>
      <c r="B110" t="s">
        <v>798</v>
      </c>
      <c r="C110">
        <v>14</v>
      </c>
      <c r="D110" t="s">
        <v>1002</v>
      </c>
      <c r="E110">
        <v>-1529</v>
      </c>
      <c r="F110">
        <v>-2928</v>
      </c>
      <c r="G110">
        <v>-731</v>
      </c>
      <c r="H110" t="s">
        <v>1954</v>
      </c>
      <c r="I110" t="s">
        <v>2499</v>
      </c>
    </row>
    <row r="111" spans="1:9" x14ac:dyDescent="0.2">
      <c r="A111" s="1" t="s">
        <v>1891</v>
      </c>
      <c r="B111" t="s">
        <v>798</v>
      </c>
      <c r="C111">
        <v>14</v>
      </c>
      <c r="D111" t="s">
        <v>1002</v>
      </c>
      <c r="E111">
        <v>-2658</v>
      </c>
      <c r="F111">
        <v>-2236</v>
      </c>
      <c r="G111">
        <v>-488</v>
      </c>
      <c r="H111" t="s">
        <v>1952</v>
      </c>
      <c r="I111" t="s">
        <v>2500</v>
      </c>
    </row>
    <row r="112" spans="1:9" x14ac:dyDescent="0.2">
      <c r="A112" s="1" t="s">
        <v>1894</v>
      </c>
      <c r="B112" t="s">
        <v>798</v>
      </c>
      <c r="C112">
        <v>14</v>
      </c>
      <c r="D112" t="s">
        <v>1002</v>
      </c>
      <c r="E112">
        <v>-3211</v>
      </c>
      <c r="F112">
        <v>-3007</v>
      </c>
      <c r="G112">
        <v>-470</v>
      </c>
      <c r="H112" t="s">
        <v>1946</v>
      </c>
      <c r="I112" t="s">
        <v>2501</v>
      </c>
    </row>
    <row r="113" spans="1:9" x14ac:dyDescent="0.2">
      <c r="A113" s="1" t="s">
        <v>1900</v>
      </c>
      <c r="B113" t="s">
        <v>798</v>
      </c>
      <c r="C113">
        <v>14</v>
      </c>
      <c r="D113" t="s">
        <v>1002</v>
      </c>
      <c r="E113">
        <v>-4168</v>
      </c>
      <c r="F113">
        <v>-2144</v>
      </c>
      <c r="G113">
        <v>-487</v>
      </c>
      <c r="H113" t="s">
        <v>1945</v>
      </c>
      <c r="I113" t="s">
        <v>2502</v>
      </c>
    </row>
    <row r="114" spans="1:9" x14ac:dyDescent="0.2">
      <c r="A114" s="1" t="s">
        <v>1892</v>
      </c>
      <c r="B114" t="s">
        <v>798</v>
      </c>
      <c r="C114">
        <v>14</v>
      </c>
      <c r="D114" t="s">
        <v>1002</v>
      </c>
      <c r="E114">
        <v>-1795</v>
      </c>
      <c r="F114">
        <v>-3485</v>
      </c>
      <c r="G114">
        <v>-477</v>
      </c>
      <c r="H114" t="s">
        <v>1982</v>
      </c>
      <c r="I114" t="s">
        <v>2503</v>
      </c>
    </row>
    <row r="115" spans="1:9" x14ac:dyDescent="0.2">
      <c r="A115" s="1" t="s">
        <v>1895</v>
      </c>
      <c r="B115" t="s">
        <v>798</v>
      </c>
      <c r="C115">
        <v>14</v>
      </c>
      <c r="D115" t="s">
        <v>1002</v>
      </c>
      <c r="E115">
        <v>-3292</v>
      </c>
      <c r="F115">
        <v>-2509</v>
      </c>
      <c r="G115">
        <v>-475</v>
      </c>
      <c r="H115" t="s">
        <v>1948</v>
      </c>
      <c r="I115" t="s">
        <v>2504</v>
      </c>
    </row>
    <row r="116" spans="1:9" x14ac:dyDescent="0.2">
      <c r="A116" s="1" t="s">
        <v>1902</v>
      </c>
      <c r="B116" t="s">
        <v>797</v>
      </c>
      <c r="C116">
        <v>15</v>
      </c>
      <c r="D116" t="s">
        <v>1002</v>
      </c>
      <c r="E116">
        <v>-3496</v>
      </c>
      <c r="F116">
        <v>-197</v>
      </c>
      <c r="G116">
        <v>-516</v>
      </c>
      <c r="H116" t="s">
        <v>1961</v>
      </c>
      <c r="I116" t="s">
        <v>2505</v>
      </c>
    </row>
    <row r="117" spans="1:9" x14ac:dyDescent="0.2">
      <c r="A117" s="1" t="s">
        <v>1888</v>
      </c>
      <c r="B117" t="s">
        <v>797</v>
      </c>
      <c r="C117">
        <v>15</v>
      </c>
      <c r="D117" t="s">
        <v>1002</v>
      </c>
      <c r="E117">
        <v>-2523</v>
      </c>
      <c r="F117">
        <v>-1770</v>
      </c>
      <c r="G117">
        <v>-713</v>
      </c>
      <c r="H117" t="s">
        <v>1955</v>
      </c>
      <c r="I117" t="s">
        <v>2506</v>
      </c>
    </row>
    <row r="118" spans="1:9" x14ac:dyDescent="0.2">
      <c r="A118" s="1" t="s">
        <v>1885</v>
      </c>
      <c r="B118" t="s">
        <v>797</v>
      </c>
      <c r="C118">
        <v>15</v>
      </c>
      <c r="D118" t="s">
        <v>1002</v>
      </c>
      <c r="E118">
        <v>-4468</v>
      </c>
      <c r="F118">
        <v>-670</v>
      </c>
      <c r="G118">
        <v>-949</v>
      </c>
      <c r="H118" t="s">
        <v>1950</v>
      </c>
      <c r="I118" t="s">
        <v>2507</v>
      </c>
    </row>
    <row r="119" spans="1:9" x14ac:dyDescent="0.2">
      <c r="A119" s="1" t="s">
        <v>1901</v>
      </c>
      <c r="B119" t="s">
        <v>797</v>
      </c>
      <c r="C119">
        <v>15</v>
      </c>
      <c r="D119" t="s">
        <v>1002</v>
      </c>
      <c r="E119">
        <v>-4152</v>
      </c>
      <c r="F119">
        <v>98</v>
      </c>
      <c r="G119">
        <v>-489</v>
      </c>
      <c r="H119" t="s">
        <v>1957</v>
      </c>
      <c r="I119" t="s">
        <v>2508</v>
      </c>
    </row>
    <row r="120" spans="1:9" x14ac:dyDescent="0.2">
      <c r="A120" s="1" t="s">
        <v>1886</v>
      </c>
      <c r="B120" t="s">
        <v>797</v>
      </c>
      <c r="C120">
        <v>15</v>
      </c>
      <c r="D120" t="s">
        <v>1002</v>
      </c>
      <c r="E120">
        <v>-4637</v>
      </c>
      <c r="F120">
        <v>-1514</v>
      </c>
      <c r="G120">
        <v>-890</v>
      </c>
      <c r="H120" t="s">
        <v>1947</v>
      </c>
      <c r="I120" t="s">
        <v>2509</v>
      </c>
    </row>
    <row r="121" spans="1:9" x14ac:dyDescent="0.2">
      <c r="A121" s="1" t="s">
        <v>1887</v>
      </c>
      <c r="B121" t="s">
        <v>797</v>
      </c>
      <c r="C121">
        <v>15</v>
      </c>
      <c r="D121" t="s">
        <v>1002</v>
      </c>
      <c r="E121">
        <v>-3407</v>
      </c>
      <c r="F121">
        <v>-1362</v>
      </c>
      <c r="G121">
        <v>-77</v>
      </c>
      <c r="H121" t="s">
        <v>1953</v>
      </c>
      <c r="I121" t="s">
        <v>2510</v>
      </c>
    </row>
  </sheetData>
  <autoFilter ref="A1:H121" xr:uid="{823B8C7C-C45E-F947-B4ED-93BCBD79419E}">
    <sortState xmlns:xlrd2="http://schemas.microsoft.com/office/spreadsheetml/2017/richdata2" ref="A2:H121">
      <sortCondition ref="C1:C121"/>
    </sortState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61B-E3B8-6A41-B5B5-EF88E67723E0}">
  <sheetPr codeName="Sheet15">
    <tabColor theme="9"/>
  </sheetPr>
  <dimension ref="A1:K154"/>
  <sheetViews>
    <sheetView topLeftCell="A105" workbookViewId="0">
      <selection activeCell="H123" sqref="H123"/>
    </sheetView>
  </sheetViews>
  <sheetFormatPr baseColWidth="10" defaultRowHeight="16" x14ac:dyDescent="0.2"/>
  <cols>
    <col min="1" max="1" width="19.33203125" bestFit="1" customWidth="1"/>
    <col min="2" max="2" width="12.83203125" customWidth="1"/>
    <col min="3" max="3" width="18.5" style="2" bestFit="1" customWidth="1"/>
    <col min="4" max="4" width="10.5" style="2" customWidth="1"/>
    <col min="6" max="8" width="10.83203125" style="2"/>
    <col min="9" max="9" width="89.5" style="17" bestFit="1" customWidth="1"/>
    <col min="10" max="10" width="18" bestFit="1" customWidth="1"/>
  </cols>
  <sheetData>
    <row r="1" spans="1:11" s="6" customFormat="1" x14ac:dyDescent="0.2">
      <c r="A1" s="6" t="s">
        <v>781</v>
      </c>
      <c r="B1" s="6" t="s">
        <v>2129</v>
      </c>
      <c r="C1" s="4" t="s">
        <v>8</v>
      </c>
      <c r="D1" s="4" t="s">
        <v>8</v>
      </c>
      <c r="E1" s="6" t="s">
        <v>777</v>
      </c>
      <c r="F1" s="4" t="s">
        <v>778</v>
      </c>
      <c r="G1" s="4" t="s">
        <v>779</v>
      </c>
      <c r="H1" s="4" t="s">
        <v>780</v>
      </c>
      <c r="I1" s="18" t="s">
        <v>2121</v>
      </c>
      <c r="J1" s="10"/>
      <c r="K1" s="10"/>
    </row>
    <row r="2" spans="1:11" x14ac:dyDescent="0.2">
      <c r="A2" s="1" t="s">
        <v>2005</v>
      </c>
      <c r="B2" s="1" t="s">
        <v>2133</v>
      </c>
      <c r="C2" s="2" t="s">
        <v>2110</v>
      </c>
      <c r="D2" s="2">
        <v>1</v>
      </c>
      <c r="E2" t="s">
        <v>785</v>
      </c>
      <c r="F2" s="2">
        <v>-885</v>
      </c>
      <c r="G2" s="2">
        <v>418</v>
      </c>
      <c r="H2" s="2">
        <v>49</v>
      </c>
      <c r="I2" s="17" t="str">
        <f>"{ name: "&amp;CHAR(34)&amp;A2&amp;CHAR(34)&amp;", landmark: "&amp;CHAR(34)&amp;"Shrine"&amp;CHAR(34)&amp;", type: "&amp;CHAR(34)&amp;B2&amp;CHAR(34)&amp;", region: "&amp;D2&amp;", level: "&amp;CHAR(34)&amp;E2&amp;CHAR(34)&amp;", x: "&amp;F2&amp;", y: "&amp;G2&amp;", z: "&amp;H2&amp;", details: "&amp;CHAR(34)&amp;CHAR(34)&amp;" },"</f>
        <v>{ name: "Ishodag Shrine", landmark: "Shrine", type: "Puzzle Trial", region: 1, level: "Surface", x: -885, y: 418, z: 49, details: "" },</v>
      </c>
      <c r="J2" s="20"/>
    </row>
    <row r="3" spans="1:11" x14ac:dyDescent="0.2">
      <c r="A3" s="1" t="s">
        <v>2004</v>
      </c>
      <c r="B3" s="1" t="s">
        <v>2133</v>
      </c>
      <c r="C3" s="2" t="s">
        <v>2110</v>
      </c>
      <c r="D3" s="2">
        <v>1</v>
      </c>
      <c r="E3" t="s">
        <v>785</v>
      </c>
      <c r="F3" s="2">
        <v>-240</v>
      </c>
      <c r="G3" s="2">
        <v>-374</v>
      </c>
      <c r="H3" s="2">
        <v>27</v>
      </c>
      <c r="I3" s="17" t="s">
        <v>2134</v>
      </c>
    </row>
    <row r="4" spans="1:11" x14ac:dyDescent="0.2">
      <c r="A4" s="1" t="s">
        <v>2016</v>
      </c>
      <c r="B4" s="1" t="s">
        <v>2132</v>
      </c>
      <c r="C4" s="2" t="s">
        <v>2110</v>
      </c>
      <c r="D4" s="2">
        <v>1</v>
      </c>
      <c r="E4" t="s">
        <v>785</v>
      </c>
      <c r="F4" s="2">
        <v>-205</v>
      </c>
      <c r="G4" s="2">
        <v>451</v>
      </c>
      <c r="H4" s="2">
        <v>21</v>
      </c>
      <c r="I4" s="17" t="s">
        <v>2135</v>
      </c>
    </row>
    <row r="5" spans="1:11" x14ac:dyDescent="0.2">
      <c r="A5" s="1" t="s">
        <v>2030</v>
      </c>
      <c r="B5" s="1" t="s">
        <v>2133</v>
      </c>
      <c r="C5" s="2" t="s">
        <v>2110</v>
      </c>
      <c r="D5" s="2">
        <v>1</v>
      </c>
      <c r="E5" t="s">
        <v>785</v>
      </c>
      <c r="F5" s="2">
        <v>219</v>
      </c>
      <c r="G5" s="2">
        <v>1082</v>
      </c>
      <c r="H5" s="2">
        <v>26</v>
      </c>
      <c r="I5" s="17" t="s">
        <v>2136</v>
      </c>
    </row>
    <row r="6" spans="1:11" x14ac:dyDescent="0.2">
      <c r="A6" s="1" t="s">
        <v>2027</v>
      </c>
      <c r="B6" s="1" t="s">
        <v>2133</v>
      </c>
      <c r="C6" s="2" t="s">
        <v>2110</v>
      </c>
      <c r="D6" s="2">
        <v>1</v>
      </c>
      <c r="E6" t="s">
        <v>785</v>
      </c>
      <c r="F6" s="2">
        <v>-180</v>
      </c>
      <c r="G6" s="2">
        <v>1170</v>
      </c>
      <c r="H6" s="2">
        <v>280</v>
      </c>
      <c r="I6" s="17" t="s">
        <v>2137</v>
      </c>
    </row>
    <row r="7" spans="1:11" x14ac:dyDescent="0.2">
      <c r="A7" s="1" t="s">
        <v>1991</v>
      </c>
      <c r="B7" s="1" t="s">
        <v>2133</v>
      </c>
      <c r="C7" s="2" t="s">
        <v>2110</v>
      </c>
      <c r="D7" s="2">
        <v>1</v>
      </c>
      <c r="E7" t="s">
        <v>785</v>
      </c>
      <c r="F7" s="2">
        <v>-785</v>
      </c>
      <c r="G7" s="2">
        <v>-433</v>
      </c>
      <c r="H7" s="2">
        <v>18</v>
      </c>
      <c r="I7" s="17" t="s">
        <v>2138</v>
      </c>
    </row>
    <row r="8" spans="1:11" x14ac:dyDescent="0.2">
      <c r="A8" s="1" t="s">
        <v>2023</v>
      </c>
      <c r="B8" s="1" t="s">
        <v>2132</v>
      </c>
      <c r="C8" s="2" t="s">
        <v>2110</v>
      </c>
      <c r="D8" s="2">
        <v>1</v>
      </c>
      <c r="E8" t="s">
        <v>785</v>
      </c>
      <c r="F8" s="2">
        <v>333</v>
      </c>
      <c r="G8" s="2">
        <v>468</v>
      </c>
      <c r="H8" s="2">
        <v>29</v>
      </c>
      <c r="I8" s="17" t="s">
        <v>2139</v>
      </c>
    </row>
    <row r="9" spans="1:11" x14ac:dyDescent="0.2">
      <c r="A9" s="1" t="s">
        <v>1986</v>
      </c>
      <c r="B9" s="1" t="s">
        <v>2133</v>
      </c>
      <c r="C9" s="2" t="s">
        <v>2111</v>
      </c>
      <c r="D9" s="2">
        <v>2</v>
      </c>
      <c r="E9" t="s">
        <v>783</v>
      </c>
      <c r="F9" s="2">
        <v>27</v>
      </c>
      <c r="G9" s="2">
        <v>-1506</v>
      </c>
      <c r="H9" s="2">
        <v>1408</v>
      </c>
      <c r="I9" s="17" t="s">
        <v>2140</v>
      </c>
    </row>
    <row r="10" spans="1:11" x14ac:dyDescent="0.2">
      <c r="A10" s="1" t="s">
        <v>1968</v>
      </c>
      <c r="B10" s="1" t="s">
        <v>2131</v>
      </c>
      <c r="C10" s="2" t="s">
        <v>2111</v>
      </c>
      <c r="D10" s="2">
        <v>2</v>
      </c>
      <c r="E10" t="s">
        <v>783</v>
      </c>
      <c r="F10" s="2">
        <v>-1257</v>
      </c>
      <c r="G10" s="2">
        <v>-1487</v>
      </c>
      <c r="H10" s="2">
        <v>1008</v>
      </c>
      <c r="I10" s="17" t="s">
        <v>2141</v>
      </c>
    </row>
    <row r="11" spans="1:11" x14ac:dyDescent="0.2">
      <c r="A11" s="1" t="s">
        <v>2002</v>
      </c>
      <c r="B11" s="1" t="s">
        <v>2133</v>
      </c>
      <c r="C11" s="2" t="s">
        <v>2111</v>
      </c>
      <c r="D11" s="2">
        <v>2</v>
      </c>
      <c r="E11" t="s">
        <v>783</v>
      </c>
      <c r="F11" s="2">
        <v>275</v>
      </c>
      <c r="G11" s="2">
        <v>-910</v>
      </c>
      <c r="H11" s="2">
        <v>1474</v>
      </c>
      <c r="I11" s="17" t="s">
        <v>2142</v>
      </c>
    </row>
    <row r="12" spans="1:11" x14ac:dyDescent="0.2">
      <c r="A12" s="1" t="s">
        <v>1980</v>
      </c>
      <c r="B12" s="1" t="s">
        <v>2130</v>
      </c>
      <c r="C12" s="2" t="s">
        <v>2111</v>
      </c>
      <c r="D12" s="2">
        <v>2</v>
      </c>
      <c r="E12" t="s">
        <v>785</v>
      </c>
      <c r="F12" s="2">
        <v>-176</v>
      </c>
      <c r="G12" s="2">
        <v>-1557</v>
      </c>
      <c r="H12" s="2">
        <v>23</v>
      </c>
      <c r="I12" s="17" t="s">
        <v>2143</v>
      </c>
    </row>
    <row r="13" spans="1:11" x14ac:dyDescent="0.2">
      <c r="A13" s="1" t="s">
        <v>1974</v>
      </c>
      <c r="B13" s="1" t="s">
        <v>2133</v>
      </c>
      <c r="C13" s="2" t="s">
        <v>2111</v>
      </c>
      <c r="D13" s="2">
        <v>2</v>
      </c>
      <c r="E13" t="s">
        <v>785</v>
      </c>
      <c r="F13" s="2">
        <v>-710</v>
      </c>
      <c r="G13" s="2">
        <v>-1550</v>
      </c>
      <c r="H13" s="2">
        <v>6</v>
      </c>
      <c r="I13" s="17" t="s">
        <v>2144</v>
      </c>
    </row>
    <row r="14" spans="1:11" x14ac:dyDescent="0.2">
      <c r="A14" s="1" t="s">
        <v>1985</v>
      </c>
      <c r="B14" s="1" t="s">
        <v>2133</v>
      </c>
      <c r="C14" s="2" t="s">
        <v>2111</v>
      </c>
      <c r="D14" s="2">
        <v>2</v>
      </c>
      <c r="E14" t="s">
        <v>785</v>
      </c>
      <c r="F14" s="2">
        <v>-705</v>
      </c>
      <c r="G14" s="2">
        <v>-866</v>
      </c>
      <c r="H14" s="2">
        <v>31</v>
      </c>
      <c r="I14" s="17" t="s">
        <v>2145</v>
      </c>
    </row>
    <row r="15" spans="1:11" x14ac:dyDescent="0.2">
      <c r="A15" s="1" t="s">
        <v>1963</v>
      </c>
      <c r="B15" s="1" t="s">
        <v>2133</v>
      </c>
      <c r="C15" s="2" t="s">
        <v>2111</v>
      </c>
      <c r="D15" s="2">
        <v>2</v>
      </c>
      <c r="E15" t="s">
        <v>785</v>
      </c>
      <c r="F15" s="2">
        <v>-1443</v>
      </c>
      <c r="G15" s="2">
        <v>-1616</v>
      </c>
      <c r="H15" s="2">
        <v>89</v>
      </c>
      <c r="I15" s="17" t="s">
        <v>2146</v>
      </c>
    </row>
    <row r="16" spans="1:11" x14ac:dyDescent="0.2">
      <c r="A16" s="1" t="s">
        <v>1972</v>
      </c>
      <c r="B16" s="1" t="s">
        <v>2133</v>
      </c>
      <c r="C16" s="2" t="s">
        <v>2111</v>
      </c>
      <c r="D16" s="2">
        <v>2</v>
      </c>
      <c r="E16" t="s">
        <v>785</v>
      </c>
      <c r="F16" s="2">
        <v>-1921</v>
      </c>
      <c r="G16" s="2">
        <v>-356</v>
      </c>
      <c r="H16" s="2">
        <v>228</v>
      </c>
      <c r="I16" s="17" t="s">
        <v>2147</v>
      </c>
    </row>
    <row r="17" spans="1:11" x14ac:dyDescent="0.2">
      <c r="A17" s="1" t="s">
        <v>1962</v>
      </c>
      <c r="B17" s="1" t="s">
        <v>2133</v>
      </c>
      <c r="C17" s="2" t="s">
        <v>2111</v>
      </c>
      <c r="D17" s="2">
        <v>2</v>
      </c>
      <c r="E17" t="s">
        <v>785</v>
      </c>
      <c r="F17" s="2">
        <v>-1082</v>
      </c>
      <c r="G17" s="2">
        <v>-2187</v>
      </c>
      <c r="H17" s="2">
        <v>128</v>
      </c>
      <c r="I17" s="17" t="s">
        <v>2148</v>
      </c>
      <c r="J17" s="11"/>
      <c r="K17" s="11"/>
    </row>
    <row r="18" spans="1:11" x14ac:dyDescent="0.2">
      <c r="A18" s="1" t="s">
        <v>2000</v>
      </c>
      <c r="B18" s="1" t="s">
        <v>2133</v>
      </c>
      <c r="C18" s="2" t="s">
        <v>2111</v>
      </c>
      <c r="D18" s="2">
        <v>2</v>
      </c>
      <c r="E18" t="s">
        <v>785</v>
      </c>
      <c r="F18" s="2">
        <v>344</v>
      </c>
      <c r="G18" s="2">
        <v>-1007</v>
      </c>
      <c r="H18" s="2">
        <v>16</v>
      </c>
      <c r="I18" s="17" t="s">
        <v>2149</v>
      </c>
      <c r="J18" s="11"/>
      <c r="K18" s="11"/>
    </row>
    <row r="19" spans="1:11" x14ac:dyDescent="0.2">
      <c r="A19" s="1" t="s">
        <v>1992</v>
      </c>
      <c r="B19" s="1" t="s">
        <v>2132</v>
      </c>
      <c r="C19" s="2" t="s">
        <v>2111</v>
      </c>
      <c r="D19" s="2">
        <v>2</v>
      </c>
      <c r="E19" t="s">
        <v>785</v>
      </c>
      <c r="F19" s="2">
        <v>-73</v>
      </c>
      <c r="G19" s="2">
        <v>-1115</v>
      </c>
      <c r="H19" s="2">
        <v>21</v>
      </c>
      <c r="I19" s="17" t="s">
        <v>2150</v>
      </c>
      <c r="J19" s="11"/>
      <c r="K19" s="11"/>
    </row>
    <row r="20" spans="1:11" x14ac:dyDescent="0.2">
      <c r="A20" s="1" t="s">
        <v>1967</v>
      </c>
      <c r="B20" s="1" t="s">
        <v>2133</v>
      </c>
      <c r="C20" s="2" t="s">
        <v>2111</v>
      </c>
      <c r="D20" s="2">
        <v>2</v>
      </c>
      <c r="E20" t="s">
        <v>785</v>
      </c>
      <c r="F20" s="2">
        <v>-1422</v>
      </c>
      <c r="G20" s="2">
        <v>-1350</v>
      </c>
      <c r="H20" s="2">
        <v>68</v>
      </c>
      <c r="I20" s="17" t="s">
        <v>2151</v>
      </c>
      <c r="J20" s="11"/>
      <c r="K20" s="11"/>
    </row>
    <row r="21" spans="1:11" x14ac:dyDescent="0.2">
      <c r="A21" s="1" t="s">
        <v>1964</v>
      </c>
      <c r="B21" s="1" t="s">
        <v>2131</v>
      </c>
      <c r="C21" s="2" t="s">
        <v>2111</v>
      </c>
      <c r="D21" s="2">
        <v>2</v>
      </c>
      <c r="E21" t="s">
        <v>785</v>
      </c>
      <c r="F21" s="2">
        <v>-2140</v>
      </c>
      <c r="G21" s="2">
        <v>-873</v>
      </c>
      <c r="H21" s="2">
        <v>93</v>
      </c>
      <c r="I21" s="17" t="s">
        <v>2152</v>
      </c>
      <c r="J21" s="11"/>
      <c r="K21" s="11"/>
    </row>
    <row r="22" spans="1:11" x14ac:dyDescent="0.2">
      <c r="A22" s="1" t="s">
        <v>2114</v>
      </c>
      <c r="B22" s="1" t="s">
        <v>2131</v>
      </c>
      <c r="C22" s="2" t="s">
        <v>787</v>
      </c>
      <c r="D22" s="2">
        <v>3</v>
      </c>
      <c r="E22" t="s">
        <v>783</v>
      </c>
      <c r="F22" s="2">
        <v>-3596</v>
      </c>
      <c r="G22" s="2">
        <v>962</v>
      </c>
      <c r="H22" s="2">
        <v>1699</v>
      </c>
      <c r="I22" s="17" t="s">
        <v>2153</v>
      </c>
      <c r="J22" s="11"/>
      <c r="K22" s="11"/>
    </row>
    <row r="23" spans="1:11" x14ac:dyDescent="0.2">
      <c r="A23" s="1" t="s">
        <v>1965</v>
      </c>
      <c r="B23" s="1" t="s">
        <v>2131</v>
      </c>
      <c r="C23" s="2" t="s">
        <v>787</v>
      </c>
      <c r="D23" s="2">
        <v>3</v>
      </c>
      <c r="E23" t="s">
        <v>783</v>
      </c>
      <c r="F23" s="2">
        <v>-3366</v>
      </c>
      <c r="G23" s="2">
        <v>469</v>
      </c>
      <c r="H23" s="2">
        <v>1695</v>
      </c>
      <c r="I23" s="17" t="s">
        <v>2154</v>
      </c>
      <c r="J23" s="11"/>
      <c r="K23" s="11"/>
    </row>
    <row r="24" spans="1:11" x14ac:dyDescent="0.2">
      <c r="A24" s="1" t="s">
        <v>1984</v>
      </c>
      <c r="B24" s="1" t="s">
        <v>2132</v>
      </c>
      <c r="C24" s="2" t="s">
        <v>787</v>
      </c>
      <c r="D24" s="2">
        <v>3</v>
      </c>
      <c r="E24" t="s">
        <v>783</v>
      </c>
      <c r="F24" s="2">
        <v>-2400</v>
      </c>
      <c r="G24" s="2">
        <v>824</v>
      </c>
      <c r="H24" s="2">
        <v>615</v>
      </c>
      <c r="I24" s="17" t="s">
        <v>2155</v>
      </c>
      <c r="J24" s="11"/>
      <c r="K24" s="11"/>
    </row>
    <row r="25" spans="1:11" x14ac:dyDescent="0.2">
      <c r="A25" s="1" t="s">
        <v>1966</v>
      </c>
      <c r="B25" s="1" t="s">
        <v>2131</v>
      </c>
      <c r="C25" s="2" t="s">
        <v>787</v>
      </c>
      <c r="D25" s="2">
        <v>3</v>
      </c>
      <c r="E25" t="s">
        <v>785</v>
      </c>
      <c r="F25" s="2">
        <v>-3950</v>
      </c>
      <c r="G25" s="2">
        <v>1138</v>
      </c>
      <c r="H25" s="2">
        <v>111</v>
      </c>
      <c r="I25" s="17" t="s">
        <v>2156</v>
      </c>
      <c r="J25" s="11"/>
      <c r="K25" s="11"/>
    </row>
    <row r="26" spans="1:11" x14ac:dyDescent="0.2">
      <c r="A26" s="1" t="s">
        <v>1970</v>
      </c>
      <c r="B26" s="1" t="s">
        <v>2133</v>
      </c>
      <c r="C26" s="2" t="s">
        <v>787</v>
      </c>
      <c r="D26" s="2">
        <v>3</v>
      </c>
      <c r="E26" t="s">
        <v>785</v>
      </c>
      <c r="F26" s="2">
        <v>-3538</v>
      </c>
      <c r="G26" s="2">
        <v>853</v>
      </c>
      <c r="H26" s="2">
        <v>-133</v>
      </c>
      <c r="I26" s="17" t="s">
        <v>2157</v>
      </c>
      <c r="J26" s="11"/>
      <c r="K26" s="11"/>
    </row>
    <row r="27" spans="1:11" x14ac:dyDescent="0.2">
      <c r="A27" s="1" t="s">
        <v>2026</v>
      </c>
      <c r="B27" s="1" t="s">
        <v>2133</v>
      </c>
      <c r="C27" s="2" t="s">
        <v>787</v>
      </c>
      <c r="D27" s="2">
        <v>3</v>
      </c>
      <c r="E27" t="s">
        <v>785</v>
      </c>
      <c r="F27" s="2">
        <v>-1106</v>
      </c>
      <c r="G27" s="2">
        <v>2086</v>
      </c>
      <c r="H27" s="2">
        <v>104</v>
      </c>
      <c r="I27" s="17" t="s">
        <v>2158</v>
      </c>
      <c r="J27" s="11"/>
      <c r="K27" s="11"/>
    </row>
    <row r="28" spans="1:11" x14ac:dyDescent="0.2">
      <c r="A28" s="1" t="s">
        <v>1975</v>
      </c>
      <c r="B28" s="1" t="s">
        <v>2132</v>
      </c>
      <c r="C28" s="2" t="s">
        <v>787</v>
      </c>
      <c r="D28" s="2">
        <v>3</v>
      </c>
      <c r="E28" t="s">
        <v>785</v>
      </c>
      <c r="F28" s="2">
        <v>-2848</v>
      </c>
      <c r="G28" s="2">
        <v>629</v>
      </c>
      <c r="H28" s="2">
        <v>233</v>
      </c>
      <c r="I28" s="17" t="s">
        <v>2159</v>
      </c>
      <c r="J28" s="11"/>
      <c r="K28" s="11"/>
    </row>
    <row r="29" spans="1:11" x14ac:dyDescent="0.2">
      <c r="A29" s="1" t="s">
        <v>1987</v>
      </c>
      <c r="B29" s="1" t="s">
        <v>2133</v>
      </c>
      <c r="C29" s="2" t="s">
        <v>787</v>
      </c>
      <c r="D29" s="2">
        <v>3</v>
      </c>
      <c r="E29" t="s">
        <v>785</v>
      </c>
      <c r="F29" s="2">
        <v>-3079</v>
      </c>
      <c r="G29" s="2">
        <v>1618</v>
      </c>
      <c r="H29" s="2">
        <v>-241</v>
      </c>
      <c r="I29" s="17" t="s">
        <v>2160</v>
      </c>
      <c r="J29" s="11"/>
      <c r="K29" s="11"/>
    </row>
    <row r="30" spans="1:11" x14ac:dyDescent="0.2">
      <c r="A30" s="1" t="s">
        <v>1989</v>
      </c>
      <c r="B30" s="1" t="s">
        <v>2133</v>
      </c>
      <c r="C30" s="2" t="s">
        <v>787</v>
      </c>
      <c r="D30" s="2">
        <v>3</v>
      </c>
      <c r="E30" t="s">
        <v>785</v>
      </c>
      <c r="F30" s="2">
        <v>-2534</v>
      </c>
      <c r="G30" s="2">
        <v>1167</v>
      </c>
      <c r="H30" s="2">
        <v>177</v>
      </c>
      <c r="I30" s="17" t="s">
        <v>2161</v>
      </c>
      <c r="J30" s="11"/>
      <c r="K30" s="11"/>
    </row>
    <row r="31" spans="1:11" x14ac:dyDescent="0.2">
      <c r="A31" s="1" t="s">
        <v>2001</v>
      </c>
      <c r="B31" s="1" t="s">
        <v>2133</v>
      </c>
      <c r="C31" s="2" t="s">
        <v>787</v>
      </c>
      <c r="D31" s="2">
        <v>3</v>
      </c>
      <c r="E31" t="s">
        <v>785</v>
      </c>
      <c r="F31" s="2">
        <v>-1413</v>
      </c>
      <c r="G31" s="2">
        <v>757</v>
      </c>
      <c r="H31" s="2">
        <v>89</v>
      </c>
      <c r="I31" s="17" t="s">
        <v>2162</v>
      </c>
      <c r="J31" s="11"/>
      <c r="K31" s="11"/>
    </row>
    <row r="32" spans="1:11" x14ac:dyDescent="0.2">
      <c r="A32" s="1" t="s">
        <v>2003</v>
      </c>
      <c r="B32" s="1" t="s">
        <v>2131</v>
      </c>
      <c r="C32" s="2" t="s">
        <v>787</v>
      </c>
      <c r="D32" s="2">
        <v>3</v>
      </c>
      <c r="E32" t="s">
        <v>785</v>
      </c>
      <c r="F32" s="2">
        <v>-1828</v>
      </c>
      <c r="G32" s="2">
        <v>1196</v>
      </c>
      <c r="H32" s="2">
        <v>147</v>
      </c>
      <c r="I32" s="17" t="s">
        <v>2163</v>
      </c>
      <c r="J32" s="11"/>
      <c r="K32" s="11"/>
    </row>
    <row r="33" spans="1:11" x14ac:dyDescent="0.2">
      <c r="A33" s="1" t="s">
        <v>1993</v>
      </c>
      <c r="B33" s="1" t="s">
        <v>2133</v>
      </c>
      <c r="C33" s="2" t="s">
        <v>800</v>
      </c>
      <c r="D33" s="2">
        <v>4</v>
      </c>
      <c r="E33" t="s">
        <v>783</v>
      </c>
      <c r="F33" s="2">
        <v>-3863</v>
      </c>
      <c r="G33" s="2">
        <v>2684</v>
      </c>
      <c r="H33" s="2">
        <v>702</v>
      </c>
      <c r="I33" s="17" t="s">
        <v>2164</v>
      </c>
      <c r="J33" s="11"/>
      <c r="K33" s="11"/>
    </row>
    <row r="34" spans="1:11" x14ac:dyDescent="0.2">
      <c r="A34" s="1" t="s">
        <v>2015</v>
      </c>
      <c r="B34" s="1" t="s">
        <v>2131</v>
      </c>
      <c r="C34" s="2" t="s">
        <v>800</v>
      </c>
      <c r="D34" s="2">
        <v>4</v>
      </c>
      <c r="E34" t="s">
        <v>783</v>
      </c>
      <c r="F34" s="2">
        <v>-3294</v>
      </c>
      <c r="G34" s="2">
        <v>3430</v>
      </c>
      <c r="H34" s="2">
        <v>1347</v>
      </c>
      <c r="I34" s="17" t="s">
        <v>2165</v>
      </c>
      <c r="J34" s="11"/>
      <c r="K34" s="11"/>
    </row>
    <row r="35" spans="1:11" x14ac:dyDescent="0.2">
      <c r="A35" s="1" t="s">
        <v>2013</v>
      </c>
      <c r="B35" s="1" t="s">
        <v>2133</v>
      </c>
      <c r="C35" s="2" t="s">
        <v>800</v>
      </c>
      <c r="D35" s="2">
        <v>4</v>
      </c>
      <c r="E35" t="s">
        <v>783</v>
      </c>
      <c r="F35" s="2">
        <v>-2947</v>
      </c>
      <c r="G35" s="2">
        <v>3051</v>
      </c>
      <c r="H35" s="2">
        <v>897</v>
      </c>
      <c r="I35" s="17" t="s">
        <v>2166</v>
      </c>
      <c r="J35" s="11"/>
      <c r="K35" s="11"/>
    </row>
    <row r="36" spans="1:11" x14ac:dyDescent="0.2">
      <c r="A36" s="1" t="s">
        <v>2012</v>
      </c>
      <c r="B36" s="1" t="s">
        <v>2130</v>
      </c>
      <c r="C36" s="2" t="s">
        <v>800</v>
      </c>
      <c r="D36" s="2">
        <v>4</v>
      </c>
      <c r="E36" t="s">
        <v>785</v>
      </c>
      <c r="F36" s="2">
        <v>-3506</v>
      </c>
      <c r="G36" s="2">
        <v>3570</v>
      </c>
      <c r="H36" s="2">
        <v>387</v>
      </c>
      <c r="I36" s="17" t="s">
        <v>2167</v>
      </c>
      <c r="J36" s="11"/>
      <c r="K36" s="11"/>
    </row>
    <row r="37" spans="1:11" x14ac:dyDescent="0.2">
      <c r="A37" s="1" t="s">
        <v>1979</v>
      </c>
      <c r="B37" s="1" t="s">
        <v>2133</v>
      </c>
      <c r="C37" s="2" t="s">
        <v>800</v>
      </c>
      <c r="D37" s="2">
        <v>4</v>
      </c>
      <c r="E37" t="s">
        <v>785</v>
      </c>
      <c r="F37" s="2">
        <v>-3650</v>
      </c>
      <c r="G37" s="2">
        <v>1805</v>
      </c>
      <c r="H37" s="2">
        <v>168</v>
      </c>
      <c r="I37" s="17" t="s">
        <v>2168</v>
      </c>
      <c r="J37" s="11"/>
      <c r="K37" s="11"/>
    </row>
    <row r="38" spans="1:11" x14ac:dyDescent="0.2">
      <c r="A38" s="1" t="s">
        <v>1998</v>
      </c>
      <c r="B38" s="1" t="s">
        <v>2130</v>
      </c>
      <c r="C38" s="2" t="s">
        <v>800</v>
      </c>
      <c r="D38" s="2">
        <v>4</v>
      </c>
      <c r="E38" t="s">
        <v>785</v>
      </c>
      <c r="F38" s="2">
        <v>-4391</v>
      </c>
      <c r="G38" s="2">
        <v>3714</v>
      </c>
      <c r="H38" s="2">
        <v>212</v>
      </c>
      <c r="I38" s="17" t="s">
        <v>2169</v>
      </c>
      <c r="J38" s="11"/>
      <c r="K38" s="11"/>
    </row>
    <row r="39" spans="1:11" x14ac:dyDescent="0.2">
      <c r="A39" s="1" t="s">
        <v>2014</v>
      </c>
      <c r="B39" s="1" t="s">
        <v>2131</v>
      </c>
      <c r="C39" s="2" t="s">
        <v>800</v>
      </c>
      <c r="D39" s="2">
        <v>4</v>
      </c>
      <c r="E39" t="s">
        <v>785</v>
      </c>
      <c r="F39" s="2">
        <v>-2996</v>
      </c>
      <c r="G39" s="2">
        <v>3102</v>
      </c>
      <c r="H39" s="2">
        <v>529</v>
      </c>
      <c r="I39" s="17" t="s">
        <v>2170</v>
      </c>
      <c r="J39" s="11"/>
      <c r="K39" s="11"/>
    </row>
    <row r="40" spans="1:11" x14ac:dyDescent="0.2">
      <c r="A40" s="1" t="s">
        <v>1995</v>
      </c>
      <c r="B40" s="1" t="s">
        <v>2133</v>
      </c>
      <c r="C40" s="2" t="s">
        <v>800</v>
      </c>
      <c r="D40" s="2">
        <v>4</v>
      </c>
      <c r="E40" t="s">
        <v>785</v>
      </c>
      <c r="F40" s="2">
        <v>-3355</v>
      </c>
      <c r="G40" s="2">
        <v>2387</v>
      </c>
      <c r="H40" s="2">
        <v>361</v>
      </c>
      <c r="I40" s="17" t="s">
        <v>2171</v>
      </c>
      <c r="J40" s="11"/>
      <c r="K40" s="11"/>
    </row>
    <row r="41" spans="1:11" x14ac:dyDescent="0.2">
      <c r="A41" s="1" t="s">
        <v>2022</v>
      </c>
      <c r="B41" s="1" t="s">
        <v>2131</v>
      </c>
      <c r="C41" s="2" t="s">
        <v>800</v>
      </c>
      <c r="D41" s="2">
        <v>4</v>
      </c>
      <c r="E41" t="s">
        <v>785</v>
      </c>
      <c r="F41" s="2">
        <v>-2559</v>
      </c>
      <c r="G41" s="2">
        <v>3353</v>
      </c>
      <c r="H41" s="2">
        <v>245</v>
      </c>
      <c r="I41" s="17" t="s">
        <v>2172</v>
      </c>
      <c r="J41" s="11"/>
      <c r="K41" s="11"/>
    </row>
    <row r="42" spans="1:11" x14ac:dyDescent="0.2">
      <c r="A42" s="1" t="s">
        <v>1983</v>
      </c>
      <c r="B42" s="1" t="s">
        <v>2133</v>
      </c>
      <c r="C42" s="2" t="s">
        <v>800</v>
      </c>
      <c r="D42" s="2">
        <v>4</v>
      </c>
      <c r="E42" t="s">
        <v>785</v>
      </c>
      <c r="F42" s="2">
        <v>-4539</v>
      </c>
      <c r="G42" s="2">
        <v>2881</v>
      </c>
      <c r="H42" s="2">
        <v>262</v>
      </c>
      <c r="I42" s="17" t="s">
        <v>2173</v>
      </c>
      <c r="J42" s="11"/>
      <c r="K42" s="11"/>
    </row>
    <row r="43" spans="1:11" x14ac:dyDescent="0.2">
      <c r="A43" s="1" t="s">
        <v>1976</v>
      </c>
      <c r="B43" s="1" t="s">
        <v>2133</v>
      </c>
      <c r="C43" s="2" t="s">
        <v>800</v>
      </c>
      <c r="D43" s="2">
        <v>4</v>
      </c>
      <c r="E43" t="s">
        <v>785</v>
      </c>
      <c r="F43" s="2">
        <v>-4059</v>
      </c>
      <c r="G43" s="2">
        <v>1991</v>
      </c>
      <c r="H43" s="2">
        <v>183</v>
      </c>
      <c r="I43" s="17" t="s">
        <v>2174</v>
      </c>
      <c r="J43" s="11"/>
      <c r="K43" s="11"/>
    </row>
    <row r="44" spans="1:11" x14ac:dyDescent="0.2">
      <c r="A44" s="1" t="s">
        <v>2034</v>
      </c>
      <c r="B44" s="1" t="s">
        <v>2131</v>
      </c>
      <c r="C44" s="2" t="s">
        <v>1684</v>
      </c>
      <c r="D44" s="2">
        <v>5</v>
      </c>
      <c r="E44" t="s">
        <v>783</v>
      </c>
      <c r="F44" s="2">
        <v>-1800</v>
      </c>
      <c r="G44" s="2">
        <v>3406</v>
      </c>
      <c r="H44" s="2">
        <v>949</v>
      </c>
      <c r="I44" s="17" t="s">
        <v>2175</v>
      </c>
      <c r="J44" s="11"/>
      <c r="K44" s="11"/>
    </row>
    <row r="45" spans="1:11" x14ac:dyDescent="0.2">
      <c r="A45" s="1" t="s">
        <v>2058</v>
      </c>
      <c r="B45" s="1" t="s">
        <v>2133</v>
      </c>
      <c r="C45" s="2" t="s">
        <v>1684</v>
      </c>
      <c r="D45" s="2">
        <v>5</v>
      </c>
      <c r="E45" t="s">
        <v>783</v>
      </c>
      <c r="F45" s="2">
        <v>-970</v>
      </c>
      <c r="G45" s="2">
        <v>3536</v>
      </c>
      <c r="H45" s="2">
        <v>1011</v>
      </c>
      <c r="I45" s="17" t="s">
        <v>2176</v>
      </c>
      <c r="J45" s="11"/>
      <c r="K45" s="11"/>
    </row>
    <row r="46" spans="1:11" x14ac:dyDescent="0.2">
      <c r="A46" s="1" t="s">
        <v>2051</v>
      </c>
      <c r="B46" s="1" t="s">
        <v>2131</v>
      </c>
      <c r="C46" s="2" t="s">
        <v>1684</v>
      </c>
      <c r="D46" s="2">
        <v>5</v>
      </c>
      <c r="E46" t="s">
        <v>785</v>
      </c>
      <c r="F46" s="2">
        <v>-823</v>
      </c>
      <c r="G46" s="2">
        <v>3535</v>
      </c>
      <c r="H46" s="2">
        <v>235</v>
      </c>
      <c r="I46" s="17" t="s">
        <v>2177</v>
      </c>
      <c r="J46" s="11"/>
      <c r="K46" s="11"/>
    </row>
    <row r="47" spans="1:11" x14ac:dyDescent="0.2">
      <c r="A47" s="1" t="s">
        <v>2031</v>
      </c>
      <c r="B47" s="1" t="s">
        <v>2133</v>
      </c>
      <c r="C47" s="2" t="s">
        <v>1684</v>
      </c>
      <c r="D47" s="2">
        <v>5</v>
      </c>
      <c r="E47" t="s">
        <v>785</v>
      </c>
      <c r="F47" s="2">
        <v>-1165</v>
      </c>
      <c r="G47" s="2">
        <v>2602</v>
      </c>
      <c r="H47" s="2">
        <v>86</v>
      </c>
      <c r="I47" s="17" t="s">
        <v>2178</v>
      </c>
      <c r="J47" s="11"/>
      <c r="K47" s="11"/>
    </row>
    <row r="48" spans="1:11" x14ac:dyDescent="0.2">
      <c r="A48" s="1" t="s">
        <v>2008</v>
      </c>
      <c r="B48" s="1" t="s">
        <v>2130</v>
      </c>
      <c r="C48" s="2" t="s">
        <v>1684</v>
      </c>
      <c r="D48" s="2">
        <v>5</v>
      </c>
      <c r="E48" t="s">
        <v>785</v>
      </c>
      <c r="F48" s="2">
        <v>-2319</v>
      </c>
      <c r="G48" s="2">
        <v>2201</v>
      </c>
      <c r="H48" s="2">
        <v>173</v>
      </c>
      <c r="I48" s="17" t="s">
        <v>2179</v>
      </c>
      <c r="J48" s="11"/>
      <c r="K48" s="11"/>
    </row>
    <row r="49" spans="1:11" x14ac:dyDescent="0.2">
      <c r="A49" s="1" t="s">
        <v>2028</v>
      </c>
      <c r="B49" s="1" t="s">
        <v>2133</v>
      </c>
      <c r="C49" s="2" t="s">
        <v>1684</v>
      </c>
      <c r="D49" s="2">
        <v>5</v>
      </c>
      <c r="E49" t="s">
        <v>785</v>
      </c>
      <c r="F49" s="2">
        <v>-1638</v>
      </c>
      <c r="G49" s="2">
        <v>2643</v>
      </c>
      <c r="H49" s="2">
        <v>238</v>
      </c>
      <c r="I49" s="17" t="s">
        <v>2180</v>
      </c>
      <c r="J49" s="11"/>
      <c r="K49" s="11"/>
    </row>
    <row r="50" spans="1:11" x14ac:dyDescent="0.2">
      <c r="A50" s="1" t="s">
        <v>2044</v>
      </c>
      <c r="B50" s="1" t="s">
        <v>2133</v>
      </c>
      <c r="C50" s="2" t="s">
        <v>1684</v>
      </c>
      <c r="D50" s="2">
        <v>5</v>
      </c>
      <c r="E50" t="s">
        <v>785</v>
      </c>
      <c r="F50" s="2">
        <v>-1404</v>
      </c>
      <c r="G50" s="2">
        <v>3677</v>
      </c>
      <c r="H50" s="2">
        <v>288</v>
      </c>
      <c r="I50" s="17" t="s">
        <v>2181</v>
      </c>
      <c r="J50" s="11"/>
      <c r="K50" s="11"/>
    </row>
    <row r="51" spans="1:11" x14ac:dyDescent="0.2">
      <c r="A51" s="1" t="s">
        <v>2054</v>
      </c>
      <c r="B51" s="1" t="s">
        <v>2131</v>
      </c>
      <c r="C51" s="2" t="s">
        <v>789</v>
      </c>
      <c r="D51" s="2">
        <v>6</v>
      </c>
      <c r="E51" t="s">
        <v>783</v>
      </c>
      <c r="F51" s="2">
        <v>341</v>
      </c>
      <c r="G51" s="2">
        <v>2814</v>
      </c>
      <c r="H51" s="2">
        <v>1821</v>
      </c>
      <c r="I51" s="17" t="s">
        <v>2182</v>
      </c>
      <c r="J51" s="11"/>
      <c r="K51" s="11"/>
    </row>
    <row r="52" spans="1:11" x14ac:dyDescent="0.2">
      <c r="A52" s="1" t="s">
        <v>2041</v>
      </c>
      <c r="B52" s="1" t="s">
        <v>2130</v>
      </c>
      <c r="C52" s="2" t="s">
        <v>789</v>
      </c>
      <c r="D52" s="2">
        <v>6</v>
      </c>
      <c r="E52" t="s">
        <v>783</v>
      </c>
      <c r="F52" s="2">
        <v>163</v>
      </c>
      <c r="G52" s="2">
        <v>1973</v>
      </c>
      <c r="H52" s="2">
        <v>759</v>
      </c>
      <c r="I52" s="17" t="s">
        <v>2183</v>
      </c>
      <c r="J52" s="11"/>
      <c r="K52" s="11"/>
    </row>
    <row r="53" spans="1:11" x14ac:dyDescent="0.2">
      <c r="A53" s="1" t="s">
        <v>2046</v>
      </c>
      <c r="B53" s="1" t="s">
        <v>2133</v>
      </c>
      <c r="C53" s="2" t="s">
        <v>789</v>
      </c>
      <c r="D53" s="2">
        <v>6</v>
      </c>
      <c r="E53" t="s">
        <v>785</v>
      </c>
      <c r="F53" s="2">
        <v>-395</v>
      </c>
      <c r="G53" s="2">
        <v>2736</v>
      </c>
      <c r="H53" s="2">
        <v>287</v>
      </c>
      <c r="I53" s="17" t="s">
        <v>2184</v>
      </c>
      <c r="J53" s="11"/>
      <c r="K53" s="11"/>
    </row>
    <row r="54" spans="1:11" x14ac:dyDescent="0.2">
      <c r="A54" s="1" t="s">
        <v>2075</v>
      </c>
      <c r="B54" s="1" t="s">
        <v>2133</v>
      </c>
      <c r="C54" s="2" t="s">
        <v>789</v>
      </c>
      <c r="D54" s="2">
        <v>6</v>
      </c>
      <c r="E54" t="s">
        <v>785</v>
      </c>
      <c r="F54" s="2">
        <v>1270</v>
      </c>
      <c r="G54" s="2">
        <v>3733</v>
      </c>
      <c r="H54" s="2">
        <v>106</v>
      </c>
      <c r="I54" s="17" t="s">
        <v>2185</v>
      </c>
      <c r="J54" s="11"/>
      <c r="K54" s="11"/>
    </row>
    <row r="55" spans="1:11" x14ac:dyDescent="0.2">
      <c r="A55" s="1" t="s">
        <v>2066</v>
      </c>
      <c r="B55" s="1" t="s">
        <v>2131</v>
      </c>
      <c r="C55" s="2" t="s">
        <v>789</v>
      </c>
      <c r="D55" s="2">
        <v>6</v>
      </c>
      <c r="E55" t="s">
        <v>785</v>
      </c>
      <c r="F55" s="2">
        <v>393</v>
      </c>
      <c r="G55" s="2">
        <v>3485</v>
      </c>
      <c r="H55" s="2">
        <v>68</v>
      </c>
      <c r="I55" s="17" t="s">
        <v>2186</v>
      </c>
      <c r="J55" s="11"/>
      <c r="K55" s="11"/>
    </row>
    <row r="56" spans="1:11" x14ac:dyDescent="0.2">
      <c r="A56" s="1" t="s">
        <v>2049</v>
      </c>
      <c r="B56" s="1" t="s">
        <v>2133</v>
      </c>
      <c r="C56" s="2" t="s">
        <v>789</v>
      </c>
      <c r="D56" s="2">
        <v>6</v>
      </c>
      <c r="E56" t="s">
        <v>785</v>
      </c>
      <c r="F56" s="2">
        <v>408</v>
      </c>
      <c r="G56" s="2">
        <v>2133</v>
      </c>
      <c r="H56" s="2">
        <v>143</v>
      </c>
      <c r="I56" s="17" t="s">
        <v>2187</v>
      </c>
      <c r="J56" s="11"/>
      <c r="K56" s="11"/>
    </row>
    <row r="57" spans="1:11" x14ac:dyDescent="0.2">
      <c r="A57" s="1" t="s">
        <v>2043</v>
      </c>
      <c r="B57" s="1" t="s">
        <v>2131</v>
      </c>
      <c r="C57" s="2" t="s">
        <v>789</v>
      </c>
      <c r="D57" s="2">
        <v>6</v>
      </c>
      <c r="E57" t="s">
        <v>785</v>
      </c>
      <c r="F57" s="2">
        <v>353</v>
      </c>
      <c r="G57" s="2">
        <v>1890</v>
      </c>
      <c r="H57" s="2">
        <v>178</v>
      </c>
      <c r="I57" s="17" t="s">
        <v>2188</v>
      </c>
      <c r="J57" s="11"/>
      <c r="K57" s="11"/>
    </row>
    <row r="58" spans="1:11" x14ac:dyDescent="0.2">
      <c r="A58" s="1" t="s">
        <v>2052</v>
      </c>
      <c r="B58" s="1" t="s">
        <v>2131</v>
      </c>
      <c r="C58" s="2" t="s">
        <v>789</v>
      </c>
      <c r="D58" s="2">
        <v>6</v>
      </c>
      <c r="E58" t="s">
        <v>785</v>
      </c>
      <c r="F58" s="2">
        <v>619</v>
      </c>
      <c r="G58" s="2">
        <v>2211</v>
      </c>
      <c r="H58" s="2">
        <v>164</v>
      </c>
      <c r="I58" s="17" t="s">
        <v>2189</v>
      </c>
      <c r="J58" s="11"/>
      <c r="K58" s="11"/>
    </row>
    <row r="59" spans="1:11" x14ac:dyDescent="0.2">
      <c r="A59" s="1" t="s">
        <v>2048</v>
      </c>
      <c r="B59" s="1" t="s">
        <v>2131</v>
      </c>
      <c r="C59" s="2" t="s">
        <v>789</v>
      </c>
      <c r="D59" s="2">
        <v>6</v>
      </c>
      <c r="E59" t="s">
        <v>785</v>
      </c>
      <c r="F59" s="2">
        <v>166</v>
      </c>
      <c r="G59" s="2">
        <v>2319</v>
      </c>
      <c r="H59" s="2">
        <v>178</v>
      </c>
      <c r="I59" s="17" t="s">
        <v>2190</v>
      </c>
      <c r="J59" s="11"/>
      <c r="K59" s="11"/>
    </row>
    <row r="60" spans="1:11" x14ac:dyDescent="0.2">
      <c r="A60" s="1" t="s">
        <v>2059</v>
      </c>
      <c r="B60" s="1" t="s">
        <v>2133</v>
      </c>
      <c r="C60" s="2" t="s">
        <v>789</v>
      </c>
      <c r="D60" s="2">
        <v>6</v>
      </c>
      <c r="E60" t="s">
        <v>785</v>
      </c>
      <c r="F60" s="2">
        <v>700</v>
      </c>
      <c r="G60" s="2">
        <v>2793</v>
      </c>
      <c r="H60" s="2">
        <v>225</v>
      </c>
      <c r="I60" s="17" t="s">
        <v>2191</v>
      </c>
      <c r="J60" s="11"/>
      <c r="K60" s="11"/>
    </row>
    <row r="61" spans="1:11" x14ac:dyDescent="0.2">
      <c r="A61" s="1" t="s">
        <v>2025</v>
      </c>
      <c r="B61" s="1" t="s">
        <v>2131</v>
      </c>
      <c r="C61" s="2" t="s">
        <v>789</v>
      </c>
      <c r="D61" s="2">
        <v>6</v>
      </c>
      <c r="E61" t="s">
        <v>785</v>
      </c>
      <c r="F61" s="2">
        <v>-594</v>
      </c>
      <c r="G61" s="2">
        <v>1551</v>
      </c>
      <c r="H61" s="2">
        <v>-14</v>
      </c>
      <c r="I61" s="17" t="s">
        <v>2192</v>
      </c>
      <c r="J61" s="11"/>
      <c r="K61" s="11"/>
    </row>
    <row r="62" spans="1:11" x14ac:dyDescent="0.2">
      <c r="A62" s="1" t="s">
        <v>2053</v>
      </c>
      <c r="B62" s="1" t="s">
        <v>2133</v>
      </c>
      <c r="C62" s="2" t="s">
        <v>1252</v>
      </c>
      <c r="D62" s="2">
        <v>7</v>
      </c>
      <c r="E62" t="s">
        <v>783</v>
      </c>
      <c r="F62" s="2">
        <v>1883</v>
      </c>
      <c r="G62" s="2">
        <v>1202</v>
      </c>
      <c r="H62" s="2">
        <v>1251</v>
      </c>
      <c r="I62" s="17" t="s">
        <v>2193</v>
      </c>
      <c r="J62" s="11"/>
      <c r="K62" s="11"/>
    </row>
    <row r="63" spans="1:11" x14ac:dyDescent="0.2">
      <c r="A63" s="1" t="s">
        <v>2045</v>
      </c>
      <c r="B63" s="1" t="s">
        <v>2133</v>
      </c>
      <c r="C63" s="2" t="s">
        <v>1252</v>
      </c>
      <c r="D63" s="2">
        <v>7</v>
      </c>
      <c r="E63" t="s">
        <v>785</v>
      </c>
      <c r="F63" s="2">
        <v>1059</v>
      </c>
      <c r="G63" s="2">
        <v>1276</v>
      </c>
      <c r="H63" s="2">
        <v>45</v>
      </c>
      <c r="I63" s="17" t="s">
        <v>2194</v>
      </c>
      <c r="J63" s="11"/>
      <c r="K63" s="11"/>
    </row>
    <row r="64" spans="1:11" x14ac:dyDescent="0.2">
      <c r="A64" s="1" t="s">
        <v>2071</v>
      </c>
      <c r="B64" s="1" t="s">
        <v>2130</v>
      </c>
      <c r="C64" s="2" t="s">
        <v>1252</v>
      </c>
      <c r="D64" s="2">
        <v>7</v>
      </c>
      <c r="E64" t="s">
        <v>785</v>
      </c>
      <c r="F64" s="2">
        <v>1842</v>
      </c>
      <c r="G64" s="2">
        <v>2841</v>
      </c>
      <c r="H64" s="2">
        <v>363</v>
      </c>
      <c r="I64" s="17" t="s">
        <v>2195</v>
      </c>
      <c r="J64" s="11"/>
      <c r="K64" s="11"/>
    </row>
    <row r="65" spans="1:11" x14ac:dyDescent="0.2">
      <c r="A65" s="1" t="s">
        <v>2076</v>
      </c>
      <c r="B65" s="1" t="s">
        <v>2131</v>
      </c>
      <c r="C65" s="2" t="s">
        <v>1252</v>
      </c>
      <c r="D65" s="2">
        <v>7</v>
      </c>
      <c r="E65" t="s">
        <v>785</v>
      </c>
      <c r="F65" s="2">
        <v>1833</v>
      </c>
      <c r="G65" s="2">
        <v>3179</v>
      </c>
      <c r="H65" s="2">
        <v>257</v>
      </c>
      <c r="I65" s="17" t="s">
        <v>2196</v>
      </c>
      <c r="J65" s="11"/>
      <c r="K65" s="11"/>
    </row>
    <row r="66" spans="1:11" x14ac:dyDescent="0.2">
      <c r="A66" s="1" t="s">
        <v>2084</v>
      </c>
      <c r="B66" s="1" t="s">
        <v>2130</v>
      </c>
      <c r="C66" s="2" t="s">
        <v>1252</v>
      </c>
      <c r="D66" s="2">
        <v>7</v>
      </c>
      <c r="E66" t="s">
        <v>785</v>
      </c>
      <c r="F66" s="2">
        <v>2863</v>
      </c>
      <c r="G66" s="2">
        <v>3637</v>
      </c>
      <c r="H66" s="2">
        <v>239</v>
      </c>
      <c r="I66" s="17" t="s">
        <v>2197</v>
      </c>
      <c r="J66" s="11"/>
      <c r="K66" s="11"/>
    </row>
    <row r="67" spans="1:11" x14ac:dyDescent="0.2">
      <c r="A67" s="1" t="s">
        <v>2065</v>
      </c>
      <c r="B67" s="1" t="s">
        <v>2133</v>
      </c>
      <c r="C67" s="2" t="s">
        <v>1252</v>
      </c>
      <c r="D67" s="2">
        <v>7</v>
      </c>
      <c r="E67" t="s">
        <v>785</v>
      </c>
      <c r="F67" s="2">
        <v>2567</v>
      </c>
      <c r="G67" s="2">
        <v>1245</v>
      </c>
      <c r="H67" s="2">
        <v>173</v>
      </c>
      <c r="I67" s="17" t="s">
        <v>2198</v>
      </c>
      <c r="J67" s="11"/>
      <c r="K67" s="11"/>
    </row>
    <row r="68" spans="1:11" x14ac:dyDescent="0.2">
      <c r="A68" s="1" t="s">
        <v>2068</v>
      </c>
      <c r="B68" s="1" t="s">
        <v>2133</v>
      </c>
      <c r="C68" s="2" t="s">
        <v>1252</v>
      </c>
      <c r="D68" s="2">
        <v>7</v>
      </c>
      <c r="E68" t="s">
        <v>785</v>
      </c>
      <c r="F68" s="2">
        <v>1761</v>
      </c>
      <c r="G68" s="2">
        <v>2508</v>
      </c>
      <c r="H68" s="2">
        <v>437</v>
      </c>
      <c r="I68" s="17" t="s">
        <v>2199</v>
      </c>
      <c r="J68" s="11"/>
      <c r="K68" s="11"/>
    </row>
    <row r="69" spans="1:11" x14ac:dyDescent="0.2">
      <c r="A69" s="1" t="s">
        <v>2082</v>
      </c>
      <c r="B69" s="1" t="s">
        <v>2131</v>
      </c>
      <c r="C69" s="2" t="s">
        <v>1252</v>
      </c>
      <c r="D69" s="2">
        <v>7</v>
      </c>
      <c r="E69" t="s">
        <v>785</v>
      </c>
      <c r="F69" s="2">
        <v>2959</v>
      </c>
      <c r="G69" s="2">
        <v>2758</v>
      </c>
      <c r="H69" s="2">
        <v>524</v>
      </c>
      <c r="I69" s="17" t="s">
        <v>2200</v>
      </c>
      <c r="J69" s="11"/>
      <c r="K69" s="11"/>
    </row>
    <row r="70" spans="1:11" x14ac:dyDescent="0.2">
      <c r="A70" s="1" t="s">
        <v>2070</v>
      </c>
      <c r="B70" s="1" t="s">
        <v>2131</v>
      </c>
      <c r="C70" s="2" t="s">
        <v>1252</v>
      </c>
      <c r="D70" s="2">
        <v>7</v>
      </c>
      <c r="E70" t="s">
        <v>785</v>
      </c>
      <c r="F70" s="2">
        <v>2678</v>
      </c>
      <c r="G70" s="2">
        <v>1905</v>
      </c>
      <c r="H70" s="2">
        <v>131</v>
      </c>
      <c r="I70" s="17" t="s">
        <v>2201</v>
      </c>
      <c r="J70" s="11"/>
      <c r="K70" s="11"/>
    </row>
    <row r="71" spans="1:11" x14ac:dyDescent="0.2">
      <c r="A71" s="1" t="s">
        <v>2081</v>
      </c>
      <c r="B71" s="1" t="s">
        <v>2133</v>
      </c>
      <c r="C71" s="2" t="s">
        <v>1252</v>
      </c>
      <c r="D71" s="2">
        <v>7</v>
      </c>
      <c r="E71" t="s">
        <v>785</v>
      </c>
      <c r="F71" s="2">
        <v>2401</v>
      </c>
      <c r="G71" s="2">
        <v>3273</v>
      </c>
      <c r="H71" s="2">
        <v>402</v>
      </c>
      <c r="I71" s="17" t="s">
        <v>2202</v>
      </c>
      <c r="J71" s="11"/>
      <c r="K71" s="11"/>
    </row>
    <row r="72" spans="1:11" x14ac:dyDescent="0.2">
      <c r="A72" s="1" t="s">
        <v>2074</v>
      </c>
      <c r="B72" s="1" t="s">
        <v>2133</v>
      </c>
      <c r="C72" s="2" t="s">
        <v>1252</v>
      </c>
      <c r="D72" s="2">
        <v>7</v>
      </c>
      <c r="E72" t="s">
        <v>785</v>
      </c>
      <c r="F72" s="2">
        <v>2367</v>
      </c>
      <c r="G72" s="2">
        <v>2598</v>
      </c>
      <c r="H72" s="2">
        <v>790</v>
      </c>
      <c r="I72" s="17" t="s">
        <v>2203</v>
      </c>
      <c r="J72" s="11"/>
      <c r="K72" s="11"/>
    </row>
    <row r="73" spans="1:11" x14ac:dyDescent="0.2">
      <c r="A73" s="1" t="s">
        <v>2056</v>
      </c>
      <c r="B73" s="1" t="s">
        <v>2133</v>
      </c>
      <c r="C73" s="2" t="s">
        <v>1252</v>
      </c>
      <c r="D73" s="2">
        <v>7</v>
      </c>
      <c r="E73" t="s">
        <v>785</v>
      </c>
      <c r="F73" s="2">
        <v>1798</v>
      </c>
      <c r="G73" s="2">
        <v>1639</v>
      </c>
      <c r="H73" s="2">
        <v>311</v>
      </c>
      <c r="I73" s="17" t="s">
        <v>2204</v>
      </c>
      <c r="J73" s="11"/>
      <c r="K73" s="11"/>
    </row>
    <row r="74" spans="1:11" x14ac:dyDescent="0.2">
      <c r="A74" s="1" t="s">
        <v>2086</v>
      </c>
      <c r="B74" s="1" t="s">
        <v>2131</v>
      </c>
      <c r="C74" s="2" t="s">
        <v>1113</v>
      </c>
      <c r="D74" s="2">
        <v>8</v>
      </c>
      <c r="E74" t="s">
        <v>783</v>
      </c>
      <c r="F74" s="2">
        <v>4506</v>
      </c>
      <c r="G74" s="2">
        <v>2164</v>
      </c>
      <c r="H74" s="2">
        <v>1155</v>
      </c>
      <c r="I74" s="17" t="s">
        <v>2205</v>
      </c>
      <c r="J74" s="11"/>
      <c r="K74" s="11"/>
    </row>
    <row r="75" spans="1:11" x14ac:dyDescent="0.2">
      <c r="A75" s="1" t="s">
        <v>2088</v>
      </c>
      <c r="B75" s="1" t="s">
        <v>2133</v>
      </c>
      <c r="C75" s="2" t="s">
        <v>1113</v>
      </c>
      <c r="D75" s="2">
        <v>8</v>
      </c>
      <c r="E75" t="s">
        <v>783</v>
      </c>
      <c r="F75" s="2">
        <v>4655</v>
      </c>
      <c r="G75" s="2">
        <v>3501</v>
      </c>
      <c r="H75" s="2">
        <v>1010</v>
      </c>
      <c r="I75" s="17" t="s">
        <v>2206</v>
      </c>
      <c r="J75" s="11"/>
      <c r="K75" s="11"/>
    </row>
    <row r="76" spans="1:11" x14ac:dyDescent="0.2">
      <c r="A76" s="1" t="s">
        <v>2078</v>
      </c>
      <c r="B76" s="1" t="s">
        <v>2131</v>
      </c>
      <c r="C76" s="2" t="s">
        <v>1113</v>
      </c>
      <c r="D76" s="2">
        <v>8</v>
      </c>
      <c r="E76" t="s">
        <v>783</v>
      </c>
      <c r="F76" s="2">
        <v>3669</v>
      </c>
      <c r="G76" s="2">
        <v>1488</v>
      </c>
      <c r="H76" s="2">
        <v>1157</v>
      </c>
      <c r="I76" s="17" t="s">
        <v>2207</v>
      </c>
      <c r="J76" s="11"/>
      <c r="K76" s="11"/>
    </row>
    <row r="77" spans="1:11" x14ac:dyDescent="0.2">
      <c r="A77" s="1" t="s">
        <v>2072</v>
      </c>
      <c r="B77" s="1" t="s">
        <v>2133</v>
      </c>
      <c r="C77" s="2" t="s">
        <v>1113</v>
      </c>
      <c r="D77" s="2">
        <v>8</v>
      </c>
      <c r="E77" t="s">
        <v>785</v>
      </c>
      <c r="F77" s="2">
        <v>3305</v>
      </c>
      <c r="G77" s="2">
        <v>1443</v>
      </c>
      <c r="H77" s="2">
        <v>426</v>
      </c>
      <c r="I77" s="17" t="s">
        <v>2208</v>
      </c>
      <c r="J77" s="11"/>
      <c r="K77" s="11"/>
    </row>
    <row r="78" spans="1:11" x14ac:dyDescent="0.2">
      <c r="A78" s="1" t="s">
        <v>2085</v>
      </c>
      <c r="B78" s="1" t="s">
        <v>2133</v>
      </c>
      <c r="C78" s="2" t="s">
        <v>1113</v>
      </c>
      <c r="D78" s="2">
        <v>8</v>
      </c>
      <c r="E78" t="s">
        <v>785</v>
      </c>
      <c r="F78" s="2">
        <v>4513</v>
      </c>
      <c r="G78" s="2">
        <v>2116</v>
      </c>
      <c r="H78" s="2">
        <v>1</v>
      </c>
      <c r="I78" s="17" t="s">
        <v>2209</v>
      </c>
      <c r="J78" s="11"/>
      <c r="K78" s="11"/>
    </row>
    <row r="79" spans="1:11" x14ac:dyDescent="0.2">
      <c r="A79" s="1" t="s">
        <v>2091</v>
      </c>
      <c r="B79" s="1" t="s">
        <v>2131</v>
      </c>
      <c r="C79" s="2" t="s">
        <v>1113</v>
      </c>
      <c r="D79" s="2">
        <v>8</v>
      </c>
      <c r="E79" t="s">
        <v>785</v>
      </c>
      <c r="F79" s="2">
        <v>4653</v>
      </c>
      <c r="G79" s="2">
        <v>3702</v>
      </c>
      <c r="H79" s="2">
        <v>131</v>
      </c>
      <c r="I79" s="17" t="s">
        <v>2210</v>
      </c>
      <c r="J79" s="11"/>
      <c r="K79" s="11"/>
    </row>
    <row r="80" spans="1:11" x14ac:dyDescent="0.2">
      <c r="A80" s="1" t="s">
        <v>2077</v>
      </c>
      <c r="B80" s="1" t="s">
        <v>2131</v>
      </c>
      <c r="C80" s="2" t="s">
        <v>1113</v>
      </c>
      <c r="D80" s="2">
        <v>8</v>
      </c>
      <c r="E80" t="s">
        <v>785</v>
      </c>
      <c r="F80" s="2">
        <v>3809</v>
      </c>
      <c r="G80" s="2">
        <v>1219</v>
      </c>
      <c r="H80" s="2">
        <v>90</v>
      </c>
      <c r="I80" s="17" t="s">
        <v>2211</v>
      </c>
      <c r="J80" s="11"/>
      <c r="K80" s="11"/>
    </row>
    <row r="81" spans="1:11" x14ac:dyDescent="0.2">
      <c r="A81" s="1" t="s">
        <v>2089</v>
      </c>
      <c r="B81" s="1" t="s">
        <v>2133</v>
      </c>
      <c r="C81" s="2" t="s">
        <v>1113</v>
      </c>
      <c r="D81" s="2">
        <v>8</v>
      </c>
      <c r="E81" t="s">
        <v>785</v>
      </c>
      <c r="F81" s="2">
        <v>4346</v>
      </c>
      <c r="G81" s="2">
        <v>2875</v>
      </c>
      <c r="H81" s="2">
        <v>164</v>
      </c>
      <c r="I81" s="17" t="s">
        <v>2212</v>
      </c>
      <c r="J81" s="11"/>
      <c r="K81" s="11"/>
    </row>
    <row r="82" spans="1:11" x14ac:dyDescent="0.2">
      <c r="A82" s="1" t="s">
        <v>2087</v>
      </c>
      <c r="B82" s="1" t="s">
        <v>2133</v>
      </c>
      <c r="C82" s="2" t="s">
        <v>1113</v>
      </c>
      <c r="D82" s="2">
        <v>8</v>
      </c>
      <c r="E82" t="s">
        <v>785</v>
      </c>
      <c r="F82" s="2">
        <v>3431</v>
      </c>
      <c r="G82" s="2">
        <v>3355</v>
      </c>
      <c r="H82" s="2">
        <v>70</v>
      </c>
      <c r="I82" s="17" t="s">
        <v>2213</v>
      </c>
      <c r="J82" s="11"/>
      <c r="K82" s="11"/>
    </row>
    <row r="83" spans="1:11" x14ac:dyDescent="0.2">
      <c r="A83" s="1" t="s">
        <v>2073</v>
      </c>
      <c r="B83" s="1" t="s">
        <v>2130</v>
      </c>
      <c r="C83" s="2" t="s">
        <v>1113</v>
      </c>
      <c r="D83" s="2">
        <v>8</v>
      </c>
      <c r="E83" t="s">
        <v>785</v>
      </c>
      <c r="F83" s="2">
        <v>3061</v>
      </c>
      <c r="G83" s="2">
        <v>1823</v>
      </c>
      <c r="H83" s="2">
        <v>216</v>
      </c>
      <c r="I83" s="17" t="s">
        <v>2214</v>
      </c>
      <c r="J83" s="11"/>
      <c r="K83" s="11"/>
    </row>
    <row r="84" spans="1:11" x14ac:dyDescent="0.2">
      <c r="A84" s="1" t="s">
        <v>2090</v>
      </c>
      <c r="B84" s="1" t="s">
        <v>2133</v>
      </c>
      <c r="C84" s="2" t="s">
        <v>1113</v>
      </c>
      <c r="D84" s="2">
        <v>8</v>
      </c>
      <c r="E84" t="s">
        <v>785</v>
      </c>
      <c r="F84" s="2">
        <v>4664</v>
      </c>
      <c r="G84" s="2">
        <v>3262</v>
      </c>
      <c r="H84" s="2">
        <v>2</v>
      </c>
      <c r="I84" s="17" t="s">
        <v>2215</v>
      </c>
      <c r="J84" s="11"/>
      <c r="K84" s="11"/>
    </row>
    <row r="85" spans="1:11" x14ac:dyDescent="0.2">
      <c r="A85" s="1" t="s">
        <v>2083</v>
      </c>
      <c r="B85" s="1" t="s">
        <v>2132</v>
      </c>
      <c r="C85" s="2" t="s">
        <v>1113</v>
      </c>
      <c r="D85" s="2">
        <v>8</v>
      </c>
      <c r="E85" t="s">
        <v>785</v>
      </c>
      <c r="F85" s="2">
        <v>3839</v>
      </c>
      <c r="G85" s="2">
        <v>2301</v>
      </c>
      <c r="H85" s="2">
        <v>48</v>
      </c>
      <c r="I85" s="17" t="s">
        <v>2216</v>
      </c>
      <c r="J85" s="11"/>
      <c r="K85" s="11"/>
    </row>
    <row r="86" spans="1:11" x14ac:dyDescent="0.2">
      <c r="A86" s="1" t="s">
        <v>2067</v>
      </c>
      <c r="B86" s="1" t="s">
        <v>2133</v>
      </c>
      <c r="C86" s="2" t="s">
        <v>801</v>
      </c>
      <c r="D86" s="2">
        <v>9</v>
      </c>
      <c r="E86" t="s">
        <v>783</v>
      </c>
      <c r="F86" s="2">
        <v>3480</v>
      </c>
      <c r="G86" s="2">
        <v>664</v>
      </c>
      <c r="H86" s="2">
        <v>1325</v>
      </c>
      <c r="I86" s="17" t="s">
        <v>2217</v>
      </c>
      <c r="J86" s="11"/>
      <c r="K86" s="11"/>
    </row>
    <row r="87" spans="1:11" x14ac:dyDescent="0.2">
      <c r="A87" s="1" t="s">
        <v>2057</v>
      </c>
      <c r="B87" s="1" t="s">
        <v>2133</v>
      </c>
      <c r="C87" s="2" t="s">
        <v>801</v>
      </c>
      <c r="D87" s="2">
        <v>9</v>
      </c>
      <c r="E87" t="s">
        <v>783</v>
      </c>
      <c r="F87" s="2">
        <v>2916</v>
      </c>
      <c r="G87" s="2">
        <v>533</v>
      </c>
      <c r="H87" s="2">
        <v>951</v>
      </c>
      <c r="I87" s="17" t="s">
        <v>2218</v>
      </c>
      <c r="J87" s="11"/>
      <c r="K87" s="11"/>
    </row>
    <row r="88" spans="1:11" x14ac:dyDescent="0.2">
      <c r="A88" s="1" t="s">
        <v>2062</v>
      </c>
      <c r="B88" s="1" t="s">
        <v>2133</v>
      </c>
      <c r="C88" s="2" t="s">
        <v>801</v>
      </c>
      <c r="D88" s="2">
        <v>9</v>
      </c>
      <c r="E88" t="s">
        <v>785</v>
      </c>
      <c r="F88" s="2">
        <v>3887</v>
      </c>
      <c r="G88" s="2">
        <v>-217</v>
      </c>
      <c r="H88" s="2">
        <v>163</v>
      </c>
      <c r="I88" s="17" t="s">
        <v>2219</v>
      </c>
      <c r="J88" s="11"/>
      <c r="K88" s="11"/>
    </row>
    <row r="89" spans="1:11" x14ac:dyDescent="0.2">
      <c r="A89" s="1" t="s">
        <v>2079</v>
      </c>
      <c r="B89" s="1" t="s">
        <v>2133</v>
      </c>
      <c r="C89" s="2" t="s">
        <v>801</v>
      </c>
      <c r="D89" s="2">
        <v>9</v>
      </c>
      <c r="E89" t="s">
        <v>785</v>
      </c>
      <c r="F89" s="2">
        <v>4498</v>
      </c>
      <c r="G89" s="2">
        <v>825</v>
      </c>
      <c r="H89" s="2">
        <v>95</v>
      </c>
      <c r="I89" s="17" t="s">
        <v>2220</v>
      </c>
      <c r="J89" s="11"/>
      <c r="K89" s="11"/>
    </row>
    <row r="90" spans="1:11" x14ac:dyDescent="0.2">
      <c r="A90" s="1" t="s">
        <v>2069</v>
      </c>
      <c r="B90" s="1" t="s">
        <v>2133</v>
      </c>
      <c r="C90" s="2" t="s">
        <v>801</v>
      </c>
      <c r="D90" s="2">
        <v>9</v>
      </c>
      <c r="E90" t="s">
        <v>785</v>
      </c>
      <c r="F90" s="2">
        <v>3784</v>
      </c>
      <c r="G90" s="2">
        <v>579</v>
      </c>
      <c r="H90" s="2">
        <v>486</v>
      </c>
      <c r="I90" s="17" t="s">
        <v>2221</v>
      </c>
      <c r="J90" s="11"/>
      <c r="K90" s="11"/>
    </row>
    <row r="91" spans="1:11" x14ac:dyDescent="0.2">
      <c r="A91" s="1" t="s">
        <v>2055</v>
      </c>
      <c r="B91" s="1" t="s">
        <v>2131</v>
      </c>
      <c r="C91" s="2" t="s">
        <v>801</v>
      </c>
      <c r="D91" s="2">
        <v>9</v>
      </c>
      <c r="E91" t="s">
        <v>785</v>
      </c>
      <c r="F91" s="2">
        <v>2918</v>
      </c>
      <c r="G91" s="2">
        <v>505</v>
      </c>
      <c r="H91" s="2">
        <v>155</v>
      </c>
      <c r="I91" s="17" t="s">
        <v>2222</v>
      </c>
      <c r="J91" s="11"/>
      <c r="K91" s="11"/>
    </row>
    <row r="92" spans="1:11" x14ac:dyDescent="0.2">
      <c r="A92" s="1" t="s">
        <v>2047</v>
      </c>
      <c r="B92" s="1" t="s">
        <v>2131</v>
      </c>
      <c r="C92" s="2" t="s">
        <v>801</v>
      </c>
      <c r="D92" s="2">
        <v>9</v>
      </c>
      <c r="E92" t="s">
        <v>785</v>
      </c>
      <c r="F92" s="2">
        <v>2277</v>
      </c>
      <c r="G92" s="2">
        <v>150</v>
      </c>
      <c r="H92" s="2">
        <v>79</v>
      </c>
      <c r="I92" s="17" t="s">
        <v>2223</v>
      </c>
      <c r="J92" s="11"/>
      <c r="K92" s="11"/>
    </row>
    <row r="93" spans="1:11" x14ac:dyDescent="0.2">
      <c r="A93" s="1" t="s">
        <v>2063</v>
      </c>
      <c r="B93" s="1" t="s">
        <v>2133</v>
      </c>
      <c r="C93" s="2" t="s">
        <v>801</v>
      </c>
      <c r="D93" s="2">
        <v>9</v>
      </c>
      <c r="E93" t="s">
        <v>785</v>
      </c>
      <c r="F93" s="2">
        <v>3298</v>
      </c>
      <c r="G93" s="2">
        <v>424</v>
      </c>
      <c r="H93" s="2">
        <v>112</v>
      </c>
      <c r="I93" s="17" t="s">
        <v>2224</v>
      </c>
      <c r="J93" s="11"/>
      <c r="K93" s="11"/>
    </row>
    <row r="94" spans="1:11" x14ac:dyDescent="0.2">
      <c r="A94" s="1" t="s">
        <v>2080</v>
      </c>
      <c r="B94" s="1" t="s">
        <v>2130</v>
      </c>
      <c r="C94" s="2" t="s">
        <v>801</v>
      </c>
      <c r="D94" s="2">
        <v>9</v>
      </c>
      <c r="E94" t="s">
        <v>785</v>
      </c>
      <c r="F94" s="2">
        <v>4166</v>
      </c>
      <c r="G94" s="2">
        <v>1323</v>
      </c>
      <c r="H94" s="2">
        <v>229</v>
      </c>
      <c r="I94" s="17" t="s">
        <v>2225</v>
      </c>
      <c r="J94" s="11"/>
      <c r="K94" s="11"/>
    </row>
    <row r="95" spans="1:11" x14ac:dyDescent="0.2">
      <c r="A95" s="1" t="s">
        <v>2064</v>
      </c>
      <c r="B95" s="1" t="s">
        <v>2131</v>
      </c>
      <c r="C95" s="2" t="s">
        <v>801</v>
      </c>
      <c r="D95" s="2">
        <v>9</v>
      </c>
      <c r="E95" t="s">
        <v>785</v>
      </c>
      <c r="F95" s="2">
        <v>4412</v>
      </c>
      <c r="G95" s="2">
        <v>-610</v>
      </c>
      <c r="H95" s="2">
        <v>34</v>
      </c>
      <c r="I95" s="17" t="s">
        <v>2226</v>
      </c>
      <c r="J95" s="11"/>
      <c r="K95" s="11"/>
    </row>
    <row r="96" spans="1:11" x14ac:dyDescent="0.2">
      <c r="A96" s="1" t="s">
        <v>2018</v>
      </c>
      <c r="B96" s="1" t="s">
        <v>2131</v>
      </c>
      <c r="C96" s="2" t="s">
        <v>803</v>
      </c>
      <c r="D96" s="2">
        <v>10</v>
      </c>
      <c r="E96" t="s">
        <v>783</v>
      </c>
      <c r="F96" s="2">
        <v>1759</v>
      </c>
      <c r="G96" s="2">
        <v>-1208</v>
      </c>
      <c r="H96" s="2">
        <v>924</v>
      </c>
      <c r="I96" s="17" t="s">
        <v>2227</v>
      </c>
      <c r="J96" s="11"/>
      <c r="K96" s="11"/>
    </row>
    <row r="97" spans="1:11" x14ac:dyDescent="0.2">
      <c r="A97" s="1" t="s">
        <v>1997</v>
      </c>
      <c r="B97" s="1" t="s">
        <v>2131</v>
      </c>
      <c r="C97" s="2" t="s">
        <v>803</v>
      </c>
      <c r="D97" s="2">
        <v>10</v>
      </c>
      <c r="E97" t="s">
        <v>783</v>
      </c>
      <c r="F97" s="2">
        <v>1470</v>
      </c>
      <c r="G97" s="2">
        <v>-2170</v>
      </c>
      <c r="H97" s="2">
        <v>585</v>
      </c>
      <c r="I97" s="17" t="s">
        <v>2228</v>
      </c>
      <c r="J97" s="11"/>
      <c r="K97" s="11"/>
    </row>
    <row r="98" spans="1:11" x14ac:dyDescent="0.2">
      <c r="A98" s="1" t="s">
        <v>2019</v>
      </c>
      <c r="B98" s="1" t="s">
        <v>2130</v>
      </c>
      <c r="C98" s="2" t="s">
        <v>803</v>
      </c>
      <c r="D98" s="2">
        <v>10</v>
      </c>
      <c r="E98" t="s">
        <v>783</v>
      </c>
      <c r="F98" s="2">
        <v>2349</v>
      </c>
      <c r="G98" s="2">
        <v>-1782</v>
      </c>
      <c r="H98" s="2">
        <v>1475</v>
      </c>
      <c r="I98" s="17" t="s">
        <v>2229</v>
      </c>
      <c r="J98" s="11"/>
      <c r="K98" s="11"/>
    </row>
    <row r="99" spans="1:11" x14ac:dyDescent="0.2">
      <c r="A99" s="1" t="s">
        <v>2007</v>
      </c>
      <c r="B99" s="1" t="s">
        <v>2132</v>
      </c>
      <c r="C99" s="2" t="s">
        <v>803</v>
      </c>
      <c r="D99" s="2">
        <v>10</v>
      </c>
      <c r="E99" t="s">
        <v>785</v>
      </c>
      <c r="F99" s="2">
        <v>1564</v>
      </c>
      <c r="G99" s="2">
        <v>-1945</v>
      </c>
      <c r="H99" s="2">
        <v>157</v>
      </c>
      <c r="I99" s="17" t="s">
        <v>2230</v>
      </c>
      <c r="J99" s="11"/>
      <c r="K99" s="11"/>
    </row>
    <row r="100" spans="1:11" x14ac:dyDescent="0.2">
      <c r="A100" s="1" t="s">
        <v>2032</v>
      </c>
      <c r="B100" s="1" t="s">
        <v>2130</v>
      </c>
      <c r="C100" s="2" t="s">
        <v>803</v>
      </c>
      <c r="D100" s="2">
        <v>10</v>
      </c>
      <c r="E100" t="s">
        <v>785</v>
      </c>
      <c r="F100" s="2">
        <v>1202</v>
      </c>
      <c r="G100" s="2">
        <v>329</v>
      </c>
      <c r="H100" s="2">
        <v>29</v>
      </c>
      <c r="I100" s="17" t="s">
        <v>2231</v>
      </c>
      <c r="J100" s="11"/>
      <c r="K100" s="11"/>
    </row>
    <row r="101" spans="1:11" x14ac:dyDescent="0.2">
      <c r="A101" s="1" t="s">
        <v>2037</v>
      </c>
      <c r="B101" s="1" t="s">
        <v>2133</v>
      </c>
      <c r="C101" s="2" t="s">
        <v>803</v>
      </c>
      <c r="D101" s="2">
        <v>10</v>
      </c>
      <c r="E101" t="s">
        <v>785</v>
      </c>
      <c r="F101" s="2">
        <v>1743</v>
      </c>
      <c r="G101" s="2">
        <v>18</v>
      </c>
      <c r="H101" s="2">
        <v>25</v>
      </c>
      <c r="I101" s="17" t="s">
        <v>2232</v>
      </c>
      <c r="J101" s="11"/>
      <c r="K101" s="11"/>
    </row>
    <row r="102" spans="1:11" x14ac:dyDescent="0.2">
      <c r="A102" s="1" t="s">
        <v>2038</v>
      </c>
      <c r="B102" s="1" t="s">
        <v>2131</v>
      </c>
      <c r="C102" s="2" t="s">
        <v>803</v>
      </c>
      <c r="D102" s="2">
        <v>10</v>
      </c>
      <c r="E102" t="s">
        <v>785</v>
      </c>
      <c r="F102" s="2">
        <v>2362</v>
      </c>
      <c r="G102" s="2">
        <v>-511</v>
      </c>
      <c r="H102" s="2">
        <v>155</v>
      </c>
      <c r="I102" s="17" t="s">
        <v>2233</v>
      </c>
      <c r="J102" s="11"/>
      <c r="K102" s="11"/>
    </row>
    <row r="103" spans="1:11" x14ac:dyDescent="0.2">
      <c r="A103" s="1" t="s">
        <v>2021</v>
      </c>
      <c r="B103" s="1" t="s">
        <v>2133</v>
      </c>
      <c r="C103" s="2" t="s">
        <v>803</v>
      </c>
      <c r="D103" s="2">
        <v>10</v>
      </c>
      <c r="E103" t="s">
        <v>785</v>
      </c>
      <c r="F103" s="2">
        <v>1770</v>
      </c>
      <c r="G103" s="2">
        <v>-1050</v>
      </c>
      <c r="H103" s="2">
        <v>166</v>
      </c>
      <c r="I103" s="17" t="s">
        <v>2234</v>
      </c>
      <c r="J103" s="11"/>
      <c r="K103" s="11"/>
    </row>
    <row r="104" spans="1:11" x14ac:dyDescent="0.2">
      <c r="A104" s="1" t="s">
        <v>2017</v>
      </c>
      <c r="B104" s="1" t="s">
        <v>2133</v>
      </c>
      <c r="C104" s="2" t="s">
        <v>803</v>
      </c>
      <c r="D104" s="2">
        <v>10</v>
      </c>
      <c r="E104" t="s">
        <v>785</v>
      </c>
      <c r="F104" s="2">
        <v>1183</v>
      </c>
      <c r="G104" s="2">
        <v>-780</v>
      </c>
      <c r="H104" s="2">
        <v>133</v>
      </c>
      <c r="I104" s="17" t="s">
        <v>2235</v>
      </c>
      <c r="J104" s="11"/>
      <c r="K104" s="11"/>
    </row>
    <row r="105" spans="1:11" x14ac:dyDescent="0.2">
      <c r="A105" s="1" t="s">
        <v>2035</v>
      </c>
      <c r="B105" s="1" t="s">
        <v>2131</v>
      </c>
      <c r="C105" s="2" t="s">
        <v>803</v>
      </c>
      <c r="D105" s="2">
        <v>10</v>
      </c>
      <c r="E105" t="s">
        <v>785</v>
      </c>
      <c r="F105" s="2">
        <v>2755</v>
      </c>
      <c r="G105" s="2">
        <v>-1089</v>
      </c>
      <c r="H105" s="2">
        <v>100</v>
      </c>
      <c r="I105" s="17" t="s">
        <v>2236</v>
      </c>
      <c r="J105" s="11"/>
      <c r="K105" s="11"/>
    </row>
    <row r="106" spans="1:11" x14ac:dyDescent="0.2">
      <c r="A106" s="1" t="s">
        <v>2033</v>
      </c>
      <c r="B106" s="1" t="s">
        <v>2133</v>
      </c>
      <c r="C106" s="2" t="s">
        <v>803</v>
      </c>
      <c r="D106" s="2">
        <v>10</v>
      </c>
      <c r="E106" t="s">
        <v>785</v>
      </c>
      <c r="F106" s="2">
        <v>756</v>
      </c>
      <c r="G106" s="2">
        <v>823</v>
      </c>
      <c r="H106" s="2">
        <v>81</v>
      </c>
      <c r="I106" s="17" t="s">
        <v>2237</v>
      </c>
      <c r="J106" s="11"/>
      <c r="K106" s="11"/>
    </row>
    <row r="107" spans="1:11" x14ac:dyDescent="0.2">
      <c r="A107" s="1" t="s">
        <v>2020</v>
      </c>
      <c r="B107" s="1" t="s">
        <v>2133</v>
      </c>
      <c r="C107" s="2" t="s">
        <v>803</v>
      </c>
      <c r="D107" s="2">
        <v>10</v>
      </c>
      <c r="E107" t="s">
        <v>785</v>
      </c>
      <c r="F107" s="2">
        <v>915</v>
      </c>
      <c r="G107" s="2">
        <v>-250</v>
      </c>
      <c r="H107" s="2">
        <v>34</v>
      </c>
      <c r="I107" s="17" t="s">
        <v>2238</v>
      </c>
      <c r="J107" s="11"/>
      <c r="K107" s="11"/>
    </row>
    <row r="108" spans="1:11" x14ac:dyDescent="0.2">
      <c r="A108" s="1" t="s">
        <v>2060</v>
      </c>
      <c r="B108" s="1" t="s">
        <v>2133</v>
      </c>
      <c r="C108" s="2" t="s">
        <v>804</v>
      </c>
      <c r="D108" s="2">
        <v>11</v>
      </c>
      <c r="E108" t="s">
        <v>783</v>
      </c>
      <c r="F108" s="2">
        <v>4613</v>
      </c>
      <c r="G108" s="2">
        <v>-947</v>
      </c>
      <c r="H108" s="2">
        <v>1790</v>
      </c>
      <c r="I108" s="17" t="s">
        <v>2239</v>
      </c>
      <c r="J108" s="11"/>
      <c r="K108" s="11"/>
    </row>
    <row r="109" spans="1:11" x14ac:dyDescent="0.2">
      <c r="A109" s="1" t="s">
        <v>2061</v>
      </c>
      <c r="B109" s="1" t="s">
        <v>2131</v>
      </c>
      <c r="C109" s="2" t="s">
        <v>804</v>
      </c>
      <c r="D109" s="2">
        <v>11</v>
      </c>
      <c r="E109" t="s">
        <v>783</v>
      </c>
      <c r="F109" s="2">
        <v>4545</v>
      </c>
      <c r="G109" s="2">
        <v>-845</v>
      </c>
      <c r="H109" s="2">
        <v>1121</v>
      </c>
      <c r="I109" s="17" t="s">
        <v>2240</v>
      </c>
      <c r="J109" s="11"/>
      <c r="K109" s="11"/>
    </row>
    <row r="110" spans="1:11" x14ac:dyDescent="0.2">
      <c r="A110" s="1" t="s">
        <v>2040</v>
      </c>
      <c r="B110" s="1" t="s">
        <v>2133</v>
      </c>
      <c r="C110" s="2" t="s">
        <v>804</v>
      </c>
      <c r="D110" s="2">
        <v>11</v>
      </c>
      <c r="E110" t="s">
        <v>785</v>
      </c>
      <c r="F110" s="2">
        <v>4231</v>
      </c>
      <c r="G110" s="2">
        <v>-2178</v>
      </c>
      <c r="H110" s="2">
        <v>-7</v>
      </c>
      <c r="I110" s="17" t="s">
        <v>2241</v>
      </c>
      <c r="J110" s="11"/>
      <c r="K110" s="11"/>
    </row>
    <row r="111" spans="1:11" x14ac:dyDescent="0.2">
      <c r="A111" s="1" t="s">
        <v>2050</v>
      </c>
      <c r="B111" s="1" t="s">
        <v>2133</v>
      </c>
      <c r="C111" s="2" t="s">
        <v>804</v>
      </c>
      <c r="D111" s="2">
        <v>11</v>
      </c>
      <c r="E111" t="s">
        <v>785</v>
      </c>
      <c r="F111" s="2">
        <v>4266</v>
      </c>
      <c r="G111" s="2">
        <v>-1674</v>
      </c>
      <c r="H111" s="2">
        <v>181</v>
      </c>
      <c r="I111" s="17" t="s">
        <v>2242</v>
      </c>
      <c r="J111" s="11"/>
      <c r="K111" s="11"/>
    </row>
    <row r="112" spans="1:11" x14ac:dyDescent="0.2">
      <c r="A112" s="1" t="s">
        <v>2042</v>
      </c>
      <c r="B112" s="1" t="s">
        <v>2131</v>
      </c>
      <c r="C112" s="2" t="s">
        <v>804</v>
      </c>
      <c r="D112" s="2">
        <v>11</v>
      </c>
      <c r="E112" t="s">
        <v>785</v>
      </c>
      <c r="F112" s="2">
        <v>3346</v>
      </c>
      <c r="G112" s="2">
        <v>-1188</v>
      </c>
      <c r="H112" s="2">
        <v>57</v>
      </c>
      <c r="I112" s="17" t="s">
        <v>2243</v>
      </c>
      <c r="J112" s="11"/>
      <c r="K112" s="11"/>
    </row>
    <row r="113" spans="1:11" x14ac:dyDescent="0.2">
      <c r="A113" s="1" t="s">
        <v>2036</v>
      </c>
      <c r="B113" s="1" t="s">
        <v>2131</v>
      </c>
      <c r="C113" s="2" t="s">
        <v>804</v>
      </c>
      <c r="D113" s="2">
        <v>11</v>
      </c>
      <c r="E113" t="s">
        <v>785</v>
      </c>
      <c r="F113" s="2">
        <v>3730</v>
      </c>
      <c r="G113" s="2">
        <v>-2057</v>
      </c>
      <c r="H113" s="2">
        <v>189</v>
      </c>
      <c r="I113" s="17" t="s">
        <v>2244</v>
      </c>
      <c r="J113" s="11"/>
      <c r="K113" s="11"/>
    </row>
    <row r="114" spans="1:11" x14ac:dyDescent="0.2">
      <c r="A114" s="1" t="s">
        <v>2039</v>
      </c>
      <c r="B114" s="1" t="s">
        <v>2130</v>
      </c>
      <c r="C114" s="2" t="s">
        <v>804</v>
      </c>
      <c r="D114" s="2">
        <v>11</v>
      </c>
      <c r="E114" t="s">
        <v>785</v>
      </c>
      <c r="F114" s="2">
        <v>3527</v>
      </c>
      <c r="G114" s="2">
        <v>-1481</v>
      </c>
      <c r="H114" s="2">
        <v>167</v>
      </c>
      <c r="I114" s="17" t="s">
        <v>2245</v>
      </c>
      <c r="J114" s="11"/>
      <c r="K114" s="11"/>
    </row>
    <row r="115" spans="1:11" x14ac:dyDescent="0.2">
      <c r="A115" s="1" t="s">
        <v>2029</v>
      </c>
      <c r="B115" s="1" t="s">
        <v>2133</v>
      </c>
      <c r="C115" s="2" t="s">
        <v>804</v>
      </c>
      <c r="D115" s="2">
        <v>11</v>
      </c>
      <c r="E115" t="s">
        <v>785</v>
      </c>
      <c r="F115" s="2">
        <v>3469</v>
      </c>
      <c r="G115" s="2">
        <v>-2180</v>
      </c>
      <c r="H115" s="2">
        <v>148</v>
      </c>
      <c r="I115" s="17" t="s">
        <v>2246</v>
      </c>
      <c r="J115" s="11"/>
      <c r="K115" s="11"/>
    </row>
    <row r="116" spans="1:11" x14ac:dyDescent="0.2">
      <c r="A116" s="1" t="s">
        <v>2011</v>
      </c>
      <c r="B116" s="1" t="s">
        <v>2131</v>
      </c>
      <c r="C116" s="2" t="s">
        <v>805</v>
      </c>
      <c r="D116" s="2">
        <v>12</v>
      </c>
      <c r="E116" t="s">
        <v>783</v>
      </c>
      <c r="F116" s="2">
        <v>2856</v>
      </c>
      <c r="G116" s="2">
        <v>-2857</v>
      </c>
      <c r="H116" s="2">
        <v>1212</v>
      </c>
      <c r="I116" s="17" t="s">
        <v>2247</v>
      </c>
      <c r="J116" s="11"/>
      <c r="K116" s="11"/>
    </row>
    <row r="117" spans="1:11" x14ac:dyDescent="0.2">
      <c r="A117" s="1" t="s">
        <v>2009</v>
      </c>
      <c r="B117" s="1" t="s">
        <v>2131</v>
      </c>
      <c r="C117" s="2" t="s">
        <v>805</v>
      </c>
      <c r="D117" s="2">
        <v>12</v>
      </c>
      <c r="E117" t="s">
        <v>785</v>
      </c>
      <c r="F117" s="2">
        <v>3094</v>
      </c>
      <c r="G117" s="2">
        <v>-3209</v>
      </c>
      <c r="H117" s="2">
        <v>81</v>
      </c>
      <c r="I117" s="17" t="s">
        <v>2248</v>
      </c>
      <c r="J117" s="11"/>
      <c r="K117" s="11"/>
    </row>
    <row r="118" spans="1:11" x14ac:dyDescent="0.2">
      <c r="A118" s="1" t="s">
        <v>2024</v>
      </c>
      <c r="B118" s="1" t="s">
        <v>2131</v>
      </c>
      <c r="C118" s="2" t="s">
        <v>805</v>
      </c>
      <c r="D118" s="2">
        <v>12</v>
      </c>
      <c r="E118" t="s">
        <v>785</v>
      </c>
      <c r="F118" s="2">
        <v>4632</v>
      </c>
      <c r="G118" s="2">
        <v>-3712</v>
      </c>
      <c r="H118" s="2">
        <v>18</v>
      </c>
      <c r="I118" s="17" t="s">
        <v>2249</v>
      </c>
      <c r="J118" s="11"/>
      <c r="K118" s="11"/>
    </row>
    <row r="119" spans="1:11" x14ac:dyDescent="0.2">
      <c r="A119" s="1" t="s">
        <v>2006</v>
      </c>
      <c r="B119" s="1" t="s">
        <v>2130</v>
      </c>
      <c r="C119" s="2" t="s">
        <v>805</v>
      </c>
      <c r="D119" s="2">
        <v>12</v>
      </c>
      <c r="E119" t="s">
        <v>785</v>
      </c>
      <c r="F119" s="2">
        <v>2826</v>
      </c>
      <c r="G119" s="2">
        <v>-3271</v>
      </c>
      <c r="H119" s="2">
        <v>78</v>
      </c>
      <c r="I119" s="17" t="s">
        <v>2250</v>
      </c>
      <c r="J119" s="11"/>
      <c r="K119" s="11"/>
    </row>
    <row r="120" spans="1:11" x14ac:dyDescent="0.2">
      <c r="A120" s="1" t="s">
        <v>2010</v>
      </c>
      <c r="B120" s="1" t="s">
        <v>2131</v>
      </c>
      <c r="C120" s="2" t="s">
        <v>805</v>
      </c>
      <c r="D120" s="2">
        <v>12</v>
      </c>
      <c r="E120" t="s">
        <v>785</v>
      </c>
      <c r="F120" s="2">
        <v>2304</v>
      </c>
      <c r="G120" s="2">
        <v>-2377</v>
      </c>
      <c r="H120" s="2">
        <v>-28</v>
      </c>
      <c r="I120" s="17" t="s">
        <v>2251</v>
      </c>
      <c r="J120" s="11"/>
      <c r="K120" s="11"/>
    </row>
    <row r="121" spans="1:11" x14ac:dyDescent="0.2">
      <c r="A121" s="1" t="s">
        <v>1999</v>
      </c>
      <c r="B121" s="1" t="s">
        <v>2133</v>
      </c>
      <c r="C121" s="2" t="s">
        <v>794</v>
      </c>
      <c r="D121" s="2">
        <v>13</v>
      </c>
      <c r="E121" t="s">
        <v>783</v>
      </c>
      <c r="F121" s="2">
        <v>709</v>
      </c>
      <c r="G121" s="2">
        <v>-1381</v>
      </c>
      <c r="H121" s="2">
        <v>1584</v>
      </c>
      <c r="I121" s="17" t="s">
        <v>2252</v>
      </c>
      <c r="J121" s="11"/>
      <c r="K121" s="11"/>
    </row>
    <row r="122" spans="1:11" x14ac:dyDescent="0.2">
      <c r="A122" s="1" t="s">
        <v>1978</v>
      </c>
      <c r="B122" s="1" t="s">
        <v>2131</v>
      </c>
      <c r="C122" s="2" t="s">
        <v>794</v>
      </c>
      <c r="D122" s="2">
        <v>13</v>
      </c>
      <c r="E122" t="s">
        <v>783</v>
      </c>
      <c r="F122" s="2">
        <v>1376</v>
      </c>
      <c r="G122" s="2">
        <v>-3340</v>
      </c>
      <c r="H122" s="2">
        <v>443</v>
      </c>
      <c r="I122" s="17" t="s">
        <v>2253</v>
      </c>
      <c r="J122" s="11"/>
      <c r="K122" s="11"/>
    </row>
    <row r="123" spans="1:11" x14ac:dyDescent="0.2">
      <c r="A123" s="1" t="s">
        <v>1973</v>
      </c>
      <c r="B123" s="1" t="s">
        <v>2133</v>
      </c>
      <c r="C123" s="2" t="s">
        <v>794</v>
      </c>
      <c r="D123" s="2">
        <v>13</v>
      </c>
      <c r="E123" t="s">
        <v>783</v>
      </c>
      <c r="F123" s="2">
        <v>1070</v>
      </c>
      <c r="G123" s="2">
        <v>-3347</v>
      </c>
      <c r="H123" s="2">
        <v>785</v>
      </c>
      <c r="I123" s="17" t="s">
        <v>2254</v>
      </c>
      <c r="J123" s="11"/>
      <c r="K123" s="11"/>
    </row>
    <row r="124" spans="1:11" x14ac:dyDescent="0.2">
      <c r="A124" s="1" t="s">
        <v>1996</v>
      </c>
      <c r="B124" s="1" t="s">
        <v>2133</v>
      </c>
      <c r="C124" s="2" t="s">
        <v>794</v>
      </c>
      <c r="D124" s="2">
        <v>13</v>
      </c>
      <c r="E124" t="s">
        <v>783</v>
      </c>
      <c r="F124" s="2">
        <v>390</v>
      </c>
      <c r="G124" s="2">
        <v>-1660</v>
      </c>
      <c r="H124" s="2">
        <v>2299</v>
      </c>
      <c r="I124" s="17" t="s">
        <v>2255</v>
      </c>
      <c r="J124" s="11"/>
      <c r="K124" s="11"/>
    </row>
    <row r="125" spans="1:11" x14ac:dyDescent="0.2">
      <c r="A125" s="1" t="s">
        <v>1971</v>
      </c>
      <c r="B125" s="1" t="s">
        <v>2131</v>
      </c>
      <c r="C125" s="2" t="s">
        <v>794</v>
      </c>
      <c r="D125" s="2">
        <v>13</v>
      </c>
      <c r="E125" t="s">
        <v>785</v>
      </c>
      <c r="F125" s="2">
        <v>104</v>
      </c>
      <c r="G125" s="2">
        <v>-2517</v>
      </c>
      <c r="H125" s="2">
        <v>88</v>
      </c>
      <c r="I125" s="17" t="s">
        <v>2256</v>
      </c>
      <c r="J125" s="11"/>
      <c r="K125" s="11"/>
    </row>
    <row r="126" spans="1:11" x14ac:dyDescent="0.2">
      <c r="A126" s="1" t="s">
        <v>1956</v>
      </c>
      <c r="B126" s="1" t="s">
        <v>2131</v>
      </c>
      <c r="C126" s="2" t="s">
        <v>794</v>
      </c>
      <c r="D126" s="2">
        <v>13</v>
      </c>
      <c r="E126" t="s">
        <v>785</v>
      </c>
      <c r="F126" s="2">
        <v>-562</v>
      </c>
      <c r="G126" s="2">
        <v>-3524</v>
      </c>
      <c r="H126" s="2">
        <v>129</v>
      </c>
      <c r="I126" s="17" t="s">
        <v>2257</v>
      </c>
      <c r="J126" s="11"/>
      <c r="K126" s="11"/>
    </row>
    <row r="127" spans="1:11" x14ac:dyDescent="0.2">
      <c r="A127" s="1" t="s">
        <v>1988</v>
      </c>
      <c r="B127" s="1" t="s">
        <v>2133</v>
      </c>
      <c r="C127" s="2" t="s">
        <v>794</v>
      </c>
      <c r="D127" s="2">
        <v>13</v>
      </c>
      <c r="E127" t="s">
        <v>785</v>
      </c>
      <c r="F127" s="2">
        <v>867</v>
      </c>
      <c r="G127" s="2">
        <v>-2280</v>
      </c>
      <c r="H127" s="2">
        <v>141</v>
      </c>
      <c r="I127" s="17" t="s">
        <v>2258</v>
      </c>
      <c r="J127" s="11"/>
      <c r="K127" s="11"/>
    </row>
    <row r="128" spans="1:11" x14ac:dyDescent="0.2">
      <c r="A128" s="1" t="s">
        <v>1994</v>
      </c>
      <c r="B128" s="1" t="s">
        <v>2131</v>
      </c>
      <c r="C128" s="2" t="s">
        <v>794</v>
      </c>
      <c r="D128" s="2">
        <v>13</v>
      </c>
      <c r="E128" t="s">
        <v>785</v>
      </c>
      <c r="F128" s="2">
        <v>931</v>
      </c>
      <c r="G128" s="2">
        <v>-1902</v>
      </c>
      <c r="H128" s="2">
        <v>29</v>
      </c>
      <c r="I128" s="17" t="s">
        <v>2259</v>
      </c>
      <c r="J128" s="11"/>
      <c r="K128" s="11"/>
    </row>
    <row r="129" spans="1:11" x14ac:dyDescent="0.2">
      <c r="A129" s="1" t="s">
        <v>1977</v>
      </c>
      <c r="B129" s="1" t="s">
        <v>2133</v>
      </c>
      <c r="C129" s="2" t="s">
        <v>794</v>
      </c>
      <c r="D129" s="2">
        <v>13</v>
      </c>
      <c r="E129" t="s">
        <v>785</v>
      </c>
      <c r="F129" s="2">
        <v>1516</v>
      </c>
      <c r="G129" s="2">
        <v>-3576</v>
      </c>
      <c r="H129" s="2">
        <v>142</v>
      </c>
      <c r="I129" s="17" t="s">
        <v>2260</v>
      </c>
      <c r="J129" s="11"/>
      <c r="K129" s="11"/>
    </row>
    <row r="130" spans="1:11" x14ac:dyDescent="0.2">
      <c r="A130" s="1" t="s">
        <v>1981</v>
      </c>
      <c r="B130" s="1" t="s">
        <v>2131</v>
      </c>
      <c r="C130" s="2" t="s">
        <v>794</v>
      </c>
      <c r="D130" s="2">
        <v>13</v>
      </c>
      <c r="E130" t="s">
        <v>785</v>
      </c>
      <c r="F130" s="2">
        <v>348</v>
      </c>
      <c r="G130" s="2">
        <v>-2050</v>
      </c>
      <c r="H130" s="2">
        <v>-26</v>
      </c>
      <c r="I130" s="17" t="s">
        <v>2261</v>
      </c>
      <c r="J130" s="11"/>
      <c r="K130" s="11"/>
    </row>
    <row r="131" spans="1:11" x14ac:dyDescent="0.2">
      <c r="A131" s="1" t="s">
        <v>1990</v>
      </c>
      <c r="B131" s="1" t="s">
        <v>2131</v>
      </c>
      <c r="C131" s="2" t="s">
        <v>794</v>
      </c>
      <c r="D131" s="2">
        <v>13</v>
      </c>
      <c r="E131" t="s">
        <v>785</v>
      </c>
      <c r="F131" s="2">
        <v>1217</v>
      </c>
      <c r="G131" s="2">
        <v>-2542</v>
      </c>
      <c r="H131" s="2">
        <v>96</v>
      </c>
      <c r="I131" s="17" t="s">
        <v>2262</v>
      </c>
      <c r="J131" s="11"/>
      <c r="K131" s="11"/>
    </row>
    <row r="132" spans="1:11" x14ac:dyDescent="0.2">
      <c r="A132" s="1" t="s">
        <v>1969</v>
      </c>
      <c r="B132" s="1" t="s">
        <v>2133</v>
      </c>
      <c r="C132" s="2" t="s">
        <v>794</v>
      </c>
      <c r="D132" s="2">
        <v>13</v>
      </c>
      <c r="E132" t="s">
        <v>785</v>
      </c>
      <c r="F132" s="2">
        <v>669</v>
      </c>
      <c r="G132" s="2">
        <v>-3358</v>
      </c>
      <c r="H132" s="2">
        <v>72</v>
      </c>
      <c r="I132" s="17" t="s">
        <v>2263</v>
      </c>
      <c r="J132" s="11"/>
      <c r="K132" s="11"/>
    </row>
    <row r="133" spans="1:11" x14ac:dyDescent="0.2">
      <c r="A133" s="1" t="s">
        <v>1960</v>
      </c>
      <c r="B133" s="1" t="s">
        <v>2133</v>
      </c>
      <c r="C133" s="2" t="s">
        <v>798</v>
      </c>
      <c r="D133" s="2">
        <v>14</v>
      </c>
      <c r="E133" t="s">
        <v>783</v>
      </c>
      <c r="F133" s="2">
        <v>-1715</v>
      </c>
      <c r="G133" s="2">
        <v>-2119</v>
      </c>
      <c r="H133" s="2">
        <v>1149</v>
      </c>
      <c r="I133" s="17" t="s">
        <v>2264</v>
      </c>
      <c r="J133" s="11"/>
      <c r="K133" s="11"/>
    </row>
    <row r="134" spans="1:11" x14ac:dyDescent="0.2">
      <c r="A134" s="1" t="s">
        <v>1951</v>
      </c>
      <c r="B134" s="1" t="s">
        <v>2131</v>
      </c>
      <c r="C134" s="2" t="s">
        <v>798</v>
      </c>
      <c r="D134" s="2">
        <v>14</v>
      </c>
      <c r="E134" t="s">
        <v>783</v>
      </c>
      <c r="F134" s="2">
        <v>-1793</v>
      </c>
      <c r="G134" s="2">
        <v>-3331</v>
      </c>
      <c r="H134" s="2">
        <v>1011</v>
      </c>
      <c r="I134" s="17" t="s">
        <v>2265</v>
      </c>
      <c r="J134" s="11"/>
      <c r="K134" s="11"/>
    </row>
    <row r="135" spans="1:11" x14ac:dyDescent="0.2">
      <c r="A135" s="1" t="s">
        <v>1946</v>
      </c>
      <c r="B135" s="1" t="s">
        <v>2131</v>
      </c>
      <c r="C135" s="2" t="s">
        <v>798</v>
      </c>
      <c r="D135" s="2">
        <v>14</v>
      </c>
      <c r="E135" t="s">
        <v>785</v>
      </c>
      <c r="F135" s="2">
        <v>-3211</v>
      </c>
      <c r="G135" s="2">
        <v>-3007</v>
      </c>
      <c r="H135" s="2">
        <v>-49</v>
      </c>
      <c r="I135" s="17" t="s">
        <v>2266</v>
      </c>
      <c r="J135" s="11"/>
      <c r="K135" s="11"/>
    </row>
    <row r="136" spans="1:11" x14ac:dyDescent="0.2">
      <c r="A136" s="1" t="s">
        <v>1941</v>
      </c>
      <c r="B136" s="1" t="s">
        <v>2131</v>
      </c>
      <c r="C136" s="2" t="s">
        <v>798</v>
      </c>
      <c r="D136" s="2">
        <v>14</v>
      </c>
      <c r="E136" t="s">
        <v>785</v>
      </c>
      <c r="F136" s="2">
        <v>-4159</v>
      </c>
      <c r="G136" s="2">
        <v>-3824</v>
      </c>
      <c r="H136" s="2">
        <v>28</v>
      </c>
      <c r="I136" s="17" t="s">
        <v>2267</v>
      </c>
      <c r="J136" s="11"/>
      <c r="K136" s="11"/>
    </row>
    <row r="137" spans="1:11" x14ac:dyDescent="0.2">
      <c r="A137" s="1" t="s">
        <v>1943</v>
      </c>
      <c r="B137" s="1" t="s">
        <v>2133</v>
      </c>
      <c r="C137" s="2" t="s">
        <v>798</v>
      </c>
      <c r="D137" s="2">
        <v>14</v>
      </c>
      <c r="E137" t="s">
        <v>785</v>
      </c>
      <c r="F137" s="2">
        <v>-3726</v>
      </c>
      <c r="G137" s="2">
        <v>-3625</v>
      </c>
      <c r="H137" s="2">
        <v>43</v>
      </c>
      <c r="I137" s="17" t="s">
        <v>2268</v>
      </c>
      <c r="J137" s="11"/>
      <c r="K137" s="11"/>
    </row>
    <row r="138" spans="1:11" x14ac:dyDescent="0.2">
      <c r="A138" s="1" t="s">
        <v>1954</v>
      </c>
      <c r="B138" s="1" t="s">
        <v>2133</v>
      </c>
      <c r="C138" s="2" t="s">
        <v>798</v>
      </c>
      <c r="D138" s="2">
        <v>14</v>
      </c>
      <c r="E138" t="s">
        <v>785</v>
      </c>
      <c r="F138" s="2">
        <v>-1529</v>
      </c>
      <c r="G138" s="2">
        <v>-2928</v>
      </c>
      <c r="H138" s="2">
        <v>321</v>
      </c>
      <c r="I138" s="17" t="s">
        <v>2269</v>
      </c>
      <c r="J138" s="11"/>
      <c r="K138" s="11"/>
    </row>
    <row r="139" spans="1:11" x14ac:dyDescent="0.2">
      <c r="A139" s="1" t="s">
        <v>1945</v>
      </c>
      <c r="B139" s="1" t="s">
        <v>2133</v>
      </c>
      <c r="C139" s="2" t="s">
        <v>798</v>
      </c>
      <c r="D139" s="2">
        <v>14</v>
      </c>
      <c r="E139" t="s">
        <v>785</v>
      </c>
      <c r="F139" s="2">
        <v>-4168</v>
      </c>
      <c r="G139" s="2">
        <v>-2144</v>
      </c>
      <c r="H139" s="2">
        <v>50</v>
      </c>
      <c r="I139" s="17" t="s">
        <v>2270</v>
      </c>
      <c r="J139" s="11"/>
      <c r="K139" s="11"/>
    </row>
    <row r="140" spans="1:11" x14ac:dyDescent="0.2">
      <c r="A140" s="1" t="s">
        <v>1948</v>
      </c>
      <c r="B140" s="1" t="s">
        <v>2133</v>
      </c>
      <c r="C140" s="2" t="s">
        <v>798</v>
      </c>
      <c r="D140" s="2">
        <v>14</v>
      </c>
      <c r="E140" t="s">
        <v>785</v>
      </c>
      <c r="F140" s="2">
        <v>-3292</v>
      </c>
      <c r="G140" s="2">
        <v>-2509</v>
      </c>
      <c r="H140" s="2">
        <v>23</v>
      </c>
      <c r="I140" s="17" t="s">
        <v>2271</v>
      </c>
      <c r="J140" s="11"/>
      <c r="K140" s="11"/>
    </row>
    <row r="141" spans="1:11" x14ac:dyDescent="0.2">
      <c r="A141" s="1" t="s">
        <v>1942</v>
      </c>
      <c r="B141" s="1" t="s">
        <v>2130</v>
      </c>
      <c r="C141" s="2" t="s">
        <v>798</v>
      </c>
      <c r="D141" s="2">
        <v>14</v>
      </c>
      <c r="E141" t="s">
        <v>785</v>
      </c>
      <c r="F141" s="2">
        <v>-4679</v>
      </c>
      <c r="G141" s="2">
        <v>-3086</v>
      </c>
      <c r="H141" s="2">
        <v>56</v>
      </c>
      <c r="I141" s="17" t="s">
        <v>2272</v>
      </c>
      <c r="J141" s="11"/>
      <c r="K141" s="11"/>
    </row>
    <row r="142" spans="1:11" x14ac:dyDescent="0.2">
      <c r="A142" s="1" t="s">
        <v>1982</v>
      </c>
      <c r="B142" s="1" t="s">
        <v>2131</v>
      </c>
      <c r="C142" s="2" t="s">
        <v>798</v>
      </c>
      <c r="D142" s="2">
        <v>14</v>
      </c>
      <c r="E142" t="s">
        <v>785</v>
      </c>
      <c r="F142" s="2">
        <v>-1795</v>
      </c>
      <c r="G142" s="2">
        <v>-3485</v>
      </c>
      <c r="H142" s="2">
        <v>45</v>
      </c>
      <c r="I142" s="17" t="s">
        <v>2273</v>
      </c>
      <c r="J142" s="11"/>
      <c r="K142" s="11"/>
    </row>
    <row r="143" spans="1:11" x14ac:dyDescent="0.2">
      <c r="A143" s="1" t="s">
        <v>1958</v>
      </c>
      <c r="B143" s="1" t="s">
        <v>2131</v>
      </c>
      <c r="C143" s="2" t="s">
        <v>798</v>
      </c>
      <c r="D143" s="2">
        <v>14</v>
      </c>
      <c r="E143" t="s">
        <v>785</v>
      </c>
      <c r="F143" s="2">
        <v>-2031</v>
      </c>
      <c r="G143" s="2">
        <v>-1847</v>
      </c>
      <c r="H143" s="2">
        <v>64</v>
      </c>
      <c r="I143" s="17" t="s">
        <v>2274</v>
      </c>
      <c r="J143" s="11"/>
      <c r="K143" s="11"/>
    </row>
    <row r="144" spans="1:11" x14ac:dyDescent="0.2">
      <c r="A144" s="1" t="s">
        <v>1949</v>
      </c>
      <c r="B144" s="1" t="s">
        <v>2133</v>
      </c>
      <c r="C144" s="2" t="s">
        <v>798</v>
      </c>
      <c r="D144" s="2">
        <v>14</v>
      </c>
      <c r="E144" t="s">
        <v>785</v>
      </c>
      <c r="F144" s="2">
        <v>-2445</v>
      </c>
      <c r="G144" s="2">
        <v>-3345</v>
      </c>
      <c r="H144" s="2">
        <v>41</v>
      </c>
      <c r="I144" s="17" t="s">
        <v>2275</v>
      </c>
      <c r="J144" s="11"/>
      <c r="K144" s="11"/>
    </row>
    <row r="145" spans="1:11" x14ac:dyDescent="0.2">
      <c r="A145" s="1" t="s">
        <v>1944</v>
      </c>
      <c r="B145" s="1" t="s">
        <v>2133</v>
      </c>
      <c r="C145" s="2" t="s">
        <v>798</v>
      </c>
      <c r="D145" s="2">
        <v>14</v>
      </c>
      <c r="E145" t="s">
        <v>785</v>
      </c>
      <c r="F145" s="2">
        <v>-3883</v>
      </c>
      <c r="G145" s="2">
        <v>-2964</v>
      </c>
      <c r="H145" s="2">
        <v>125</v>
      </c>
      <c r="I145" s="17" t="s">
        <v>2276</v>
      </c>
      <c r="J145" s="11"/>
      <c r="K145" s="11"/>
    </row>
    <row r="146" spans="1:11" x14ac:dyDescent="0.2">
      <c r="A146" s="1" t="s">
        <v>1952</v>
      </c>
      <c r="B146" s="1" t="s">
        <v>2133</v>
      </c>
      <c r="C146" s="2" t="s">
        <v>798</v>
      </c>
      <c r="D146" s="2">
        <v>14</v>
      </c>
      <c r="E146" t="s">
        <v>785</v>
      </c>
      <c r="F146" s="2">
        <v>-2658</v>
      </c>
      <c r="G146" s="2">
        <v>-2236</v>
      </c>
      <c r="H146" s="2">
        <v>67</v>
      </c>
      <c r="I146" s="17" t="s">
        <v>2277</v>
      </c>
      <c r="J146" s="11"/>
      <c r="K146" s="11"/>
    </row>
    <row r="147" spans="1:11" x14ac:dyDescent="0.2">
      <c r="A147" s="1" t="s">
        <v>1959</v>
      </c>
      <c r="B147" s="1" t="s">
        <v>2131</v>
      </c>
      <c r="C147" s="2" t="s">
        <v>797</v>
      </c>
      <c r="D147" s="2">
        <v>15</v>
      </c>
      <c r="E147" t="s">
        <v>783</v>
      </c>
      <c r="F147" s="2">
        <v>-3544</v>
      </c>
      <c r="G147" s="2">
        <v>-320</v>
      </c>
      <c r="H147" s="2">
        <v>1964</v>
      </c>
      <c r="I147" s="17" t="s">
        <v>2278</v>
      </c>
      <c r="J147" s="11"/>
      <c r="K147" s="11"/>
    </row>
    <row r="148" spans="1:11" x14ac:dyDescent="0.2">
      <c r="A148" s="1" t="s">
        <v>1957</v>
      </c>
      <c r="B148" s="1" t="s">
        <v>2133</v>
      </c>
      <c r="C148" s="2" t="s">
        <v>797</v>
      </c>
      <c r="D148" s="2">
        <v>15</v>
      </c>
      <c r="E148" t="s">
        <v>785</v>
      </c>
      <c r="F148" s="2">
        <v>-4152</v>
      </c>
      <c r="G148" s="2">
        <v>98</v>
      </c>
      <c r="H148" s="2">
        <v>40</v>
      </c>
      <c r="I148" s="17" t="s">
        <v>2279</v>
      </c>
      <c r="J148" s="11"/>
      <c r="K148" s="11"/>
    </row>
    <row r="149" spans="1:11" x14ac:dyDescent="0.2">
      <c r="A149" s="1" t="s">
        <v>1947</v>
      </c>
      <c r="B149" s="1" t="s">
        <v>2133</v>
      </c>
      <c r="C149" s="2" t="s">
        <v>797</v>
      </c>
      <c r="D149" s="2">
        <v>15</v>
      </c>
      <c r="E149" t="s">
        <v>785</v>
      </c>
      <c r="F149" s="2">
        <v>-4637</v>
      </c>
      <c r="G149" s="2">
        <v>-1514</v>
      </c>
      <c r="H149" s="2">
        <v>452</v>
      </c>
      <c r="I149" s="17" t="s">
        <v>2280</v>
      </c>
      <c r="J149" s="11"/>
      <c r="K149" s="11"/>
    </row>
    <row r="150" spans="1:11" x14ac:dyDescent="0.2">
      <c r="A150" s="1" t="s">
        <v>1950</v>
      </c>
      <c r="B150" s="1" t="s">
        <v>2131</v>
      </c>
      <c r="C150" s="2" t="s">
        <v>797</v>
      </c>
      <c r="D150" s="2">
        <v>15</v>
      </c>
      <c r="E150" t="s">
        <v>785</v>
      </c>
      <c r="F150" s="2">
        <v>-4468</v>
      </c>
      <c r="G150" s="2">
        <v>-670</v>
      </c>
      <c r="H150" s="2">
        <v>509</v>
      </c>
      <c r="I150" s="17" t="s">
        <v>2281</v>
      </c>
      <c r="J150" s="11"/>
      <c r="K150" s="11"/>
    </row>
    <row r="151" spans="1:11" x14ac:dyDescent="0.2">
      <c r="A151" s="1" t="s">
        <v>1953</v>
      </c>
      <c r="B151" s="1" t="s">
        <v>2133</v>
      </c>
      <c r="C151" s="2" t="s">
        <v>797</v>
      </c>
      <c r="D151" s="2">
        <v>15</v>
      </c>
      <c r="E151" t="s">
        <v>785</v>
      </c>
      <c r="F151" s="2">
        <v>-3407</v>
      </c>
      <c r="G151" s="2">
        <v>-1362</v>
      </c>
      <c r="H151" s="2">
        <v>35</v>
      </c>
      <c r="I151" s="17" t="s">
        <v>2282</v>
      </c>
      <c r="J151" s="11"/>
      <c r="K151" s="11"/>
    </row>
    <row r="152" spans="1:11" x14ac:dyDescent="0.2">
      <c r="A152" s="1" t="s">
        <v>1955</v>
      </c>
      <c r="B152" s="1" t="s">
        <v>2131</v>
      </c>
      <c r="C152" s="2" t="s">
        <v>797</v>
      </c>
      <c r="D152" s="2">
        <v>15</v>
      </c>
      <c r="E152" t="s">
        <v>785</v>
      </c>
      <c r="F152" s="2">
        <v>-2523</v>
      </c>
      <c r="G152" s="2">
        <v>-1770</v>
      </c>
      <c r="H152" s="2">
        <v>132</v>
      </c>
      <c r="I152" s="17" t="s">
        <v>2283</v>
      </c>
      <c r="J152" s="11"/>
      <c r="K152" s="11"/>
    </row>
    <row r="153" spans="1:11" x14ac:dyDescent="0.2">
      <c r="A153" s="1" t="s">
        <v>1961</v>
      </c>
      <c r="B153" s="1" t="s">
        <v>2133</v>
      </c>
      <c r="C153" s="2" t="s">
        <v>797</v>
      </c>
      <c r="D153" s="2">
        <v>15</v>
      </c>
      <c r="E153" t="s">
        <v>785</v>
      </c>
      <c r="F153" s="2">
        <v>-3496</v>
      </c>
      <c r="G153" s="2">
        <v>-197</v>
      </c>
      <c r="H153" s="2">
        <v>66</v>
      </c>
      <c r="I153" s="17" t="s">
        <v>2284</v>
      </c>
      <c r="J153" s="11"/>
      <c r="K153" s="11"/>
    </row>
    <row r="154" spans="1:11" x14ac:dyDescent="0.2">
      <c r="A154" s="1"/>
      <c r="B154" s="1"/>
    </row>
  </sheetData>
  <autoFilter ref="A1:H153" xr:uid="{3781161B-E3B8-6A41-B5B5-EF88E67723E0}">
    <sortState xmlns:xlrd2="http://schemas.microsoft.com/office/spreadsheetml/2017/richdata2" ref="A2:H153">
      <sortCondition ref="D1:D153"/>
    </sortState>
  </autoFilter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CFD88-9269-FE4F-AB15-7A899DFCC2EE}">
  <sheetPr codeName="Sheet25">
    <tabColor theme="9"/>
  </sheetPr>
  <dimension ref="A1:I17"/>
  <sheetViews>
    <sheetView workbookViewId="0">
      <selection activeCell="H28" sqref="H28"/>
    </sheetView>
  </sheetViews>
  <sheetFormatPr baseColWidth="10" defaultRowHeight="16" x14ac:dyDescent="0.2"/>
  <cols>
    <col min="1" max="1" width="21.83203125" customWidth="1"/>
    <col min="2" max="2" width="22.8320312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1497</v>
      </c>
      <c r="B2" t="s">
        <v>1460</v>
      </c>
      <c r="C2">
        <v>1</v>
      </c>
      <c r="D2" t="s">
        <v>785</v>
      </c>
      <c r="E2">
        <v>-253</v>
      </c>
      <c r="F2">
        <v>53</v>
      </c>
      <c r="G2">
        <v>19</v>
      </c>
      <c r="I2" t="str">
        <f>"{ name: "&amp;CHAR(34)&amp;A2&amp;CHAR(34)&amp;", landmark: "&amp;CHAR(34)&amp;"Stable"&amp;CHAR(34)&amp;", type: "&amp;CHAR(34)&amp;B2&amp;CHAR(34)&amp;", region: "&amp;C2&amp;", level: "&amp;CHAR(34)&amp;D2&amp;CHAR(34)&amp;", x: "&amp;E2&amp;", y: "&amp;F2&amp;", z: "&amp;G2&amp;", details: "&amp;CHAR(34)&amp;H2&amp;CHAR(34)&amp;" },"</f>
        <v>{ name: "Mini Stable", landmark: "Stable", type: "Lookout Landing", region: 1, level: "Surface", x: -253, y: 53, z: 19, details: "" },</v>
      </c>
    </row>
    <row r="3" spans="1:9" x14ac:dyDescent="0.2">
      <c r="A3" t="s">
        <v>1497</v>
      </c>
      <c r="B3" t="s">
        <v>1219</v>
      </c>
      <c r="C3">
        <v>2</v>
      </c>
      <c r="D3" t="s">
        <v>785</v>
      </c>
      <c r="E3">
        <v>-1689</v>
      </c>
      <c r="F3">
        <v>-1663</v>
      </c>
      <c r="G3">
        <v>22</v>
      </c>
      <c r="I3" t="str">
        <f t="shared" ref="I3:I17" si="0">"{ name: "&amp;CHAR(34)&amp;A3&amp;CHAR(34)&amp;", landmark: "&amp;CHAR(34)&amp;"Stable"&amp;CHAR(34)&amp;", type: "&amp;CHAR(34)&amp;B3&amp;CHAR(34)&amp;", region: "&amp;C3&amp;", level: "&amp;CHAR(34)&amp;D3&amp;CHAR(34)&amp;", x: "&amp;E3&amp;", y: "&amp;F3&amp;", z: "&amp;G3&amp;", details: "&amp;CHAR(34)&amp;H3&amp;CHAR(34)&amp;" },"</f>
        <v>{ name: "Mini Stable", landmark: "Stable", type: "Digdogg Suspension Bridge", region: 2, level: "Surface", x: -1689, y: -1663, z: 22, details: "" },</v>
      </c>
    </row>
    <row r="4" spans="1:9" x14ac:dyDescent="0.2">
      <c r="A4" t="s">
        <v>1552</v>
      </c>
      <c r="C4">
        <v>2</v>
      </c>
      <c r="D4" t="s">
        <v>785</v>
      </c>
      <c r="E4">
        <v>-1448</v>
      </c>
      <c r="F4">
        <v>-1268</v>
      </c>
      <c r="G4">
        <v>32</v>
      </c>
      <c r="I4" t="str">
        <f t="shared" si="0"/>
        <v>{ name: "Outskirt Stable", landmark: "Stable", type: "", region: 2, level: "Surface", x: -1448, y: -1268, z: 32, details: "" },</v>
      </c>
    </row>
    <row r="5" spans="1:9" x14ac:dyDescent="0.2">
      <c r="A5" t="s">
        <v>1606</v>
      </c>
      <c r="C5">
        <v>2</v>
      </c>
      <c r="D5" t="s">
        <v>785</v>
      </c>
      <c r="E5">
        <v>341</v>
      </c>
      <c r="F5">
        <v>-1095</v>
      </c>
      <c r="G5">
        <v>10</v>
      </c>
      <c r="I5" t="str">
        <f t="shared" si="0"/>
        <v>{ name: "Riverside Stable", landmark: "Stable", type: "", region: 2, level: "Surface", x: 341, y: -1095, z: 10, details: "" },</v>
      </c>
    </row>
    <row r="6" spans="1:9" x14ac:dyDescent="0.2">
      <c r="A6" t="s">
        <v>1529</v>
      </c>
      <c r="C6">
        <v>3</v>
      </c>
      <c r="D6" t="s">
        <v>785</v>
      </c>
      <c r="E6">
        <v>-1361</v>
      </c>
      <c r="F6">
        <v>724</v>
      </c>
      <c r="G6">
        <v>85</v>
      </c>
      <c r="I6" t="str">
        <f t="shared" si="0"/>
        <v>{ name: "New Serenne Stable", landmark: "Stable", type: "", region: 3, level: "Surface", x: -1361, y: 724, z: 85, details: "" },</v>
      </c>
    </row>
    <row r="7" spans="1:9" x14ac:dyDescent="0.2">
      <c r="A7" t="s">
        <v>1681</v>
      </c>
      <c r="C7">
        <v>3</v>
      </c>
      <c r="D7" t="s">
        <v>785</v>
      </c>
      <c r="E7">
        <v>-2931</v>
      </c>
      <c r="F7">
        <v>548</v>
      </c>
      <c r="G7">
        <v>169</v>
      </c>
      <c r="I7" t="str">
        <f t="shared" si="0"/>
        <v>{ name: "Tabantha Bridge Stable", landmark: "Stable", type: "", region: 3, level: "Surface", x: -2931, y: 548, z: 169, details: "" },</v>
      </c>
    </row>
    <row r="8" spans="1:9" x14ac:dyDescent="0.2">
      <c r="A8" t="s">
        <v>1650</v>
      </c>
      <c r="C8">
        <v>5</v>
      </c>
      <c r="D8" t="s">
        <v>785</v>
      </c>
      <c r="E8">
        <v>-1654</v>
      </c>
      <c r="F8">
        <v>2572</v>
      </c>
      <c r="G8">
        <v>233</v>
      </c>
      <c r="I8" t="str">
        <f t="shared" si="0"/>
        <v>{ name: "Snowfield Stable", landmark: "Stable", type: "", region: 5, level: "Surface", x: -1654, y: 2572, z: 233, details: "" },</v>
      </c>
    </row>
    <row r="9" spans="1:9" x14ac:dyDescent="0.2">
      <c r="A9" t="s">
        <v>1041</v>
      </c>
      <c r="C9">
        <v>7</v>
      </c>
      <c r="D9" t="s">
        <v>785</v>
      </c>
      <c r="E9">
        <v>2613</v>
      </c>
      <c r="F9">
        <v>1143</v>
      </c>
      <c r="G9">
        <v>148</v>
      </c>
      <c r="I9" t="str">
        <f t="shared" si="0"/>
        <v>{ name: "Foothill Stable", landmark: "Stable", type: "", region: 7, level: "Surface", x: 2613, y: 1143, z: 148, details: "" },</v>
      </c>
    </row>
    <row r="10" spans="1:9" x14ac:dyDescent="0.2">
      <c r="A10" t="s">
        <v>1754</v>
      </c>
      <c r="C10">
        <v>7</v>
      </c>
      <c r="D10" t="s">
        <v>785</v>
      </c>
      <c r="E10">
        <v>1066</v>
      </c>
      <c r="F10">
        <v>1142</v>
      </c>
      <c r="G10">
        <v>21</v>
      </c>
      <c r="I10" t="str">
        <f t="shared" si="0"/>
        <v>{ name: "Woodland Stable", landmark: "Stable", type: "", region: 7, level: "Surface", x: 1066, y: 1142, z: 21, details: "" },</v>
      </c>
    </row>
    <row r="11" spans="1:9" x14ac:dyDescent="0.2">
      <c r="A11" t="s">
        <v>1038</v>
      </c>
      <c r="C11">
        <v>8</v>
      </c>
      <c r="D11" t="s">
        <v>785</v>
      </c>
      <c r="E11">
        <v>4229</v>
      </c>
      <c r="F11">
        <v>2748</v>
      </c>
      <c r="G11">
        <v>125</v>
      </c>
      <c r="I11" t="str">
        <f t="shared" si="0"/>
        <v>{ name: "East Akkala Stable", landmark: "Stable", type: "", region: 8, level: "Surface", x: 4229, y: 2748, z: 125, details: "" },</v>
      </c>
    </row>
    <row r="12" spans="1:9" x14ac:dyDescent="0.2">
      <c r="A12" t="s">
        <v>1088</v>
      </c>
      <c r="C12">
        <v>8</v>
      </c>
      <c r="D12" t="s">
        <v>785</v>
      </c>
      <c r="E12">
        <v>3151</v>
      </c>
      <c r="F12">
        <v>1692</v>
      </c>
      <c r="G12">
        <v>201</v>
      </c>
      <c r="I12" t="str">
        <f t="shared" si="0"/>
        <v>{ name: "South Akkala Stable", landmark: "Stable", type: "", region: 8, level: "Surface", x: 3151, y: 1692, z: 201, details: "" },</v>
      </c>
    </row>
    <row r="13" spans="1:9" x14ac:dyDescent="0.2">
      <c r="A13" t="s">
        <v>1233</v>
      </c>
      <c r="C13">
        <v>10</v>
      </c>
      <c r="D13" t="s">
        <v>785</v>
      </c>
      <c r="E13">
        <v>1764</v>
      </c>
      <c r="F13">
        <v>-1927</v>
      </c>
      <c r="G13">
        <v>13</v>
      </c>
      <c r="I13" t="str">
        <f t="shared" si="0"/>
        <v>{ name: "Dueling Peaks Stable", landmark: "Stable", type: "", region: 10, level: "Surface", x: 1764, y: -1927, z: 13, details: "" },</v>
      </c>
    </row>
    <row r="14" spans="1:9" x14ac:dyDescent="0.2">
      <c r="A14" t="s">
        <v>1748</v>
      </c>
      <c r="C14">
        <v>10</v>
      </c>
      <c r="D14" t="s">
        <v>785</v>
      </c>
      <c r="E14">
        <v>889</v>
      </c>
      <c r="F14">
        <v>-175</v>
      </c>
      <c r="G14">
        <v>26</v>
      </c>
      <c r="I14" t="str">
        <f t="shared" si="0"/>
        <v>{ name: "Wetland Stable", landmark: "Stable", type: "", region: 10, level: "Surface", x: 889, y: -175, z: 26, details: "" },</v>
      </c>
    </row>
    <row r="15" spans="1:9" x14ac:dyDescent="0.2">
      <c r="A15" t="s">
        <v>1370</v>
      </c>
      <c r="C15">
        <v>13</v>
      </c>
      <c r="D15" t="s">
        <v>785</v>
      </c>
      <c r="E15">
        <v>530</v>
      </c>
      <c r="F15">
        <v>-3451</v>
      </c>
      <c r="G15">
        <v>53</v>
      </c>
      <c r="I15" t="str">
        <f t="shared" si="0"/>
        <v>{ name: "Highland Stable", landmark: "Stable", type: "", region: 13, level: "Surface", x: 530, y: -3451, z: 53, details: "" },</v>
      </c>
    </row>
    <row r="16" spans="1:9" x14ac:dyDescent="0.2">
      <c r="A16" t="s">
        <v>1056</v>
      </c>
      <c r="C16">
        <v>13</v>
      </c>
      <c r="D16" t="s">
        <v>785</v>
      </c>
      <c r="E16">
        <v>1552</v>
      </c>
      <c r="F16">
        <v>-3537</v>
      </c>
      <c r="G16">
        <v>72</v>
      </c>
      <c r="I16" t="str">
        <f t="shared" si="0"/>
        <v>{ name: "Lakeside Stable", landmark: "Stable", type: "", region: 13, level: "Surface", x: 1552, y: -3537, z: 72, details: "" },</v>
      </c>
    </row>
    <row r="17" spans="1:9" x14ac:dyDescent="0.2">
      <c r="A17" t="s">
        <v>1044</v>
      </c>
      <c r="C17">
        <v>14</v>
      </c>
      <c r="D17" t="s">
        <v>785</v>
      </c>
      <c r="E17">
        <v>-2803</v>
      </c>
      <c r="F17">
        <v>-2228</v>
      </c>
      <c r="G17">
        <v>29</v>
      </c>
      <c r="I17" t="str">
        <f t="shared" si="0"/>
        <v>{ name: "Gerudo Canyon Stable", landmark: "Stable", type: "", region: 14, level: "Surface", x: -2803, y: -2228, z: 29, details: "" },</v>
      </c>
    </row>
  </sheetData>
  <autoFilter ref="A1:I1" xr:uid="{A095D5C8-FF81-DA46-ADE3-61DE071C2139}">
    <sortState xmlns:xlrd2="http://schemas.microsoft.com/office/spreadsheetml/2017/richdata2" ref="A2:I17">
      <sortCondition ref="C1:C17"/>
    </sortState>
  </autoFilter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3655B-3489-B44D-B30A-8DA6A0CEAEB1}">
  <sheetPr codeName="Sheet16">
    <tabColor theme="9"/>
  </sheetPr>
  <dimension ref="A1:K153"/>
  <sheetViews>
    <sheetView workbookViewId="0">
      <selection activeCell="E31" sqref="E31"/>
    </sheetView>
  </sheetViews>
  <sheetFormatPr baseColWidth="10" defaultRowHeight="16" x14ac:dyDescent="0.2"/>
  <cols>
    <col min="1" max="1" width="19.33203125" bestFit="1" customWidth="1"/>
    <col min="2" max="2" width="18.5" bestFit="1" customWidth="1"/>
    <col min="3" max="3" width="10.6640625" bestFit="1" customWidth="1"/>
    <col min="5" max="6" width="10.83203125" style="7"/>
  </cols>
  <sheetData>
    <row r="1" spans="1:11" s="6" customFormat="1" x14ac:dyDescent="0.2">
      <c r="A1" s="6" t="s">
        <v>781</v>
      </c>
      <c r="B1" s="6" t="s">
        <v>8</v>
      </c>
      <c r="C1" s="6" t="s">
        <v>2120</v>
      </c>
      <c r="D1" s="6" t="s">
        <v>777</v>
      </c>
      <c r="E1" s="12" t="s">
        <v>778</v>
      </c>
      <c r="F1" s="12" t="s">
        <v>779</v>
      </c>
      <c r="G1" s="6" t="s">
        <v>780</v>
      </c>
      <c r="H1" s="10"/>
      <c r="I1" s="10"/>
      <c r="J1" s="10"/>
      <c r="K1" s="10"/>
    </row>
    <row r="2" spans="1:11" x14ac:dyDescent="0.2">
      <c r="A2" s="1" t="s">
        <v>1460</v>
      </c>
      <c r="B2" t="s">
        <v>2110</v>
      </c>
      <c r="C2">
        <v>1</v>
      </c>
      <c r="D2" t="s">
        <v>785</v>
      </c>
      <c r="E2" s="7">
        <v>-298</v>
      </c>
      <c r="F2" s="7">
        <v>142</v>
      </c>
      <c r="G2" s="7">
        <v>25</v>
      </c>
      <c r="H2" s="7" t="str">
        <f>"{ name: "&amp;CHAR(34)&amp;A2&amp;CHAR(34)&amp;", landmark: "&amp;CHAR(34)&amp;"Tower"&amp;CHAR(34)&amp;", type: "&amp;CHAR(34)&amp;"Skyview Tower"&amp;CHAR(34)&amp;", region: "&amp;C2&amp;", level: "&amp;CHAR(34)&amp;D2&amp;CHAR(34)&amp;", x: "&amp;E2&amp;", y: "&amp;F2&amp;", z: "&amp;G2&amp;", details: "&amp;CHAR(34)&amp;CHAR(34)&amp;" },"</f>
        <v>{ name: "Lookout Landing", landmark: "Tower", type: "Skyview Tower", region: 1, level: "Surface", x: -298, y: 142, z: 25, details: "" },</v>
      </c>
      <c r="I2" s="11"/>
      <c r="K2" s="11"/>
    </row>
    <row r="3" spans="1:11" x14ac:dyDescent="0.2">
      <c r="A3" s="1" t="s">
        <v>790</v>
      </c>
      <c r="B3" t="s">
        <v>2111</v>
      </c>
      <c r="C3">
        <v>2</v>
      </c>
      <c r="D3" t="s">
        <v>785</v>
      </c>
      <c r="E3" s="7">
        <v>-761</v>
      </c>
      <c r="F3" s="7">
        <v>-1019</v>
      </c>
      <c r="G3" s="7">
        <v>64</v>
      </c>
      <c r="H3" s="7" t="s">
        <v>2511</v>
      </c>
      <c r="I3" s="11"/>
      <c r="K3" s="11"/>
    </row>
    <row r="4" spans="1:11" x14ac:dyDescent="0.2">
      <c r="A4" s="1" t="s">
        <v>1450</v>
      </c>
      <c r="B4" t="s">
        <v>787</v>
      </c>
      <c r="C4">
        <v>3</v>
      </c>
      <c r="D4" t="s">
        <v>785</v>
      </c>
      <c r="E4" s="7">
        <v>-1909</v>
      </c>
      <c r="F4" s="7">
        <v>1245</v>
      </c>
      <c r="G4" s="7">
        <v>297</v>
      </c>
      <c r="H4" s="7" t="s">
        <v>2512</v>
      </c>
      <c r="I4" s="11"/>
      <c r="K4" s="11"/>
    </row>
    <row r="5" spans="1:11" x14ac:dyDescent="0.2">
      <c r="A5" s="1" t="s">
        <v>1613</v>
      </c>
      <c r="B5" t="s">
        <v>800</v>
      </c>
      <c r="C5">
        <v>4</v>
      </c>
      <c r="D5" t="s">
        <v>785</v>
      </c>
      <c r="E5" s="7">
        <v>-3860</v>
      </c>
      <c r="F5" s="7">
        <v>2345</v>
      </c>
      <c r="G5" s="7">
        <v>233</v>
      </c>
      <c r="H5" s="7" t="s">
        <v>2513</v>
      </c>
      <c r="I5" s="11"/>
      <c r="K5" s="11"/>
    </row>
    <row r="6" spans="1:11" x14ac:dyDescent="0.2">
      <c r="A6" s="1" t="s">
        <v>1079</v>
      </c>
      <c r="B6" t="s">
        <v>1684</v>
      </c>
      <c r="C6">
        <v>5</v>
      </c>
      <c r="D6" t="s">
        <v>785</v>
      </c>
      <c r="E6" s="7">
        <v>-2312</v>
      </c>
      <c r="F6" s="7">
        <v>3064</v>
      </c>
      <c r="G6" s="7">
        <v>536</v>
      </c>
      <c r="H6" s="7" t="s">
        <v>2514</v>
      </c>
      <c r="I6" s="11"/>
      <c r="K6" s="11"/>
    </row>
    <row r="7" spans="1:11" x14ac:dyDescent="0.2">
      <c r="A7" s="1" t="s">
        <v>2112</v>
      </c>
      <c r="B7" t="s">
        <v>789</v>
      </c>
      <c r="C7">
        <v>6</v>
      </c>
      <c r="D7" t="s">
        <v>785</v>
      </c>
      <c r="E7" s="7">
        <v>343</v>
      </c>
      <c r="F7" s="7">
        <v>3133</v>
      </c>
      <c r="G7" s="7">
        <v>180</v>
      </c>
      <c r="H7" s="7" t="s">
        <v>2515</v>
      </c>
      <c r="I7" s="11"/>
      <c r="J7" s="11"/>
      <c r="K7" s="11"/>
    </row>
    <row r="8" spans="1:11" x14ac:dyDescent="0.2">
      <c r="A8" s="1" t="s">
        <v>791</v>
      </c>
      <c r="B8" t="s">
        <v>1252</v>
      </c>
      <c r="C8">
        <v>7</v>
      </c>
      <c r="D8" t="s">
        <v>785</v>
      </c>
      <c r="E8" s="7">
        <v>1641</v>
      </c>
      <c r="F8" s="7">
        <v>1190</v>
      </c>
      <c r="G8" s="7">
        <v>225</v>
      </c>
      <c r="H8" s="7" t="s">
        <v>2516</v>
      </c>
      <c r="I8" s="11"/>
      <c r="J8" s="11"/>
      <c r="K8" s="11"/>
    </row>
    <row r="9" spans="1:11" x14ac:dyDescent="0.2">
      <c r="A9" s="1" t="s">
        <v>1724</v>
      </c>
      <c r="B9" t="s">
        <v>1113</v>
      </c>
      <c r="C9">
        <v>8</v>
      </c>
      <c r="D9" t="s">
        <v>785</v>
      </c>
      <c r="E9" s="7">
        <v>3497</v>
      </c>
      <c r="F9" s="7">
        <v>2025</v>
      </c>
      <c r="G9" s="7">
        <v>188</v>
      </c>
      <c r="H9" s="7" t="s">
        <v>2517</v>
      </c>
      <c r="I9" s="11"/>
      <c r="J9" s="11"/>
      <c r="K9" s="11"/>
    </row>
    <row r="10" spans="1:11" x14ac:dyDescent="0.2">
      <c r="A10" s="1" t="s">
        <v>1099</v>
      </c>
      <c r="B10" t="s">
        <v>2118</v>
      </c>
      <c r="C10">
        <v>9</v>
      </c>
      <c r="D10" t="s">
        <v>785</v>
      </c>
      <c r="E10" s="7">
        <v>2865</v>
      </c>
      <c r="F10" s="7">
        <v>580</v>
      </c>
      <c r="G10" s="7">
        <v>379</v>
      </c>
      <c r="H10" s="7" t="s">
        <v>2518</v>
      </c>
      <c r="I10" s="11"/>
      <c r="J10" s="11"/>
      <c r="K10" s="11"/>
    </row>
    <row r="11" spans="1:11" x14ac:dyDescent="0.2">
      <c r="A11" s="1" t="s">
        <v>1084</v>
      </c>
      <c r="B11" t="s">
        <v>2117</v>
      </c>
      <c r="C11">
        <v>10</v>
      </c>
      <c r="D11" t="s">
        <v>785</v>
      </c>
      <c r="E11" s="7">
        <v>1341</v>
      </c>
      <c r="F11" s="7">
        <v>-1176</v>
      </c>
      <c r="G11" s="7">
        <v>166</v>
      </c>
      <c r="H11" s="7" t="s">
        <v>2519</v>
      </c>
      <c r="I11" s="11"/>
      <c r="J11" s="11"/>
      <c r="K11" s="11"/>
    </row>
    <row r="12" spans="1:11" x14ac:dyDescent="0.2">
      <c r="A12" s="1" t="s">
        <v>804</v>
      </c>
      <c r="B12" t="s">
        <v>804</v>
      </c>
      <c r="C12">
        <v>11</v>
      </c>
      <c r="D12" t="s">
        <v>785</v>
      </c>
      <c r="E12" s="7">
        <v>3847</v>
      </c>
      <c r="F12" s="7">
        <v>-1313</v>
      </c>
      <c r="G12" s="7">
        <v>539</v>
      </c>
      <c r="H12" s="7" t="s">
        <v>2520</v>
      </c>
      <c r="I12" s="11"/>
      <c r="J12" s="11"/>
      <c r="K12" s="11"/>
    </row>
    <row r="13" spans="1:11" x14ac:dyDescent="0.2">
      <c r="A13" s="1" t="s">
        <v>1579</v>
      </c>
      <c r="B13" t="s">
        <v>805</v>
      </c>
      <c r="C13">
        <v>12</v>
      </c>
      <c r="D13" t="s">
        <v>785</v>
      </c>
      <c r="E13" s="7">
        <v>2419</v>
      </c>
      <c r="F13" s="7">
        <v>-2755</v>
      </c>
      <c r="G13" s="7">
        <v>222</v>
      </c>
      <c r="H13" s="7" t="s">
        <v>2521</v>
      </c>
      <c r="I13" s="11"/>
      <c r="J13" s="11"/>
      <c r="K13" s="11"/>
    </row>
    <row r="14" spans="1:11" x14ac:dyDescent="0.2">
      <c r="A14" s="1" t="s">
        <v>1568</v>
      </c>
      <c r="B14" t="s">
        <v>794</v>
      </c>
      <c r="C14">
        <v>13</v>
      </c>
      <c r="D14" t="s">
        <v>785</v>
      </c>
      <c r="E14" s="7">
        <v>604</v>
      </c>
      <c r="F14" s="7">
        <v>-2127</v>
      </c>
      <c r="G14" s="7">
        <v>98</v>
      </c>
      <c r="H14" s="7" t="s">
        <v>2522</v>
      </c>
      <c r="I14" s="11"/>
      <c r="J14" s="11"/>
      <c r="K14" s="11"/>
    </row>
    <row r="15" spans="1:11" x14ac:dyDescent="0.2">
      <c r="A15" s="1" t="s">
        <v>1043</v>
      </c>
      <c r="B15" t="s">
        <v>798</v>
      </c>
      <c r="C15">
        <v>14</v>
      </c>
      <c r="D15" t="s">
        <v>785</v>
      </c>
      <c r="E15" s="7">
        <v>-2438</v>
      </c>
      <c r="F15" s="7">
        <v>-2182</v>
      </c>
      <c r="G15" s="7">
        <v>307</v>
      </c>
      <c r="H15" s="7" t="s">
        <v>2523</v>
      </c>
      <c r="I15" s="11"/>
      <c r="J15" s="11"/>
      <c r="K15" s="11"/>
    </row>
    <row r="16" spans="1:11" x14ac:dyDescent="0.2">
      <c r="A16" s="1" t="s">
        <v>797</v>
      </c>
      <c r="B16" t="s">
        <v>797</v>
      </c>
      <c r="C16">
        <v>15</v>
      </c>
      <c r="D16" t="s">
        <v>785</v>
      </c>
      <c r="E16" s="7">
        <v>-3959</v>
      </c>
      <c r="F16" s="7">
        <v>-1313</v>
      </c>
      <c r="G16" s="7">
        <v>422</v>
      </c>
      <c r="H16" s="7" t="s">
        <v>2524</v>
      </c>
      <c r="I16" s="11"/>
      <c r="J16" s="11"/>
      <c r="K16" s="11"/>
    </row>
    <row r="17" spans="1:11" x14ac:dyDescent="0.2">
      <c r="A17" s="1"/>
      <c r="H17" s="9"/>
      <c r="I17" s="11"/>
      <c r="J17" s="11"/>
      <c r="K17" s="11"/>
    </row>
    <row r="18" spans="1:11" x14ac:dyDescent="0.2">
      <c r="A18" s="1"/>
      <c r="G18" s="7"/>
      <c r="H18" s="9"/>
      <c r="I18" s="11"/>
      <c r="J18" s="11"/>
      <c r="K18" s="11"/>
    </row>
    <row r="19" spans="1:11" x14ac:dyDescent="0.2">
      <c r="A19" s="1"/>
      <c r="G19" s="7"/>
      <c r="H19" s="9"/>
      <c r="I19" s="11"/>
      <c r="J19" s="11"/>
      <c r="K19" s="11"/>
    </row>
    <row r="20" spans="1:11" x14ac:dyDescent="0.2">
      <c r="A20" s="1"/>
      <c r="G20" s="7"/>
      <c r="H20" s="9"/>
      <c r="I20" s="11"/>
      <c r="J20" s="11"/>
      <c r="K20" s="11"/>
    </row>
    <row r="21" spans="1:11" x14ac:dyDescent="0.2">
      <c r="A21" s="1"/>
      <c r="G21" s="7"/>
      <c r="H21" s="9"/>
      <c r="I21" s="11"/>
      <c r="J21" s="11"/>
      <c r="K21" s="11"/>
    </row>
    <row r="22" spans="1:11" x14ac:dyDescent="0.2">
      <c r="A22" s="1"/>
      <c r="G22" s="7"/>
      <c r="H22" s="9"/>
      <c r="I22" s="11"/>
      <c r="J22" s="11"/>
      <c r="K22" s="11"/>
    </row>
    <row r="23" spans="1:11" x14ac:dyDescent="0.2">
      <c r="A23" s="1"/>
      <c r="G23" s="7"/>
      <c r="H23" s="9"/>
      <c r="I23" s="11"/>
      <c r="J23" s="11"/>
      <c r="K23" s="11"/>
    </row>
    <row r="24" spans="1:11" x14ac:dyDescent="0.2">
      <c r="A24" s="1"/>
      <c r="G24" s="7"/>
      <c r="H24" s="9"/>
      <c r="I24" s="11"/>
      <c r="J24" s="11"/>
      <c r="K24" s="11"/>
    </row>
    <row r="25" spans="1:11" x14ac:dyDescent="0.2">
      <c r="A25" s="1"/>
      <c r="G25" s="7"/>
      <c r="H25" s="9"/>
      <c r="I25" s="11"/>
      <c r="J25" s="11"/>
      <c r="K25" s="11"/>
    </row>
    <row r="26" spans="1:11" x14ac:dyDescent="0.2">
      <c r="A26" s="1"/>
      <c r="G26" s="7"/>
      <c r="H26" s="9"/>
      <c r="I26" s="11"/>
      <c r="J26" s="11"/>
      <c r="K26" s="11"/>
    </row>
    <row r="27" spans="1:11" x14ac:dyDescent="0.2">
      <c r="A27" s="1"/>
      <c r="G27" s="7"/>
      <c r="H27" s="9"/>
      <c r="I27" s="11"/>
      <c r="J27" s="11"/>
      <c r="K27" s="11"/>
    </row>
    <row r="28" spans="1:11" x14ac:dyDescent="0.2">
      <c r="A28" s="1"/>
      <c r="G28" s="7"/>
      <c r="H28" s="9"/>
      <c r="I28" s="11"/>
      <c r="J28" s="11"/>
      <c r="K28" s="11"/>
    </row>
    <row r="29" spans="1:11" x14ac:dyDescent="0.2">
      <c r="A29" s="1"/>
      <c r="G29" s="7"/>
      <c r="H29" s="9"/>
      <c r="I29" s="11"/>
      <c r="J29" s="11"/>
      <c r="K29" s="11"/>
    </row>
    <row r="30" spans="1:11" x14ac:dyDescent="0.2">
      <c r="A30" s="1"/>
      <c r="G30" s="7"/>
      <c r="H30" s="9"/>
      <c r="I30" s="11"/>
      <c r="J30" s="11"/>
      <c r="K30" s="11"/>
    </row>
    <row r="31" spans="1:11" x14ac:dyDescent="0.2">
      <c r="A31" s="1"/>
      <c r="G31" s="7"/>
      <c r="H31" s="9"/>
      <c r="I31" s="11"/>
      <c r="J31" s="11"/>
      <c r="K31" s="11"/>
    </row>
    <row r="32" spans="1:11" x14ac:dyDescent="0.2">
      <c r="A32" s="1"/>
      <c r="G32" s="7"/>
      <c r="H32" s="9"/>
      <c r="I32" s="11"/>
      <c r="J32" s="11"/>
      <c r="K32" s="11"/>
    </row>
    <row r="33" spans="1:11" x14ac:dyDescent="0.2">
      <c r="A33" s="1"/>
      <c r="H33" s="9"/>
      <c r="I33" s="11"/>
      <c r="J33" s="11"/>
      <c r="K33" s="11"/>
    </row>
    <row r="34" spans="1:11" x14ac:dyDescent="0.2">
      <c r="A34" s="1"/>
      <c r="H34" s="9"/>
      <c r="I34" s="11"/>
      <c r="J34" s="11"/>
      <c r="K34" s="11"/>
    </row>
    <row r="35" spans="1:11" x14ac:dyDescent="0.2">
      <c r="A35" s="1"/>
      <c r="H35" s="9"/>
      <c r="I35" s="11"/>
      <c r="J35" s="11"/>
      <c r="K35" s="11"/>
    </row>
    <row r="36" spans="1:11" x14ac:dyDescent="0.2">
      <c r="A36" s="1"/>
      <c r="H36" s="9"/>
      <c r="I36" s="11"/>
      <c r="J36" s="11"/>
      <c r="K36" s="11"/>
    </row>
    <row r="37" spans="1:11" x14ac:dyDescent="0.2">
      <c r="A37" s="1"/>
      <c r="H37" s="9"/>
      <c r="I37" s="11"/>
      <c r="J37" s="11"/>
      <c r="K37" s="11"/>
    </row>
    <row r="38" spans="1:11" x14ac:dyDescent="0.2">
      <c r="A38" s="1"/>
      <c r="H38" s="9"/>
      <c r="I38" s="11"/>
      <c r="J38" s="11"/>
      <c r="K38" s="11"/>
    </row>
    <row r="39" spans="1:11" x14ac:dyDescent="0.2">
      <c r="A39" s="1"/>
      <c r="H39" s="9"/>
      <c r="I39" s="11"/>
      <c r="J39" s="11"/>
      <c r="K39" s="11"/>
    </row>
    <row r="40" spans="1:11" x14ac:dyDescent="0.2">
      <c r="A40" s="1"/>
      <c r="H40" s="9"/>
      <c r="I40" s="11"/>
      <c r="J40" s="11"/>
      <c r="K40" s="11"/>
    </row>
    <row r="41" spans="1:11" x14ac:dyDescent="0.2">
      <c r="A41" s="1"/>
      <c r="H41" s="9"/>
      <c r="I41" s="11"/>
      <c r="J41" s="11"/>
      <c r="K41" s="11"/>
    </row>
    <row r="42" spans="1:11" x14ac:dyDescent="0.2">
      <c r="A42" s="1"/>
      <c r="H42" s="9"/>
      <c r="I42" s="11"/>
      <c r="J42" s="11"/>
      <c r="K42" s="11"/>
    </row>
    <row r="43" spans="1:11" x14ac:dyDescent="0.2">
      <c r="A43" s="1"/>
      <c r="H43" s="9"/>
      <c r="I43" s="11"/>
      <c r="J43" s="11"/>
      <c r="K43" s="11"/>
    </row>
    <row r="44" spans="1:11" x14ac:dyDescent="0.2">
      <c r="A44" s="1"/>
      <c r="H44" s="9"/>
      <c r="I44" s="11"/>
      <c r="J44" s="11"/>
      <c r="K44" s="11"/>
    </row>
    <row r="45" spans="1:11" x14ac:dyDescent="0.2">
      <c r="A45" s="1"/>
      <c r="H45" s="9"/>
      <c r="I45" s="11"/>
      <c r="J45" s="11"/>
      <c r="K45" s="11"/>
    </row>
    <row r="46" spans="1:11" x14ac:dyDescent="0.2">
      <c r="A46" s="1"/>
      <c r="H46" s="9"/>
      <c r="I46" s="11"/>
      <c r="J46" s="11"/>
      <c r="K46" s="11"/>
    </row>
    <row r="47" spans="1:11" x14ac:dyDescent="0.2">
      <c r="A47" s="1"/>
      <c r="H47" s="9"/>
      <c r="I47" s="11"/>
      <c r="J47" s="11"/>
      <c r="K47" s="11"/>
    </row>
    <row r="48" spans="1:11" x14ac:dyDescent="0.2">
      <c r="A48" s="1"/>
      <c r="H48" s="9"/>
      <c r="I48" s="11"/>
      <c r="J48" s="11"/>
      <c r="K48" s="11"/>
    </row>
    <row r="49" spans="1:11" x14ac:dyDescent="0.2">
      <c r="A49" s="1"/>
      <c r="H49" s="9"/>
      <c r="I49" s="11"/>
      <c r="J49" s="11"/>
      <c r="K49" s="11"/>
    </row>
    <row r="50" spans="1:11" x14ac:dyDescent="0.2">
      <c r="A50" s="1"/>
      <c r="H50" s="9"/>
      <c r="I50" s="11"/>
      <c r="J50" s="11"/>
      <c r="K50" s="11"/>
    </row>
    <row r="51" spans="1:11" x14ac:dyDescent="0.2">
      <c r="A51" s="1"/>
      <c r="H51" s="9"/>
      <c r="I51" s="11"/>
      <c r="J51" s="11"/>
      <c r="K51" s="11"/>
    </row>
    <row r="52" spans="1:11" x14ac:dyDescent="0.2">
      <c r="A52" s="1"/>
      <c r="H52" s="9"/>
      <c r="I52" s="11"/>
      <c r="J52" s="11"/>
      <c r="K52" s="11"/>
    </row>
    <row r="53" spans="1:11" x14ac:dyDescent="0.2">
      <c r="A53" s="1"/>
      <c r="H53" s="9"/>
      <c r="I53" s="11"/>
      <c r="J53" s="11"/>
      <c r="K53" s="11"/>
    </row>
    <row r="54" spans="1:11" x14ac:dyDescent="0.2">
      <c r="A54" s="1"/>
      <c r="H54" s="9"/>
      <c r="I54" s="11"/>
      <c r="J54" s="11"/>
      <c r="K54" s="11"/>
    </row>
    <row r="55" spans="1:11" x14ac:dyDescent="0.2">
      <c r="A55" s="1"/>
      <c r="H55" s="9"/>
      <c r="I55" s="11"/>
      <c r="J55" s="11"/>
      <c r="K55" s="11"/>
    </row>
    <row r="56" spans="1:11" x14ac:dyDescent="0.2">
      <c r="A56" s="1"/>
      <c r="H56" s="9"/>
      <c r="I56" s="11"/>
      <c r="J56" s="11"/>
      <c r="K56" s="11"/>
    </row>
    <row r="57" spans="1:11" x14ac:dyDescent="0.2">
      <c r="A57" s="1"/>
      <c r="H57" s="9"/>
      <c r="I57" s="11"/>
      <c r="J57" s="11"/>
      <c r="K57" s="11"/>
    </row>
    <row r="58" spans="1:11" x14ac:dyDescent="0.2">
      <c r="A58" s="1"/>
      <c r="H58" s="9"/>
      <c r="I58" s="11"/>
      <c r="J58" s="11"/>
      <c r="K58" s="11"/>
    </row>
    <row r="59" spans="1:11" x14ac:dyDescent="0.2">
      <c r="A59" s="1"/>
      <c r="H59" s="9"/>
      <c r="I59" s="11"/>
      <c r="J59" s="11"/>
      <c r="K59" s="11"/>
    </row>
    <row r="60" spans="1:11" x14ac:dyDescent="0.2">
      <c r="A60" s="1"/>
      <c r="H60" s="9"/>
      <c r="I60" s="11"/>
      <c r="J60" s="11"/>
      <c r="K60" s="11"/>
    </row>
    <row r="61" spans="1:11" x14ac:dyDescent="0.2">
      <c r="A61" s="1"/>
      <c r="H61" s="9"/>
      <c r="I61" s="11"/>
      <c r="J61" s="11"/>
      <c r="K61" s="11"/>
    </row>
    <row r="62" spans="1:11" x14ac:dyDescent="0.2">
      <c r="A62" s="1"/>
      <c r="H62" s="9"/>
      <c r="I62" s="11"/>
      <c r="J62" s="11"/>
      <c r="K62" s="11"/>
    </row>
    <row r="63" spans="1:11" x14ac:dyDescent="0.2">
      <c r="A63" s="1"/>
      <c r="H63" s="9"/>
      <c r="I63" s="11"/>
      <c r="J63" s="11"/>
      <c r="K63" s="11"/>
    </row>
    <row r="64" spans="1:11" x14ac:dyDescent="0.2">
      <c r="A64" s="1"/>
      <c r="H64" s="9"/>
      <c r="I64" s="11"/>
      <c r="J64" s="11"/>
      <c r="K64" s="11"/>
    </row>
    <row r="65" spans="1:11" x14ac:dyDescent="0.2">
      <c r="A65" s="1"/>
      <c r="H65" s="9"/>
      <c r="I65" s="11"/>
      <c r="J65" s="11"/>
      <c r="K65" s="11"/>
    </row>
    <row r="66" spans="1:11" x14ac:dyDescent="0.2">
      <c r="A66" s="1"/>
      <c r="H66" s="9"/>
      <c r="I66" s="11"/>
      <c r="J66" s="11"/>
      <c r="K66" s="11"/>
    </row>
    <row r="67" spans="1:11" x14ac:dyDescent="0.2">
      <c r="A67" s="1"/>
      <c r="H67" s="9"/>
      <c r="I67" s="11"/>
      <c r="J67" s="11"/>
      <c r="K67" s="11"/>
    </row>
    <row r="68" spans="1:11" x14ac:dyDescent="0.2">
      <c r="A68" s="1"/>
      <c r="H68" s="9"/>
      <c r="I68" s="11"/>
      <c r="J68" s="11"/>
      <c r="K68" s="11"/>
    </row>
    <row r="69" spans="1:11" x14ac:dyDescent="0.2">
      <c r="A69" s="1"/>
      <c r="H69" s="9"/>
      <c r="I69" s="11"/>
      <c r="J69" s="11"/>
      <c r="K69" s="11"/>
    </row>
    <row r="70" spans="1:11" x14ac:dyDescent="0.2">
      <c r="A70" s="1"/>
      <c r="H70" s="9"/>
      <c r="I70" s="11"/>
      <c r="J70" s="11"/>
      <c r="K70" s="11"/>
    </row>
    <row r="71" spans="1:11" x14ac:dyDescent="0.2">
      <c r="A71" s="1"/>
      <c r="H71" s="9"/>
      <c r="I71" s="11"/>
      <c r="J71" s="11"/>
      <c r="K71" s="11"/>
    </row>
    <row r="72" spans="1:11" x14ac:dyDescent="0.2">
      <c r="A72" s="1"/>
      <c r="H72" s="9"/>
      <c r="I72" s="11"/>
      <c r="J72" s="11"/>
      <c r="K72" s="11"/>
    </row>
    <row r="73" spans="1:11" x14ac:dyDescent="0.2">
      <c r="A73" s="1"/>
      <c r="H73" s="9"/>
      <c r="I73" s="11"/>
      <c r="J73" s="11"/>
      <c r="K73" s="11"/>
    </row>
    <row r="74" spans="1:11" x14ac:dyDescent="0.2">
      <c r="A74" s="1"/>
      <c r="H74" s="9"/>
      <c r="I74" s="11"/>
      <c r="J74" s="11"/>
      <c r="K74" s="11"/>
    </row>
    <row r="75" spans="1:11" x14ac:dyDescent="0.2">
      <c r="A75" s="1"/>
      <c r="H75" s="9"/>
      <c r="I75" s="11"/>
      <c r="J75" s="11"/>
      <c r="K75" s="11"/>
    </row>
    <row r="76" spans="1:11" x14ac:dyDescent="0.2">
      <c r="A76" s="1"/>
      <c r="H76" s="9"/>
      <c r="I76" s="11"/>
      <c r="J76" s="11"/>
      <c r="K76" s="11"/>
    </row>
    <row r="77" spans="1:11" x14ac:dyDescent="0.2">
      <c r="A77" s="1"/>
      <c r="H77" s="9"/>
      <c r="I77" s="11"/>
      <c r="J77" s="11"/>
      <c r="K77" s="11"/>
    </row>
    <row r="78" spans="1:11" x14ac:dyDescent="0.2">
      <c r="A78" s="1"/>
      <c r="H78" s="9"/>
      <c r="I78" s="11"/>
      <c r="J78" s="11"/>
      <c r="K78" s="11"/>
    </row>
    <row r="79" spans="1:11" x14ac:dyDescent="0.2">
      <c r="A79" s="1"/>
      <c r="H79" s="9"/>
      <c r="I79" s="11"/>
      <c r="J79" s="11"/>
      <c r="K79" s="11"/>
    </row>
    <row r="80" spans="1:11" x14ac:dyDescent="0.2">
      <c r="A80" s="1"/>
      <c r="H80" s="9"/>
      <c r="I80" s="11"/>
      <c r="J80" s="11"/>
      <c r="K80" s="11"/>
    </row>
    <row r="81" spans="1:11" x14ac:dyDescent="0.2">
      <c r="A81" s="1"/>
      <c r="H81" s="9"/>
      <c r="I81" s="11"/>
      <c r="J81" s="11"/>
      <c r="K81" s="11"/>
    </row>
    <row r="82" spans="1:11" x14ac:dyDescent="0.2">
      <c r="A82" s="1"/>
      <c r="H82" s="9"/>
      <c r="I82" s="11"/>
      <c r="J82" s="11"/>
      <c r="K82" s="11"/>
    </row>
    <row r="83" spans="1:11" x14ac:dyDescent="0.2">
      <c r="A83" s="1"/>
      <c r="H83" s="9"/>
      <c r="I83" s="11"/>
      <c r="J83" s="11"/>
      <c r="K83" s="11"/>
    </row>
    <row r="84" spans="1:11" x14ac:dyDescent="0.2">
      <c r="A84" s="1"/>
      <c r="H84" s="9"/>
      <c r="I84" s="11"/>
      <c r="J84" s="11"/>
      <c r="K84" s="11"/>
    </row>
    <row r="85" spans="1:11" x14ac:dyDescent="0.2">
      <c r="A85" s="1"/>
      <c r="H85" s="9"/>
      <c r="I85" s="11"/>
      <c r="J85" s="11"/>
      <c r="K85" s="11"/>
    </row>
    <row r="86" spans="1:11" x14ac:dyDescent="0.2">
      <c r="A86" s="1"/>
      <c r="H86" s="9"/>
      <c r="I86" s="11"/>
      <c r="J86" s="11"/>
      <c r="K86" s="11"/>
    </row>
    <row r="87" spans="1:11" x14ac:dyDescent="0.2">
      <c r="A87" s="1"/>
      <c r="H87" s="9"/>
      <c r="I87" s="11"/>
      <c r="J87" s="11"/>
      <c r="K87" s="11"/>
    </row>
    <row r="88" spans="1:11" x14ac:dyDescent="0.2">
      <c r="A88" s="1"/>
      <c r="H88" s="9"/>
      <c r="I88" s="11"/>
      <c r="J88" s="11"/>
      <c r="K88" s="11"/>
    </row>
    <row r="89" spans="1:11" x14ac:dyDescent="0.2">
      <c r="A89" s="1"/>
      <c r="E89"/>
      <c r="H89" s="9"/>
      <c r="I89" s="11"/>
      <c r="J89" s="11"/>
      <c r="K89" s="11"/>
    </row>
    <row r="90" spans="1:11" x14ac:dyDescent="0.2">
      <c r="A90" s="1"/>
      <c r="H90" s="9"/>
      <c r="I90" s="11"/>
      <c r="J90" s="11"/>
      <c r="K90" s="11"/>
    </row>
    <row r="91" spans="1:11" x14ac:dyDescent="0.2">
      <c r="A91" s="1"/>
      <c r="H91" s="9"/>
      <c r="I91" s="11"/>
      <c r="J91" s="11"/>
      <c r="K91" s="11"/>
    </row>
    <row r="92" spans="1:11" x14ac:dyDescent="0.2">
      <c r="A92" s="1"/>
      <c r="H92" s="9"/>
      <c r="I92" s="11"/>
      <c r="J92" s="11"/>
      <c r="K92" s="11"/>
    </row>
    <row r="93" spans="1:11" x14ac:dyDescent="0.2">
      <c r="A93" s="1"/>
      <c r="H93" s="9"/>
      <c r="I93" s="11"/>
      <c r="J93" s="11"/>
      <c r="K93" s="11"/>
    </row>
    <row r="94" spans="1:11" x14ac:dyDescent="0.2">
      <c r="A94" s="1"/>
      <c r="F94"/>
      <c r="H94" s="9"/>
      <c r="I94" s="11"/>
      <c r="J94" s="11"/>
      <c r="K94" s="11"/>
    </row>
    <row r="95" spans="1:11" x14ac:dyDescent="0.2">
      <c r="A95" s="1"/>
      <c r="H95" s="9"/>
      <c r="I95" s="11"/>
      <c r="J95" s="11"/>
      <c r="K95" s="11"/>
    </row>
    <row r="96" spans="1:11" x14ac:dyDescent="0.2">
      <c r="A96" s="1"/>
      <c r="H96" s="9"/>
      <c r="I96" s="11"/>
      <c r="J96" s="11"/>
      <c r="K96" s="11"/>
    </row>
    <row r="97" spans="1:11" x14ac:dyDescent="0.2">
      <c r="A97" s="1"/>
      <c r="H97" s="9"/>
      <c r="I97" s="11"/>
      <c r="J97" s="11"/>
      <c r="K97" s="11"/>
    </row>
    <row r="98" spans="1:11" x14ac:dyDescent="0.2">
      <c r="A98" s="1"/>
      <c r="H98" s="9"/>
      <c r="I98" s="11"/>
      <c r="J98" s="11"/>
      <c r="K98" s="11"/>
    </row>
    <row r="99" spans="1:11" x14ac:dyDescent="0.2">
      <c r="A99" s="1"/>
      <c r="H99" s="9"/>
      <c r="I99" s="11"/>
      <c r="J99" s="11"/>
      <c r="K99" s="11"/>
    </row>
    <row r="100" spans="1:11" x14ac:dyDescent="0.2">
      <c r="A100" s="1"/>
      <c r="H100" s="9"/>
      <c r="I100" s="11"/>
      <c r="J100" s="11"/>
      <c r="K100" s="11"/>
    </row>
    <row r="101" spans="1:11" x14ac:dyDescent="0.2">
      <c r="A101" s="1"/>
      <c r="H101" s="9"/>
      <c r="I101" s="11"/>
      <c r="J101" s="11"/>
      <c r="K101" s="11"/>
    </row>
    <row r="102" spans="1:11" x14ac:dyDescent="0.2">
      <c r="A102" s="1"/>
      <c r="H102" s="9"/>
      <c r="I102" s="11"/>
      <c r="J102" s="11"/>
      <c r="K102" s="11"/>
    </row>
    <row r="103" spans="1:11" x14ac:dyDescent="0.2">
      <c r="A103" s="1"/>
      <c r="H103" s="9"/>
      <c r="I103" s="11"/>
      <c r="J103" s="11"/>
      <c r="K103" s="11"/>
    </row>
    <row r="104" spans="1:11" x14ac:dyDescent="0.2">
      <c r="A104" s="1"/>
      <c r="H104" s="9"/>
      <c r="I104" s="11"/>
      <c r="J104" s="11"/>
      <c r="K104" s="11"/>
    </row>
    <row r="105" spans="1:11" x14ac:dyDescent="0.2">
      <c r="A105" s="1"/>
      <c r="H105" s="9"/>
      <c r="I105" s="11"/>
      <c r="J105" s="11"/>
      <c r="K105" s="11"/>
    </row>
    <row r="106" spans="1:11" x14ac:dyDescent="0.2">
      <c r="A106" s="1"/>
      <c r="H106" s="9"/>
      <c r="I106" s="11"/>
      <c r="J106" s="11"/>
      <c r="K106" s="11"/>
    </row>
    <row r="107" spans="1:11" x14ac:dyDescent="0.2">
      <c r="A107" s="1"/>
      <c r="H107" s="9"/>
      <c r="I107" s="11"/>
      <c r="J107" s="11"/>
      <c r="K107" s="11"/>
    </row>
    <row r="108" spans="1:11" x14ac:dyDescent="0.2">
      <c r="A108" s="1"/>
      <c r="H108" s="9"/>
      <c r="I108" s="11"/>
      <c r="J108" s="11"/>
      <c r="K108" s="11"/>
    </row>
    <row r="109" spans="1:11" x14ac:dyDescent="0.2">
      <c r="A109" s="1"/>
      <c r="H109" s="9"/>
      <c r="I109" s="11"/>
      <c r="J109" s="11"/>
      <c r="K109" s="11"/>
    </row>
    <row r="110" spans="1:11" x14ac:dyDescent="0.2">
      <c r="A110" s="1"/>
      <c r="H110" s="9"/>
      <c r="I110" s="11"/>
      <c r="J110" s="11"/>
      <c r="K110" s="11"/>
    </row>
    <row r="111" spans="1:11" x14ac:dyDescent="0.2">
      <c r="A111" s="1"/>
      <c r="H111" s="9"/>
      <c r="I111" s="11"/>
      <c r="J111" s="11"/>
      <c r="K111" s="11"/>
    </row>
    <row r="112" spans="1:11" x14ac:dyDescent="0.2">
      <c r="A112" s="1"/>
      <c r="H112" s="9"/>
      <c r="I112" s="11"/>
      <c r="J112" s="11"/>
      <c r="K112" s="11"/>
    </row>
    <row r="113" spans="1:11" x14ac:dyDescent="0.2">
      <c r="A113" s="1"/>
      <c r="H113" s="9"/>
      <c r="I113" s="11"/>
      <c r="J113" s="11"/>
      <c r="K113" s="11"/>
    </row>
    <row r="114" spans="1:11" x14ac:dyDescent="0.2">
      <c r="A114" s="1"/>
      <c r="H114" s="9"/>
      <c r="I114" s="11"/>
      <c r="J114" s="11"/>
      <c r="K114" s="11"/>
    </row>
    <row r="115" spans="1:11" x14ac:dyDescent="0.2">
      <c r="A115" s="1"/>
      <c r="H115" s="9"/>
      <c r="I115" s="11"/>
      <c r="J115" s="11"/>
      <c r="K115" s="11"/>
    </row>
    <row r="116" spans="1:11" x14ac:dyDescent="0.2">
      <c r="A116" s="1"/>
      <c r="H116" s="9"/>
      <c r="I116" s="11"/>
      <c r="J116" s="11"/>
      <c r="K116" s="11"/>
    </row>
    <row r="117" spans="1:11" x14ac:dyDescent="0.2">
      <c r="A117" s="1"/>
      <c r="H117" s="9"/>
      <c r="I117" s="11"/>
      <c r="J117" s="11"/>
      <c r="K117" s="11"/>
    </row>
    <row r="118" spans="1:11" x14ac:dyDescent="0.2">
      <c r="A118" s="1"/>
      <c r="H118" s="9"/>
      <c r="I118" s="11"/>
      <c r="J118" s="11"/>
      <c r="K118" s="11"/>
    </row>
    <row r="119" spans="1:11" x14ac:dyDescent="0.2">
      <c r="A119" s="1"/>
      <c r="H119" s="9"/>
      <c r="I119" s="11"/>
      <c r="J119" s="11"/>
      <c r="K119" s="11"/>
    </row>
    <row r="120" spans="1:11" x14ac:dyDescent="0.2">
      <c r="A120" s="1"/>
      <c r="H120" s="9"/>
      <c r="I120" s="11"/>
      <c r="J120" s="11"/>
      <c r="K120" s="11"/>
    </row>
    <row r="121" spans="1:11" x14ac:dyDescent="0.2">
      <c r="A121" s="1"/>
      <c r="H121" s="9"/>
      <c r="I121" s="11"/>
      <c r="J121" s="11"/>
      <c r="K121" s="11"/>
    </row>
    <row r="122" spans="1:11" x14ac:dyDescent="0.2">
      <c r="A122" s="1"/>
      <c r="H122" s="9"/>
      <c r="I122" s="11"/>
      <c r="J122" s="11"/>
      <c r="K122" s="11"/>
    </row>
    <row r="123" spans="1:11" x14ac:dyDescent="0.2">
      <c r="A123" s="1"/>
      <c r="H123" s="9"/>
      <c r="I123" s="11"/>
      <c r="J123" s="11"/>
      <c r="K123" s="11"/>
    </row>
    <row r="124" spans="1:11" x14ac:dyDescent="0.2">
      <c r="A124" s="1"/>
      <c r="H124" s="9"/>
      <c r="I124" s="11"/>
      <c r="J124" s="11"/>
      <c r="K124" s="11"/>
    </row>
    <row r="125" spans="1:11" x14ac:dyDescent="0.2">
      <c r="A125" s="1"/>
      <c r="H125" s="9"/>
      <c r="I125" s="11"/>
      <c r="J125" s="11"/>
      <c r="K125" s="11"/>
    </row>
    <row r="126" spans="1:11" x14ac:dyDescent="0.2">
      <c r="A126" s="1"/>
      <c r="H126" s="9"/>
      <c r="I126" s="11"/>
      <c r="J126" s="11"/>
      <c r="K126" s="11"/>
    </row>
    <row r="127" spans="1:11" x14ac:dyDescent="0.2">
      <c r="A127" s="1"/>
      <c r="H127" s="9"/>
      <c r="I127" s="11"/>
      <c r="J127" s="11"/>
      <c r="K127" s="11"/>
    </row>
    <row r="128" spans="1:11" x14ac:dyDescent="0.2">
      <c r="A128" s="1"/>
      <c r="H128" s="9"/>
      <c r="I128" s="11"/>
      <c r="J128" s="11"/>
      <c r="K128" s="11"/>
    </row>
    <row r="129" spans="1:11" x14ac:dyDescent="0.2">
      <c r="A129" s="1"/>
      <c r="H129" s="9"/>
      <c r="I129" s="11"/>
      <c r="J129" s="11"/>
      <c r="K129" s="11"/>
    </row>
    <row r="130" spans="1:11" x14ac:dyDescent="0.2">
      <c r="A130" s="1"/>
      <c r="H130" s="9"/>
      <c r="I130" s="11"/>
      <c r="J130" s="11"/>
      <c r="K130" s="11"/>
    </row>
    <row r="131" spans="1:11" x14ac:dyDescent="0.2">
      <c r="A131" s="1"/>
      <c r="H131" s="9"/>
      <c r="I131" s="11"/>
      <c r="J131" s="11"/>
      <c r="K131" s="11"/>
    </row>
    <row r="132" spans="1:11" x14ac:dyDescent="0.2">
      <c r="A132" s="1"/>
      <c r="H132" s="9"/>
      <c r="I132" s="11"/>
      <c r="J132" s="11"/>
      <c r="K132" s="11"/>
    </row>
    <row r="133" spans="1:11" x14ac:dyDescent="0.2">
      <c r="A133" s="1"/>
      <c r="H133" s="9"/>
      <c r="I133" s="11"/>
      <c r="J133" s="11"/>
      <c r="K133" s="11"/>
    </row>
    <row r="134" spans="1:11" x14ac:dyDescent="0.2">
      <c r="A134" s="1"/>
      <c r="H134" s="9"/>
      <c r="I134" s="11"/>
      <c r="J134" s="11"/>
      <c r="K134" s="11"/>
    </row>
    <row r="135" spans="1:11" x14ac:dyDescent="0.2">
      <c r="A135" s="1"/>
      <c r="H135" s="9"/>
      <c r="I135" s="11"/>
      <c r="J135" s="11"/>
      <c r="K135" s="11"/>
    </row>
    <row r="136" spans="1:11" x14ac:dyDescent="0.2">
      <c r="A136" s="1"/>
      <c r="H136" s="9"/>
      <c r="I136" s="11"/>
      <c r="J136" s="11"/>
      <c r="K136" s="11"/>
    </row>
    <row r="137" spans="1:11" x14ac:dyDescent="0.2">
      <c r="A137" s="1"/>
      <c r="H137" s="9"/>
      <c r="I137" s="11"/>
      <c r="J137" s="11"/>
      <c r="K137" s="11"/>
    </row>
    <row r="138" spans="1:11" x14ac:dyDescent="0.2">
      <c r="A138" s="1"/>
      <c r="H138" s="9"/>
      <c r="I138" s="11"/>
      <c r="J138" s="11"/>
      <c r="K138" s="11"/>
    </row>
    <row r="139" spans="1:11" x14ac:dyDescent="0.2">
      <c r="A139" s="1"/>
      <c r="H139" s="9"/>
      <c r="I139" s="11"/>
      <c r="J139" s="11"/>
      <c r="K139" s="11"/>
    </row>
    <row r="140" spans="1:11" x14ac:dyDescent="0.2">
      <c r="A140" s="1"/>
      <c r="H140" s="9"/>
      <c r="I140" s="11"/>
      <c r="J140" s="11"/>
      <c r="K140" s="11"/>
    </row>
    <row r="141" spans="1:11" x14ac:dyDescent="0.2">
      <c r="A141" s="1"/>
      <c r="H141" s="9"/>
      <c r="I141" s="11"/>
      <c r="J141" s="11"/>
      <c r="K141" s="11"/>
    </row>
    <row r="142" spans="1:11" x14ac:dyDescent="0.2">
      <c r="A142" s="1"/>
      <c r="H142" s="9"/>
      <c r="I142" s="11"/>
      <c r="J142" s="11"/>
      <c r="K142" s="11"/>
    </row>
    <row r="143" spans="1:11" x14ac:dyDescent="0.2">
      <c r="A143" s="1"/>
      <c r="H143" s="9"/>
      <c r="I143" s="11"/>
      <c r="J143" s="11"/>
      <c r="K143" s="11"/>
    </row>
    <row r="144" spans="1:11" x14ac:dyDescent="0.2">
      <c r="A144" s="1"/>
      <c r="H144" s="9"/>
      <c r="I144" s="11"/>
      <c r="J144" s="11"/>
      <c r="K144" s="11"/>
    </row>
    <row r="145" spans="1:11" x14ac:dyDescent="0.2">
      <c r="A145" s="1"/>
      <c r="H145" s="9"/>
      <c r="I145" s="11"/>
      <c r="J145" s="11"/>
      <c r="K145" s="11"/>
    </row>
    <row r="146" spans="1:11" x14ac:dyDescent="0.2">
      <c r="A146" s="1"/>
      <c r="H146" s="9"/>
      <c r="I146" s="11"/>
      <c r="J146" s="11"/>
      <c r="K146" s="11"/>
    </row>
    <row r="147" spans="1:11" x14ac:dyDescent="0.2">
      <c r="A147" s="1"/>
      <c r="H147" s="9"/>
      <c r="I147" s="11"/>
      <c r="J147" s="11"/>
      <c r="K147" s="11"/>
    </row>
    <row r="148" spans="1:11" x14ac:dyDescent="0.2">
      <c r="A148" s="1"/>
      <c r="H148" s="9"/>
      <c r="I148" s="11"/>
      <c r="J148" s="11"/>
      <c r="K148" s="11"/>
    </row>
    <row r="149" spans="1:11" x14ac:dyDescent="0.2">
      <c r="A149" s="1"/>
      <c r="H149" s="9"/>
      <c r="I149" s="11"/>
      <c r="J149" s="11"/>
      <c r="K149" s="11"/>
    </row>
    <row r="150" spans="1:11" x14ac:dyDescent="0.2">
      <c r="A150" s="1"/>
      <c r="H150" s="9"/>
      <c r="I150" s="11"/>
      <c r="J150" s="11"/>
      <c r="K150" s="11"/>
    </row>
    <row r="151" spans="1:11" x14ac:dyDescent="0.2">
      <c r="A151" s="1"/>
      <c r="H151" s="9"/>
      <c r="I151" s="11"/>
      <c r="J151" s="11"/>
      <c r="K151" s="11"/>
    </row>
    <row r="152" spans="1:11" x14ac:dyDescent="0.2">
      <c r="A152" s="1"/>
      <c r="H152" s="9"/>
      <c r="I152" s="11"/>
      <c r="J152" s="11"/>
      <c r="K152" s="11"/>
    </row>
    <row r="153" spans="1:11" x14ac:dyDescent="0.2">
      <c r="A153" s="1"/>
      <c r="H153" s="9"/>
      <c r="I153" s="11"/>
      <c r="J153" s="11"/>
      <c r="K153" s="11"/>
    </row>
  </sheetData>
  <autoFilter ref="A1:G153" xr:uid="{3781161B-E3B8-6A41-B5B5-EF88E67723E0}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01955-9146-BF40-824B-697092129331}">
  <sheetPr codeName="Sheet27">
    <tabColor theme="9"/>
  </sheetPr>
  <dimension ref="A1:I12"/>
  <sheetViews>
    <sheetView workbookViewId="0">
      <selection activeCell="D26" sqref="D26"/>
    </sheetView>
  </sheetViews>
  <sheetFormatPr baseColWidth="10" defaultRowHeight="16" x14ac:dyDescent="0.2"/>
  <cols>
    <col min="1" max="1" width="22.1640625" bestFit="1" customWidth="1"/>
  </cols>
  <sheetData>
    <row r="1" spans="1:9" s="6" customFormat="1" x14ac:dyDescent="0.2">
      <c r="A1" s="6" t="s">
        <v>781</v>
      </c>
      <c r="B1" s="6" t="s">
        <v>2129</v>
      </c>
      <c r="C1" s="6" t="s">
        <v>2120</v>
      </c>
      <c r="D1" s="6" t="s">
        <v>777</v>
      </c>
      <c r="E1" s="6" t="s">
        <v>778</v>
      </c>
      <c r="F1" s="6" t="s">
        <v>779</v>
      </c>
      <c r="G1" s="6" t="s">
        <v>780</v>
      </c>
      <c r="H1" s="6" t="s">
        <v>2127</v>
      </c>
      <c r="I1" s="6" t="s">
        <v>2121</v>
      </c>
    </row>
    <row r="2" spans="1:9" x14ac:dyDescent="0.2">
      <c r="A2" t="s">
        <v>1460</v>
      </c>
      <c r="B2" t="s">
        <v>3078</v>
      </c>
      <c r="C2">
        <v>1</v>
      </c>
      <c r="D2" t="s">
        <v>785</v>
      </c>
      <c r="E2">
        <v>-254</v>
      </c>
      <c r="F2">
        <v>102</v>
      </c>
      <c r="G2">
        <v>18</v>
      </c>
      <c r="I2" t="str">
        <f>"{ name: "&amp;CHAR(34)&amp;A2&amp;CHAR(34)&amp;", landmark: "&amp;CHAR(34)&amp;"Village"&amp;CHAR(34)&amp;", type: "&amp;CHAR(34)&amp;B2&amp;CHAR(34)&amp;", region: "&amp;C2&amp;", level: "&amp;CHAR(34)&amp;D2&amp;CHAR(34)&amp;", x: "&amp;E2&amp;", y: "&amp;F2&amp;", z: "&amp;G2&amp;", details: "&amp;CHAR(34)&amp;H2&amp;CHAR(34)&amp;" },"</f>
        <v>{ name: "Lookout Landing", landmark: "Village", type: "Village", region: 1, level: "Surface", x: -254, y: 102, z: 18, details: "" },</v>
      </c>
    </row>
    <row r="3" spans="1:9" x14ac:dyDescent="0.2">
      <c r="A3" t="s">
        <v>847</v>
      </c>
      <c r="B3" t="s">
        <v>3078</v>
      </c>
      <c r="C3">
        <v>4</v>
      </c>
      <c r="D3" t="s">
        <v>785</v>
      </c>
      <c r="E3">
        <v>-3621</v>
      </c>
      <c r="F3">
        <v>1800</v>
      </c>
      <c r="G3">
        <v>103</v>
      </c>
      <c r="I3" t="s">
        <v>3084</v>
      </c>
    </row>
    <row r="4" spans="1:9" x14ac:dyDescent="0.2">
      <c r="A4" t="s">
        <v>1417</v>
      </c>
      <c r="B4" t="s">
        <v>3078</v>
      </c>
      <c r="C4">
        <v>6</v>
      </c>
      <c r="D4" t="s">
        <v>785</v>
      </c>
      <c r="E4">
        <v>419</v>
      </c>
      <c r="F4">
        <v>2140</v>
      </c>
      <c r="G4">
        <v>-106</v>
      </c>
      <c r="I4" t="s">
        <v>3085</v>
      </c>
    </row>
    <row r="5" spans="1:9" x14ac:dyDescent="0.2">
      <c r="A5" t="s">
        <v>1319</v>
      </c>
      <c r="B5" t="s">
        <v>3078</v>
      </c>
      <c r="C5">
        <v>7</v>
      </c>
      <c r="D5" t="s">
        <v>785</v>
      </c>
      <c r="E5">
        <v>1657</v>
      </c>
      <c r="F5">
        <v>2440</v>
      </c>
      <c r="G5">
        <v>340</v>
      </c>
      <c r="I5" t="s">
        <v>3086</v>
      </c>
    </row>
    <row r="6" spans="1:9" x14ac:dyDescent="0.2">
      <c r="A6" t="s">
        <v>1695</v>
      </c>
      <c r="B6" t="s">
        <v>3078</v>
      </c>
      <c r="C6">
        <v>8</v>
      </c>
      <c r="D6" t="s">
        <v>785</v>
      </c>
      <c r="E6">
        <v>3966</v>
      </c>
      <c r="F6">
        <v>1611</v>
      </c>
      <c r="G6">
        <v>128</v>
      </c>
      <c r="I6" t="s">
        <v>3087</v>
      </c>
    </row>
    <row r="7" spans="1:9" x14ac:dyDescent="0.2">
      <c r="A7" t="s">
        <v>1768</v>
      </c>
      <c r="B7" t="s">
        <v>3078</v>
      </c>
      <c r="C7">
        <v>9</v>
      </c>
      <c r="D7" t="s">
        <v>785</v>
      </c>
      <c r="E7">
        <v>3331</v>
      </c>
      <c r="F7">
        <v>533</v>
      </c>
      <c r="G7">
        <v>137</v>
      </c>
      <c r="I7" t="s">
        <v>3088</v>
      </c>
    </row>
    <row r="8" spans="1:9" x14ac:dyDescent="0.2">
      <c r="A8" t="s">
        <v>1009</v>
      </c>
      <c r="B8" t="s">
        <v>3078</v>
      </c>
      <c r="C8">
        <v>10</v>
      </c>
      <c r="D8" t="s">
        <v>785</v>
      </c>
      <c r="E8">
        <v>1865</v>
      </c>
      <c r="F8">
        <v>-999</v>
      </c>
      <c r="G8">
        <v>115</v>
      </c>
      <c r="I8" t="s">
        <v>3089</v>
      </c>
    </row>
    <row r="9" spans="1:9" x14ac:dyDescent="0.2">
      <c r="A9" t="s">
        <v>1346</v>
      </c>
      <c r="B9" t="s">
        <v>3078</v>
      </c>
      <c r="C9">
        <v>11</v>
      </c>
      <c r="D9" t="s">
        <v>785</v>
      </c>
      <c r="E9">
        <v>3384</v>
      </c>
      <c r="F9">
        <v>-2139</v>
      </c>
      <c r="G9">
        <v>232</v>
      </c>
      <c r="I9" t="s">
        <v>3090</v>
      </c>
    </row>
    <row r="10" spans="1:9" x14ac:dyDescent="0.2">
      <c r="A10" t="s">
        <v>1468</v>
      </c>
      <c r="B10" t="s">
        <v>3078</v>
      </c>
      <c r="C10">
        <v>12</v>
      </c>
      <c r="D10" t="s">
        <v>785</v>
      </c>
      <c r="E10">
        <v>2884</v>
      </c>
      <c r="F10">
        <v>-3432</v>
      </c>
      <c r="G10">
        <v>60</v>
      </c>
      <c r="I10" t="s">
        <v>3091</v>
      </c>
    </row>
    <row r="11" spans="1:9" x14ac:dyDescent="0.2">
      <c r="A11" t="s">
        <v>1301</v>
      </c>
      <c r="B11" t="s">
        <v>3078</v>
      </c>
      <c r="C11">
        <v>14</v>
      </c>
      <c r="D11" t="s">
        <v>785</v>
      </c>
      <c r="E11">
        <v>-3859</v>
      </c>
      <c r="F11">
        <v>-2941</v>
      </c>
      <c r="G11">
        <v>33</v>
      </c>
      <c r="I11" t="s">
        <v>3092</v>
      </c>
    </row>
    <row r="12" spans="1:9" x14ac:dyDescent="0.2">
      <c r="A12" t="s">
        <v>1403</v>
      </c>
      <c r="B12" t="s">
        <v>3078</v>
      </c>
      <c r="C12">
        <v>14</v>
      </c>
      <c r="D12" t="s">
        <v>785</v>
      </c>
      <c r="E12">
        <v>-3269</v>
      </c>
      <c r="F12">
        <v>-2558</v>
      </c>
      <c r="G12">
        <v>23</v>
      </c>
      <c r="I12" t="s">
        <v>3093</v>
      </c>
    </row>
  </sheetData>
  <autoFilter ref="A1:I1" xr:uid="{A095D5C8-FF81-DA46-ADE3-61DE071C2139}">
    <sortState xmlns:xlrd2="http://schemas.microsoft.com/office/spreadsheetml/2017/richdata2" ref="A2:I21">
      <sortCondition ref="B1:B21"/>
    </sortState>
  </autoFilter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80CF4-E851-8648-ADA2-2D32FF15FCC0}">
  <sheetPr codeName="Sheet17"/>
  <dimension ref="A1:J2"/>
  <sheetViews>
    <sheetView workbookViewId="0">
      <selection activeCell="A4" sqref="A4"/>
    </sheetView>
  </sheetViews>
  <sheetFormatPr baseColWidth="10" defaultRowHeight="16" x14ac:dyDescent="0.2"/>
  <cols>
    <col min="1" max="1" width="18.1640625" customWidth="1"/>
  </cols>
  <sheetData>
    <row r="1" spans="1:10" s="6" customFormat="1" x14ac:dyDescent="0.2">
      <c r="A1" s="6" t="s">
        <v>848</v>
      </c>
      <c r="B1" s="6" t="s">
        <v>781</v>
      </c>
      <c r="C1" s="6" t="s">
        <v>2129</v>
      </c>
      <c r="D1" s="6" t="s">
        <v>2120</v>
      </c>
      <c r="E1" s="6" t="s">
        <v>777</v>
      </c>
      <c r="F1" s="6" t="s">
        <v>778</v>
      </c>
      <c r="G1" s="6" t="s">
        <v>779</v>
      </c>
      <c r="H1" s="6" t="s">
        <v>780</v>
      </c>
      <c r="I1" s="6" t="s">
        <v>2127</v>
      </c>
      <c r="J1" s="6" t="s">
        <v>2121</v>
      </c>
    </row>
    <row r="2" spans="1:10" x14ac:dyDescent="0.2">
      <c r="A2" t="s">
        <v>1029</v>
      </c>
      <c r="B2" t="str">
        <f t="shared" ref="B2" si="0">IF(A2="",A1,"")</f>
        <v/>
      </c>
      <c r="E2" t="str">
        <f>IF(A2="",IF(INT(H2)&lt;-200,"Depths",IF(INT(H2)&gt;700,"Sky","Surface")),"")</f>
        <v/>
      </c>
      <c r="F2" t="str">
        <f>IF(A2="",TEXT(LEFT(#REF!,FIND(",",#REF!)-1),"0000"),"")</f>
        <v/>
      </c>
      <c r="G2" t="str">
        <f>IF(A2="",TEXT(SUBSTITUTE(MID(#REF!,FIND(",",#REF!)+2,5),",",""),"0000"),"")</f>
        <v/>
      </c>
      <c r="H2" t="str">
        <f>IF(A2="",TEXT(RIGHT(#REF!,LEN(#REF!)-FIND(",",#REF!,7)-1),"0000"),"")</f>
        <v/>
      </c>
    </row>
  </sheetData>
  <autoFilter ref="A1:J2" xr:uid="{A095D5C8-FF81-DA46-ADE3-61DE071C2139}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ED02-FC5E-DD4D-A1EB-F18744744B23}">
  <sheetPr codeName="Sheet18"/>
  <dimension ref="A1:S2879"/>
  <sheetViews>
    <sheetView workbookViewId="0">
      <selection activeCell="K1" sqref="K1:S2"/>
    </sheetView>
  </sheetViews>
  <sheetFormatPr baseColWidth="10" defaultRowHeight="16" x14ac:dyDescent="0.2"/>
  <sheetData>
    <row r="1" spans="1:19" x14ac:dyDescent="0.2">
      <c r="A1" s="9" t="s">
        <v>51</v>
      </c>
      <c r="B1" t="s">
        <v>776</v>
      </c>
      <c r="C1" t="str">
        <f t="shared" ref="C1:C64" si="0">""""&amp;SUBSTITUTE(A1,"zzz",H1)&amp;""""&amp;","</f>
        <v>"https://www.zeldadungeon.net/maps/totk/tiles/sky/6/2_9.jpg",</v>
      </c>
      <c r="H1" t="str">
        <f t="shared" ref="H1:H64" si="1">QUOTIENT(ROW(A1),48)+2&amp;"_"&amp;MOD(ROW(A1),48)+8</f>
        <v>2_9</v>
      </c>
      <c r="K1" t="s">
        <v>12</v>
      </c>
      <c r="M1" t="s">
        <v>11</v>
      </c>
      <c r="Q1" t="s">
        <v>10</v>
      </c>
      <c r="S1" t="s">
        <v>9</v>
      </c>
    </row>
    <row r="2" spans="1:19" x14ac:dyDescent="0.2">
      <c r="A2" s="9" t="s">
        <v>51</v>
      </c>
      <c r="B2" t="s">
        <v>775</v>
      </c>
      <c r="C2" t="str">
        <f t="shared" si="0"/>
        <v>"https://www.zeldadungeon.net/maps/totk/tiles/sky/6/2_10.jpg",</v>
      </c>
      <c r="H2" t="str">
        <f t="shared" si="1"/>
        <v>2_10</v>
      </c>
      <c r="K2" t="s">
        <v>3</v>
      </c>
      <c r="M2" t="s">
        <v>2</v>
      </c>
      <c r="Q2" t="s">
        <v>1</v>
      </c>
      <c r="S2" t="s">
        <v>0</v>
      </c>
    </row>
    <row r="3" spans="1:19" x14ac:dyDescent="0.2">
      <c r="A3" s="9" t="s">
        <v>51</v>
      </c>
      <c r="B3" t="s">
        <v>774</v>
      </c>
      <c r="C3" t="str">
        <f t="shared" si="0"/>
        <v>"https://www.zeldadungeon.net/maps/totk/tiles/sky/6/2_11.jpg",</v>
      </c>
      <c r="H3" t="str">
        <f t="shared" si="1"/>
        <v>2_11</v>
      </c>
    </row>
    <row r="4" spans="1:19" x14ac:dyDescent="0.2">
      <c r="A4" s="9" t="s">
        <v>51</v>
      </c>
      <c r="B4" t="s">
        <v>773</v>
      </c>
      <c r="C4" t="str">
        <f t="shared" si="0"/>
        <v>"https://www.zeldadungeon.net/maps/totk/tiles/sky/6/2_12.jpg",</v>
      </c>
      <c r="H4" t="str">
        <f t="shared" si="1"/>
        <v>2_12</v>
      </c>
    </row>
    <row r="5" spans="1:19" x14ac:dyDescent="0.2">
      <c r="A5" s="9" t="s">
        <v>51</v>
      </c>
      <c r="B5" t="s">
        <v>772</v>
      </c>
      <c r="C5" t="str">
        <f t="shared" si="0"/>
        <v>"https://www.zeldadungeon.net/maps/totk/tiles/sky/6/2_13.jpg",</v>
      </c>
      <c r="H5" t="str">
        <f t="shared" si="1"/>
        <v>2_13</v>
      </c>
      <c r="K5">
        <f>720*4</f>
        <v>2880</v>
      </c>
    </row>
    <row r="6" spans="1:19" x14ac:dyDescent="0.2">
      <c r="A6" s="9" t="s">
        <v>51</v>
      </c>
      <c r="B6" t="s">
        <v>771</v>
      </c>
      <c r="C6" t="str">
        <f t="shared" si="0"/>
        <v>"https://www.zeldadungeon.net/maps/totk/tiles/sky/6/2_14.jpg",</v>
      </c>
      <c r="H6" t="str">
        <f t="shared" si="1"/>
        <v>2_14</v>
      </c>
    </row>
    <row r="7" spans="1:19" x14ac:dyDescent="0.2">
      <c r="A7" s="9" t="s">
        <v>51</v>
      </c>
      <c r="B7" t="s">
        <v>770</v>
      </c>
      <c r="C7" t="str">
        <f t="shared" si="0"/>
        <v>"https://www.zeldadungeon.net/maps/totk/tiles/sky/6/2_15.jpg",</v>
      </c>
      <c r="H7" t="str">
        <f t="shared" si="1"/>
        <v>2_15</v>
      </c>
      <c r="Q7" t="s">
        <v>769</v>
      </c>
      <c r="R7" t="s">
        <v>768</v>
      </c>
    </row>
    <row r="8" spans="1:19" x14ac:dyDescent="0.2">
      <c r="A8" s="9" t="s">
        <v>51</v>
      </c>
      <c r="B8" t="s">
        <v>767</v>
      </c>
      <c r="C8" t="str">
        <f t="shared" si="0"/>
        <v>"https://www.zeldadungeon.net/maps/totk/tiles/sky/6/2_16.jpg",</v>
      </c>
      <c r="H8" t="str">
        <f t="shared" si="1"/>
        <v>2_16</v>
      </c>
      <c r="P8" t="s">
        <v>766</v>
      </c>
      <c r="Q8" t="s">
        <v>765</v>
      </c>
      <c r="R8" t="s">
        <v>764</v>
      </c>
    </row>
    <row r="9" spans="1:19" x14ac:dyDescent="0.2">
      <c r="A9" s="9" t="s">
        <v>51</v>
      </c>
      <c r="B9" t="s">
        <v>763</v>
      </c>
      <c r="C9" t="str">
        <f t="shared" si="0"/>
        <v>"https://www.zeldadungeon.net/maps/totk/tiles/sky/6/2_17.jpg",</v>
      </c>
      <c r="H9" t="str">
        <f t="shared" si="1"/>
        <v>2_17</v>
      </c>
    </row>
    <row r="10" spans="1:19" x14ac:dyDescent="0.2">
      <c r="A10" s="9" t="s">
        <v>51</v>
      </c>
      <c r="B10" t="s">
        <v>762</v>
      </c>
      <c r="C10" t="str">
        <f t="shared" si="0"/>
        <v>"https://www.zeldadungeon.net/maps/totk/tiles/sky/6/2_18.jpg",</v>
      </c>
      <c r="H10" t="str">
        <f t="shared" si="1"/>
        <v>2_18</v>
      </c>
    </row>
    <row r="11" spans="1:19" x14ac:dyDescent="0.2">
      <c r="A11" s="9" t="s">
        <v>51</v>
      </c>
      <c r="B11" t="s">
        <v>761</v>
      </c>
      <c r="C11" t="str">
        <f t="shared" si="0"/>
        <v>"https://www.zeldadungeon.net/maps/totk/tiles/sky/6/2_19.jpg",</v>
      </c>
      <c r="H11" t="str">
        <f t="shared" si="1"/>
        <v>2_19</v>
      </c>
    </row>
    <row r="12" spans="1:19" x14ac:dyDescent="0.2">
      <c r="A12" s="9" t="s">
        <v>51</v>
      </c>
      <c r="B12" t="s">
        <v>760</v>
      </c>
      <c r="C12" t="str">
        <f t="shared" si="0"/>
        <v>"https://www.zeldadungeon.net/maps/totk/tiles/sky/6/2_20.jpg",</v>
      </c>
      <c r="H12" t="str">
        <f t="shared" si="1"/>
        <v>2_20</v>
      </c>
    </row>
    <row r="13" spans="1:19" x14ac:dyDescent="0.2">
      <c r="A13" s="9" t="s">
        <v>51</v>
      </c>
      <c r="B13" t="s">
        <v>759</v>
      </c>
      <c r="C13" t="str">
        <f t="shared" si="0"/>
        <v>"https://www.zeldadungeon.net/maps/totk/tiles/sky/6/2_21.jpg",</v>
      </c>
      <c r="H13" t="str">
        <f t="shared" si="1"/>
        <v>2_21</v>
      </c>
    </row>
    <row r="14" spans="1:19" x14ac:dyDescent="0.2">
      <c r="A14" s="9" t="s">
        <v>51</v>
      </c>
      <c r="B14" t="s">
        <v>758</v>
      </c>
      <c r="C14" t="str">
        <f t="shared" si="0"/>
        <v>"https://www.zeldadungeon.net/maps/totk/tiles/sky/6/2_22.jpg",</v>
      </c>
      <c r="H14" t="str">
        <f t="shared" si="1"/>
        <v>2_22</v>
      </c>
    </row>
    <row r="15" spans="1:19" x14ac:dyDescent="0.2">
      <c r="A15" s="9" t="s">
        <v>51</v>
      </c>
      <c r="B15" t="s">
        <v>757</v>
      </c>
      <c r="C15" t="str">
        <f t="shared" si="0"/>
        <v>"https://www.zeldadungeon.net/maps/totk/tiles/sky/6/2_23.jpg",</v>
      </c>
      <c r="H15" t="str">
        <f t="shared" si="1"/>
        <v>2_23</v>
      </c>
    </row>
    <row r="16" spans="1:19" x14ac:dyDescent="0.2">
      <c r="A16" s="9" t="s">
        <v>51</v>
      </c>
      <c r="B16" t="s">
        <v>756</v>
      </c>
      <c r="C16" t="str">
        <f t="shared" si="0"/>
        <v>"https://www.zeldadungeon.net/maps/totk/tiles/sky/6/2_24.jpg",</v>
      </c>
      <c r="H16" t="str">
        <f t="shared" si="1"/>
        <v>2_24</v>
      </c>
    </row>
    <row r="17" spans="1:8" x14ac:dyDescent="0.2">
      <c r="A17" s="9" t="s">
        <v>51</v>
      </c>
      <c r="B17" t="s">
        <v>755</v>
      </c>
      <c r="C17" t="str">
        <f t="shared" si="0"/>
        <v>"https://www.zeldadungeon.net/maps/totk/tiles/sky/6/2_25.jpg",</v>
      </c>
      <c r="H17" t="str">
        <f t="shared" si="1"/>
        <v>2_25</v>
      </c>
    </row>
    <row r="18" spans="1:8" x14ac:dyDescent="0.2">
      <c r="A18" s="9" t="s">
        <v>51</v>
      </c>
      <c r="B18" t="s">
        <v>754</v>
      </c>
      <c r="C18" t="str">
        <f t="shared" si="0"/>
        <v>"https://www.zeldadungeon.net/maps/totk/tiles/sky/6/2_26.jpg",</v>
      </c>
      <c r="H18" t="str">
        <f t="shared" si="1"/>
        <v>2_26</v>
      </c>
    </row>
    <row r="19" spans="1:8" x14ac:dyDescent="0.2">
      <c r="A19" s="9" t="s">
        <v>51</v>
      </c>
      <c r="B19" t="s">
        <v>753</v>
      </c>
      <c r="C19" t="str">
        <f t="shared" si="0"/>
        <v>"https://www.zeldadungeon.net/maps/totk/tiles/sky/6/2_27.jpg",</v>
      </c>
      <c r="H19" t="str">
        <f t="shared" si="1"/>
        <v>2_27</v>
      </c>
    </row>
    <row r="20" spans="1:8" x14ac:dyDescent="0.2">
      <c r="A20" s="9" t="s">
        <v>51</v>
      </c>
      <c r="B20" t="s">
        <v>752</v>
      </c>
      <c r="C20" t="str">
        <f t="shared" si="0"/>
        <v>"https://www.zeldadungeon.net/maps/totk/tiles/sky/6/2_28.jpg",</v>
      </c>
      <c r="H20" t="str">
        <f t="shared" si="1"/>
        <v>2_28</v>
      </c>
    </row>
    <row r="21" spans="1:8" x14ac:dyDescent="0.2">
      <c r="A21" s="9" t="s">
        <v>51</v>
      </c>
      <c r="B21" t="s">
        <v>751</v>
      </c>
      <c r="C21" t="str">
        <f t="shared" si="0"/>
        <v>"https://www.zeldadungeon.net/maps/totk/tiles/sky/6/2_29.jpg",</v>
      </c>
      <c r="H21" t="str">
        <f t="shared" si="1"/>
        <v>2_29</v>
      </c>
    </row>
    <row r="22" spans="1:8" x14ac:dyDescent="0.2">
      <c r="A22" s="9" t="s">
        <v>51</v>
      </c>
      <c r="B22" t="s">
        <v>750</v>
      </c>
      <c r="C22" t="str">
        <f t="shared" si="0"/>
        <v>"https://www.zeldadungeon.net/maps/totk/tiles/sky/6/2_30.jpg",</v>
      </c>
      <c r="H22" t="str">
        <f t="shared" si="1"/>
        <v>2_30</v>
      </c>
    </row>
    <row r="23" spans="1:8" x14ac:dyDescent="0.2">
      <c r="A23" s="9" t="s">
        <v>51</v>
      </c>
      <c r="B23" t="s">
        <v>749</v>
      </c>
      <c r="C23" t="str">
        <f t="shared" si="0"/>
        <v>"https://www.zeldadungeon.net/maps/totk/tiles/sky/6/2_31.jpg",</v>
      </c>
      <c r="H23" t="str">
        <f t="shared" si="1"/>
        <v>2_31</v>
      </c>
    </row>
    <row r="24" spans="1:8" x14ac:dyDescent="0.2">
      <c r="A24" s="9" t="s">
        <v>51</v>
      </c>
      <c r="B24" t="s">
        <v>748</v>
      </c>
      <c r="C24" t="str">
        <f t="shared" si="0"/>
        <v>"https://www.zeldadungeon.net/maps/totk/tiles/sky/6/2_32.jpg",</v>
      </c>
      <c r="H24" t="str">
        <f t="shared" si="1"/>
        <v>2_32</v>
      </c>
    </row>
    <row r="25" spans="1:8" x14ac:dyDescent="0.2">
      <c r="A25" s="9" t="s">
        <v>51</v>
      </c>
      <c r="B25" t="s">
        <v>747</v>
      </c>
      <c r="C25" t="str">
        <f t="shared" si="0"/>
        <v>"https://www.zeldadungeon.net/maps/totk/tiles/sky/6/2_33.jpg",</v>
      </c>
      <c r="H25" t="str">
        <f t="shared" si="1"/>
        <v>2_33</v>
      </c>
    </row>
    <row r="26" spans="1:8" x14ac:dyDescent="0.2">
      <c r="A26" s="9" t="s">
        <v>51</v>
      </c>
      <c r="B26" t="s">
        <v>746</v>
      </c>
      <c r="C26" t="str">
        <f t="shared" si="0"/>
        <v>"https://www.zeldadungeon.net/maps/totk/tiles/sky/6/2_34.jpg",</v>
      </c>
      <c r="H26" t="str">
        <f t="shared" si="1"/>
        <v>2_34</v>
      </c>
    </row>
    <row r="27" spans="1:8" x14ac:dyDescent="0.2">
      <c r="A27" s="9" t="s">
        <v>51</v>
      </c>
      <c r="B27" t="s">
        <v>745</v>
      </c>
      <c r="C27" t="str">
        <f t="shared" si="0"/>
        <v>"https://www.zeldadungeon.net/maps/totk/tiles/sky/6/2_35.jpg",</v>
      </c>
      <c r="H27" t="str">
        <f t="shared" si="1"/>
        <v>2_35</v>
      </c>
    </row>
    <row r="28" spans="1:8" x14ac:dyDescent="0.2">
      <c r="A28" s="9" t="s">
        <v>51</v>
      </c>
      <c r="B28" t="s">
        <v>744</v>
      </c>
      <c r="C28" t="str">
        <f t="shared" si="0"/>
        <v>"https://www.zeldadungeon.net/maps/totk/tiles/sky/6/2_36.jpg",</v>
      </c>
      <c r="H28" t="str">
        <f t="shared" si="1"/>
        <v>2_36</v>
      </c>
    </row>
    <row r="29" spans="1:8" x14ac:dyDescent="0.2">
      <c r="A29" s="9" t="s">
        <v>51</v>
      </c>
      <c r="B29" t="s">
        <v>743</v>
      </c>
      <c r="C29" t="str">
        <f t="shared" si="0"/>
        <v>"https://www.zeldadungeon.net/maps/totk/tiles/sky/6/2_37.jpg",</v>
      </c>
      <c r="H29" t="str">
        <f t="shared" si="1"/>
        <v>2_37</v>
      </c>
    </row>
    <row r="30" spans="1:8" x14ac:dyDescent="0.2">
      <c r="A30" s="9" t="s">
        <v>51</v>
      </c>
      <c r="B30" t="s">
        <v>742</v>
      </c>
      <c r="C30" t="str">
        <f t="shared" si="0"/>
        <v>"https://www.zeldadungeon.net/maps/totk/tiles/sky/6/2_38.jpg",</v>
      </c>
      <c r="H30" t="str">
        <f t="shared" si="1"/>
        <v>2_38</v>
      </c>
    </row>
    <row r="31" spans="1:8" x14ac:dyDescent="0.2">
      <c r="A31" s="9" t="s">
        <v>51</v>
      </c>
      <c r="B31" t="s">
        <v>741</v>
      </c>
      <c r="C31" t="str">
        <f t="shared" si="0"/>
        <v>"https://www.zeldadungeon.net/maps/totk/tiles/sky/6/2_39.jpg",</v>
      </c>
      <c r="H31" t="str">
        <f t="shared" si="1"/>
        <v>2_39</v>
      </c>
    </row>
    <row r="32" spans="1:8" x14ac:dyDescent="0.2">
      <c r="A32" s="9" t="s">
        <v>51</v>
      </c>
      <c r="B32" t="s">
        <v>740</v>
      </c>
      <c r="C32" t="str">
        <f t="shared" si="0"/>
        <v>"https://www.zeldadungeon.net/maps/totk/tiles/sky/6/2_40.jpg",</v>
      </c>
      <c r="H32" t="str">
        <f t="shared" si="1"/>
        <v>2_40</v>
      </c>
    </row>
    <row r="33" spans="1:8" x14ac:dyDescent="0.2">
      <c r="A33" s="9" t="s">
        <v>51</v>
      </c>
      <c r="B33" t="s">
        <v>739</v>
      </c>
      <c r="C33" t="str">
        <f t="shared" si="0"/>
        <v>"https://www.zeldadungeon.net/maps/totk/tiles/sky/6/2_41.jpg",</v>
      </c>
      <c r="H33" t="str">
        <f t="shared" si="1"/>
        <v>2_41</v>
      </c>
    </row>
    <row r="34" spans="1:8" x14ac:dyDescent="0.2">
      <c r="A34" s="9" t="s">
        <v>51</v>
      </c>
      <c r="B34" t="s">
        <v>738</v>
      </c>
      <c r="C34" t="str">
        <f t="shared" si="0"/>
        <v>"https://www.zeldadungeon.net/maps/totk/tiles/sky/6/2_42.jpg",</v>
      </c>
      <c r="H34" t="str">
        <f t="shared" si="1"/>
        <v>2_42</v>
      </c>
    </row>
    <row r="35" spans="1:8" x14ac:dyDescent="0.2">
      <c r="A35" s="9" t="s">
        <v>51</v>
      </c>
      <c r="B35" t="s">
        <v>737</v>
      </c>
      <c r="C35" t="str">
        <f t="shared" si="0"/>
        <v>"https://www.zeldadungeon.net/maps/totk/tiles/sky/6/2_43.jpg",</v>
      </c>
      <c r="H35" t="str">
        <f t="shared" si="1"/>
        <v>2_43</v>
      </c>
    </row>
    <row r="36" spans="1:8" x14ac:dyDescent="0.2">
      <c r="A36" s="9" t="s">
        <v>51</v>
      </c>
      <c r="B36" t="s">
        <v>736</v>
      </c>
      <c r="C36" t="str">
        <f t="shared" si="0"/>
        <v>"https://www.zeldadungeon.net/maps/totk/tiles/sky/6/2_44.jpg",</v>
      </c>
      <c r="H36" t="str">
        <f t="shared" si="1"/>
        <v>2_44</v>
      </c>
    </row>
    <row r="37" spans="1:8" x14ac:dyDescent="0.2">
      <c r="A37" s="9" t="s">
        <v>51</v>
      </c>
      <c r="B37" t="s">
        <v>735</v>
      </c>
      <c r="C37" t="str">
        <f t="shared" si="0"/>
        <v>"https://www.zeldadungeon.net/maps/totk/tiles/sky/6/2_45.jpg",</v>
      </c>
      <c r="H37" t="str">
        <f t="shared" si="1"/>
        <v>2_45</v>
      </c>
    </row>
    <row r="38" spans="1:8" x14ac:dyDescent="0.2">
      <c r="A38" s="9" t="s">
        <v>51</v>
      </c>
      <c r="B38" t="s">
        <v>734</v>
      </c>
      <c r="C38" t="str">
        <f t="shared" si="0"/>
        <v>"https://www.zeldadungeon.net/maps/totk/tiles/sky/6/2_46.jpg",</v>
      </c>
      <c r="H38" t="str">
        <f t="shared" si="1"/>
        <v>2_46</v>
      </c>
    </row>
    <row r="39" spans="1:8" x14ac:dyDescent="0.2">
      <c r="A39" s="9" t="s">
        <v>51</v>
      </c>
      <c r="B39" t="s">
        <v>733</v>
      </c>
      <c r="C39" t="str">
        <f t="shared" si="0"/>
        <v>"https://www.zeldadungeon.net/maps/totk/tiles/sky/6/2_47.jpg",</v>
      </c>
      <c r="H39" t="str">
        <f t="shared" si="1"/>
        <v>2_47</v>
      </c>
    </row>
    <row r="40" spans="1:8" x14ac:dyDescent="0.2">
      <c r="A40" s="9" t="s">
        <v>51</v>
      </c>
      <c r="B40" t="s">
        <v>732</v>
      </c>
      <c r="C40" t="str">
        <f t="shared" si="0"/>
        <v>"https://www.zeldadungeon.net/maps/totk/tiles/sky/6/2_48.jpg",</v>
      </c>
      <c r="H40" t="str">
        <f t="shared" si="1"/>
        <v>2_48</v>
      </c>
    </row>
    <row r="41" spans="1:8" x14ac:dyDescent="0.2">
      <c r="A41" s="9" t="s">
        <v>51</v>
      </c>
      <c r="B41" t="s">
        <v>731</v>
      </c>
      <c r="C41" t="str">
        <f t="shared" si="0"/>
        <v>"https://www.zeldadungeon.net/maps/totk/tiles/sky/6/2_49.jpg",</v>
      </c>
      <c r="H41" t="str">
        <f t="shared" si="1"/>
        <v>2_49</v>
      </c>
    </row>
    <row r="42" spans="1:8" x14ac:dyDescent="0.2">
      <c r="A42" s="9" t="s">
        <v>51</v>
      </c>
      <c r="B42" t="s">
        <v>730</v>
      </c>
      <c r="C42" t="str">
        <f t="shared" si="0"/>
        <v>"https://www.zeldadungeon.net/maps/totk/tiles/sky/6/2_50.jpg",</v>
      </c>
      <c r="H42" t="str">
        <f t="shared" si="1"/>
        <v>2_50</v>
      </c>
    </row>
    <row r="43" spans="1:8" x14ac:dyDescent="0.2">
      <c r="A43" s="9" t="s">
        <v>51</v>
      </c>
      <c r="B43" t="s">
        <v>729</v>
      </c>
      <c r="C43" t="str">
        <f t="shared" si="0"/>
        <v>"https://www.zeldadungeon.net/maps/totk/tiles/sky/6/2_51.jpg",</v>
      </c>
      <c r="H43" t="str">
        <f t="shared" si="1"/>
        <v>2_51</v>
      </c>
    </row>
    <row r="44" spans="1:8" x14ac:dyDescent="0.2">
      <c r="A44" s="9" t="s">
        <v>51</v>
      </c>
      <c r="B44" t="s">
        <v>728</v>
      </c>
      <c r="C44" t="str">
        <f t="shared" si="0"/>
        <v>"https://www.zeldadungeon.net/maps/totk/tiles/sky/6/2_52.jpg",</v>
      </c>
      <c r="H44" t="str">
        <f t="shared" si="1"/>
        <v>2_52</v>
      </c>
    </row>
    <row r="45" spans="1:8" x14ac:dyDescent="0.2">
      <c r="A45" s="9" t="s">
        <v>51</v>
      </c>
      <c r="B45" t="s">
        <v>727</v>
      </c>
      <c r="C45" t="str">
        <f t="shared" si="0"/>
        <v>"https://www.zeldadungeon.net/maps/totk/tiles/sky/6/2_53.jpg",</v>
      </c>
      <c r="H45" t="str">
        <f t="shared" si="1"/>
        <v>2_53</v>
      </c>
    </row>
    <row r="46" spans="1:8" x14ac:dyDescent="0.2">
      <c r="A46" s="9" t="s">
        <v>51</v>
      </c>
      <c r="B46" t="s">
        <v>726</v>
      </c>
      <c r="C46" t="str">
        <f t="shared" si="0"/>
        <v>"https://www.zeldadungeon.net/maps/totk/tiles/sky/6/2_54.jpg",</v>
      </c>
      <c r="H46" t="str">
        <f t="shared" si="1"/>
        <v>2_54</v>
      </c>
    </row>
    <row r="47" spans="1:8" x14ac:dyDescent="0.2">
      <c r="A47" s="9" t="s">
        <v>51</v>
      </c>
      <c r="B47" t="s">
        <v>725</v>
      </c>
      <c r="C47" t="str">
        <f t="shared" si="0"/>
        <v>"https://www.zeldadungeon.net/maps/totk/tiles/sky/6/2_55.jpg",</v>
      </c>
      <c r="H47" t="str">
        <f t="shared" si="1"/>
        <v>2_55</v>
      </c>
    </row>
    <row r="48" spans="1:8" x14ac:dyDescent="0.2">
      <c r="A48" s="9" t="s">
        <v>51</v>
      </c>
      <c r="B48" t="s">
        <v>724</v>
      </c>
      <c r="C48" t="str">
        <f t="shared" si="0"/>
        <v>"https://www.zeldadungeon.net/maps/totk/tiles/sky/6/3_8.jpg",</v>
      </c>
      <c r="H48" t="str">
        <f t="shared" si="1"/>
        <v>3_8</v>
      </c>
    </row>
    <row r="49" spans="1:8" x14ac:dyDescent="0.2">
      <c r="A49" s="9" t="s">
        <v>51</v>
      </c>
      <c r="B49" t="s">
        <v>723</v>
      </c>
      <c r="C49" t="str">
        <f t="shared" si="0"/>
        <v>"https://www.zeldadungeon.net/maps/totk/tiles/sky/6/3_9.jpg",</v>
      </c>
      <c r="H49" t="str">
        <f t="shared" si="1"/>
        <v>3_9</v>
      </c>
    </row>
    <row r="50" spans="1:8" x14ac:dyDescent="0.2">
      <c r="A50" s="9" t="s">
        <v>51</v>
      </c>
      <c r="B50" t="s">
        <v>722</v>
      </c>
      <c r="C50" t="str">
        <f t="shared" si="0"/>
        <v>"https://www.zeldadungeon.net/maps/totk/tiles/sky/6/3_10.jpg",</v>
      </c>
      <c r="H50" t="str">
        <f t="shared" si="1"/>
        <v>3_10</v>
      </c>
    </row>
    <row r="51" spans="1:8" x14ac:dyDescent="0.2">
      <c r="A51" s="9" t="s">
        <v>51</v>
      </c>
      <c r="B51" t="s">
        <v>721</v>
      </c>
      <c r="C51" t="str">
        <f t="shared" si="0"/>
        <v>"https://www.zeldadungeon.net/maps/totk/tiles/sky/6/3_11.jpg",</v>
      </c>
      <c r="H51" t="str">
        <f t="shared" si="1"/>
        <v>3_11</v>
      </c>
    </row>
    <row r="52" spans="1:8" x14ac:dyDescent="0.2">
      <c r="A52" s="9" t="s">
        <v>51</v>
      </c>
      <c r="B52" t="s">
        <v>720</v>
      </c>
      <c r="C52" t="str">
        <f t="shared" si="0"/>
        <v>"https://www.zeldadungeon.net/maps/totk/tiles/sky/6/3_12.jpg",</v>
      </c>
      <c r="H52" t="str">
        <f t="shared" si="1"/>
        <v>3_12</v>
      </c>
    </row>
    <row r="53" spans="1:8" x14ac:dyDescent="0.2">
      <c r="A53" s="9" t="s">
        <v>51</v>
      </c>
      <c r="B53" t="s">
        <v>719</v>
      </c>
      <c r="C53" t="str">
        <f t="shared" si="0"/>
        <v>"https://www.zeldadungeon.net/maps/totk/tiles/sky/6/3_13.jpg",</v>
      </c>
      <c r="H53" t="str">
        <f t="shared" si="1"/>
        <v>3_13</v>
      </c>
    </row>
    <row r="54" spans="1:8" x14ac:dyDescent="0.2">
      <c r="A54" s="9" t="s">
        <v>51</v>
      </c>
      <c r="B54" t="s">
        <v>718</v>
      </c>
      <c r="C54" t="str">
        <f t="shared" si="0"/>
        <v>"https://www.zeldadungeon.net/maps/totk/tiles/sky/6/3_14.jpg",</v>
      </c>
      <c r="H54" t="str">
        <f t="shared" si="1"/>
        <v>3_14</v>
      </c>
    </row>
    <row r="55" spans="1:8" x14ac:dyDescent="0.2">
      <c r="A55" s="9" t="s">
        <v>51</v>
      </c>
      <c r="B55" t="s">
        <v>717</v>
      </c>
      <c r="C55" t="str">
        <f t="shared" si="0"/>
        <v>"https://www.zeldadungeon.net/maps/totk/tiles/sky/6/3_15.jpg",</v>
      </c>
      <c r="H55" t="str">
        <f t="shared" si="1"/>
        <v>3_15</v>
      </c>
    </row>
    <row r="56" spans="1:8" x14ac:dyDescent="0.2">
      <c r="A56" s="9" t="s">
        <v>51</v>
      </c>
      <c r="B56" t="s">
        <v>716</v>
      </c>
      <c r="C56" t="str">
        <f t="shared" si="0"/>
        <v>"https://www.zeldadungeon.net/maps/totk/tiles/sky/6/3_16.jpg",</v>
      </c>
      <c r="H56" t="str">
        <f t="shared" si="1"/>
        <v>3_16</v>
      </c>
    </row>
    <row r="57" spans="1:8" x14ac:dyDescent="0.2">
      <c r="A57" s="9" t="s">
        <v>51</v>
      </c>
      <c r="B57" t="s">
        <v>715</v>
      </c>
      <c r="C57" t="str">
        <f t="shared" si="0"/>
        <v>"https://www.zeldadungeon.net/maps/totk/tiles/sky/6/3_17.jpg",</v>
      </c>
      <c r="H57" t="str">
        <f t="shared" si="1"/>
        <v>3_17</v>
      </c>
    </row>
    <row r="58" spans="1:8" x14ac:dyDescent="0.2">
      <c r="A58" s="9" t="s">
        <v>51</v>
      </c>
      <c r="B58" t="s">
        <v>714</v>
      </c>
      <c r="C58" t="str">
        <f t="shared" si="0"/>
        <v>"https://www.zeldadungeon.net/maps/totk/tiles/sky/6/3_18.jpg",</v>
      </c>
      <c r="H58" t="str">
        <f t="shared" si="1"/>
        <v>3_18</v>
      </c>
    </row>
    <row r="59" spans="1:8" x14ac:dyDescent="0.2">
      <c r="A59" s="9" t="s">
        <v>51</v>
      </c>
      <c r="B59" t="s">
        <v>713</v>
      </c>
      <c r="C59" t="str">
        <f t="shared" si="0"/>
        <v>"https://www.zeldadungeon.net/maps/totk/tiles/sky/6/3_19.jpg",</v>
      </c>
      <c r="H59" t="str">
        <f t="shared" si="1"/>
        <v>3_19</v>
      </c>
    </row>
    <row r="60" spans="1:8" x14ac:dyDescent="0.2">
      <c r="A60" s="9" t="s">
        <v>51</v>
      </c>
      <c r="B60" t="s">
        <v>712</v>
      </c>
      <c r="C60" t="str">
        <f t="shared" si="0"/>
        <v>"https://www.zeldadungeon.net/maps/totk/tiles/sky/6/3_20.jpg",</v>
      </c>
      <c r="H60" t="str">
        <f t="shared" si="1"/>
        <v>3_20</v>
      </c>
    </row>
    <row r="61" spans="1:8" x14ac:dyDescent="0.2">
      <c r="A61" s="9" t="s">
        <v>51</v>
      </c>
      <c r="B61" t="s">
        <v>711</v>
      </c>
      <c r="C61" t="str">
        <f t="shared" si="0"/>
        <v>"https://www.zeldadungeon.net/maps/totk/tiles/sky/6/3_21.jpg",</v>
      </c>
      <c r="H61" t="str">
        <f t="shared" si="1"/>
        <v>3_21</v>
      </c>
    </row>
    <row r="62" spans="1:8" x14ac:dyDescent="0.2">
      <c r="A62" s="9" t="s">
        <v>51</v>
      </c>
      <c r="B62" t="s">
        <v>710</v>
      </c>
      <c r="C62" t="str">
        <f t="shared" si="0"/>
        <v>"https://www.zeldadungeon.net/maps/totk/tiles/sky/6/3_22.jpg",</v>
      </c>
      <c r="H62" t="str">
        <f t="shared" si="1"/>
        <v>3_22</v>
      </c>
    </row>
    <row r="63" spans="1:8" x14ac:dyDescent="0.2">
      <c r="A63" s="9" t="s">
        <v>51</v>
      </c>
      <c r="B63" t="s">
        <v>709</v>
      </c>
      <c r="C63" t="str">
        <f t="shared" si="0"/>
        <v>"https://www.zeldadungeon.net/maps/totk/tiles/sky/6/3_23.jpg",</v>
      </c>
      <c r="H63" t="str">
        <f t="shared" si="1"/>
        <v>3_23</v>
      </c>
    </row>
    <row r="64" spans="1:8" x14ac:dyDescent="0.2">
      <c r="A64" s="9" t="s">
        <v>51</v>
      </c>
      <c r="B64" t="s">
        <v>708</v>
      </c>
      <c r="C64" t="str">
        <f t="shared" si="0"/>
        <v>"https://www.zeldadungeon.net/maps/totk/tiles/sky/6/3_24.jpg",</v>
      </c>
      <c r="H64" t="str">
        <f t="shared" si="1"/>
        <v>3_24</v>
      </c>
    </row>
    <row r="65" spans="1:8" x14ac:dyDescent="0.2">
      <c r="A65" s="9" t="s">
        <v>51</v>
      </c>
      <c r="B65" t="s">
        <v>707</v>
      </c>
      <c r="C65" t="str">
        <f t="shared" ref="C65:C128" si="2">""""&amp;SUBSTITUTE(A65,"zzz",H65)&amp;""""&amp;","</f>
        <v>"https://www.zeldadungeon.net/maps/totk/tiles/sky/6/3_25.jpg",</v>
      </c>
      <c r="H65" t="str">
        <f t="shared" ref="H65:H128" si="3">QUOTIENT(ROW(A65),48)+2&amp;"_"&amp;MOD(ROW(A65),48)+8</f>
        <v>3_25</v>
      </c>
    </row>
    <row r="66" spans="1:8" x14ac:dyDescent="0.2">
      <c r="A66" s="9" t="s">
        <v>51</v>
      </c>
      <c r="B66" t="s">
        <v>706</v>
      </c>
      <c r="C66" t="str">
        <f t="shared" si="2"/>
        <v>"https://www.zeldadungeon.net/maps/totk/tiles/sky/6/3_26.jpg",</v>
      </c>
      <c r="H66" t="str">
        <f t="shared" si="3"/>
        <v>3_26</v>
      </c>
    </row>
    <row r="67" spans="1:8" x14ac:dyDescent="0.2">
      <c r="A67" s="9" t="s">
        <v>51</v>
      </c>
      <c r="B67" t="s">
        <v>705</v>
      </c>
      <c r="C67" t="str">
        <f t="shared" si="2"/>
        <v>"https://www.zeldadungeon.net/maps/totk/tiles/sky/6/3_27.jpg",</v>
      </c>
      <c r="H67" t="str">
        <f t="shared" si="3"/>
        <v>3_27</v>
      </c>
    </row>
    <row r="68" spans="1:8" x14ac:dyDescent="0.2">
      <c r="A68" s="9" t="s">
        <v>51</v>
      </c>
      <c r="B68" t="s">
        <v>704</v>
      </c>
      <c r="C68" t="str">
        <f t="shared" si="2"/>
        <v>"https://www.zeldadungeon.net/maps/totk/tiles/sky/6/3_28.jpg",</v>
      </c>
      <c r="H68" t="str">
        <f t="shared" si="3"/>
        <v>3_28</v>
      </c>
    </row>
    <row r="69" spans="1:8" x14ac:dyDescent="0.2">
      <c r="A69" s="9" t="s">
        <v>51</v>
      </c>
      <c r="B69" t="s">
        <v>703</v>
      </c>
      <c r="C69" t="str">
        <f t="shared" si="2"/>
        <v>"https://www.zeldadungeon.net/maps/totk/tiles/sky/6/3_29.jpg",</v>
      </c>
      <c r="H69" t="str">
        <f t="shared" si="3"/>
        <v>3_29</v>
      </c>
    </row>
    <row r="70" spans="1:8" x14ac:dyDescent="0.2">
      <c r="A70" s="9" t="s">
        <v>51</v>
      </c>
      <c r="B70" t="s">
        <v>702</v>
      </c>
      <c r="C70" t="str">
        <f t="shared" si="2"/>
        <v>"https://www.zeldadungeon.net/maps/totk/tiles/sky/6/3_30.jpg",</v>
      </c>
      <c r="H70" t="str">
        <f t="shared" si="3"/>
        <v>3_30</v>
      </c>
    </row>
    <row r="71" spans="1:8" x14ac:dyDescent="0.2">
      <c r="A71" s="9" t="s">
        <v>51</v>
      </c>
      <c r="B71" t="s">
        <v>701</v>
      </c>
      <c r="C71" t="str">
        <f t="shared" si="2"/>
        <v>"https://www.zeldadungeon.net/maps/totk/tiles/sky/6/3_31.jpg",</v>
      </c>
      <c r="H71" t="str">
        <f t="shared" si="3"/>
        <v>3_31</v>
      </c>
    </row>
    <row r="72" spans="1:8" x14ac:dyDescent="0.2">
      <c r="A72" s="9" t="s">
        <v>51</v>
      </c>
      <c r="B72" t="s">
        <v>700</v>
      </c>
      <c r="C72" t="str">
        <f t="shared" si="2"/>
        <v>"https://www.zeldadungeon.net/maps/totk/tiles/sky/6/3_32.jpg",</v>
      </c>
      <c r="H72" t="str">
        <f t="shared" si="3"/>
        <v>3_32</v>
      </c>
    </row>
    <row r="73" spans="1:8" x14ac:dyDescent="0.2">
      <c r="A73" s="9" t="s">
        <v>51</v>
      </c>
      <c r="B73" t="s">
        <v>699</v>
      </c>
      <c r="C73" t="str">
        <f t="shared" si="2"/>
        <v>"https://www.zeldadungeon.net/maps/totk/tiles/sky/6/3_33.jpg",</v>
      </c>
      <c r="H73" t="str">
        <f t="shared" si="3"/>
        <v>3_33</v>
      </c>
    </row>
    <row r="74" spans="1:8" x14ac:dyDescent="0.2">
      <c r="A74" s="9" t="s">
        <v>51</v>
      </c>
      <c r="B74" t="s">
        <v>698</v>
      </c>
      <c r="C74" t="str">
        <f t="shared" si="2"/>
        <v>"https://www.zeldadungeon.net/maps/totk/tiles/sky/6/3_34.jpg",</v>
      </c>
      <c r="H74" t="str">
        <f t="shared" si="3"/>
        <v>3_34</v>
      </c>
    </row>
    <row r="75" spans="1:8" x14ac:dyDescent="0.2">
      <c r="A75" s="9" t="s">
        <v>51</v>
      </c>
      <c r="B75" t="s">
        <v>697</v>
      </c>
      <c r="C75" t="str">
        <f t="shared" si="2"/>
        <v>"https://www.zeldadungeon.net/maps/totk/tiles/sky/6/3_35.jpg",</v>
      </c>
      <c r="H75" t="str">
        <f t="shared" si="3"/>
        <v>3_35</v>
      </c>
    </row>
    <row r="76" spans="1:8" x14ac:dyDescent="0.2">
      <c r="A76" s="9" t="s">
        <v>51</v>
      </c>
      <c r="B76" t="s">
        <v>696</v>
      </c>
      <c r="C76" t="str">
        <f t="shared" si="2"/>
        <v>"https://www.zeldadungeon.net/maps/totk/tiles/sky/6/3_36.jpg",</v>
      </c>
      <c r="H76" t="str">
        <f t="shared" si="3"/>
        <v>3_36</v>
      </c>
    </row>
    <row r="77" spans="1:8" x14ac:dyDescent="0.2">
      <c r="A77" s="9" t="s">
        <v>51</v>
      </c>
      <c r="B77" t="s">
        <v>695</v>
      </c>
      <c r="C77" t="str">
        <f t="shared" si="2"/>
        <v>"https://www.zeldadungeon.net/maps/totk/tiles/sky/6/3_37.jpg",</v>
      </c>
      <c r="H77" t="str">
        <f t="shared" si="3"/>
        <v>3_37</v>
      </c>
    </row>
    <row r="78" spans="1:8" x14ac:dyDescent="0.2">
      <c r="A78" s="9" t="s">
        <v>51</v>
      </c>
      <c r="B78" t="s">
        <v>694</v>
      </c>
      <c r="C78" t="str">
        <f t="shared" si="2"/>
        <v>"https://www.zeldadungeon.net/maps/totk/tiles/sky/6/3_38.jpg",</v>
      </c>
      <c r="H78" t="str">
        <f t="shared" si="3"/>
        <v>3_38</v>
      </c>
    </row>
    <row r="79" spans="1:8" x14ac:dyDescent="0.2">
      <c r="A79" s="9" t="s">
        <v>51</v>
      </c>
      <c r="B79" t="s">
        <v>693</v>
      </c>
      <c r="C79" t="str">
        <f t="shared" si="2"/>
        <v>"https://www.zeldadungeon.net/maps/totk/tiles/sky/6/3_39.jpg",</v>
      </c>
      <c r="H79" t="str">
        <f t="shared" si="3"/>
        <v>3_39</v>
      </c>
    </row>
    <row r="80" spans="1:8" x14ac:dyDescent="0.2">
      <c r="A80" s="9" t="s">
        <v>51</v>
      </c>
      <c r="B80" t="s">
        <v>692</v>
      </c>
      <c r="C80" t="str">
        <f t="shared" si="2"/>
        <v>"https://www.zeldadungeon.net/maps/totk/tiles/sky/6/3_40.jpg",</v>
      </c>
      <c r="H80" t="str">
        <f t="shared" si="3"/>
        <v>3_40</v>
      </c>
    </row>
    <row r="81" spans="1:8" x14ac:dyDescent="0.2">
      <c r="A81" s="9" t="s">
        <v>51</v>
      </c>
      <c r="B81" t="s">
        <v>691</v>
      </c>
      <c r="C81" t="str">
        <f t="shared" si="2"/>
        <v>"https://www.zeldadungeon.net/maps/totk/tiles/sky/6/3_41.jpg",</v>
      </c>
      <c r="H81" t="str">
        <f t="shared" si="3"/>
        <v>3_41</v>
      </c>
    </row>
    <row r="82" spans="1:8" x14ac:dyDescent="0.2">
      <c r="A82" s="9" t="s">
        <v>51</v>
      </c>
      <c r="B82" t="s">
        <v>690</v>
      </c>
      <c r="C82" t="str">
        <f t="shared" si="2"/>
        <v>"https://www.zeldadungeon.net/maps/totk/tiles/sky/6/3_42.jpg",</v>
      </c>
      <c r="H82" t="str">
        <f t="shared" si="3"/>
        <v>3_42</v>
      </c>
    </row>
    <row r="83" spans="1:8" x14ac:dyDescent="0.2">
      <c r="A83" s="9" t="s">
        <v>51</v>
      </c>
      <c r="B83" t="s">
        <v>689</v>
      </c>
      <c r="C83" t="str">
        <f t="shared" si="2"/>
        <v>"https://www.zeldadungeon.net/maps/totk/tiles/sky/6/3_43.jpg",</v>
      </c>
      <c r="H83" t="str">
        <f t="shared" si="3"/>
        <v>3_43</v>
      </c>
    </row>
    <row r="84" spans="1:8" x14ac:dyDescent="0.2">
      <c r="A84" s="9" t="s">
        <v>51</v>
      </c>
      <c r="B84" t="s">
        <v>688</v>
      </c>
      <c r="C84" t="str">
        <f t="shared" si="2"/>
        <v>"https://www.zeldadungeon.net/maps/totk/tiles/sky/6/3_44.jpg",</v>
      </c>
      <c r="H84" t="str">
        <f t="shared" si="3"/>
        <v>3_44</v>
      </c>
    </row>
    <row r="85" spans="1:8" x14ac:dyDescent="0.2">
      <c r="A85" s="9" t="s">
        <v>51</v>
      </c>
      <c r="B85" t="s">
        <v>687</v>
      </c>
      <c r="C85" t="str">
        <f t="shared" si="2"/>
        <v>"https://www.zeldadungeon.net/maps/totk/tiles/sky/6/3_45.jpg",</v>
      </c>
      <c r="H85" t="str">
        <f t="shared" si="3"/>
        <v>3_45</v>
      </c>
    </row>
    <row r="86" spans="1:8" x14ac:dyDescent="0.2">
      <c r="A86" s="9" t="s">
        <v>51</v>
      </c>
      <c r="B86" t="s">
        <v>686</v>
      </c>
      <c r="C86" t="str">
        <f t="shared" si="2"/>
        <v>"https://www.zeldadungeon.net/maps/totk/tiles/sky/6/3_46.jpg",</v>
      </c>
      <c r="H86" t="str">
        <f t="shared" si="3"/>
        <v>3_46</v>
      </c>
    </row>
    <row r="87" spans="1:8" x14ac:dyDescent="0.2">
      <c r="A87" s="9" t="s">
        <v>51</v>
      </c>
      <c r="B87" t="s">
        <v>685</v>
      </c>
      <c r="C87" t="str">
        <f t="shared" si="2"/>
        <v>"https://www.zeldadungeon.net/maps/totk/tiles/sky/6/3_47.jpg",</v>
      </c>
      <c r="H87" t="str">
        <f t="shared" si="3"/>
        <v>3_47</v>
      </c>
    </row>
    <row r="88" spans="1:8" x14ac:dyDescent="0.2">
      <c r="A88" s="9" t="s">
        <v>51</v>
      </c>
      <c r="B88" t="s">
        <v>684</v>
      </c>
      <c r="C88" t="str">
        <f t="shared" si="2"/>
        <v>"https://www.zeldadungeon.net/maps/totk/tiles/sky/6/3_48.jpg",</v>
      </c>
      <c r="H88" t="str">
        <f t="shared" si="3"/>
        <v>3_48</v>
      </c>
    </row>
    <row r="89" spans="1:8" x14ac:dyDescent="0.2">
      <c r="A89" s="9" t="s">
        <v>51</v>
      </c>
      <c r="B89" t="s">
        <v>683</v>
      </c>
      <c r="C89" t="str">
        <f t="shared" si="2"/>
        <v>"https://www.zeldadungeon.net/maps/totk/tiles/sky/6/3_49.jpg",</v>
      </c>
      <c r="H89" t="str">
        <f t="shared" si="3"/>
        <v>3_49</v>
      </c>
    </row>
    <row r="90" spans="1:8" x14ac:dyDescent="0.2">
      <c r="A90" s="9" t="s">
        <v>51</v>
      </c>
      <c r="B90" t="s">
        <v>682</v>
      </c>
      <c r="C90" t="str">
        <f t="shared" si="2"/>
        <v>"https://www.zeldadungeon.net/maps/totk/tiles/sky/6/3_50.jpg",</v>
      </c>
      <c r="H90" t="str">
        <f t="shared" si="3"/>
        <v>3_50</v>
      </c>
    </row>
    <row r="91" spans="1:8" x14ac:dyDescent="0.2">
      <c r="A91" s="9" t="s">
        <v>51</v>
      </c>
      <c r="B91" t="s">
        <v>681</v>
      </c>
      <c r="C91" t="str">
        <f t="shared" si="2"/>
        <v>"https://www.zeldadungeon.net/maps/totk/tiles/sky/6/3_51.jpg",</v>
      </c>
      <c r="H91" t="str">
        <f t="shared" si="3"/>
        <v>3_51</v>
      </c>
    </row>
    <row r="92" spans="1:8" x14ac:dyDescent="0.2">
      <c r="A92" s="9" t="s">
        <v>51</v>
      </c>
      <c r="B92" t="s">
        <v>680</v>
      </c>
      <c r="C92" t="str">
        <f t="shared" si="2"/>
        <v>"https://www.zeldadungeon.net/maps/totk/tiles/sky/6/3_52.jpg",</v>
      </c>
      <c r="H92" t="str">
        <f t="shared" si="3"/>
        <v>3_52</v>
      </c>
    </row>
    <row r="93" spans="1:8" x14ac:dyDescent="0.2">
      <c r="A93" s="9" t="s">
        <v>51</v>
      </c>
      <c r="B93" t="s">
        <v>679</v>
      </c>
      <c r="C93" t="str">
        <f t="shared" si="2"/>
        <v>"https://www.zeldadungeon.net/maps/totk/tiles/sky/6/3_53.jpg",</v>
      </c>
      <c r="H93" t="str">
        <f t="shared" si="3"/>
        <v>3_53</v>
      </c>
    </row>
    <row r="94" spans="1:8" x14ac:dyDescent="0.2">
      <c r="A94" s="9" t="s">
        <v>51</v>
      </c>
      <c r="B94" t="s">
        <v>678</v>
      </c>
      <c r="C94" t="str">
        <f t="shared" si="2"/>
        <v>"https://www.zeldadungeon.net/maps/totk/tiles/sky/6/3_54.jpg",</v>
      </c>
      <c r="H94" t="str">
        <f t="shared" si="3"/>
        <v>3_54</v>
      </c>
    </row>
    <row r="95" spans="1:8" x14ac:dyDescent="0.2">
      <c r="A95" s="9" t="s">
        <v>51</v>
      </c>
      <c r="B95" t="s">
        <v>677</v>
      </c>
      <c r="C95" t="str">
        <f t="shared" si="2"/>
        <v>"https://www.zeldadungeon.net/maps/totk/tiles/sky/6/3_55.jpg",</v>
      </c>
      <c r="H95" t="str">
        <f t="shared" si="3"/>
        <v>3_55</v>
      </c>
    </row>
    <row r="96" spans="1:8" x14ac:dyDescent="0.2">
      <c r="A96" s="9" t="s">
        <v>51</v>
      </c>
      <c r="B96" t="s">
        <v>676</v>
      </c>
      <c r="C96" t="str">
        <f t="shared" si="2"/>
        <v>"https://www.zeldadungeon.net/maps/totk/tiles/sky/6/4_8.jpg",</v>
      </c>
      <c r="H96" t="str">
        <f t="shared" si="3"/>
        <v>4_8</v>
      </c>
    </row>
    <row r="97" spans="1:8" x14ac:dyDescent="0.2">
      <c r="A97" s="9" t="s">
        <v>51</v>
      </c>
      <c r="B97" t="s">
        <v>675</v>
      </c>
      <c r="C97" t="str">
        <f t="shared" si="2"/>
        <v>"https://www.zeldadungeon.net/maps/totk/tiles/sky/6/4_9.jpg",</v>
      </c>
      <c r="H97" t="str">
        <f t="shared" si="3"/>
        <v>4_9</v>
      </c>
    </row>
    <row r="98" spans="1:8" x14ac:dyDescent="0.2">
      <c r="A98" s="9" t="s">
        <v>51</v>
      </c>
      <c r="B98" t="s">
        <v>674</v>
      </c>
      <c r="C98" t="str">
        <f t="shared" si="2"/>
        <v>"https://www.zeldadungeon.net/maps/totk/tiles/sky/6/4_10.jpg",</v>
      </c>
      <c r="H98" t="str">
        <f t="shared" si="3"/>
        <v>4_10</v>
      </c>
    </row>
    <row r="99" spans="1:8" x14ac:dyDescent="0.2">
      <c r="A99" s="9" t="s">
        <v>51</v>
      </c>
      <c r="B99" t="s">
        <v>673</v>
      </c>
      <c r="C99" t="str">
        <f t="shared" si="2"/>
        <v>"https://www.zeldadungeon.net/maps/totk/tiles/sky/6/4_11.jpg",</v>
      </c>
      <c r="H99" t="str">
        <f t="shared" si="3"/>
        <v>4_11</v>
      </c>
    </row>
    <row r="100" spans="1:8" x14ac:dyDescent="0.2">
      <c r="A100" s="9" t="s">
        <v>51</v>
      </c>
      <c r="B100" t="s">
        <v>672</v>
      </c>
      <c r="C100" t="str">
        <f t="shared" si="2"/>
        <v>"https://www.zeldadungeon.net/maps/totk/tiles/sky/6/4_12.jpg",</v>
      </c>
      <c r="H100" t="str">
        <f t="shared" si="3"/>
        <v>4_12</v>
      </c>
    </row>
    <row r="101" spans="1:8" x14ac:dyDescent="0.2">
      <c r="A101" s="9" t="s">
        <v>51</v>
      </c>
      <c r="B101" t="s">
        <v>671</v>
      </c>
      <c r="C101" t="str">
        <f t="shared" si="2"/>
        <v>"https://www.zeldadungeon.net/maps/totk/tiles/sky/6/4_13.jpg",</v>
      </c>
      <c r="H101" t="str">
        <f t="shared" si="3"/>
        <v>4_13</v>
      </c>
    </row>
    <row r="102" spans="1:8" x14ac:dyDescent="0.2">
      <c r="A102" s="9" t="s">
        <v>51</v>
      </c>
      <c r="B102" t="s">
        <v>670</v>
      </c>
      <c r="C102" t="str">
        <f t="shared" si="2"/>
        <v>"https://www.zeldadungeon.net/maps/totk/tiles/sky/6/4_14.jpg",</v>
      </c>
      <c r="H102" t="str">
        <f t="shared" si="3"/>
        <v>4_14</v>
      </c>
    </row>
    <row r="103" spans="1:8" x14ac:dyDescent="0.2">
      <c r="A103" s="9" t="s">
        <v>51</v>
      </c>
      <c r="B103" t="s">
        <v>669</v>
      </c>
      <c r="C103" t="str">
        <f t="shared" si="2"/>
        <v>"https://www.zeldadungeon.net/maps/totk/tiles/sky/6/4_15.jpg",</v>
      </c>
      <c r="H103" t="str">
        <f t="shared" si="3"/>
        <v>4_15</v>
      </c>
    </row>
    <row r="104" spans="1:8" x14ac:dyDescent="0.2">
      <c r="A104" s="9" t="s">
        <v>51</v>
      </c>
      <c r="B104" t="s">
        <v>668</v>
      </c>
      <c r="C104" t="str">
        <f t="shared" si="2"/>
        <v>"https://www.zeldadungeon.net/maps/totk/tiles/sky/6/4_16.jpg",</v>
      </c>
      <c r="H104" t="str">
        <f t="shared" si="3"/>
        <v>4_16</v>
      </c>
    </row>
    <row r="105" spans="1:8" x14ac:dyDescent="0.2">
      <c r="A105" s="9" t="s">
        <v>51</v>
      </c>
      <c r="B105" t="s">
        <v>667</v>
      </c>
      <c r="C105" t="str">
        <f t="shared" si="2"/>
        <v>"https://www.zeldadungeon.net/maps/totk/tiles/sky/6/4_17.jpg",</v>
      </c>
      <c r="H105" t="str">
        <f t="shared" si="3"/>
        <v>4_17</v>
      </c>
    </row>
    <row r="106" spans="1:8" x14ac:dyDescent="0.2">
      <c r="A106" s="9" t="s">
        <v>51</v>
      </c>
      <c r="B106" t="s">
        <v>666</v>
      </c>
      <c r="C106" t="str">
        <f t="shared" si="2"/>
        <v>"https://www.zeldadungeon.net/maps/totk/tiles/sky/6/4_18.jpg",</v>
      </c>
      <c r="H106" t="str">
        <f t="shared" si="3"/>
        <v>4_18</v>
      </c>
    </row>
    <row r="107" spans="1:8" x14ac:dyDescent="0.2">
      <c r="A107" s="9" t="s">
        <v>51</v>
      </c>
      <c r="B107" t="s">
        <v>665</v>
      </c>
      <c r="C107" t="str">
        <f t="shared" si="2"/>
        <v>"https://www.zeldadungeon.net/maps/totk/tiles/sky/6/4_19.jpg",</v>
      </c>
      <c r="H107" t="str">
        <f t="shared" si="3"/>
        <v>4_19</v>
      </c>
    </row>
    <row r="108" spans="1:8" x14ac:dyDescent="0.2">
      <c r="A108" s="9" t="s">
        <v>51</v>
      </c>
      <c r="B108" t="s">
        <v>664</v>
      </c>
      <c r="C108" t="str">
        <f t="shared" si="2"/>
        <v>"https://www.zeldadungeon.net/maps/totk/tiles/sky/6/4_20.jpg",</v>
      </c>
      <c r="H108" t="str">
        <f t="shared" si="3"/>
        <v>4_20</v>
      </c>
    </row>
    <row r="109" spans="1:8" x14ac:dyDescent="0.2">
      <c r="A109" s="9" t="s">
        <v>51</v>
      </c>
      <c r="B109" t="s">
        <v>663</v>
      </c>
      <c r="C109" t="str">
        <f t="shared" si="2"/>
        <v>"https://www.zeldadungeon.net/maps/totk/tiles/sky/6/4_21.jpg",</v>
      </c>
      <c r="H109" t="str">
        <f t="shared" si="3"/>
        <v>4_21</v>
      </c>
    </row>
    <row r="110" spans="1:8" x14ac:dyDescent="0.2">
      <c r="A110" s="9" t="s">
        <v>51</v>
      </c>
      <c r="B110" t="s">
        <v>662</v>
      </c>
      <c r="C110" t="str">
        <f t="shared" si="2"/>
        <v>"https://www.zeldadungeon.net/maps/totk/tiles/sky/6/4_22.jpg",</v>
      </c>
      <c r="H110" t="str">
        <f t="shared" si="3"/>
        <v>4_22</v>
      </c>
    </row>
    <row r="111" spans="1:8" x14ac:dyDescent="0.2">
      <c r="A111" s="9" t="s">
        <v>51</v>
      </c>
      <c r="B111" t="s">
        <v>661</v>
      </c>
      <c r="C111" t="str">
        <f t="shared" si="2"/>
        <v>"https://www.zeldadungeon.net/maps/totk/tiles/sky/6/4_23.jpg",</v>
      </c>
      <c r="H111" t="str">
        <f t="shared" si="3"/>
        <v>4_23</v>
      </c>
    </row>
    <row r="112" spans="1:8" x14ac:dyDescent="0.2">
      <c r="A112" s="9" t="s">
        <v>51</v>
      </c>
      <c r="B112" t="s">
        <v>660</v>
      </c>
      <c r="C112" t="str">
        <f t="shared" si="2"/>
        <v>"https://www.zeldadungeon.net/maps/totk/tiles/sky/6/4_24.jpg",</v>
      </c>
      <c r="H112" t="str">
        <f t="shared" si="3"/>
        <v>4_24</v>
      </c>
    </row>
    <row r="113" spans="1:8" x14ac:dyDescent="0.2">
      <c r="A113" s="9" t="s">
        <v>51</v>
      </c>
      <c r="B113" t="s">
        <v>659</v>
      </c>
      <c r="C113" t="str">
        <f t="shared" si="2"/>
        <v>"https://www.zeldadungeon.net/maps/totk/tiles/sky/6/4_25.jpg",</v>
      </c>
      <c r="H113" t="str">
        <f t="shared" si="3"/>
        <v>4_25</v>
      </c>
    </row>
    <row r="114" spans="1:8" x14ac:dyDescent="0.2">
      <c r="A114" s="9" t="s">
        <v>51</v>
      </c>
      <c r="B114" t="s">
        <v>658</v>
      </c>
      <c r="C114" t="str">
        <f t="shared" si="2"/>
        <v>"https://www.zeldadungeon.net/maps/totk/tiles/sky/6/4_26.jpg",</v>
      </c>
      <c r="H114" t="str">
        <f t="shared" si="3"/>
        <v>4_26</v>
      </c>
    </row>
    <row r="115" spans="1:8" x14ac:dyDescent="0.2">
      <c r="A115" s="9" t="s">
        <v>51</v>
      </c>
      <c r="B115" t="s">
        <v>657</v>
      </c>
      <c r="C115" t="str">
        <f t="shared" si="2"/>
        <v>"https://www.zeldadungeon.net/maps/totk/tiles/sky/6/4_27.jpg",</v>
      </c>
      <c r="H115" t="str">
        <f t="shared" si="3"/>
        <v>4_27</v>
      </c>
    </row>
    <row r="116" spans="1:8" x14ac:dyDescent="0.2">
      <c r="A116" s="9" t="s">
        <v>51</v>
      </c>
      <c r="B116" t="s">
        <v>656</v>
      </c>
      <c r="C116" t="str">
        <f t="shared" si="2"/>
        <v>"https://www.zeldadungeon.net/maps/totk/tiles/sky/6/4_28.jpg",</v>
      </c>
      <c r="H116" t="str">
        <f t="shared" si="3"/>
        <v>4_28</v>
      </c>
    </row>
    <row r="117" spans="1:8" x14ac:dyDescent="0.2">
      <c r="A117" s="9" t="s">
        <v>51</v>
      </c>
      <c r="B117" t="s">
        <v>655</v>
      </c>
      <c r="C117" t="str">
        <f t="shared" si="2"/>
        <v>"https://www.zeldadungeon.net/maps/totk/tiles/sky/6/4_29.jpg",</v>
      </c>
      <c r="H117" t="str">
        <f t="shared" si="3"/>
        <v>4_29</v>
      </c>
    </row>
    <row r="118" spans="1:8" x14ac:dyDescent="0.2">
      <c r="A118" s="9" t="s">
        <v>51</v>
      </c>
      <c r="B118" t="s">
        <v>654</v>
      </c>
      <c r="C118" t="str">
        <f t="shared" si="2"/>
        <v>"https://www.zeldadungeon.net/maps/totk/tiles/sky/6/4_30.jpg",</v>
      </c>
      <c r="H118" t="str">
        <f t="shared" si="3"/>
        <v>4_30</v>
      </c>
    </row>
    <row r="119" spans="1:8" x14ac:dyDescent="0.2">
      <c r="A119" s="9" t="s">
        <v>51</v>
      </c>
      <c r="B119" t="s">
        <v>653</v>
      </c>
      <c r="C119" t="str">
        <f t="shared" si="2"/>
        <v>"https://www.zeldadungeon.net/maps/totk/tiles/sky/6/4_31.jpg",</v>
      </c>
      <c r="H119" t="str">
        <f t="shared" si="3"/>
        <v>4_31</v>
      </c>
    </row>
    <row r="120" spans="1:8" x14ac:dyDescent="0.2">
      <c r="A120" s="9" t="s">
        <v>51</v>
      </c>
      <c r="B120" t="s">
        <v>652</v>
      </c>
      <c r="C120" t="str">
        <f t="shared" si="2"/>
        <v>"https://www.zeldadungeon.net/maps/totk/tiles/sky/6/4_32.jpg",</v>
      </c>
      <c r="H120" t="str">
        <f t="shared" si="3"/>
        <v>4_32</v>
      </c>
    </row>
    <row r="121" spans="1:8" x14ac:dyDescent="0.2">
      <c r="A121" s="9" t="s">
        <v>51</v>
      </c>
      <c r="B121" t="s">
        <v>651</v>
      </c>
      <c r="C121" t="str">
        <f t="shared" si="2"/>
        <v>"https://www.zeldadungeon.net/maps/totk/tiles/sky/6/4_33.jpg",</v>
      </c>
      <c r="H121" t="str">
        <f t="shared" si="3"/>
        <v>4_33</v>
      </c>
    </row>
    <row r="122" spans="1:8" x14ac:dyDescent="0.2">
      <c r="A122" s="9" t="s">
        <v>51</v>
      </c>
      <c r="B122" t="s">
        <v>650</v>
      </c>
      <c r="C122" t="str">
        <f t="shared" si="2"/>
        <v>"https://www.zeldadungeon.net/maps/totk/tiles/sky/6/4_34.jpg",</v>
      </c>
      <c r="H122" t="str">
        <f t="shared" si="3"/>
        <v>4_34</v>
      </c>
    </row>
    <row r="123" spans="1:8" x14ac:dyDescent="0.2">
      <c r="A123" s="9" t="s">
        <v>51</v>
      </c>
      <c r="B123" t="s">
        <v>649</v>
      </c>
      <c r="C123" t="str">
        <f t="shared" si="2"/>
        <v>"https://www.zeldadungeon.net/maps/totk/tiles/sky/6/4_35.jpg",</v>
      </c>
      <c r="H123" t="str">
        <f t="shared" si="3"/>
        <v>4_35</v>
      </c>
    </row>
    <row r="124" spans="1:8" x14ac:dyDescent="0.2">
      <c r="A124" s="9" t="s">
        <v>51</v>
      </c>
      <c r="B124" t="s">
        <v>648</v>
      </c>
      <c r="C124" t="str">
        <f t="shared" si="2"/>
        <v>"https://www.zeldadungeon.net/maps/totk/tiles/sky/6/4_36.jpg",</v>
      </c>
      <c r="H124" t="str">
        <f t="shared" si="3"/>
        <v>4_36</v>
      </c>
    </row>
    <row r="125" spans="1:8" x14ac:dyDescent="0.2">
      <c r="A125" s="9" t="s">
        <v>51</v>
      </c>
      <c r="B125" t="s">
        <v>647</v>
      </c>
      <c r="C125" t="str">
        <f t="shared" si="2"/>
        <v>"https://www.zeldadungeon.net/maps/totk/tiles/sky/6/4_37.jpg",</v>
      </c>
      <c r="H125" t="str">
        <f t="shared" si="3"/>
        <v>4_37</v>
      </c>
    </row>
    <row r="126" spans="1:8" x14ac:dyDescent="0.2">
      <c r="A126" s="9" t="s">
        <v>51</v>
      </c>
      <c r="B126" t="s">
        <v>646</v>
      </c>
      <c r="C126" t="str">
        <f t="shared" si="2"/>
        <v>"https://www.zeldadungeon.net/maps/totk/tiles/sky/6/4_38.jpg",</v>
      </c>
      <c r="H126" t="str">
        <f t="shared" si="3"/>
        <v>4_38</v>
      </c>
    </row>
    <row r="127" spans="1:8" x14ac:dyDescent="0.2">
      <c r="A127" s="9" t="s">
        <v>51</v>
      </c>
      <c r="B127" t="s">
        <v>645</v>
      </c>
      <c r="C127" t="str">
        <f t="shared" si="2"/>
        <v>"https://www.zeldadungeon.net/maps/totk/tiles/sky/6/4_39.jpg",</v>
      </c>
      <c r="H127" t="str">
        <f t="shared" si="3"/>
        <v>4_39</v>
      </c>
    </row>
    <row r="128" spans="1:8" x14ac:dyDescent="0.2">
      <c r="A128" s="9" t="s">
        <v>51</v>
      </c>
      <c r="B128" t="s">
        <v>644</v>
      </c>
      <c r="C128" t="str">
        <f t="shared" si="2"/>
        <v>"https://www.zeldadungeon.net/maps/totk/tiles/sky/6/4_40.jpg",</v>
      </c>
      <c r="H128" t="str">
        <f t="shared" si="3"/>
        <v>4_40</v>
      </c>
    </row>
    <row r="129" spans="1:8" x14ac:dyDescent="0.2">
      <c r="A129" s="9" t="s">
        <v>51</v>
      </c>
      <c r="B129" t="s">
        <v>643</v>
      </c>
      <c r="C129" t="str">
        <f t="shared" ref="C129:C192" si="4">""""&amp;SUBSTITUTE(A129,"zzz",H129)&amp;""""&amp;","</f>
        <v>"https://www.zeldadungeon.net/maps/totk/tiles/sky/6/4_41.jpg",</v>
      </c>
      <c r="H129" t="str">
        <f t="shared" ref="H129:H192" si="5">QUOTIENT(ROW(A129),48)+2&amp;"_"&amp;MOD(ROW(A129),48)+8</f>
        <v>4_41</v>
      </c>
    </row>
    <row r="130" spans="1:8" x14ac:dyDescent="0.2">
      <c r="A130" s="9" t="s">
        <v>51</v>
      </c>
      <c r="B130" t="s">
        <v>642</v>
      </c>
      <c r="C130" t="str">
        <f t="shared" si="4"/>
        <v>"https://www.zeldadungeon.net/maps/totk/tiles/sky/6/4_42.jpg",</v>
      </c>
      <c r="H130" t="str">
        <f t="shared" si="5"/>
        <v>4_42</v>
      </c>
    </row>
    <row r="131" spans="1:8" x14ac:dyDescent="0.2">
      <c r="A131" s="9" t="s">
        <v>51</v>
      </c>
      <c r="B131" t="s">
        <v>641</v>
      </c>
      <c r="C131" t="str">
        <f t="shared" si="4"/>
        <v>"https://www.zeldadungeon.net/maps/totk/tiles/sky/6/4_43.jpg",</v>
      </c>
      <c r="H131" t="str">
        <f t="shared" si="5"/>
        <v>4_43</v>
      </c>
    </row>
    <row r="132" spans="1:8" x14ac:dyDescent="0.2">
      <c r="A132" s="9" t="s">
        <v>51</v>
      </c>
      <c r="B132" t="s">
        <v>640</v>
      </c>
      <c r="C132" t="str">
        <f t="shared" si="4"/>
        <v>"https://www.zeldadungeon.net/maps/totk/tiles/sky/6/4_44.jpg",</v>
      </c>
      <c r="H132" t="str">
        <f t="shared" si="5"/>
        <v>4_44</v>
      </c>
    </row>
    <row r="133" spans="1:8" x14ac:dyDescent="0.2">
      <c r="A133" s="9" t="s">
        <v>51</v>
      </c>
      <c r="B133" t="s">
        <v>639</v>
      </c>
      <c r="C133" t="str">
        <f t="shared" si="4"/>
        <v>"https://www.zeldadungeon.net/maps/totk/tiles/sky/6/4_45.jpg",</v>
      </c>
      <c r="H133" t="str">
        <f t="shared" si="5"/>
        <v>4_45</v>
      </c>
    </row>
    <row r="134" spans="1:8" x14ac:dyDescent="0.2">
      <c r="A134" s="9" t="s">
        <v>51</v>
      </c>
      <c r="B134" t="s">
        <v>638</v>
      </c>
      <c r="C134" t="str">
        <f t="shared" si="4"/>
        <v>"https://www.zeldadungeon.net/maps/totk/tiles/sky/6/4_46.jpg",</v>
      </c>
      <c r="H134" t="str">
        <f t="shared" si="5"/>
        <v>4_46</v>
      </c>
    </row>
    <row r="135" spans="1:8" x14ac:dyDescent="0.2">
      <c r="A135" s="9" t="s">
        <v>51</v>
      </c>
      <c r="B135" t="s">
        <v>637</v>
      </c>
      <c r="C135" t="str">
        <f t="shared" si="4"/>
        <v>"https://www.zeldadungeon.net/maps/totk/tiles/sky/6/4_47.jpg",</v>
      </c>
      <c r="H135" t="str">
        <f t="shared" si="5"/>
        <v>4_47</v>
      </c>
    </row>
    <row r="136" spans="1:8" x14ac:dyDescent="0.2">
      <c r="A136" s="9" t="s">
        <v>51</v>
      </c>
      <c r="B136" t="s">
        <v>636</v>
      </c>
      <c r="C136" t="str">
        <f t="shared" si="4"/>
        <v>"https://www.zeldadungeon.net/maps/totk/tiles/sky/6/4_48.jpg",</v>
      </c>
      <c r="H136" t="str">
        <f t="shared" si="5"/>
        <v>4_48</v>
      </c>
    </row>
    <row r="137" spans="1:8" x14ac:dyDescent="0.2">
      <c r="A137" s="9" t="s">
        <v>51</v>
      </c>
      <c r="B137" t="s">
        <v>635</v>
      </c>
      <c r="C137" t="str">
        <f t="shared" si="4"/>
        <v>"https://www.zeldadungeon.net/maps/totk/tiles/sky/6/4_49.jpg",</v>
      </c>
      <c r="H137" t="str">
        <f t="shared" si="5"/>
        <v>4_49</v>
      </c>
    </row>
    <row r="138" spans="1:8" x14ac:dyDescent="0.2">
      <c r="A138" s="9" t="s">
        <v>51</v>
      </c>
      <c r="B138" t="s">
        <v>634</v>
      </c>
      <c r="C138" t="str">
        <f t="shared" si="4"/>
        <v>"https://www.zeldadungeon.net/maps/totk/tiles/sky/6/4_50.jpg",</v>
      </c>
      <c r="H138" t="str">
        <f t="shared" si="5"/>
        <v>4_50</v>
      </c>
    </row>
    <row r="139" spans="1:8" x14ac:dyDescent="0.2">
      <c r="A139" s="9" t="s">
        <v>51</v>
      </c>
      <c r="B139" t="s">
        <v>633</v>
      </c>
      <c r="C139" t="str">
        <f t="shared" si="4"/>
        <v>"https://www.zeldadungeon.net/maps/totk/tiles/sky/6/4_51.jpg",</v>
      </c>
      <c r="H139" t="str">
        <f t="shared" si="5"/>
        <v>4_51</v>
      </c>
    </row>
    <row r="140" spans="1:8" x14ac:dyDescent="0.2">
      <c r="A140" s="9" t="s">
        <v>51</v>
      </c>
      <c r="B140" t="s">
        <v>632</v>
      </c>
      <c r="C140" t="str">
        <f t="shared" si="4"/>
        <v>"https://www.zeldadungeon.net/maps/totk/tiles/sky/6/4_52.jpg",</v>
      </c>
      <c r="H140" t="str">
        <f t="shared" si="5"/>
        <v>4_52</v>
      </c>
    </row>
    <row r="141" spans="1:8" x14ac:dyDescent="0.2">
      <c r="A141" s="9" t="s">
        <v>51</v>
      </c>
      <c r="B141" t="s">
        <v>631</v>
      </c>
      <c r="C141" t="str">
        <f t="shared" si="4"/>
        <v>"https://www.zeldadungeon.net/maps/totk/tiles/sky/6/4_53.jpg",</v>
      </c>
      <c r="H141" t="str">
        <f t="shared" si="5"/>
        <v>4_53</v>
      </c>
    </row>
    <row r="142" spans="1:8" x14ac:dyDescent="0.2">
      <c r="A142" s="9" t="s">
        <v>51</v>
      </c>
      <c r="B142" t="s">
        <v>630</v>
      </c>
      <c r="C142" t="str">
        <f t="shared" si="4"/>
        <v>"https://www.zeldadungeon.net/maps/totk/tiles/sky/6/4_54.jpg",</v>
      </c>
      <c r="H142" t="str">
        <f t="shared" si="5"/>
        <v>4_54</v>
      </c>
    </row>
    <row r="143" spans="1:8" x14ac:dyDescent="0.2">
      <c r="A143" s="9" t="s">
        <v>51</v>
      </c>
      <c r="B143" t="s">
        <v>629</v>
      </c>
      <c r="C143" t="str">
        <f t="shared" si="4"/>
        <v>"https://www.zeldadungeon.net/maps/totk/tiles/sky/6/4_55.jpg",</v>
      </c>
      <c r="H143" t="str">
        <f t="shared" si="5"/>
        <v>4_55</v>
      </c>
    </row>
    <row r="144" spans="1:8" x14ac:dyDescent="0.2">
      <c r="A144" s="9" t="s">
        <v>51</v>
      </c>
      <c r="B144" t="s">
        <v>628</v>
      </c>
      <c r="C144" t="str">
        <f t="shared" si="4"/>
        <v>"https://www.zeldadungeon.net/maps/totk/tiles/sky/6/5_8.jpg",</v>
      </c>
      <c r="H144" t="str">
        <f t="shared" si="5"/>
        <v>5_8</v>
      </c>
    </row>
    <row r="145" spans="1:8" x14ac:dyDescent="0.2">
      <c r="A145" s="9" t="s">
        <v>51</v>
      </c>
      <c r="B145" t="s">
        <v>627</v>
      </c>
      <c r="C145" t="str">
        <f t="shared" si="4"/>
        <v>"https://www.zeldadungeon.net/maps/totk/tiles/sky/6/5_9.jpg",</v>
      </c>
      <c r="H145" t="str">
        <f t="shared" si="5"/>
        <v>5_9</v>
      </c>
    </row>
    <row r="146" spans="1:8" x14ac:dyDescent="0.2">
      <c r="A146" s="9" t="s">
        <v>51</v>
      </c>
      <c r="B146" t="s">
        <v>626</v>
      </c>
      <c r="C146" t="str">
        <f t="shared" si="4"/>
        <v>"https://www.zeldadungeon.net/maps/totk/tiles/sky/6/5_10.jpg",</v>
      </c>
      <c r="H146" t="str">
        <f t="shared" si="5"/>
        <v>5_10</v>
      </c>
    </row>
    <row r="147" spans="1:8" x14ac:dyDescent="0.2">
      <c r="A147" s="9" t="s">
        <v>51</v>
      </c>
      <c r="B147" t="s">
        <v>625</v>
      </c>
      <c r="C147" t="str">
        <f t="shared" si="4"/>
        <v>"https://www.zeldadungeon.net/maps/totk/tiles/sky/6/5_11.jpg",</v>
      </c>
      <c r="H147" t="str">
        <f t="shared" si="5"/>
        <v>5_11</v>
      </c>
    </row>
    <row r="148" spans="1:8" x14ac:dyDescent="0.2">
      <c r="A148" s="9" t="s">
        <v>51</v>
      </c>
      <c r="B148" t="s">
        <v>624</v>
      </c>
      <c r="C148" t="str">
        <f t="shared" si="4"/>
        <v>"https://www.zeldadungeon.net/maps/totk/tiles/sky/6/5_12.jpg",</v>
      </c>
      <c r="H148" t="str">
        <f t="shared" si="5"/>
        <v>5_12</v>
      </c>
    </row>
    <row r="149" spans="1:8" x14ac:dyDescent="0.2">
      <c r="A149" s="9" t="s">
        <v>51</v>
      </c>
      <c r="B149" t="s">
        <v>623</v>
      </c>
      <c r="C149" t="str">
        <f t="shared" si="4"/>
        <v>"https://www.zeldadungeon.net/maps/totk/tiles/sky/6/5_13.jpg",</v>
      </c>
      <c r="H149" t="str">
        <f t="shared" si="5"/>
        <v>5_13</v>
      </c>
    </row>
    <row r="150" spans="1:8" x14ac:dyDescent="0.2">
      <c r="A150" s="9" t="s">
        <v>51</v>
      </c>
      <c r="B150" t="s">
        <v>622</v>
      </c>
      <c r="C150" t="str">
        <f t="shared" si="4"/>
        <v>"https://www.zeldadungeon.net/maps/totk/tiles/sky/6/5_14.jpg",</v>
      </c>
      <c r="H150" t="str">
        <f t="shared" si="5"/>
        <v>5_14</v>
      </c>
    </row>
    <row r="151" spans="1:8" x14ac:dyDescent="0.2">
      <c r="A151" s="9" t="s">
        <v>51</v>
      </c>
      <c r="B151" t="s">
        <v>621</v>
      </c>
      <c r="C151" t="str">
        <f t="shared" si="4"/>
        <v>"https://www.zeldadungeon.net/maps/totk/tiles/sky/6/5_15.jpg",</v>
      </c>
      <c r="H151" t="str">
        <f t="shared" si="5"/>
        <v>5_15</v>
      </c>
    </row>
    <row r="152" spans="1:8" x14ac:dyDescent="0.2">
      <c r="A152" s="9" t="s">
        <v>51</v>
      </c>
      <c r="B152" t="s">
        <v>620</v>
      </c>
      <c r="C152" t="str">
        <f t="shared" si="4"/>
        <v>"https://www.zeldadungeon.net/maps/totk/tiles/sky/6/5_16.jpg",</v>
      </c>
      <c r="H152" t="str">
        <f t="shared" si="5"/>
        <v>5_16</v>
      </c>
    </row>
    <row r="153" spans="1:8" x14ac:dyDescent="0.2">
      <c r="A153" s="9" t="s">
        <v>51</v>
      </c>
      <c r="B153" t="s">
        <v>619</v>
      </c>
      <c r="C153" t="str">
        <f t="shared" si="4"/>
        <v>"https://www.zeldadungeon.net/maps/totk/tiles/sky/6/5_17.jpg",</v>
      </c>
      <c r="H153" t="str">
        <f t="shared" si="5"/>
        <v>5_17</v>
      </c>
    </row>
    <row r="154" spans="1:8" x14ac:dyDescent="0.2">
      <c r="A154" s="9" t="s">
        <v>51</v>
      </c>
      <c r="B154" t="s">
        <v>618</v>
      </c>
      <c r="C154" t="str">
        <f t="shared" si="4"/>
        <v>"https://www.zeldadungeon.net/maps/totk/tiles/sky/6/5_18.jpg",</v>
      </c>
      <c r="H154" t="str">
        <f t="shared" si="5"/>
        <v>5_18</v>
      </c>
    </row>
    <row r="155" spans="1:8" x14ac:dyDescent="0.2">
      <c r="A155" s="9" t="s">
        <v>51</v>
      </c>
      <c r="B155" t="s">
        <v>617</v>
      </c>
      <c r="C155" t="str">
        <f t="shared" si="4"/>
        <v>"https://www.zeldadungeon.net/maps/totk/tiles/sky/6/5_19.jpg",</v>
      </c>
      <c r="H155" t="str">
        <f t="shared" si="5"/>
        <v>5_19</v>
      </c>
    </row>
    <row r="156" spans="1:8" x14ac:dyDescent="0.2">
      <c r="A156" s="9" t="s">
        <v>51</v>
      </c>
      <c r="B156" t="s">
        <v>616</v>
      </c>
      <c r="C156" t="str">
        <f t="shared" si="4"/>
        <v>"https://www.zeldadungeon.net/maps/totk/tiles/sky/6/5_20.jpg",</v>
      </c>
      <c r="H156" t="str">
        <f t="shared" si="5"/>
        <v>5_20</v>
      </c>
    </row>
    <row r="157" spans="1:8" x14ac:dyDescent="0.2">
      <c r="A157" s="9" t="s">
        <v>51</v>
      </c>
      <c r="B157" t="s">
        <v>615</v>
      </c>
      <c r="C157" t="str">
        <f t="shared" si="4"/>
        <v>"https://www.zeldadungeon.net/maps/totk/tiles/sky/6/5_21.jpg",</v>
      </c>
      <c r="H157" t="str">
        <f t="shared" si="5"/>
        <v>5_21</v>
      </c>
    </row>
    <row r="158" spans="1:8" x14ac:dyDescent="0.2">
      <c r="A158" s="9" t="s">
        <v>51</v>
      </c>
      <c r="B158" t="s">
        <v>614</v>
      </c>
      <c r="C158" t="str">
        <f t="shared" si="4"/>
        <v>"https://www.zeldadungeon.net/maps/totk/tiles/sky/6/5_22.jpg",</v>
      </c>
      <c r="H158" t="str">
        <f t="shared" si="5"/>
        <v>5_22</v>
      </c>
    </row>
    <row r="159" spans="1:8" x14ac:dyDescent="0.2">
      <c r="A159" s="9" t="s">
        <v>51</v>
      </c>
      <c r="B159" t="s">
        <v>613</v>
      </c>
      <c r="C159" t="str">
        <f t="shared" si="4"/>
        <v>"https://www.zeldadungeon.net/maps/totk/tiles/sky/6/5_23.jpg",</v>
      </c>
      <c r="H159" t="str">
        <f t="shared" si="5"/>
        <v>5_23</v>
      </c>
    </row>
    <row r="160" spans="1:8" x14ac:dyDescent="0.2">
      <c r="A160" s="9" t="s">
        <v>51</v>
      </c>
      <c r="B160" t="s">
        <v>612</v>
      </c>
      <c r="C160" t="str">
        <f t="shared" si="4"/>
        <v>"https://www.zeldadungeon.net/maps/totk/tiles/sky/6/5_24.jpg",</v>
      </c>
      <c r="H160" t="str">
        <f t="shared" si="5"/>
        <v>5_24</v>
      </c>
    </row>
    <row r="161" spans="1:8" x14ac:dyDescent="0.2">
      <c r="A161" s="9" t="s">
        <v>51</v>
      </c>
      <c r="B161" t="s">
        <v>611</v>
      </c>
      <c r="C161" t="str">
        <f t="shared" si="4"/>
        <v>"https://www.zeldadungeon.net/maps/totk/tiles/sky/6/5_25.jpg",</v>
      </c>
      <c r="H161" t="str">
        <f t="shared" si="5"/>
        <v>5_25</v>
      </c>
    </row>
    <row r="162" spans="1:8" x14ac:dyDescent="0.2">
      <c r="A162" s="9" t="s">
        <v>51</v>
      </c>
      <c r="B162" t="s">
        <v>610</v>
      </c>
      <c r="C162" t="str">
        <f t="shared" si="4"/>
        <v>"https://www.zeldadungeon.net/maps/totk/tiles/sky/6/5_26.jpg",</v>
      </c>
      <c r="H162" t="str">
        <f t="shared" si="5"/>
        <v>5_26</v>
      </c>
    </row>
    <row r="163" spans="1:8" x14ac:dyDescent="0.2">
      <c r="A163" s="9" t="s">
        <v>51</v>
      </c>
      <c r="B163" t="s">
        <v>609</v>
      </c>
      <c r="C163" t="str">
        <f t="shared" si="4"/>
        <v>"https://www.zeldadungeon.net/maps/totk/tiles/sky/6/5_27.jpg",</v>
      </c>
      <c r="H163" t="str">
        <f t="shared" si="5"/>
        <v>5_27</v>
      </c>
    </row>
    <row r="164" spans="1:8" x14ac:dyDescent="0.2">
      <c r="A164" s="9" t="s">
        <v>51</v>
      </c>
      <c r="B164" t="s">
        <v>608</v>
      </c>
      <c r="C164" t="str">
        <f t="shared" si="4"/>
        <v>"https://www.zeldadungeon.net/maps/totk/tiles/sky/6/5_28.jpg",</v>
      </c>
      <c r="H164" t="str">
        <f t="shared" si="5"/>
        <v>5_28</v>
      </c>
    </row>
    <row r="165" spans="1:8" x14ac:dyDescent="0.2">
      <c r="A165" s="9" t="s">
        <v>51</v>
      </c>
      <c r="B165" t="s">
        <v>607</v>
      </c>
      <c r="C165" t="str">
        <f t="shared" si="4"/>
        <v>"https://www.zeldadungeon.net/maps/totk/tiles/sky/6/5_29.jpg",</v>
      </c>
      <c r="H165" t="str">
        <f t="shared" si="5"/>
        <v>5_29</v>
      </c>
    </row>
    <row r="166" spans="1:8" x14ac:dyDescent="0.2">
      <c r="A166" s="9" t="s">
        <v>51</v>
      </c>
      <c r="B166" t="s">
        <v>606</v>
      </c>
      <c r="C166" t="str">
        <f t="shared" si="4"/>
        <v>"https://www.zeldadungeon.net/maps/totk/tiles/sky/6/5_30.jpg",</v>
      </c>
      <c r="H166" t="str">
        <f t="shared" si="5"/>
        <v>5_30</v>
      </c>
    </row>
    <row r="167" spans="1:8" x14ac:dyDescent="0.2">
      <c r="A167" s="9" t="s">
        <v>51</v>
      </c>
      <c r="B167" t="s">
        <v>605</v>
      </c>
      <c r="C167" t="str">
        <f t="shared" si="4"/>
        <v>"https://www.zeldadungeon.net/maps/totk/tiles/sky/6/5_31.jpg",</v>
      </c>
      <c r="H167" t="str">
        <f t="shared" si="5"/>
        <v>5_31</v>
      </c>
    </row>
    <row r="168" spans="1:8" x14ac:dyDescent="0.2">
      <c r="A168" s="9" t="s">
        <v>51</v>
      </c>
      <c r="B168" t="s">
        <v>604</v>
      </c>
      <c r="C168" t="str">
        <f t="shared" si="4"/>
        <v>"https://www.zeldadungeon.net/maps/totk/tiles/sky/6/5_32.jpg",</v>
      </c>
      <c r="H168" t="str">
        <f t="shared" si="5"/>
        <v>5_32</v>
      </c>
    </row>
    <row r="169" spans="1:8" x14ac:dyDescent="0.2">
      <c r="A169" s="9" t="s">
        <v>51</v>
      </c>
      <c r="B169" t="s">
        <v>603</v>
      </c>
      <c r="C169" t="str">
        <f t="shared" si="4"/>
        <v>"https://www.zeldadungeon.net/maps/totk/tiles/sky/6/5_33.jpg",</v>
      </c>
      <c r="H169" t="str">
        <f t="shared" si="5"/>
        <v>5_33</v>
      </c>
    </row>
    <row r="170" spans="1:8" x14ac:dyDescent="0.2">
      <c r="A170" s="9" t="s">
        <v>51</v>
      </c>
      <c r="B170" t="s">
        <v>602</v>
      </c>
      <c r="C170" t="str">
        <f t="shared" si="4"/>
        <v>"https://www.zeldadungeon.net/maps/totk/tiles/sky/6/5_34.jpg",</v>
      </c>
      <c r="H170" t="str">
        <f t="shared" si="5"/>
        <v>5_34</v>
      </c>
    </row>
    <row r="171" spans="1:8" x14ac:dyDescent="0.2">
      <c r="A171" s="9" t="s">
        <v>51</v>
      </c>
      <c r="B171" t="s">
        <v>601</v>
      </c>
      <c r="C171" t="str">
        <f t="shared" si="4"/>
        <v>"https://www.zeldadungeon.net/maps/totk/tiles/sky/6/5_35.jpg",</v>
      </c>
      <c r="H171" t="str">
        <f t="shared" si="5"/>
        <v>5_35</v>
      </c>
    </row>
    <row r="172" spans="1:8" x14ac:dyDescent="0.2">
      <c r="A172" s="9" t="s">
        <v>51</v>
      </c>
      <c r="B172" t="s">
        <v>600</v>
      </c>
      <c r="C172" t="str">
        <f t="shared" si="4"/>
        <v>"https://www.zeldadungeon.net/maps/totk/tiles/sky/6/5_36.jpg",</v>
      </c>
      <c r="H172" t="str">
        <f t="shared" si="5"/>
        <v>5_36</v>
      </c>
    </row>
    <row r="173" spans="1:8" x14ac:dyDescent="0.2">
      <c r="A173" s="9" t="s">
        <v>51</v>
      </c>
      <c r="B173" t="s">
        <v>599</v>
      </c>
      <c r="C173" t="str">
        <f t="shared" si="4"/>
        <v>"https://www.zeldadungeon.net/maps/totk/tiles/sky/6/5_37.jpg",</v>
      </c>
      <c r="H173" t="str">
        <f t="shared" si="5"/>
        <v>5_37</v>
      </c>
    </row>
    <row r="174" spans="1:8" x14ac:dyDescent="0.2">
      <c r="A174" s="9" t="s">
        <v>51</v>
      </c>
      <c r="B174" t="s">
        <v>598</v>
      </c>
      <c r="C174" t="str">
        <f t="shared" si="4"/>
        <v>"https://www.zeldadungeon.net/maps/totk/tiles/sky/6/5_38.jpg",</v>
      </c>
      <c r="H174" t="str">
        <f t="shared" si="5"/>
        <v>5_38</v>
      </c>
    </row>
    <row r="175" spans="1:8" x14ac:dyDescent="0.2">
      <c r="A175" s="9" t="s">
        <v>51</v>
      </c>
      <c r="B175" t="s">
        <v>597</v>
      </c>
      <c r="C175" t="str">
        <f t="shared" si="4"/>
        <v>"https://www.zeldadungeon.net/maps/totk/tiles/sky/6/5_39.jpg",</v>
      </c>
      <c r="H175" t="str">
        <f t="shared" si="5"/>
        <v>5_39</v>
      </c>
    </row>
    <row r="176" spans="1:8" x14ac:dyDescent="0.2">
      <c r="A176" s="9" t="s">
        <v>51</v>
      </c>
      <c r="B176" t="s">
        <v>596</v>
      </c>
      <c r="C176" t="str">
        <f t="shared" si="4"/>
        <v>"https://www.zeldadungeon.net/maps/totk/tiles/sky/6/5_40.jpg",</v>
      </c>
      <c r="H176" t="str">
        <f t="shared" si="5"/>
        <v>5_40</v>
      </c>
    </row>
    <row r="177" spans="1:8" x14ac:dyDescent="0.2">
      <c r="A177" s="9" t="s">
        <v>51</v>
      </c>
      <c r="B177" t="s">
        <v>595</v>
      </c>
      <c r="C177" t="str">
        <f t="shared" si="4"/>
        <v>"https://www.zeldadungeon.net/maps/totk/tiles/sky/6/5_41.jpg",</v>
      </c>
      <c r="H177" t="str">
        <f t="shared" si="5"/>
        <v>5_41</v>
      </c>
    </row>
    <row r="178" spans="1:8" x14ac:dyDescent="0.2">
      <c r="A178" s="9" t="s">
        <v>51</v>
      </c>
      <c r="B178" t="s">
        <v>594</v>
      </c>
      <c r="C178" t="str">
        <f t="shared" si="4"/>
        <v>"https://www.zeldadungeon.net/maps/totk/tiles/sky/6/5_42.jpg",</v>
      </c>
      <c r="H178" t="str">
        <f t="shared" si="5"/>
        <v>5_42</v>
      </c>
    </row>
    <row r="179" spans="1:8" x14ac:dyDescent="0.2">
      <c r="A179" s="9" t="s">
        <v>51</v>
      </c>
      <c r="B179" t="s">
        <v>593</v>
      </c>
      <c r="C179" t="str">
        <f t="shared" si="4"/>
        <v>"https://www.zeldadungeon.net/maps/totk/tiles/sky/6/5_43.jpg",</v>
      </c>
      <c r="H179" t="str">
        <f t="shared" si="5"/>
        <v>5_43</v>
      </c>
    </row>
    <row r="180" spans="1:8" x14ac:dyDescent="0.2">
      <c r="A180" s="9" t="s">
        <v>51</v>
      </c>
      <c r="B180" t="s">
        <v>592</v>
      </c>
      <c r="C180" t="str">
        <f t="shared" si="4"/>
        <v>"https://www.zeldadungeon.net/maps/totk/tiles/sky/6/5_44.jpg",</v>
      </c>
      <c r="H180" t="str">
        <f t="shared" si="5"/>
        <v>5_44</v>
      </c>
    </row>
    <row r="181" spans="1:8" x14ac:dyDescent="0.2">
      <c r="A181" s="9" t="s">
        <v>51</v>
      </c>
      <c r="B181" t="s">
        <v>591</v>
      </c>
      <c r="C181" t="str">
        <f t="shared" si="4"/>
        <v>"https://www.zeldadungeon.net/maps/totk/tiles/sky/6/5_45.jpg",</v>
      </c>
      <c r="H181" t="str">
        <f t="shared" si="5"/>
        <v>5_45</v>
      </c>
    </row>
    <row r="182" spans="1:8" x14ac:dyDescent="0.2">
      <c r="A182" s="9" t="s">
        <v>51</v>
      </c>
      <c r="B182" t="s">
        <v>590</v>
      </c>
      <c r="C182" t="str">
        <f t="shared" si="4"/>
        <v>"https://www.zeldadungeon.net/maps/totk/tiles/sky/6/5_46.jpg",</v>
      </c>
      <c r="H182" t="str">
        <f t="shared" si="5"/>
        <v>5_46</v>
      </c>
    </row>
    <row r="183" spans="1:8" x14ac:dyDescent="0.2">
      <c r="A183" s="9" t="s">
        <v>51</v>
      </c>
      <c r="B183" t="s">
        <v>589</v>
      </c>
      <c r="C183" t="str">
        <f t="shared" si="4"/>
        <v>"https://www.zeldadungeon.net/maps/totk/tiles/sky/6/5_47.jpg",</v>
      </c>
      <c r="H183" t="str">
        <f t="shared" si="5"/>
        <v>5_47</v>
      </c>
    </row>
    <row r="184" spans="1:8" x14ac:dyDescent="0.2">
      <c r="A184" s="9" t="s">
        <v>51</v>
      </c>
      <c r="B184" t="s">
        <v>588</v>
      </c>
      <c r="C184" t="str">
        <f t="shared" si="4"/>
        <v>"https://www.zeldadungeon.net/maps/totk/tiles/sky/6/5_48.jpg",</v>
      </c>
      <c r="H184" t="str">
        <f t="shared" si="5"/>
        <v>5_48</v>
      </c>
    </row>
    <row r="185" spans="1:8" x14ac:dyDescent="0.2">
      <c r="A185" s="9" t="s">
        <v>51</v>
      </c>
      <c r="B185" t="s">
        <v>587</v>
      </c>
      <c r="C185" t="str">
        <f t="shared" si="4"/>
        <v>"https://www.zeldadungeon.net/maps/totk/tiles/sky/6/5_49.jpg",</v>
      </c>
      <c r="H185" t="str">
        <f t="shared" si="5"/>
        <v>5_49</v>
      </c>
    </row>
    <row r="186" spans="1:8" x14ac:dyDescent="0.2">
      <c r="A186" s="9" t="s">
        <v>51</v>
      </c>
      <c r="B186" t="s">
        <v>586</v>
      </c>
      <c r="C186" t="str">
        <f t="shared" si="4"/>
        <v>"https://www.zeldadungeon.net/maps/totk/tiles/sky/6/5_50.jpg",</v>
      </c>
      <c r="H186" t="str">
        <f t="shared" si="5"/>
        <v>5_50</v>
      </c>
    </row>
    <row r="187" spans="1:8" x14ac:dyDescent="0.2">
      <c r="A187" s="9" t="s">
        <v>51</v>
      </c>
      <c r="B187" t="s">
        <v>585</v>
      </c>
      <c r="C187" t="str">
        <f t="shared" si="4"/>
        <v>"https://www.zeldadungeon.net/maps/totk/tiles/sky/6/5_51.jpg",</v>
      </c>
      <c r="H187" t="str">
        <f t="shared" si="5"/>
        <v>5_51</v>
      </c>
    </row>
    <row r="188" spans="1:8" x14ac:dyDescent="0.2">
      <c r="A188" s="9" t="s">
        <v>51</v>
      </c>
      <c r="B188" t="s">
        <v>584</v>
      </c>
      <c r="C188" t="str">
        <f t="shared" si="4"/>
        <v>"https://www.zeldadungeon.net/maps/totk/tiles/sky/6/5_52.jpg",</v>
      </c>
      <c r="H188" t="str">
        <f t="shared" si="5"/>
        <v>5_52</v>
      </c>
    </row>
    <row r="189" spans="1:8" x14ac:dyDescent="0.2">
      <c r="A189" s="9" t="s">
        <v>51</v>
      </c>
      <c r="B189" t="s">
        <v>583</v>
      </c>
      <c r="C189" t="str">
        <f t="shared" si="4"/>
        <v>"https://www.zeldadungeon.net/maps/totk/tiles/sky/6/5_53.jpg",</v>
      </c>
      <c r="H189" t="str">
        <f t="shared" si="5"/>
        <v>5_53</v>
      </c>
    </row>
    <row r="190" spans="1:8" x14ac:dyDescent="0.2">
      <c r="A190" s="9" t="s">
        <v>51</v>
      </c>
      <c r="B190" t="s">
        <v>582</v>
      </c>
      <c r="C190" t="str">
        <f t="shared" si="4"/>
        <v>"https://www.zeldadungeon.net/maps/totk/tiles/sky/6/5_54.jpg",</v>
      </c>
      <c r="H190" t="str">
        <f t="shared" si="5"/>
        <v>5_54</v>
      </c>
    </row>
    <row r="191" spans="1:8" x14ac:dyDescent="0.2">
      <c r="A191" s="9" t="s">
        <v>51</v>
      </c>
      <c r="B191" t="s">
        <v>581</v>
      </c>
      <c r="C191" t="str">
        <f t="shared" si="4"/>
        <v>"https://www.zeldadungeon.net/maps/totk/tiles/sky/6/5_55.jpg",</v>
      </c>
      <c r="H191" t="str">
        <f t="shared" si="5"/>
        <v>5_55</v>
      </c>
    </row>
    <row r="192" spans="1:8" x14ac:dyDescent="0.2">
      <c r="A192" s="9" t="s">
        <v>51</v>
      </c>
      <c r="B192" t="s">
        <v>580</v>
      </c>
      <c r="C192" t="str">
        <f t="shared" si="4"/>
        <v>"https://www.zeldadungeon.net/maps/totk/tiles/sky/6/6_8.jpg",</v>
      </c>
      <c r="H192" t="str">
        <f t="shared" si="5"/>
        <v>6_8</v>
      </c>
    </row>
    <row r="193" spans="1:8" x14ac:dyDescent="0.2">
      <c r="A193" s="9" t="s">
        <v>51</v>
      </c>
      <c r="B193" t="s">
        <v>579</v>
      </c>
      <c r="C193" t="str">
        <f t="shared" ref="C193:C256" si="6">""""&amp;SUBSTITUTE(A193,"zzz",H193)&amp;""""&amp;","</f>
        <v>"https://www.zeldadungeon.net/maps/totk/tiles/sky/6/6_9.jpg",</v>
      </c>
      <c r="H193" t="str">
        <f t="shared" ref="H193:H256" si="7">QUOTIENT(ROW(A193),48)+2&amp;"_"&amp;MOD(ROW(A193),48)+8</f>
        <v>6_9</v>
      </c>
    </row>
    <row r="194" spans="1:8" x14ac:dyDescent="0.2">
      <c r="A194" s="9" t="s">
        <v>51</v>
      </c>
      <c r="B194" t="s">
        <v>578</v>
      </c>
      <c r="C194" t="str">
        <f t="shared" si="6"/>
        <v>"https://www.zeldadungeon.net/maps/totk/tiles/sky/6/6_10.jpg",</v>
      </c>
      <c r="H194" t="str">
        <f t="shared" si="7"/>
        <v>6_10</v>
      </c>
    </row>
    <row r="195" spans="1:8" x14ac:dyDescent="0.2">
      <c r="A195" s="9" t="s">
        <v>51</v>
      </c>
      <c r="B195" t="s">
        <v>577</v>
      </c>
      <c r="C195" t="str">
        <f t="shared" si="6"/>
        <v>"https://www.zeldadungeon.net/maps/totk/tiles/sky/6/6_11.jpg",</v>
      </c>
      <c r="H195" t="str">
        <f t="shared" si="7"/>
        <v>6_11</v>
      </c>
    </row>
    <row r="196" spans="1:8" x14ac:dyDescent="0.2">
      <c r="A196" s="9" t="s">
        <v>51</v>
      </c>
      <c r="B196" t="s">
        <v>576</v>
      </c>
      <c r="C196" t="str">
        <f t="shared" si="6"/>
        <v>"https://www.zeldadungeon.net/maps/totk/tiles/sky/6/6_12.jpg",</v>
      </c>
      <c r="H196" t="str">
        <f t="shared" si="7"/>
        <v>6_12</v>
      </c>
    </row>
    <row r="197" spans="1:8" x14ac:dyDescent="0.2">
      <c r="A197" s="9" t="s">
        <v>51</v>
      </c>
      <c r="B197" t="s">
        <v>575</v>
      </c>
      <c r="C197" t="str">
        <f t="shared" si="6"/>
        <v>"https://www.zeldadungeon.net/maps/totk/tiles/sky/6/6_13.jpg",</v>
      </c>
      <c r="H197" t="str">
        <f t="shared" si="7"/>
        <v>6_13</v>
      </c>
    </row>
    <row r="198" spans="1:8" x14ac:dyDescent="0.2">
      <c r="A198" s="9" t="s">
        <v>51</v>
      </c>
      <c r="B198" t="s">
        <v>574</v>
      </c>
      <c r="C198" t="str">
        <f t="shared" si="6"/>
        <v>"https://www.zeldadungeon.net/maps/totk/tiles/sky/6/6_14.jpg",</v>
      </c>
      <c r="H198" t="str">
        <f t="shared" si="7"/>
        <v>6_14</v>
      </c>
    </row>
    <row r="199" spans="1:8" x14ac:dyDescent="0.2">
      <c r="A199" s="9" t="s">
        <v>51</v>
      </c>
      <c r="B199" t="s">
        <v>573</v>
      </c>
      <c r="C199" t="str">
        <f t="shared" si="6"/>
        <v>"https://www.zeldadungeon.net/maps/totk/tiles/sky/6/6_15.jpg",</v>
      </c>
      <c r="H199" t="str">
        <f t="shared" si="7"/>
        <v>6_15</v>
      </c>
    </row>
    <row r="200" spans="1:8" x14ac:dyDescent="0.2">
      <c r="A200" s="9" t="s">
        <v>51</v>
      </c>
      <c r="B200" t="s">
        <v>572</v>
      </c>
      <c r="C200" t="str">
        <f t="shared" si="6"/>
        <v>"https://www.zeldadungeon.net/maps/totk/tiles/sky/6/6_16.jpg",</v>
      </c>
      <c r="H200" t="str">
        <f t="shared" si="7"/>
        <v>6_16</v>
      </c>
    </row>
    <row r="201" spans="1:8" x14ac:dyDescent="0.2">
      <c r="A201" s="9" t="s">
        <v>51</v>
      </c>
      <c r="B201" t="s">
        <v>571</v>
      </c>
      <c r="C201" t="str">
        <f t="shared" si="6"/>
        <v>"https://www.zeldadungeon.net/maps/totk/tiles/sky/6/6_17.jpg",</v>
      </c>
      <c r="H201" t="str">
        <f t="shared" si="7"/>
        <v>6_17</v>
      </c>
    </row>
    <row r="202" spans="1:8" x14ac:dyDescent="0.2">
      <c r="A202" s="9" t="s">
        <v>51</v>
      </c>
      <c r="B202" t="s">
        <v>570</v>
      </c>
      <c r="C202" t="str">
        <f t="shared" si="6"/>
        <v>"https://www.zeldadungeon.net/maps/totk/tiles/sky/6/6_18.jpg",</v>
      </c>
      <c r="H202" t="str">
        <f t="shared" si="7"/>
        <v>6_18</v>
      </c>
    </row>
    <row r="203" spans="1:8" x14ac:dyDescent="0.2">
      <c r="A203" s="9" t="s">
        <v>51</v>
      </c>
      <c r="B203" t="s">
        <v>569</v>
      </c>
      <c r="C203" t="str">
        <f t="shared" si="6"/>
        <v>"https://www.zeldadungeon.net/maps/totk/tiles/sky/6/6_19.jpg",</v>
      </c>
      <c r="H203" t="str">
        <f t="shared" si="7"/>
        <v>6_19</v>
      </c>
    </row>
    <row r="204" spans="1:8" x14ac:dyDescent="0.2">
      <c r="A204" s="9" t="s">
        <v>51</v>
      </c>
      <c r="B204" t="s">
        <v>568</v>
      </c>
      <c r="C204" t="str">
        <f t="shared" si="6"/>
        <v>"https://www.zeldadungeon.net/maps/totk/tiles/sky/6/6_20.jpg",</v>
      </c>
      <c r="H204" t="str">
        <f t="shared" si="7"/>
        <v>6_20</v>
      </c>
    </row>
    <row r="205" spans="1:8" x14ac:dyDescent="0.2">
      <c r="A205" s="9" t="s">
        <v>51</v>
      </c>
      <c r="B205" t="s">
        <v>567</v>
      </c>
      <c r="C205" t="str">
        <f t="shared" si="6"/>
        <v>"https://www.zeldadungeon.net/maps/totk/tiles/sky/6/6_21.jpg",</v>
      </c>
      <c r="H205" t="str">
        <f t="shared" si="7"/>
        <v>6_21</v>
      </c>
    </row>
    <row r="206" spans="1:8" x14ac:dyDescent="0.2">
      <c r="A206" s="9" t="s">
        <v>51</v>
      </c>
      <c r="B206" t="s">
        <v>566</v>
      </c>
      <c r="C206" t="str">
        <f t="shared" si="6"/>
        <v>"https://www.zeldadungeon.net/maps/totk/tiles/sky/6/6_22.jpg",</v>
      </c>
      <c r="H206" t="str">
        <f t="shared" si="7"/>
        <v>6_22</v>
      </c>
    </row>
    <row r="207" spans="1:8" x14ac:dyDescent="0.2">
      <c r="A207" s="9" t="s">
        <v>51</v>
      </c>
      <c r="B207" t="s">
        <v>565</v>
      </c>
      <c r="C207" t="str">
        <f t="shared" si="6"/>
        <v>"https://www.zeldadungeon.net/maps/totk/tiles/sky/6/6_23.jpg",</v>
      </c>
      <c r="H207" t="str">
        <f t="shared" si="7"/>
        <v>6_23</v>
      </c>
    </row>
    <row r="208" spans="1:8" x14ac:dyDescent="0.2">
      <c r="A208" s="9" t="s">
        <v>51</v>
      </c>
      <c r="B208" t="s">
        <v>564</v>
      </c>
      <c r="C208" t="str">
        <f t="shared" si="6"/>
        <v>"https://www.zeldadungeon.net/maps/totk/tiles/sky/6/6_24.jpg",</v>
      </c>
      <c r="H208" t="str">
        <f t="shared" si="7"/>
        <v>6_24</v>
      </c>
    </row>
    <row r="209" spans="1:8" x14ac:dyDescent="0.2">
      <c r="A209" s="9" t="s">
        <v>51</v>
      </c>
      <c r="B209" t="s">
        <v>563</v>
      </c>
      <c r="C209" t="str">
        <f t="shared" si="6"/>
        <v>"https://www.zeldadungeon.net/maps/totk/tiles/sky/6/6_25.jpg",</v>
      </c>
      <c r="H209" t="str">
        <f t="shared" si="7"/>
        <v>6_25</v>
      </c>
    </row>
    <row r="210" spans="1:8" x14ac:dyDescent="0.2">
      <c r="A210" s="9" t="s">
        <v>51</v>
      </c>
      <c r="B210" t="s">
        <v>562</v>
      </c>
      <c r="C210" t="str">
        <f t="shared" si="6"/>
        <v>"https://www.zeldadungeon.net/maps/totk/tiles/sky/6/6_26.jpg",</v>
      </c>
      <c r="H210" t="str">
        <f t="shared" si="7"/>
        <v>6_26</v>
      </c>
    </row>
    <row r="211" spans="1:8" x14ac:dyDescent="0.2">
      <c r="A211" s="9" t="s">
        <v>51</v>
      </c>
      <c r="B211" t="s">
        <v>561</v>
      </c>
      <c r="C211" t="str">
        <f t="shared" si="6"/>
        <v>"https://www.zeldadungeon.net/maps/totk/tiles/sky/6/6_27.jpg",</v>
      </c>
      <c r="H211" t="str">
        <f t="shared" si="7"/>
        <v>6_27</v>
      </c>
    </row>
    <row r="212" spans="1:8" x14ac:dyDescent="0.2">
      <c r="A212" s="9" t="s">
        <v>51</v>
      </c>
      <c r="B212" t="s">
        <v>560</v>
      </c>
      <c r="C212" t="str">
        <f t="shared" si="6"/>
        <v>"https://www.zeldadungeon.net/maps/totk/tiles/sky/6/6_28.jpg",</v>
      </c>
      <c r="H212" t="str">
        <f t="shared" si="7"/>
        <v>6_28</v>
      </c>
    </row>
    <row r="213" spans="1:8" x14ac:dyDescent="0.2">
      <c r="A213" s="9" t="s">
        <v>51</v>
      </c>
      <c r="B213" t="s">
        <v>559</v>
      </c>
      <c r="C213" t="str">
        <f t="shared" si="6"/>
        <v>"https://www.zeldadungeon.net/maps/totk/tiles/sky/6/6_29.jpg",</v>
      </c>
      <c r="H213" t="str">
        <f t="shared" si="7"/>
        <v>6_29</v>
      </c>
    </row>
    <row r="214" spans="1:8" x14ac:dyDescent="0.2">
      <c r="A214" s="9" t="s">
        <v>51</v>
      </c>
      <c r="B214" t="s">
        <v>558</v>
      </c>
      <c r="C214" t="str">
        <f t="shared" si="6"/>
        <v>"https://www.zeldadungeon.net/maps/totk/tiles/sky/6/6_30.jpg",</v>
      </c>
      <c r="H214" t="str">
        <f t="shared" si="7"/>
        <v>6_30</v>
      </c>
    </row>
    <row r="215" spans="1:8" x14ac:dyDescent="0.2">
      <c r="A215" s="9" t="s">
        <v>51</v>
      </c>
      <c r="B215" t="s">
        <v>557</v>
      </c>
      <c r="C215" t="str">
        <f t="shared" si="6"/>
        <v>"https://www.zeldadungeon.net/maps/totk/tiles/sky/6/6_31.jpg",</v>
      </c>
      <c r="H215" t="str">
        <f t="shared" si="7"/>
        <v>6_31</v>
      </c>
    </row>
    <row r="216" spans="1:8" x14ac:dyDescent="0.2">
      <c r="A216" s="9" t="s">
        <v>51</v>
      </c>
      <c r="B216" t="s">
        <v>556</v>
      </c>
      <c r="C216" t="str">
        <f t="shared" si="6"/>
        <v>"https://www.zeldadungeon.net/maps/totk/tiles/sky/6/6_32.jpg",</v>
      </c>
      <c r="H216" t="str">
        <f t="shared" si="7"/>
        <v>6_32</v>
      </c>
    </row>
    <row r="217" spans="1:8" x14ac:dyDescent="0.2">
      <c r="A217" s="9" t="s">
        <v>51</v>
      </c>
      <c r="B217" t="s">
        <v>555</v>
      </c>
      <c r="C217" t="str">
        <f t="shared" si="6"/>
        <v>"https://www.zeldadungeon.net/maps/totk/tiles/sky/6/6_33.jpg",</v>
      </c>
      <c r="H217" t="str">
        <f t="shared" si="7"/>
        <v>6_33</v>
      </c>
    </row>
    <row r="218" spans="1:8" x14ac:dyDescent="0.2">
      <c r="A218" s="9" t="s">
        <v>51</v>
      </c>
      <c r="B218" t="s">
        <v>554</v>
      </c>
      <c r="C218" t="str">
        <f t="shared" si="6"/>
        <v>"https://www.zeldadungeon.net/maps/totk/tiles/sky/6/6_34.jpg",</v>
      </c>
      <c r="H218" t="str">
        <f t="shared" si="7"/>
        <v>6_34</v>
      </c>
    </row>
    <row r="219" spans="1:8" x14ac:dyDescent="0.2">
      <c r="A219" s="9" t="s">
        <v>51</v>
      </c>
      <c r="B219" t="s">
        <v>553</v>
      </c>
      <c r="C219" t="str">
        <f t="shared" si="6"/>
        <v>"https://www.zeldadungeon.net/maps/totk/tiles/sky/6/6_35.jpg",</v>
      </c>
      <c r="H219" t="str">
        <f t="shared" si="7"/>
        <v>6_35</v>
      </c>
    </row>
    <row r="220" spans="1:8" x14ac:dyDescent="0.2">
      <c r="A220" s="9" t="s">
        <v>51</v>
      </c>
      <c r="B220" t="s">
        <v>552</v>
      </c>
      <c r="C220" t="str">
        <f t="shared" si="6"/>
        <v>"https://www.zeldadungeon.net/maps/totk/tiles/sky/6/6_36.jpg",</v>
      </c>
      <c r="H220" t="str">
        <f t="shared" si="7"/>
        <v>6_36</v>
      </c>
    </row>
    <row r="221" spans="1:8" x14ac:dyDescent="0.2">
      <c r="A221" s="9" t="s">
        <v>51</v>
      </c>
      <c r="B221" t="s">
        <v>551</v>
      </c>
      <c r="C221" t="str">
        <f t="shared" si="6"/>
        <v>"https://www.zeldadungeon.net/maps/totk/tiles/sky/6/6_37.jpg",</v>
      </c>
      <c r="H221" t="str">
        <f t="shared" si="7"/>
        <v>6_37</v>
      </c>
    </row>
    <row r="222" spans="1:8" x14ac:dyDescent="0.2">
      <c r="A222" s="9" t="s">
        <v>51</v>
      </c>
      <c r="B222" t="s">
        <v>550</v>
      </c>
      <c r="C222" t="str">
        <f t="shared" si="6"/>
        <v>"https://www.zeldadungeon.net/maps/totk/tiles/sky/6/6_38.jpg",</v>
      </c>
      <c r="H222" t="str">
        <f t="shared" si="7"/>
        <v>6_38</v>
      </c>
    </row>
    <row r="223" spans="1:8" x14ac:dyDescent="0.2">
      <c r="A223" s="9" t="s">
        <v>51</v>
      </c>
      <c r="B223" t="s">
        <v>549</v>
      </c>
      <c r="C223" t="str">
        <f t="shared" si="6"/>
        <v>"https://www.zeldadungeon.net/maps/totk/tiles/sky/6/6_39.jpg",</v>
      </c>
      <c r="H223" t="str">
        <f t="shared" si="7"/>
        <v>6_39</v>
      </c>
    </row>
    <row r="224" spans="1:8" x14ac:dyDescent="0.2">
      <c r="A224" s="9" t="s">
        <v>51</v>
      </c>
      <c r="B224" t="s">
        <v>548</v>
      </c>
      <c r="C224" t="str">
        <f t="shared" si="6"/>
        <v>"https://www.zeldadungeon.net/maps/totk/tiles/sky/6/6_40.jpg",</v>
      </c>
      <c r="H224" t="str">
        <f t="shared" si="7"/>
        <v>6_40</v>
      </c>
    </row>
    <row r="225" spans="1:8" x14ac:dyDescent="0.2">
      <c r="A225" s="9" t="s">
        <v>51</v>
      </c>
      <c r="B225" t="s">
        <v>547</v>
      </c>
      <c r="C225" t="str">
        <f t="shared" si="6"/>
        <v>"https://www.zeldadungeon.net/maps/totk/tiles/sky/6/6_41.jpg",</v>
      </c>
      <c r="H225" t="str">
        <f t="shared" si="7"/>
        <v>6_41</v>
      </c>
    </row>
    <row r="226" spans="1:8" x14ac:dyDescent="0.2">
      <c r="A226" s="9" t="s">
        <v>51</v>
      </c>
      <c r="B226" t="s">
        <v>546</v>
      </c>
      <c r="C226" t="str">
        <f t="shared" si="6"/>
        <v>"https://www.zeldadungeon.net/maps/totk/tiles/sky/6/6_42.jpg",</v>
      </c>
      <c r="H226" t="str">
        <f t="shared" si="7"/>
        <v>6_42</v>
      </c>
    </row>
    <row r="227" spans="1:8" x14ac:dyDescent="0.2">
      <c r="A227" s="9" t="s">
        <v>51</v>
      </c>
      <c r="B227" t="s">
        <v>545</v>
      </c>
      <c r="C227" t="str">
        <f t="shared" si="6"/>
        <v>"https://www.zeldadungeon.net/maps/totk/tiles/sky/6/6_43.jpg",</v>
      </c>
      <c r="H227" t="str">
        <f t="shared" si="7"/>
        <v>6_43</v>
      </c>
    </row>
    <row r="228" spans="1:8" x14ac:dyDescent="0.2">
      <c r="A228" s="9" t="s">
        <v>51</v>
      </c>
      <c r="B228" t="s">
        <v>544</v>
      </c>
      <c r="C228" t="str">
        <f t="shared" si="6"/>
        <v>"https://www.zeldadungeon.net/maps/totk/tiles/sky/6/6_44.jpg",</v>
      </c>
      <c r="H228" t="str">
        <f t="shared" si="7"/>
        <v>6_44</v>
      </c>
    </row>
    <row r="229" spans="1:8" x14ac:dyDescent="0.2">
      <c r="A229" s="9" t="s">
        <v>51</v>
      </c>
      <c r="B229" t="s">
        <v>543</v>
      </c>
      <c r="C229" t="str">
        <f t="shared" si="6"/>
        <v>"https://www.zeldadungeon.net/maps/totk/tiles/sky/6/6_45.jpg",</v>
      </c>
      <c r="H229" t="str">
        <f t="shared" si="7"/>
        <v>6_45</v>
      </c>
    </row>
    <row r="230" spans="1:8" x14ac:dyDescent="0.2">
      <c r="A230" s="9" t="s">
        <v>51</v>
      </c>
      <c r="B230" t="s">
        <v>542</v>
      </c>
      <c r="C230" t="str">
        <f t="shared" si="6"/>
        <v>"https://www.zeldadungeon.net/maps/totk/tiles/sky/6/6_46.jpg",</v>
      </c>
      <c r="H230" t="str">
        <f t="shared" si="7"/>
        <v>6_46</v>
      </c>
    </row>
    <row r="231" spans="1:8" x14ac:dyDescent="0.2">
      <c r="A231" s="9" t="s">
        <v>51</v>
      </c>
      <c r="B231" t="s">
        <v>541</v>
      </c>
      <c r="C231" t="str">
        <f t="shared" si="6"/>
        <v>"https://www.zeldadungeon.net/maps/totk/tiles/sky/6/6_47.jpg",</v>
      </c>
      <c r="H231" t="str">
        <f t="shared" si="7"/>
        <v>6_47</v>
      </c>
    </row>
    <row r="232" spans="1:8" x14ac:dyDescent="0.2">
      <c r="A232" s="9" t="s">
        <v>51</v>
      </c>
      <c r="B232" t="s">
        <v>540</v>
      </c>
      <c r="C232" t="str">
        <f t="shared" si="6"/>
        <v>"https://www.zeldadungeon.net/maps/totk/tiles/sky/6/6_48.jpg",</v>
      </c>
      <c r="H232" t="str">
        <f t="shared" si="7"/>
        <v>6_48</v>
      </c>
    </row>
    <row r="233" spans="1:8" x14ac:dyDescent="0.2">
      <c r="A233" s="9" t="s">
        <v>51</v>
      </c>
      <c r="B233" t="s">
        <v>539</v>
      </c>
      <c r="C233" t="str">
        <f t="shared" si="6"/>
        <v>"https://www.zeldadungeon.net/maps/totk/tiles/sky/6/6_49.jpg",</v>
      </c>
      <c r="H233" t="str">
        <f t="shared" si="7"/>
        <v>6_49</v>
      </c>
    </row>
    <row r="234" spans="1:8" x14ac:dyDescent="0.2">
      <c r="A234" s="9" t="s">
        <v>51</v>
      </c>
      <c r="B234" t="s">
        <v>538</v>
      </c>
      <c r="C234" t="str">
        <f t="shared" si="6"/>
        <v>"https://www.zeldadungeon.net/maps/totk/tiles/sky/6/6_50.jpg",</v>
      </c>
      <c r="H234" t="str">
        <f t="shared" si="7"/>
        <v>6_50</v>
      </c>
    </row>
    <row r="235" spans="1:8" x14ac:dyDescent="0.2">
      <c r="A235" s="9" t="s">
        <v>51</v>
      </c>
      <c r="B235" t="s">
        <v>537</v>
      </c>
      <c r="C235" t="str">
        <f t="shared" si="6"/>
        <v>"https://www.zeldadungeon.net/maps/totk/tiles/sky/6/6_51.jpg",</v>
      </c>
      <c r="H235" t="str">
        <f t="shared" si="7"/>
        <v>6_51</v>
      </c>
    </row>
    <row r="236" spans="1:8" x14ac:dyDescent="0.2">
      <c r="A236" s="9" t="s">
        <v>51</v>
      </c>
      <c r="B236" t="s">
        <v>536</v>
      </c>
      <c r="C236" t="str">
        <f t="shared" si="6"/>
        <v>"https://www.zeldadungeon.net/maps/totk/tiles/sky/6/6_52.jpg",</v>
      </c>
      <c r="H236" t="str">
        <f t="shared" si="7"/>
        <v>6_52</v>
      </c>
    </row>
    <row r="237" spans="1:8" x14ac:dyDescent="0.2">
      <c r="A237" s="9" t="s">
        <v>51</v>
      </c>
      <c r="B237" t="s">
        <v>535</v>
      </c>
      <c r="C237" t="str">
        <f t="shared" si="6"/>
        <v>"https://www.zeldadungeon.net/maps/totk/tiles/sky/6/6_53.jpg",</v>
      </c>
      <c r="H237" t="str">
        <f t="shared" si="7"/>
        <v>6_53</v>
      </c>
    </row>
    <row r="238" spans="1:8" x14ac:dyDescent="0.2">
      <c r="A238" s="9" t="s">
        <v>51</v>
      </c>
      <c r="B238" t="s">
        <v>534</v>
      </c>
      <c r="C238" t="str">
        <f t="shared" si="6"/>
        <v>"https://www.zeldadungeon.net/maps/totk/tiles/sky/6/6_54.jpg",</v>
      </c>
      <c r="H238" t="str">
        <f t="shared" si="7"/>
        <v>6_54</v>
      </c>
    </row>
    <row r="239" spans="1:8" x14ac:dyDescent="0.2">
      <c r="A239" s="9" t="s">
        <v>51</v>
      </c>
      <c r="B239" t="s">
        <v>533</v>
      </c>
      <c r="C239" t="str">
        <f t="shared" si="6"/>
        <v>"https://www.zeldadungeon.net/maps/totk/tiles/sky/6/6_55.jpg",</v>
      </c>
      <c r="H239" t="str">
        <f t="shared" si="7"/>
        <v>6_55</v>
      </c>
    </row>
    <row r="240" spans="1:8" x14ac:dyDescent="0.2">
      <c r="A240" s="9" t="s">
        <v>51</v>
      </c>
      <c r="B240" t="s">
        <v>532</v>
      </c>
      <c r="C240" t="str">
        <f t="shared" si="6"/>
        <v>"https://www.zeldadungeon.net/maps/totk/tiles/sky/6/7_8.jpg",</v>
      </c>
      <c r="H240" t="str">
        <f t="shared" si="7"/>
        <v>7_8</v>
      </c>
    </row>
    <row r="241" spans="1:8" x14ac:dyDescent="0.2">
      <c r="A241" s="9" t="s">
        <v>51</v>
      </c>
      <c r="B241" t="s">
        <v>531</v>
      </c>
      <c r="C241" t="str">
        <f t="shared" si="6"/>
        <v>"https://www.zeldadungeon.net/maps/totk/tiles/sky/6/7_9.jpg",</v>
      </c>
      <c r="H241" t="str">
        <f t="shared" si="7"/>
        <v>7_9</v>
      </c>
    </row>
    <row r="242" spans="1:8" x14ac:dyDescent="0.2">
      <c r="A242" s="9" t="s">
        <v>51</v>
      </c>
      <c r="B242" t="s">
        <v>530</v>
      </c>
      <c r="C242" t="str">
        <f t="shared" si="6"/>
        <v>"https://www.zeldadungeon.net/maps/totk/tiles/sky/6/7_10.jpg",</v>
      </c>
      <c r="H242" t="str">
        <f t="shared" si="7"/>
        <v>7_10</v>
      </c>
    </row>
    <row r="243" spans="1:8" x14ac:dyDescent="0.2">
      <c r="A243" s="9" t="s">
        <v>51</v>
      </c>
      <c r="B243" t="s">
        <v>529</v>
      </c>
      <c r="C243" t="str">
        <f t="shared" si="6"/>
        <v>"https://www.zeldadungeon.net/maps/totk/tiles/sky/6/7_11.jpg",</v>
      </c>
      <c r="H243" t="str">
        <f t="shared" si="7"/>
        <v>7_11</v>
      </c>
    </row>
    <row r="244" spans="1:8" x14ac:dyDescent="0.2">
      <c r="A244" s="9" t="s">
        <v>51</v>
      </c>
      <c r="B244" t="s">
        <v>528</v>
      </c>
      <c r="C244" t="str">
        <f t="shared" si="6"/>
        <v>"https://www.zeldadungeon.net/maps/totk/tiles/sky/6/7_12.jpg",</v>
      </c>
      <c r="H244" t="str">
        <f t="shared" si="7"/>
        <v>7_12</v>
      </c>
    </row>
    <row r="245" spans="1:8" x14ac:dyDescent="0.2">
      <c r="A245" s="9" t="s">
        <v>51</v>
      </c>
      <c r="B245" t="s">
        <v>527</v>
      </c>
      <c r="C245" t="str">
        <f t="shared" si="6"/>
        <v>"https://www.zeldadungeon.net/maps/totk/tiles/sky/6/7_13.jpg",</v>
      </c>
      <c r="H245" t="str">
        <f t="shared" si="7"/>
        <v>7_13</v>
      </c>
    </row>
    <row r="246" spans="1:8" x14ac:dyDescent="0.2">
      <c r="A246" s="9" t="s">
        <v>51</v>
      </c>
      <c r="B246" t="s">
        <v>526</v>
      </c>
      <c r="C246" t="str">
        <f t="shared" si="6"/>
        <v>"https://www.zeldadungeon.net/maps/totk/tiles/sky/6/7_14.jpg",</v>
      </c>
      <c r="H246" t="str">
        <f t="shared" si="7"/>
        <v>7_14</v>
      </c>
    </row>
    <row r="247" spans="1:8" x14ac:dyDescent="0.2">
      <c r="A247" s="9" t="s">
        <v>51</v>
      </c>
      <c r="B247" t="s">
        <v>525</v>
      </c>
      <c r="C247" t="str">
        <f t="shared" si="6"/>
        <v>"https://www.zeldadungeon.net/maps/totk/tiles/sky/6/7_15.jpg",</v>
      </c>
      <c r="H247" t="str">
        <f t="shared" si="7"/>
        <v>7_15</v>
      </c>
    </row>
    <row r="248" spans="1:8" x14ac:dyDescent="0.2">
      <c r="A248" s="9" t="s">
        <v>51</v>
      </c>
      <c r="B248" t="s">
        <v>524</v>
      </c>
      <c r="C248" t="str">
        <f t="shared" si="6"/>
        <v>"https://www.zeldadungeon.net/maps/totk/tiles/sky/6/7_16.jpg",</v>
      </c>
      <c r="H248" t="str">
        <f t="shared" si="7"/>
        <v>7_16</v>
      </c>
    </row>
    <row r="249" spans="1:8" x14ac:dyDescent="0.2">
      <c r="A249" s="9" t="s">
        <v>51</v>
      </c>
      <c r="B249" t="s">
        <v>523</v>
      </c>
      <c r="C249" t="str">
        <f t="shared" si="6"/>
        <v>"https://www.zeldadungeon.net/maps/totk/tiles/sky/6/7_17.jpg",</v>
      </c>
      <c r="H249" t="str">
        <f t="shared" si="7"/>
        <v>7_17</v>
      </c>
    </row>
    <row r="250" spans="1:8" x14ac:dyDescent="0.2">
      <c r="A250" s="9" t="s">
        <v>51</v>
      </c>
      <c r="B250" t="s">
        <v>522</v>
      </c>
      <c r="C250" t="str">
        <f t="shared" si="6"/>
        <v>"https://www.zeldadungeon.net/maps/totk/tiles/sky/6/7_18.jpg",</v>
      </c>
      <c r="H250" t="str">
        <f t="shared" si="7"/>
        <v>7_18</v>
      </c>
    </row>
    <row r="251" spans="1:8" x14ac:dyDescent="0.2">
      <c r="A251" s="9" t="s">
        <v>51</v>
      </c>
      <c r="B251" t="s">
        <v>521</v>
      </c>
      <c r="C251" t="str">
        <f t="shared" si="6"/>
        <v>"https://www.zeldadungeon.net/maps/totk/tiles/sky/6/7_19.jpg",</v>
      </c>
      <c r="H251" t="str">
        <f t="shared" si="7"/>
        <v>7_19</v>
      </c>
    </row>
    <row r="252" spans="1:8" x14ac:dyDescent="0.2">
      <c r="A252" s="9" t="s">
        <v>51</v>
      </c>
      <c r="B252" t="s">
        <v>520</v>
      </c>
      <c r="C252" t="str">
        <f t="shared" si="6"/>
        <v>"https://www.zeldadungeon.net/maps/totk/tiles/sky/6/7_20.jpg",</v>
      </c>
      <c r="H252" t="str">
        <f t="shared" si="7"/>
        <v>7_20</v>
      </c>
    </row>
    <row r="253" spans="1:8" x14ac:dyDescent="0.2">
      <c r="A253" s="9" t="s">
        <v>51</v>
      </c>
      <c r="B253" t="s">
        <v>519</v>
      </c>
      <c r="C253" t="str">
        <f t="shared" si="6"/>
        <v>"https://www.zeldadungeon.net/maps/totk/tiles/sky/6/7_21.jpg",</v>
      </c>
      <c r="H253" t="str">
        <f t="shared" si="7"/>
        <v>7_21</v>
      </c>
    </row>
    <row r="254" spans="1:8" x14ac:dyDescent="0.2">
      <c r="A254" s="9" t="s">
        <v>51</v>
      </c>
      <c r="B254" t="s">
        <v>518</v>
      </c>
      <c r="C254" t="str">
        <f t="shared" si="6"/>
        <v>"https://www.zeldadungeon.net/maps/totk/tiles/sky/6/7_22.jpg",</v>
      </c>
      <c r="H254" t="str">
        <f t="shared" si="7"/>
        <v>7_22</v>
      </c>
    </row>
    <row r="255" spans="1:8" x14ac:dyDescent="0.2">
      <c r="A255" s="9" t="s">
        <v>51</v>
      </c>
      <c r="B255" t="s">
        <v>517</v>
      </c>
      <c r="C255" t="str">
        <f t="shared" si="6"/>
        <v>"https://www.zeldadungeon.net/maps/totk/tiles/sky/6/7_23.jpg",</v>
      </c>
      <c r="H255" t="str">
        <f t="shared" si="7"/>
        <v>7_23</v>
      </c>
    </row>
    <row r="256" spans="1:8" x14ac:dyDescent="0.2">
      <c r="A256" s="9" t="s">
        <v>51</v>
      </c>
      <c r="B256" t="s">
        <v>516</v>
      </c>
      <c r="C256" t="str">
        <f t="shared" si="6"/>
        <v>"https://www.zeldadungeon.net/maps/totk/tiles/sky/6/7_24.jpg",</v>
      </c>
      <c r="H256" t="str">
        <f t="shared" si="7"/>
        <v>7_24</v>
      </c>
    </row>
    <row r="257" spans="1:8" x14ac:dyDescent="0.2">
      <c r="A257" s="9" t="s">
        <v>51</v>
      </c>
      <c r="B257" t="s">
        <v>515</v>
      </c>
      <c r="C257" t="str">
        <f t="shared" ref="C257:C320" si="8">""""&amp;SUBSTITUTE(A257,"zzz",H257)&amp;""""&amp;","</f>
        <v>"https://www.zeldadungeon.net/maps/totk/tiles/sky/6/7_25.jpg",</v>
      </c>
      <c r="H257" t="str">
        <f t="shared" ref="H257:H320" si="9">QUOTIENT(ROW(A257),48)+2&amp;"_"&amp;MOD(ROW(A257),48)+8</f>
        <v>7_25</v>
      </c>
    </row>
    <row r="258" spans="1:8" x14ac:dyDescent="0.2">
      <c r="A258" s="9" t="s">
        <v>51</v>
      </c>
      <c r="B258" t="s">
        <v>514</v>
      </c>
      <c r="C258" t="str">
        <f t="shared" si="8"/>
        <v>"https://www.zeldadungeon.net/maps/totk/tiles/sky/6/7_26.jpg",</v>
      </c>
      <c r="H258" t="str">
        <f t="shared" si="9"/>
        <v>7_26</v>
      </c>
    </row>
    <row r="259" spans="1:8" x14ac:dyDescent="0.2">
      <c r="A259" s="9" t="s">
        <v>51</v>
      </c>
      <c r="B259" t="s">
        <v>513</v>
      </c>
      <c r="C259" t="str">
        <f t="shared" si="8"/>
        <v>"https://www.zeldadungeon.net/maps/totk/tiles/sky/6/7_27.jpg",</v>
      </c>
      <c r="H259" t="str">
        <f t="shared" si="9"/>
        <v>7_27</v>
      </c>
    </row>
    <row r="260" spans="1:8" x14ac:dyDescent="0.2">
      <c r="A260" s="9" t="s">
        <v>51</v>
      </c>
      <c r="B260" t="s">
        <v>512</v>
      </c>
      <c r="C260" t="str">
        <f t="shared" si="8"/>
        <v>"https://www.zeldadungeon.net/maps/totk/tiles/sky/6/7_28.jpg",</v>
      </c>
      <c r="H260" t="str">
        <f t="shared" si="9"/>
        <v>7_28</v>
      </c>
    </row>
    <row r="261" spans="1:8" x14ac:dyDescent="0.2">
      <c r="A261" s="9" t="s">
        <v>51</v>
      </c>
      <c r="B261" t="s">
        <v>511</v>
      </c>
      <c r="C261" t="str">
        <f t="shared" si="8"/>
        <v>"https://www.zeldadungeon.net/maps/totk/tiles/sky/6/7_29.jpg",</v>
      </c>
      <c r="H261" t="str">
        <f t="shared" si="9"/>
        <v>7_29</v>
      </c>
    </row>
    <row r="262" spans="1:8" x14ac:dyDescent="0.2">
      <c r="A262" s="9" t="s">
        <v>51</v>
      </c>
      <c r="B262" t="s">
        <v>510</v>
      </c>
      <c r="C262" t="str">
        <f t="shared" si="8"/>
        <v>"https://www.zeldadungeon.net/maps/totk/tiles/sky/6/7_30.jpg",</v>
      </c>
      <c r="H262" t="str">
        <f t="shared" si="9"/>
        <v>7_30</v>
      </c>
    </row>
    <row r="263" spans="1:8" x14ac:dyDescent="0.2">
      <c r="A263" s="9" t="s">
        <v>51</v>
      </c>
      <c r="B263" t="s">
        <v>509</v>
      </c>
      <c r="C263" t="str">
        <f t="shared" si="8"/>
        <v>"https://www.zeldadungeon.net/maps/totk/tiles/sky/6/7_31.jpg",</v>
      </c>
      <c r="H263" t="str">
        <f t="shared" si="9"/>
        <v>7_31</v>
      </c>
    </row>
    <row r="264" spans="1:8" x14ac:dyDescent="0.2">
      <c r="A264" s="9" t="s">
        <v>51</v>
      </c>
      <c r="B264" t="s">
        <v>508</v>
      </c>
      <c r="C264" t="str">
        <f t="shared" si="8"/>
        <v>"https://www.zeldadungeon.net/maps/totk/tiles/sky/6/7_32.jpg",</v>
      </c>
      <c r="H264" t="str">
        <f t="shared" si="9"/>
        <v>7_32</v>
      </c>
    </row>
    <row r="265" spans="1:8" x14ac:dyDescent="0.2">
      <c r="A265" s="9" t="s">
        <v>51</v>
      </c>
      <c r="B265" t="s">
        <v>507</v>
      </c>
      <c r="C265" t="str">
        <f t="shared" si="8"/>
        <v>"https://www.zeldadungeon.net/maps/totk/tiles/sky/6/7_33.jpg",</v>
      </c>
      <c r="H265" t="str">
        <f t="shared" si="9"/>
        <v>7_33</v>
      </c>
    </row>
    <row r="266" spans="1:8" x14ac:dyDescent="0.2">
      <c r="A266" s="9" t="s">
        <v>51</v>
      </c>
      <c r="B266" t="s">
        <v>506</v>
      </c>
      <c r="C266" t="str">
        <f t="shared" si="8"/>
        <v>"https://www.zeldadungeon.net/maps/totk/tiles/sky/6/7_34.jpg",</v>
      </c>
      <c r="H266" t="str">
        <f t="shared" si="9"/>
        <v>7_34</v>
      </c>
    </row>
    <row r="267" spans="1:8" x14ac:dyDescent="0.2">
      <c r="A267" s="9" t="s">
        <v>51</v>
      </c>
      <c r="B267" t="s">
        <v>505</v>
      </c>
      <c r="C267" t="str">
        <f t="shared" si="8"/>
        <v>"https://www.zeldadungeon.net/maps/totk/tiles/sky/6/7_35.jpg",</v>
      </c>
      <c r="H267" t="str">
        <f t="shared" si="9"/>
        <v>7_35</v>
      </c>
    </row>
    <row r="268" spans="1:8" x14ac:dyDescent="0.2">
      <c r="A268" s="9" t="s">
        <v>51</v>
      </c>
      <c r="B268" t="s">
        <v>504</v>
      </c>
      <c r="C268" t="str">
        <f t="shared" si="8"/>
        <v>"https://www.zeldadungeon.net/maps/totk/tiles/sky/6/7_36.jpg",</v>
      </c>
      <c r="H268" t="str">
        <f t="shared" si="9"/>
        <v>7_36</v>
      </c>
    </row>
    <row r="269" spans="1:8" x14ac:dyDescent="0.2">
      <c r="A269" s="9" t="s">
        <v>51</v>
      </c>
      <c r="B269" t="s">
        <v>503</v>
      </c>
      <c r="C269" t="str">
        <f t="shared" si="8"/>
        <v>"https://www.zeldadungeon.net/maps/totk/tiles/sky/6/7_37.jpg",</v>
      </c>
      <c r="H269" t="str">
        <f t="shared" si="9"/>
        <v>7_37</v>
      </c>
    </row>
    <row r="270" spans="1:8" x14ac:dyDescent="0.2">
      <c r="A270" s="9" t="s">
        <v>51</v>
      </c>
      <c r="B270" t="s">
        <v>502</v>
      </c>
      <c r="C270" t="str">
        <f t="shared" si="8"/>
        <v>"https://www.zeldadungeon.net/maps/totk/tiles/sky/6/7_38.jpg",</v>
      </c>
      <c r="H270" t="str">
        <f t="shared" si="9"/>
        <v>7_38</v>
      </c>
    </row>
    <row r="271" spans="1:8" x14ac:dyDescent="0.2">
      <c r="A271" s="9" t="s">
        <v>51</v>
      </c>
      <c r="B271" t="s">
        <v>501</v>
      </c>
      <c r="C271" t="str">
        <f t="shared" si="8"/>
        <v>"https://www.zeldadungeon.net/maps/totk/tiles/sky/6/7_39.jpg",</v>
      </c>
      <c r="H271" t="str">
        <f t="shared" si="9"/>
        <v>7_39</v>
      </c>
    </row>
    <row r="272" spans="1:8" x14ac:dyDescent="0.2">
      <c r="A272" s="9" t="s">
        <v>51</v>
      </c>
      <c r="B272" t="s">
        <v>500</v>
      </c>
      <c r="C272" t="str">
        <f t="shared" si="8"/>
        <v>"https://www.zeldadungeon.net/maps/totk/tiles/sky/6/7_40.jpg",</v>
      </c>
      <c r="H272" t="str">
        <f t="shared" si="9"/>
        <v>7_40</v>
      </c>
    </row>
    <row r="273" spans="1:8" x14ac:dyDescent="0.2">
      <c r="A273" s="9" t="s">
        <v>51</v>
      </c>
      <c r="B273" t="s">
        <v>499</v>
      </c>
      <c r="C273" t="str">
        <f t="shared" si="8"/>
        <v>"https://www.zeldadungeon.net/maps/totk/tiles/sky/6/7_41.jpg",</v>
      </c>
      <c r="H273" t="str">
        <f t="shared" si="9"/>
        <v>7_41</v>
      </c>
    </row>
    <row r="274" spans="1:8" x14ac:dyDescent="0.2">
      <c r="A274" s="9" t="s">
        <v>51</v>
      </c>
      <c r="B274" t="s">
        <v>498</v>
      </c>
      <c r="C274" t="str">
        <f t="shared" si="8"/>
        <v>"https://www.zeldadungeon.net/maps/totk/tiles/sky/6/7_42.jpg",</v>
      </c>
      <c r="H274" t="str">
        <f t="shared" si="9"/>
        <v>7_42</v>
      </c>
    </row>
    <row r="275" spans="1:8" x14ac:dyDescent="0.2">
      <c r="A275" s="9" t="s">
        <v>51</v>
      </c>
      <c r="B275" t="s">
        <v>497</v>
      </c>
      <c r="C275" t="str">
        <f t="shared" si="8"/>
        <v>"https://www.zeldadungeon.net/maps/totk/tiles/sky/6/7_43.jpg",</v>
      </c>
      <c r="H275" t="str">
        <f t="shared" si="9"/>
        <v>7_43</v>
      </c>
    </row>
    <row r="276" spans="1:8" x14ac:dyDescent="0.2">
      <c r="A276" s="9" t="s">
        <v>51</v>
      </c>
      <c r="B276" t="s">
        <v>496</v>
      </c>
      <c r="C276" t="str">
        <f t="shared" si="8"/>
        <v>"https://www.zeldadungeon.net/maps/totk/tiles/sky/6/7_44.jpg",</v>
      </c>
      <c r="H276" t="str">
        <f t="shared" si="9"/>
        <v>7_44</v>
      </c>
    </row>
    <row r="277" spans="1:8" x14ac:dyDescent="0.2">
      <c r="A277" s="9" t="s">
        <v>51</v>
      </c>
      <c r="B277" t="s">
        <v>495</v>
      </c>
      <c r="C277" t="str">
        <f t="shared" si="8"/>
        <v>"https://www.zeldadungeon.net/maps/totk/tiles/sky/6/7_45.jpg",</v>
      </c>
      <c r="H277" t="str">
        <f t="shared" si="9"/>
        <v>7_45</v>
      </c>
    </row>
    <row r="278" spans="1:8" x14ac:dyDescent="0.2">
      <c r="A278" s="9" t="s">
        <v>51</v>
      </c>
      <c r="B278" t="s">
        <v>494</v>
      </c>
      <c r="C278" t="str">
        <f t="shared" si="8"/>
        <v>"https://www.zeldadungeon.net/maps/totk/tiles/sky/6/7_46.jpg",</v>
      </c>
      <c r="H278" t="str">
        <f t="shared" si="9"/>
        <v>7_46</v>
      </c>
    </row>
    <row r="279" spans="1:8" x14ac:dyDescent="0.2">
      <c r="A279" s="9" t="s">
        <v>51</v>
      </c>
      <c r="B279" t="s">
        <v>493</v>
      </c>
      <c r="C279" t="str">
        <f t="shared" si="8"/>
        <v>"https://www.zeldadungeon.net/maps/totk/tiles/sky/6/7_47.jpg",</v>
      </c>
      <c r="H279" t="str">
        <f t="shared" si="9"/>
        <v>7_47</v>
      </c>
    </row>
    <row r="280" spans="1:8" x14ac:dyDescent="0.2">
      <c r="A280" s="9" t="s">
        <v>51</v>
      </c>
      <c r="B280" t="s">
        <v>492</v>
      </c>
      <c r="C280" t="str">
        <f t="shared" si="8"/>
        <v>"https://www.zeldadungeon.net/maps/totk/tiles/sky/6/7_48.jpg",</v>
      </c>
      <c r="H280" t="str">
        <f t="shared" si="9"/>
        <v>7_48</v>
      </c>
    </row>
    <row r="281" spans="1:8" x14ac:dyDescent="0.2">
      <c r="A281" s="9" t="s">
        <v>51</v>
      </c>
      <c r="B281" t="s">
        <v>491</v>
      </c>
      <c r="C281" t="str">
        <f t="shared" si="8"/>
        <v>"https://www.zeldadungeon.net/maps/totk/tiles/sky/6/7_49.jpg",</v>
      </c>
      <c r="H281" t="str">
        <f t="shared" si="9"/>
        <v>7_49</v>
      </c>
    </row>
    <row r="282" spans="1:8" x14ac:dyDescent="0.2">
      <c r="A282" s="9" t="s">
        <v>51</v>
      </c>
      <c r="B282" t="s">
        <v>490</v>
      </c>
      <c r="C282" t="str">
        <f t="shared" si="8"/>
        <v>"https://www.zeldadungeon.net/maps/totk/tiles/sky/6/7_50.jpg",</v>
      </c>
      <c r="H282" t="str">
        <f t="shared" si="9"/>
        <v>7_50</v>
      </c>
    </row>
    <row r="283" spans="1:8" x14ac:dyDescent="0.2">
      <c r="A283" s="9" t="s">
        <v>51</v>
      </c>
      <c r="B283" t="s">
        <v>489</v>
      </c>
      <c r="C283" t="str">
        <f t="shared" si="8"/>
        <v>"https://www.zeldadungeon.net/maps/totk/tiles/sky/6/7_51.jpg",</v>
      </c>
      <c r="H283" t="str">
        <f t="shared" si="9"/>
        <v>7_51</v>
      </c>
    </row>
    <row r="284" spans="1:8" x14ac:dyDescent="0.2">
      <c r="A284" s="9" t="s">
        <v>51</v>
      </c>
      <c r="B284" t="s">
        <v>488</v>
      </c>
      <c r="C284" t="str">
        <f t="shared" si="8"/>
        <v>"https://www.zeldadungeon.net/maps/totk/tiles/sky/6/7_52.jpg",</v>
      </c>
      <c r="H284" t="str">
        <f t="shared" si="9"/>
        <v>7_52</v>
      </c>
    </row>
    <row r="285" spans="1:8" x14ac:dyDescent="0.2">
      <c r="A285" s="9" t="s">
        <v>51</v>
      </c>
      <c r="B285" t="s">
        <v>487</v>
      </c>
      <c r="C285" t="str">
        <f t="shared" si="8"/>
        <v>"https://www.zeldadungeon.net/maps/totk/tiles/sky/6/7_53.jpg",</v>
      </c>
      <c r="H285" t="str">
        <f t="shared" si="9"/>
        <v>7_53</v>
      </c>
    </row>
    <row r="286" spans="1:8" x14ac:dyDescent="0.2">
      <c r="A286" s="9" t="s">
        <v>51</v>
      </c>
      <c r="B286" t="s">
        <v>486</v>
      </c>
      <c r="C286" t="str">
        <f t="shared" si="8"/>
        <v>"https://www.zeldadungeon.net/maps/totk/tiles/sky/6/7_54.jpg",</v>
      </c>
      <c r="H286" t="str">
        <f t="shared" si="9"/>
        <v>7_54</v>
      </c>
    </row>
    <row r="287" spans="1:8" x14ac:dyDescent="0.2">
      <c r="A287" s="9" t="s">
        <v>51</v>
      </c>
      <c r="B287" t="s">
        <v>485</v>
      </c>
      <c r="C287" t="str">
        <f t="shared" si="8"/>
        <v>"https://www.zeldadungeon.net/maps/totk/tiles/sky/6/7_55.jpg",</v>
      </c>
      <c r="H287" t="str">
        <f t="shared" si="9"/>
        <v>7_55</v>
      </c>
    </row>
    <row r="288" spans="1:8" x14ac:dyDescent="0.2">
      <c r="A288" s="9" t="s">
        <v>51</v>
      </c>
      <c r="B288" t="s">
        <v>484</v>
      </c>
      <c r="C288" t="str">
        <f t="shared" si="8"/>
        <v>"https://www.zeldadungeon.net/maps/totk/tiles/sky/6/8_8.jpg",</v>
      </c>
      <c r="H288" t="str">
        <f t="shared" si="9"/>
        <v>8_8</v>
      </c>
    </row>
    <row r="289" spans="1:8" x14ac:dyDescent="0.2">
      <c r="A289" s="9" t="s">
        <v>51</v>
      </c>
      <c r="B289" t="s">
        <v>483</v>
      </c>
      <c r="C289" t="str">
        <f t="shared" si="8"/>
        <v>"https://www.zeldadungeon.net/maps/totk/tiles/sky/6/8_9.jpg",</v>
      </c>
      <c r="H289" t="str">
        <f t="shared" si="9"/>
        <v>8_9</v>
      </c>
    </row>
    <row r="290" spans="1:8" x14ac:dyDescent="0.2">
      <c r="A290" s="9" t="s">
        <v>51</v>
      </c>
      <c r="B290" t="s">
        <v>482</v>
      </c>
      <c r="C290" t="str">
        <f t="shared" si="8"/>
        <v>"https://www.zeldadungeon.net/maps/totk/tiles/sky/6/8_10.jpg",</v>
      </c>
      <c r="H290" t="str">
        <f t="shared" si="9"/>
        <v>8_10</v>
      </c>
    </row>
    <row r="291" spans="1:8" x14ac:dyDescent="0.2">
      <c r="A291" s="9" t="s">
        <v>51</v>
      </c>
      <c r="B291" t="s">
        <v>481</v>
      </c>
      <c r="C291" t="str">
        <f t="shared" si="8"/>
        <v>"https://www.zeldadungeon.net/maps/totk/tiles/sky/6/8_11.jpg",</v>
      </c>
      <c r="H291" t="str">
        <f t="shared" si="9"/>
        <v>8_11</v>
      </c>
    </row>
    <row r="292" spans="1:8" x14ac:dyDescent="0.2">
      <c r="A292" s="9" t="s">
        <v>51</v>
      </c>
      <c r="B292" t="s">
        <v>480</v>
      </c>
      <c r="C292" t="str">
        <f t="shared" si="8"/>
        <v>"https://www.zeldadungeon.net/maps/totk/tiles/sky/6/8_12.jpg",</v>
      </c>
      <c r="H292" t="str">
        <f t="shared" si="9"/>
        <v>8_12</v>
      </c>
    </row>
    <row r="293" spans="1:8" x14ac:dyDescent="0.2">
      <c r="A293" s="9" t="s">
        <v>51</v>
      </c>
      <c r="B293" t="s">
        <v>479</v>
      </c>
      <c r="C293" t="str">
        <f t="shared" si="8"/>
        <v>"https://www.zeldadungeon.net/maps/totk/tiles/sky/6/8_13.jpg",</v>
      </c>
      <c r="H293" t="str">
        <f t="shared" si="9"/>
        <v>8_13</v>
      </c>
    </row>
    <row r="294" spans="1:8" x14ac:dyDescent="0.2">
      <c r="A294" s="9" t="s">
        <v>51</v>
      </c>
      <c r="B294" t="s">
        <v>478</v>
      </c>
      <c r="C294" t="str">
        <f t="shared" si="8"/>
        <v>"https://www.zeldadungeon.net/maps/totk/tiles/sky/6/8_14.jpg",</v>
      </c>
      <c r="H294" t="str">
        <f t="shared" si="9"/>
        <v>8_14</v>
      </c>
    </row>
    <row r="295" spans="1:8" x14ac:dyDescent="0.2">
      <c r="A295" s="9" t="s">
        <v>51</v>
      </c>
      <c r="B295" t="s">
        <v>477</v>
      </c>
      <c r="C295" t="str">
        <f t="shared" si="8"/>
        <v>"https://www.zeldadungeon.net/maps/totk/tiles/sky/6/8_15.jpg",</v>
      </c>
      <c r="H295" t="str">
        <f t="shared" si="9"/>
        <v>8_15</v>
      </c>
    </row>
    <row r="296" spans="1:8" x14ac:dyDescent="0.2">
      <c r="A296" s="9" t="s">
        <v>51</v>
      </c>
      <c r="B296" t="s">
        <v>476</v>
      </c>
      <c r="C296" t="str">
        <f t="shared" si="8"/>
        <v>"https://www.zeldadungeon.net/maps/totk/tiles/sky/6/8_16.jpg",</v>
      </c>
      <c r="H296" t="str">
        <f t="shared" si="9"/>
        <v>8_16</v>
      </c>
    </row>
    <row r="297" spans="1:8" x14ac:dyDescent="0.2">
      <c r="A297" s="9" t="s">
        <v>51</v>
      </c>
      <c r="B297" t="s">
        <v>475</v>
      </c>
      <c r="C297" t="str">
        <f t="shared" si="8"/>
        <v>"https://www.zeldadungeon.net/maps/totk/tiles/sky/6/8_17.jpg",</v>
      </c>
      <c r="H297" t="str">
        <f t="shared" si="9"/>
        <v>8_17</v>
      </c>
    </row>
    <row r="298" spans="1:8" x14ac:dyDescent="0.2">
      <c r="A298" s="9" t="s">
        <v>51</v>
      </c>
      <c r="B298" t="s">
        <v>474</v>
      </c>
      <c r="C298" t="str">
        <f t="shared" si="8"/>
        <v>"https://www.zeldadungeon.net/maps/totk/tiles/sky/6/8_18.jpg",</v>
      </c>
      <c r="H298" t="str">
        <f t="shared" si="9"/>
        <v>8_18</v>
      </c>
    </row>
    <row r="299" spans="1:8" x14ac:dyDescent="0.2">
      <c r="A299" s="9" t="s">
        <v>51</v>
      </c>
      <c r="B299" t="s">
        <v>473</v>
      </c>
      <c r="C299" t="str">
        <f t="shared" si="8"/>
        <v>"https://www.zeldadungeon.net/maps/totk/tiles/sky/6/8_19.jpg",</v>
      </c>
      <c r="H299" t="str">
        <f t="shared" si="9"/>
        <v>8_19</v>
      </c>
    </row>
    <row r="300" spans="1:8" x14ac:dyDescent="0.2">
      <c r="A300" s="9" t="s">
        <v>51</v>
      </c>
      <c r="B300" t="s">
        <v>472</v>
      </c>
      <c r="C300" t="str">
        <f t="shared" si="8"/>
        <v>"https://www.zeldadungeon.net/maps/totk/tiles/sky/6/8_20.jpg",</v>
      </c>
      <c r="H300" t="str">
        <f t="shared" si="9"/>
        <v>8_20</v>
      </c>
    </row>
    <row r="301" spans="1:8" x14ac:dyDescent="0.2">
      <c r="A301" s="9" t="s">
        <v>51</v>
      </c>
      <c r="B301" t="s">
        <v>471</v>
      </c>
      <c r="C301" t="str">
        <f t="shared" si="8"/>
        <v>"https://www.zeldadungeon.net/maps/totk/tiles/sky/6/8_21.jpg",</v>
      </c>
      <c r="H301" t="str">
        <f t="shared" si="9"/>
        <v>8_21</v>
      </c>
    </row>
    <row r="302" spans="1:8" x14ac:dyDescent="0.2">
      <c r="A302" s="9" t="s">
        <v>51</v>
      </c>
      <c r="B302" t="s">
        <v>470</v>
      </c>
      <c r="C302" t="str">
        <f t="shared" si="8"/>
        <v>"https://www.zeldadungeon.net/maps/totk/tiles/sky/6/8_22.jpg",</v>
      </c>
      <c r="H302" t="str">
        <f t="shared" si="9"/>
        <v>8_22</v>
      </c>
    </row>
    <row r="303" spans="1:8" x14ac:dyDescent="0.2">
      <c r="A303" s="9" t="s">
        <v>51</v>
      </c>
      <c r="B303" t="s">
        <v>469</v>
      </c>
      <c r="C303" t="str">
        <f t="shared" si="8"/>
        <v>"https://www.zeldadungeon.net/maps/totk/tiles/sky/6/8_23.jpg",</v>
      </c>
      <c r="H303" t="str">
        <f t="shared" si="9"/>
        <v>8_23</v>
      </c>
    </row>
    <row r="304" spans="1:8" x14ac:dyDescent="0.2">
      <c r="A304" s="9" t="s">
        <v>51</v>
      </c>
      <c r="B304" t="s">
        <v>468</v>
      </c>
      <c r="C304" t="str">
        <f t="shared" si="8"/>
        <v>"https://www.zeldadungeon.net/maps/totk/tiles/sky/6/8_24.jpg",</v>
      </c>
      <c r="H304" t="str">
        <f t="shared" si="9"/>
        <v>8_24</v>
      </c>
    </row>
    <row r="305" spans="1:8" x14ac:dyDescent="0.2">
      <c r="A305" s="9" t="s">
        <v>51</v>
      </c>
      <c r="B305" t="s">
        <v>467</v>
      </c>
      <c r="C305" t="str">
        <f t="shared" si="8"/>
        <v>"https://www.zeldadungeon.net/maps/totk/tiles/sky/6/8_25.jpg",</v>
      </c>
      <c r="H305" t="str">
        <f t="shared" si="9"/>
        <v>8_25</v>
      </c>
    </row>
    <row r="306" spans="1:8" x14ac:dyDescent="0.2">
      <c r="A306" s="9" t="s">
        <v>51</v>
      </c>
      <c r="B306" t="s">
        <v>466</v>
      </c>
      <c r="C306" t="str">
        <f t="shared" si="8"/>
        <v>"https://www.zeldadungeon.net/maps/totk/tiles/sky/6/8_26.jpg",</v>
      </c>
      <c r="H306" t="str">
        <f t="shared" si="9"/>
        <v>8_26</v>
      </c>
    </row>
    <row r="307" spans="1:8" x14ac:dyDescent="0.2">
      <c r="A307" s="9" t="s">
        <v>51</v>
      </c>
      <c r="B307" t="s">
        <v>465</v>
      </c>
      <c r="C307" t="str">
        <f t="shared" si="8"/>
        <v>"https://www.zeldadungeon.net/maps/totk/tiles/sky/6/8_27.jpg",</v>
      </c>
      <c r="H307" t="str">
        <f t="shared" si="9"/>
        <v>8_27</v>
      </c>
    </row>
    <row r="308" spans="1:8" x14ac:dyDescent="0.2">
      <c r="A308" s="9" t="s">
        <v>51</v>
      </c>
      <c r="B308" t="s">
        <v>464</v>
      </c>
      <c r="C308" t="str">
        <f t="shared" si="8"/>
        <v>"https://www.zeldadungeon.net/maps/totk/tiles/sky/6/8_28.jpg",</v>
      </c>
      <c r="H308" t="str">
        <f t="shared" si="9"/>
        <v>8_28</v>
      </c>
    </row>
    <row r="309" spans="1:8" x14ac:dyDescent="0.2">
      <c r="A309" s="9" t="s">
        <v>51</v>
      </c>
      <c r="B309" t="s">
        <v>463</v>
      </c>
      <c r="C309" t="str">
        <f t="shared" si="8"/>
        <v>"https://www.zeldadungeon.net/maps/totk/tiles/sky/6/8_29.jpg",</v>
      </c>
      <c r="H309" t="str">
        <f t="shared" si="9"/>
        <v>8_29</v>
      </c>
    </row>
    <row r="310" spans="1:8" x14ac:dyDescent="0.2">
      <c r="A310" s="9" t="s">
        <v>51</v>
      </c>
      <c r="B310" t="s">
        <v>462</v>
      </c>
      <c r="C310" t="str">
        <f t="shared" si="8"/>
        <v>"https://www.zeldadungeon.net/maps/totk/tiles/sky/6/8_30.jpg",</v>
      </c>
      <c r="H310" t="str">
        <f t="shared" si="9"/>
        <v>8_30</v>
      </c>
    </row>
    <row r="311" spans="1:8" x14ac:dyDescent="0.2">
      <c r="A311" s="9" t="s">
        <v>51</v>
      </c>
      <c r="B311" t="s">
        <v>461</v>
      </c>
      <c r="C311" t="str">
        <f t="shared" si="8"/>
        <v>"https://www.zeldadungeon.net/maps/totk/tiles/sky/6/8_31.jpg",</v>
      </c>
      <c r="H311" t="str">
        <f t="shared" si="9"/>
        <v>8_31</v>
      </c>
    </row>
    <row r="312" spans="1:8" x14ac:dyDescent="0.2">
      <c r="A312" s="9" t="s">
        <v>51</v>
      </c>
      <c r="B312" t="s">
        <v>460</v>
      </c>
      <c r="C312" t="str">
        <f t="shared" si="8"/>
        <v>"https://www.zeldadungeon.net/maps/totk/tiles/sky/6/8_32.jpg",</v>
      </c>
      <c r="H312" t="str">
        <f t="shared" si="9"/>
        <v>8_32</v>
      </c>
    </row>
    <row r="313" spans="1:8" x14ac:dyDescent="0.2">
      <c r="A313" s="9" t="s">
        <v>51</v>
      </c>
      <c r="B313" t="s">
        <v>459</v>
      </c>
      <c r="C313" t="str">
        <f t="shared" si="8"/>
        <v>"https://www.zeldadungeon.net/maps/totk/tiles/sky/6/8_33.jpg",</v>
      </c>
      <c r="H313" t="str">
        <f t="shared" si="9"/>
        <v>8_33</v>
      </c>
    </row>
    <row r="314" spans="1:8" x14ac:dyDescent="0.2">
      <c r="A314" s="9" t="s">
        <v>51</v>
      </c>
      <c r="B314" t="s">
        <v>458</v>
      </c>
      <c r="C314" t="str">
        <f t="shared" si="8"/>
        <v>"https://www.zeldadungeon.net/maps/totk/tiles/sky/6/8_34.jpg",</v>
      </c>
      <c r="H314" t="str">
        <f t="shared" si="9"/>
        <v>8_34</v>
      </c>
    </row>
    <row r="315" spans="1:8" x14ac:dyDescent="0.2">
      <c r="A315" s="9" t="s">
        <v>51</v>
      </c>
      <c r="B315" t="s">
        <v>457</v>
      </c>
      <c r="C315" t="str">
        <f t="shared" si="8"/>
        <v>"https://www.zeldadungeon.net/maps/totk/tiles/sky/6/8_35.jpg",</v>
      </c>
      <c r="H315" t="str">
        <f t="shared" si="9"/>
        <v>8_35</v>
      </c>
    </row>
    <row r="316" spans="1:8" x14ac:dyDescent="0.2">
      <c r="A316" s="9" t="s">
        <v>51</v>
      </c>
      <c r="B316" t="s">
        <v>456</v>
      </c>
      <c r="C316" t="str">
        <f t="shared" si="8"/>
        <v>"https://www.zeldadungeon.net/maps/totk/tiles/sky/6/8_36.jpg",</v>
      </c>
      <c r="H316" t="str">
        <f t="shared" si="9"/>
        <v>8_36</v>
      </c>
    </row>
    <row r="317" spans="1:8" x14ac:dyDescent="0.2">
      <c r="A317" s="9" t="s">
        <v>51</v>
      </c>
      <c r="B317" t="s">
        <v>455</v>
      </c>
      <c r="C317" t="str">
        <f t="shared" si="8"/>
        <v>"https://www.zeldadungeon.net/maps/totk/tiles/sky/6/8_37.jpg",</v>
      </c>
      <c r="H317" t="str">
        <f t="shared" si="9"/>
        <v>8_37</v>
      </c>
    </row>
    <row r="318" spans="1:8" x14ac:dyDescent="0.2">
      <c r="A318" s="9" t="s">
        <v>51</v>
      </c>
      <c r="B318" t="s">
        <v>454</v>
      </c>
      <c r="C318" t="str">
        <f t="shared" si="8"/>
        <v>"https://www.zeldadungeon.net/maps/totk/tiles/sky/6/8_38.jpg",</v>
      </c>
      <c r="H318" t="str">
        <f t="shared" si="9"/>
        <v>8_38</v>
      </c>
    </row>
    <row r="319" spans="1:8" x14ac:dyDescent="0.2">
      <c r="A319" s="9" t="s">
        <v>51</v>
      </c>
      <c r="B319" t="s">
        <v>453</v>
      </c>
      <c r="C319" t="str">
        <f t="shared" si="8"/>
        <v>"https://www.zeldadungeon.net/maps/totk/tiles/sky/6/8_39.jpg",</v>
      </c>
      <c r="H319" t="str">
        <f t="shared" si="9"/>
        <v>8_39</v>
      </c>
    </row>
    <row r="320" spans="1:8" x14ac:dyDescent="0.2">
      <c r="A320" s="9" t="s">
        <v>51</v>
      </c>
      <c r="B320" t="s">
        <v>452</v>
      </c>
      <c r="C320" t="str">
        <f t="shared" si="8"/>
        <v>"https://www.zeldadungeon.net/maps/totk/tiles/sky/6/8_40.jpg",</v>
      </c>
      <c r="H320" t="str">
        <f t="shared" si="9"/>
        <v>8_40</v>
      </c>
    </row>
    <row r="321" spans="1:8" x14ac:dyDescent="0.2">
      <c r="A321" s="9" t="s">
        <v>51</v>
      </c>
      <c r="B321" t="s">
        <v>451</v>
      </c>
      <c r="C321" t="str">
        <f t="shared" ref="C321:C384" si="10">""""&amp;SUBSTITUTE(A321,"zzz",H321)&amp;""""&amp;","</f>
        <v>"https://www.zeldadungeon.net/maps/totk/tiles/sky/6/8_41.jpg",</v>
      </c>
      <c r="H321" t="str">
        <f t="shared" ref="H321:H384" si="11">QUOTIENT(ROW(A321),48)+2&amp;"_"&amp;MOD(ROW(A321),48)+8</f>
        <v>8_41</v>
      </c>
    </row>
    <row r="322" spans="1:8" x14ac:dyDescent="0.2">
      <c r="A322" s="9" t="s">
        <v>51</v>
      </c>
      <c r="B322" t="s">
        <v>450</v>
      </c>
      <c r="C322" t="str">
        <f t="shared" si="10"/>
        <v>"https://www.zeldadungeon.net/maps/totk/tiles/sky/6/8_42.jpg",</v>
      </c>
      <c r="H322" t="str">
        <f t="shared" si="11"/>
        <v>8_42</v>
      </c>
    </row>
    <row r="323" spans="1:8" x14ac:dyDescent="0.2">
      <c r="A323" s="9" t="s">
        <v>51</v>
      </c>
      <c r="B323" t="s">
        <v>449</v>
      </c>
      <c r="C323" t="str">
        <f t="shared" si="10"/>
        <v>"https://www.zeldadungeon.net/maps/totk/tiles/sky/6/8_43.jpg",</v>
      </c>
      <c r="H323" t="str">
        <f t="shared" si="11"/>
        <v>8_43</v>
      </c>
    </row>
    <row r="324" spans="1:8" x14ac:dyDescent="0.2">
      <c r="A324" s="9" t="s">
        <v>51</v>
      </c>
      <c r="B324" t="s">
        <v>448</v>
      </c>
      <c r="C324" t="str">
        <f t="shared" si="10"/>
        <v>"https://www.zeldadungeon.net/maps/totk/tiles/sky/6/8_44.jpg",</v>
      </c>
      <c r="H324" t="str">
        <f t="shared" si="11"/>
        <v>8_44</v>
      </c>
    </row>
    <row r="325" spans="1:8" x14ac:dyDescent="0.2">
      <c r="A325" s="9" t="s">
        <v>51</v>
      </c>
      <c r="B325" t="s">
        <v>447</v>
      </c>
      <c r="C325" t="str">
        <f t="shared" si="10"/>
        <v>"https://www.zeldadungeon.net/maps/totk/tiles/sky/6/8_45.jpg",</v>
      </c>
      <c r="H325" t="str">
        <f t="shared" si="11"/>
        <v>8_45</v>
      </c>
    </row>
    <row r="326" spans="1:8" x14ac:dyDescent="0.2">
      <c r="A326" s="9" t="s">
        <v>51</v>
      </c>
      <c r="B326" t="s">
        <v>446</v>
      </c>
      <c r="C326" t="str">
        <f t="shared" si="10"/>
        <v>"https://www.zeldadungeon.net/maps/totk/tiles/sky/6/8_46.jpg",</v>
      </c>
      <c r="H326" t="str">
        <f t="shared" si="11"/>
        <v>8_46</v>
      </c>
    </row>
    <row r="327" spans="1:8" x14ac:dyDescent="0.2">
      <c r="A327" s="9" t="s">
        <v>51</v>
      </c>
      <c r="B327" t="s">
        <v>445</v>
      </c>
      <c r="C327" t="str">
        <f t="shared" si="10"/>
        <v>"https://www.zeldadungeon.net/maps/totk/tiles/sky/6/8_47.jpg",</v>
      </c>
      <c r="H327" t="str">
        <f t="shared" si="11"/>
        <v>8_47</v>
      </c>
    </row>
    <row r="328" spans="1:8" x14ac:dyDescent="0.2">
      <c r="A328" s="9" t="s">
        <v>51</v>
      </c>
      <c r="B328" t="s">
        <v>444</v>
      </c>
      <c r="C328" t="str">
        <f t="shared" si="10"/>
        <v>"https://www.zeldadungeon.net/maps/totk/tiles/sky/6/8_48.jpg",</v>
      </c>
      <c r="H328" t="str">
        <f t="shared" si="11"/>
        <v>8_48</v>
      </c>
    </row>
    <row r="329" spans="1:8" x14ac:dyDescent="0.2">
      <c r="A329" s="9" t="s">
        <v>51</v>
      </c>
      <c r="B329" t="s">
        <v>443</v>
      </c>
      <c r="C329" t="str">
        <f t="shared" si="10"/>
        <v>"https://www.zeldadungeon.net/maps/totk/tiles/sky/6/8_49.jpg",</v>
      </c>
      <c r="H329" t="str">
        <f t="shared" si="11"/>
        <v>8_49</v>
      </c>
    </row>
    <row r="330" spans="1:8" x14ac:dyDescent="0.2">
      <c r="A330" s="9" t="s">
        <v>51</v>
      </c>
      <c r="B330" t="s">
        <v>442</v>
      </c>
      <c r="C330" t="str">
        <f t="shared" si="10"/>
        <v>"https://www.zeldadungeon.net/maps/totk/tiles/sky/6/8_50.jpg",</v>
      </c>
      <c r="H330" t="str">
        <f t="shared" si="11"/>
        <v>8_50</v>
      </c>
    </row>
    <row r="331" spans="1:8" x14ac:dyDescent="0.2">
      <c r="A331" s="9" t="s">
        <v>51</v>
      </c>
      <c r="B331" t="s">
        <v>441</v>
      </c>
      <c r="C331" t="str">
        <f t="shared" si="10"/>
        <v>"https://www.zeldadungeon.net/maps/totk/tiles/sky/6/8_51.jpg",</v>
      </c>
      <c r="H331" t="str">
        <f t="shared" si="11"/>
        <v>8_51</v>
      </c>
    </row>
    <row r="332" spans="1:8" x14ac:dyDescent="0.2">
      <c r="A332" s="9" t="s">
        <v>51</v>
      </c>
      <c r="B332" t="s">
        <v>440</v>
      </c>
      <c r="C332" t="str">
        <f t="shared" si="10"/>
        <v>"https://www.zeldadungeon.net/maps/totk/tiles/sky/6/8_52.jpg",</v>
      </c>
      <c r="H332" t="str">
        <f t="shared" si="11"/>
        <v>8_52</v>
      </c>
    </row>
    <row r="333" spans="1:8" x14ac:dyDescent="0.2">
      <c r="A333" s="9" t="s">
        <v>51</v>
      </c>
      <c r="B333" t="s">
        <v>439</v>
      </c>
      <c r="C333" t="str">
        <f t="shared" si="10"/>
        <v>"https://www.zeldadungeon.net/maps/totk/tiles/sky/6/8_53.jpg",</v>
      </c>
      <c r="H333" t="str">
        <f t="shared" si="11"/>
        <v>8_53</v>
      </c>
    </row>
    <row r="334" spans="1:8" x14ac:dyDescent="0.2">
      <c r="A334" s="9" t="s">
        <v>51</v>
      </c>
      <c r="B334" t="s">
        <v>438</v>
      </c>
      <c r="C334" t="str">
        <f t="shared" si="10"/>
        <v>"https://www.zeldadungeon.net/maps/totk/tiles/sky/6/8_54.jpg",</v>
      </c>
      <c r="H334" t="str">
        <f t="shared" si="11"/>
        <v>8_54</v>
      </c>
    </row>
    <row r="335" spans="1:8" x14ac:dyDescent="0.2">
      <c r="A335" s="9" t="s">
        <v>51</v>
      </c>
      <c r="B335" t="s">
        <v>437</v>
      </c>
      <c r="C335" t="str">
        <f t="shared" si="10"/>
        <v>"https://www.zeldadungeon.net/maps/totk/tiles/sky/6/8_55.jpg",</v>
      </c>
      <c r="H335" t="str">
        <f t="shared" si="11"/>
        <v>8_55</v>
      </c>
    </row>
    <row r="336" spans="1:8" x14ac:dyDescent="0.2">
      <c r="A336" s="9" t="s">
        <v>51</v>
      </c>
      <c r="B336" t="s">
        <v>436</v>
      </c>
      <c r="C336" t="str">
        <f t="shared" si="10"/>
        <v>"https://www.zeldadungeon.net/maps/totk/tiles/sky/6/9_8.jpg",</v>
      </c>
      <c r="H336" t="str">
        <f t="shared" si="11"/>
        <v>9_8</v>
      </c>
    </row>
    <row r="337" spans="1:8" x14ac:dyDescent="0.2">
      <c r="A337" s="9" t="s">
        <v>51</v>
      </c>
      <c r="B337" t="s">
        <v>435</v>
      </c>
      <c r="C337" t="str">
        <f t="shared" si="10"/>
        <v>"https://www.zeldadungeon.net/maps/totk/tiles/sky/6/9_9.jpg",</v>
      </c>
      <c r="H337" t="str">
        <f t="shared" si="11"/>
        <v>9_9</v>
      </c>
    </row>
    <row r="338" spans="1:8" x14ac:dyDescent="0.2">
      <c r="A338" s="9" t="s">
        <v>51</v>
      </c>
      <c r="B338" t="s">
        <v>434</v>
      </c>
      <c r="C338" t="str">
        <f t="shared" si="10"/>
        <v>"https://www.zeldadungeon.net/maps/totk/tiles/sky/6/9_10.jpg",</v>
      </c>
      <c r="H338" t="str">
        <f t="shared" si="11"/>
        <v>9_10</v>
      </c>
    </row>
    <row r="339" spans="1:8" x14ac:dyDescent="0.2">
      <c r="A339" s="9" t="s">
        <v>51</v>
      </c>
      <c r="B339" t="s">
        <v>433</v>
      </c>
      <c r="C339" t="str">
        <f t="shared" si="10"/>
        <v>"https://www.zeldadungeon.net/maps/totk/tiles/sky/6/9_11.jpg",</v>
      </c>
      <c r="H339" t="str">
        <f t="shared" si="11"/>
        <v>9_11</v>
      </c>
    </row>
    <row r="340" spans="1:8" x14ac:dyDescent="0.2">
      <c r="A340" s="9" t="s">
        <v>51</v>
      </c>
      <c r="B340" t="s">
        <v>432</v>
      </c>
      <c r="C340" t="str">
        <f t="shared" si="10"/>
        <v>"https://www.zeldadungeon.net/maps/totk/tiles/sky/6/9_12.jpg",</v>
      </c>
      <c r="H340" t="str">
        <f t="shared" si="11"/>
        <v>9_12</v>
      </c>
    </row>
    <row r="341" spans="1:8" x14ac:dyDescent="0.2">
      <c r="A341" s="9" t="s">
        <v>51</v>
      </c>
      <c r="B341" t="s">
        <v>431</v>
      </c>
      <c r="C341" t="str">
        <f t="shared" si="10"/>
        <v>"https://www.zeldadungeon.net/maps/totk/tiles/sky/6/9_13.jpg",</v>
      </c>
      <c r="H341" t="str">
        <f t="shared" si="11"/>
        <v>9_13</v>
      </c>
    </row>
    <row r="342" spans="1:8" x14ac:dyDescent="0.2">
      <c r="A342" s="9" t="s">
        <v>51</v>
      </c>
      <c r="B342" t="s">
        <v>430</v>
      </c>
      <c r="C342" t="str">
        <f t="shared" si="10"/>
        <v>"https://www.zeldadungeon.net/maps/totk/tiles/sky/6/9_14.jpg",</v>
      </c>
      <c r="H342" t="str">
        <f t="shared" si="11"/>
        <v>9_14</v>
      </c>
    </row>
    <row r="343" spans="1:8" x14ac:dyDescent="0.2">
      <c r="A343" s="9" t="s">
        <v>51</v>
      </c>
      <c r="B343" t="s">
        <v>429</v>
      </c>
      <c r="C343" t="str">
        <f t="shared" si="10"/>
        <v>"https://www.zeldadungeon.net/maps/totk/tiles/sky/6/9_15.jpg",</v>
      </c>
      <c r="H343" t="str">
        <f t="shared" si="11"/>
        <v>9_15</v>
      </c>
    </row>
    <row r="344" spans="1:8" x14ac:dyDescent="0.2">
      <c r="A344" s="9" t="s">
        <v>51</v>
      </c>
      <c r="B344" t="s">
        <v>428</v>
      </c>
      <c r="C344" t="str">
        <f t="shared" si="10"/>
        <v>"https://www.zeldadungeon.net/maps/totk/tiles/sky/6/9_16.jpg",</v>
      </c>
      <c r="H344" t="str">
        <f t="shared" si="11"/>
        <v>9_16</v>
      </c>
    </row>
    <row r="345" spans="1:8" x14ac:dyDescent="0.2">
      <c r="A345" s="9" t="s">
        <v>51</v>
      </c>
      <c r="B345" t="s">
        <v>427</v>
      </c>
      <c r="C345" t="str">
        <f t="shared" si="10"/>
        <v>"https://www.zeldadungeon.net/maps/totk/tiles/sky/6/9_17.jpg",</v>
      </c>
      <c r="H345" t="str">
        <f t="shared" si="11"/>
        <v>9_17</v>
      </c>
    </row>
    <row r="346" spans="1:8" x14ac:dyDescent="0.2">
      <c r="A346" s="9" t="s">
        <v>51</v>
      </c>
      <c r="B346" t="s">
        <v>426</v>
      </c>
      <c r="C346" t="str">
        <f t="shared" si="10"/>
        <v>"https://www.zeldadungeon.net/maps/totk/tiles/sky/6/9_18.jpg",</v>
      </c>
      <c r="H346" t="str">
        <f t="shared" si="11"/>
        <v>9_18</v>
      </c>
    </row>
    <row r="347" spans="1:8" x14ac:dyDescent="0.2">
      <c r="A347" s="9" t="s">
        <v>51</v>
      </c>
      <c r="B347" t="s">
        <v>425</v>
      </c>
      <c r="C347" t="str">
        <f t="shared" si="10"/>
        <v>"https://www.zeldadungeon.net/maps/totk/tiles/sky/6/9_19.jpg",</v>
      </c>
      <c r="H347" t="str">
        <f t="shared" si="11"/>
        <v>9_19</v>
      </c>
    </row>
    <row r="348" spans="1:8" x14ac:dyDescent="0.2">
      <c r="A348" s="9" t="s">
        <v>51</v>
      </c>
      <c r="B348" t="s">
        <v>424</v>
      </c>
      <c r="C348" t="str">
        <f t="shared" si="10"/>
        <v>"https://www.zeldadungeon.net/maps/totk/tiles/sky/6/9_20.jpg",</v>
      </c>
      <c r="H348" t="str">
        <f t="shared" si="11"/>
        <v>9_20</v>
      </c>
    </row>
    <row r="349" spans="1:8" x14ac:dyDescent="0.2">
      <c r="A349" s="9" t="s">
        <v>51</v>
      </c>
      <c r="B349" t="s">
        <v>423</v>
      </c>
      <c r="C349" t="str">
        <f t="shared" si="10"/>
        <v>"https://www.zeldadungeon.net/maps/totk/tiles/sky/6/9_21.jpg",</v>
      </c>
      <c r="H349" t="str">
        <f t="shared" si="11"/>
        <v>9_21</v>
      </c>
    </row>
    <row r="350" spans="1:8" x14ac:dyDescent="0.2">
      <c r="A350" s="9" t="s">
        <v>51</v>
      </c>
      <c r="B350" t="s">
        <v>422</v>
      </c>
      <c r="C350" t="str">
        <f t="shared" si="10"/>
        <v>"https://www.zeldadungeon.net/maps/totk/tiles/sky/6/9_22.jpg",</v>
      </c>
      <c r="H350" t="str">
        <f t="shared" si="11"/>
        <v>9_22</v>
      </c>
    </row>
    <row r="351" spans="1:8" x14ac:dyDescent="0.2">
      <c r="A351" s="9" t="s">
        <v>51</v>
      </c>
      <c r="B351" t="s">
        <v>421</v>
      </c>
      <c r="C351" t="str">
        <f t="shared" si="10"/>
        <v>"https://www.zeldadungeon.net/maps/totk/tiles/sky/6/9_23.jpg",</v>
      </c>
      <c r="H351" t="str">
        <f t="shared" si="11"/>
        <v>9_23</v>
      </c>
    </row>
    <row r="352" spans="1:8" x14ac:dyDescent="0.2">
      <c r="A352" s="9" t="s">
        <v>51</v>
      </c>
      <c r="B352" t="s">
        <v>420</v>
      </c>
      <c r="C352" t="str">
        <f t="shared" si="10"/>
        <v>"https://www.zeldadungeon.net/maps/totk/tiles/sky/6/9_24.jpg",</v>
      </c>
      <c r="H352" t="str">
        <f t="shared" si="11"/>
        <v>9_24</v>
      </c>
    </row>
    <row r="353" spans="1:8" x14ac:dyDescent="0.2">
      <c r="A353" s="9" t="s">
        <v>51</v>
      </c>
      <c r="B353" t="s">
        <v>419</v>
      </c>
      <c r="C353" t="str">
        <f t="shared" si="10"/>
        <v>"https://www.zeldadungeon.net/maps/totk/tiles/sky/6/9_25.jpg",</v>
      </c>
      <c r="H353" t="str">
        <f t="shared" si="11"/>
        <v>9_25</v>
      </c>
    </row>
    <row r="354" spans="1:8" x14ac:dyDescent="0.2">
      <c r="A354" s="9" t="s">
        <v>51</v>
      </c>
      <c r="B354" t="s">
        <v>418</v>
      </c>
      <c r="C354" t="str">
        <f t="shared" si="10"/>
        <v>"https://www.zeldadungeon.net/maps/totk/tiles/sky/6/9_26.jpg",</v>
      </c>
      <c r="H354" t="str">
        <f t="shared" si="11"/>
        <v>9_26</v>
      </c>
    </row>
    <row r="355" spans="1:8" x14ac:dyDescent="0.2">
      <c r="A355" s="9" t="s">
        <v>51</v>
      </c>
      <c r="B355" t="s">
        <v>417</v>
      </c>
      <c r="C355" t="str">
        <f t="shared" si="10"/>
        <v>"https://www.zeldadungeon.net/maps/totk/tiles/sky/6/9_27.jpg",</v>
      </c>
      <c r="H355" t="str">
        <f t="shared" si="11"/>
        <v>9_27</v>
      </c>
    </row>
    <row r="356" spans="1:8" x14ac:dyDescent="0.2">
      <c r="A356" s="9" t="s">
        <v>51</v>
      </c>
      <c r="B356" t="s">
        <v>416</v>
      </c>
      <c r="C356" t="str">
        <f t="shared" si="10"/>
        <v>"https://www.zeldadungeon.net/maps/totk/tiles/sky/6/9_28.jpg",</v>
      </c>
      <c r="H356" t="str">
        <f t="shared" si="11"/>
        <v>9_28</v>
      </c>
    </row>
    <row r="357" spans="1:8" x14ac:dyDescent="0.2">
      <c r="A357" s="9" t="s">
        <v>51</v>
      </c>
      <c r="B357" t="s">
        <v>415</v>
      </c>
      <c r="C357" t="str">
        <f t="shared" si="10"/>
        <v>"https://www.zeldadungeon.net/maps/totk/tiles/sky/6/9_29.jpg",</v>
      </c>
      <c r="H357" t="str">
        <f t="shared" si="11"/>
        <v>9_29</v>
      </c>
    </row>
    <row r="358" spans="1:8" x14ac:dyDescent="0.2">
      <c r="A358" s="9" t="s">
        <v>51</v>
      </c>
      <c r="B358" t="s">
        <v>414</v>
      </c>
      <c r="C358" t="str">
        <f t="shared" si="10"/>
        <v>"https://www.zeldadungeon.net/maps/totk/tiles/sky/6/9_30.jpg",</v>
      </c>
      <c r="H358" t="str">
        <f t="shared" si="11"/>
        <v>9_30</v>
      </c>
    </row>
    <row r="359" spans="1:8" x14ac:dyDescent="0.2">
      <c r="A359" s="9" t="s">
        <v>51</v>
      </c>
      <c r="B359" t="s">
        <v>413</v>
      </c>
      <c r="C359" t="str">
        <f t="shared" si="10"/>
        <v>"https://www.zeldadungeon.net/maps/totk/tiles/sky/6/9_31.jpg",</v>
      </c>
      <c r="H359" t="str">
        <f t="shared" si="11"/>
        <v>9_31</v>
      </c>
    </row>
    <row r="360" spans="1:8" x14ac:dyDescent="0.2">
      <c r="A360" s="9" t="s">
        <v>51</v>
      </c>
      <c r="B360" t="s">
        <v>412</v>
      </c>
      <c r="C360" t="str">
        <f t="shared" si="10"/>
        <v>"https://www.zeldadungeon.net/maps/totk/tiles/sky/6/9_32.jpg",</v>
      </c>
      <c r="H360" t="str">
        <f t="shared" si="11"/>
        <v>9_32</v>
      </c>
    </row>
    <row r="361" spans="1:8" x14ac:dyDescent="0.2">
      <c r="A361" s="9" t="s">
        <v>51</v>
      </c>
      <c r="B361" t="s">
        <v>411</v>
      </c>
      <c r="C361" t="str">
        <f t="shared" si="10"/>
        <v>"https://www.zeldadungeon.net/maps/totk/tiles/sky/6/9_33.jpg",</v>
      </c>
      <c r="H361" t="str">
        <f t="shared" si="11"/>
        <v>9_33</v>
      </c>
    </row>
    <row r="362" spans="1:8" x14ac:dyDescent="0.2">
      <c r="A362" s="9" t="s">
        <v>51</v>
      </c>
      <c r="B362" t="s">
        <v>410</v>
      </c>
      <c r="C362" t="str">
        <f t="shared" si="10"/>
        <v>"https://www.zeldadungeon.net/maps/totk/tiles/sky/6/9_34.jpg",</v>
      </c>
      <c r="H362" t="str">
        <f t="shared" si="11"/>
        <v>9_34</v>
      </c>
    </row>
    <row r="363" spans="1:8" x14ac:dyDescent="0.2">
      <c r="A363" s="9" t="s">
        <v>51</v>
      </c>
      <c r="B363" t="s">
        <v>409</v>
      </c>
      <c r="C363" t="str">
        <f t="shared" si="10"/>
        <v>"https://www.zeldadungeon.net/maps/totk/tiles/sky/6/9_35.jpg",</v>
      </c>
      <c r="H363" t="str">
        <f t="shared" si="11"/>
        <v>9_35</v>
      </c>
    </row>
    <row r="364" spans="1:8" x14ac:dyDescent="0.2">
      <c r="A364" s="9" t="s">
        <v>51</v>
      </c>
      <c r="B364" t="s">
        <v>408</v>
      </c>
      <c r="C364" t="str">
        <f t="shared" si="10"/>
        <v>"https://www.zeldadungeon.net/maps/totk/tiles/sky/6/9_36.jpg",</v>
      </c>
      <c r="H364" t="str">
        <f t="shared" si="11"/>
        <v>9_36</v>
      </c>
    </row>
    <row r="365" spans="1:8" x14ac:dyDescent="0.2">
      <c r="A365" s="9" t="s">
        <v>51</v>
      </c>
      <c r="B365" t="s">
        <v>407</v>
      </c>
      <c r="C365" t="str">
        <f t="shared" si="10"/>
        <v>"https://www.zeldadungeon.net/maps/totk/tiles/sky/6/9_37.jpg",</v>
      </c>
      <c r="H365" t="str">
        <f t="shared" si="11"/>
        <v>9_37</v>
      </c>
    </row>
    <row r="366" spans="1:8" x14ac:dyDescent="0.2">
      <c r="A366" s="9" t="s">
        <v>51</v>
      </c>
      <c r="B366" t="s">
        <v>406</v>
      </c>
      <c r="C366" t="str">
        <f t="shared" si="10"/>
        <v>"https://www.zeldadungeon.net/maps/totk/tiles/sky/6/9_38.jpg",</v>
      </c>
      <c r="H366" t="str">
        <f t="shared" si="11"/>
        <v>9_38</v>
      </c>
    </row>
    <row r="367" spans="1:8" x14ac:dyDescent="0.2">
      <c r="A367" s="9" t="s">
        <v>51</v>
      </c>
      <c r="B367" t="s">
        <v>405</v>
      </c>
      <c r="C367" t="str">
        <f t="shared" si="10"/>
        <v>"https://www.zeldadungeon.net/maps/totk/tiles/sky/6/9_39.jpg",</v>
      </c>
      <c r="H367" t="str">
        <f t="shared" si="11"/>
        <v>9_39</v>
      </c>
    </row>
    <row r="368" spans="1:8" x14ac:dyDescent="0.2">
      <c r="A368" s="9" t="s">
        <v>51</v>
      </c>
      <c r="B368" t="s">
        <v>404</v>
      </c>
      <c r="C368" t="str">
        <f t="shared" si="10"/>
        <v>"https://www.zeldadungeon.net/maps/totk/tiles/sky/6/9_40.jpg",</v>
      </c>
      <c r="H368" t="str">
        <f t="shared" si="11"/>
        <v>9_40</v>
      </c>
    </row>
    <row r="369" spans="1:8" x14ac:dyDescent="0.2">
      <c r="A369" s="9" t="s">
        <v>51</v>
      </c>
      <c r="B369" t="s">
        <v>403</v>
      </c>
      <c r="C369" t="str">
        <f t="shared" si="10"/>
        <v>"https://www.zeldadungeon.net/maps/totk/tiles/sky/6/9_41.jpg",</v>
      </c>
      <c r="H369" t="str">
        <f t="shared" si="11"/>
        <v>9_41</v>
      </c>
    </row>
    <row r="370" spans="1:8" x14ac:dyDescent="0.2">
      <c r="A370" s="9" t="s">
        <v>51</v>
      </c>
      <c r="B370" t="s">
        <v>402</v>
      </c>
      <c r="C370" t="str">
        <f t="shared" si="10"/>
        <v>"https://www.zeldadungeon.net/maps/totk/tiles/sky/6/9_42.jpg",</v>
      </c>
      <c r="H370" t="str">
        <f t="shared" si="11"/>
        <v>9_42</v>
      </c>
    </row>
    <row r="371" spans="1:8" x14ac:dyDescent="0.2">
      <c r="A371" s="9" t="s">
        <v>51</v>
      </c>
      <c r="B371" t="s">
        <v>401</v>
      </c>
      <c r="C371" t="str">
        <f t="shared" si="10"/>
        <v>"https://www.zeldadungeon.net/maps/totk/tiles/sky/6/9_43.jpg",</v>
      </c>
      <c r="H371" t="str">
        <f t="shared" si="11"/>
        <v>9_43</v>
      </c>
    </row>
    <row r="372" spans="1:8" x14ac:dyDescent="0.2">
      <c r="A372" s="9" t="s">
        <v>51</v>
      </c>
      <c r="B372" t="s">
        <v>400</v>
      </c>
      <c r="C372" t="str">
        <f t="shared" si="10"/>
        <v>"https://www.zeldadungeon.net/maps/totk/tiles/sky/6/9_44.jpg",</v>
      </c>
      <c r="H372" t="str">
        <f t="shared" si="11"/>
        <v>9_44</v>
      </c>
    </row>
    <row r="373" spans="1:8" x14ac:dyDescent="0.2">
      <c r="A373" s="9" t="s">
        <v>51</v>
      </c>
      <c r="B373" t="s">
        <v>399</v>
      </c>
      <c r="C373" t="str">
        <f t="shared" si="10"/>
        <v>"https://www.zeldadungeon.net/maps/totk/tiles/sky/6/9_45.jpg",</v>
      </c>
      <c r="H373" t="str">
        <f t="shared" si="11"/>
        <v>9_45</v>
      </c>
    </row>
    <row r="374" spans="1:8" x14ac:dyDescent="0.2">
      <c r="A374" s="9" t="s">
        <v>51</v>
      </c>
      <c r="B374" t="s">
        <v>398</v>
      </c>
      <c r="C374" t="str">
        <f t="shared" si="10"/>
        <v>"https://www.zeldadungeon.net/maps/totk/tiles/sky/6/9_46.jpg",</v>
      </c>
      <c r="H374" t="str">
        <f t="shared" si="11"/>
        <v>9_46</v>
      </c>
    </row>
    <row r="375" spans="1:8" x14ac:dyDescent="0.2">
      <c r="A375" s="9" t="s">
        <v>51</v>
      </c>
      <c r="B375" t="s">
        <v>397</v>
      </c>
      <c r="C375" t="str">
        <f t="shared" si="10"/>
        <v>"https://www.zeldadungeon.net/maps/totk/tiles/sky/6/9_47.jpg",</v>
      </c>
      <c r="H375" t="str">
        <f t="shared" si="11"/>
        <v>9_47</v>
      </c>
    </row>
    <row r="376" spans="1:8" x14ac:dyDescent="0.2">
      <c r="A376" s="9" t="s">
        <v>51</v>
      </c>
      <c r="B376" t="s">
        <v>396</v>
      </c>
      <c r="C376" t="str">
        <f t="shared" si="10"/>
        <v>"https://www.zeldadungeon.net/maps/totk/tiles/sky/6/9_48.jpg",</v>
      </c>
      <c r="H376" t="str">
        <f t="shared" si="11"/>
        <v>9_48</v>
      </c>
    </row>
    <row r="377" spans="1:8" x14ac:dyDescent="0.2">
      <c r="A377" s="9" t="s">
        <v>51</v>
      </c>
      <c r="B377" t="s">
        <v>395</v>
      </c>
      <c r="C377" t="str">
        <f t="shared" si="10"/>
        <v>"https://www.zeldadungeon.net/maps/totk/tiles/sky/6/9_49.jpg",</v>
      </c>
      <c r="H377" t="str">
        <f t="shared" si="11"/>
        <v>9_49</v>
      </c>
    </row>
    <row r="378" spans="1:8" x14ac:dyDescent="0.2">
      <c r="A378" s="9" t="s">
        <v>51</v>
      </c>
      <c r="B378" t="s">
        <v>394</v>
      </c>
      <c r="C378" t="str">
        <f t="shared" si="10"/>
        <v>"https://www.zeldadungeon.net/maps/totk/tiles/sky/6/9_50.jpg",</v>
      </c>
      <c r="H378" t="str">
        <f t="shared" si="11"/>
        <v>9_50</v>
      </c>
    </row>
    <row r="379" spans="1:8" x14ac:dyDescent="0.2">
      <c r="A379" s="9" t="s">
        <v>51</v>
      </c>
      <c r="B379" t="s">
        <v>393</v>
      </c>
      <c r="C379" t="str">
        <f t="shared" si="10"/>
        <v>"https://www.zeldadungeon.net/maps/totk/tiles/sky/6/9_51.jpg",</v>
      </c>
      <c r="H379" t="str">
        <f t="shared" si="11"/>
        <v>9_51</v>
      </c>
    </row>
    <row r="380" spans="1:8" x14ac:dyDescent="0.2">
      <c r="A380" s="9" t="s">
        <v>51</v>
      </c>
      <c r="B380" t="s">
        <v>392</v>
      </c>
      <c r="C380" t="str">
        <f t="shared" si="10"/>
        <v>"https://www.zeldadungeon.net/maps/totk/tiles/sky/6/9_52.jpg",</v>
      </c>
      <c r="H380" t="str">
        <f t="shared" si="11"/>
        <v>9_52</v>
      </c>
    </row>
    <row r="381" spans="1:8" x14ac:dyDescent="0.2">
      <c r="A381" s="9" t="s">
        <v>51</v>
      </c>
      <c r="B381" t="s">
        <v>391</v>
      </c>
      <c r="C381" t="str">
        <f t="shared" si="10"/>
        <v>"https://www.zeldadungeon.net/maps/totk/tiles/sky/6/9_53.jpg",</v>
      </c>
      <c r="H381" t="str">
        <f t="shared" si="11"/>
        <v>9_53</v>
      </c>
    </row>
    <row r="382" spans="1:8" x14ac:dyDescent="0.2">
      <c r="A382" s="9" t="s">
        <v>51</v>
      </c>
      <c r="B382" t="s">
        <v>390</v>
      </c>
      <c r="C382" t="str">
        <f t="shared" si="10"/>
        <v>"https://www.zeldadungeon.net/maps/totk/tiles/sky/6/9_54.jpg",</v>
      </c>
      <c r="H382" t="str">
        <f t="shared" si="11"/>
        <v>9_54</v>
      </c>
    </row>
    <row r="383" spans="1:8" x14ac:dyDescent="0.2">
      <c r="A383" s="9" t="s">
        <v>51</v>
      </c>
      <c r="B383" t="s">
        <v>389</v>
      </c>
      <c r="C383" t="str">
        <f t="shared" si="10"/>
        <v>"https://www.zeldadungeon.net/maps/totk/tiles/sky/6/9_55.jpg",</v>
      </c>
      <c r="H383" t="str">
        <f t="shared" si="11"/>
        <v>9_55</v>
      </c>
    </row>
    <row r="384" spans="1:8" x14ac:dyDescent="0.2">
      <c r="A384" s="9" t="s">
        <v>51</v>
      </c>
      <c r="B384" t="s">
        <v>388</v>
      </c>
      <c r="C384" t="str">
        <f t="shared" si="10"/>
        <v>"https://www.zeldadungeon.net/maps/totk/tiles/sky/6/10_8.jpg",</v>
      </c>
      <c r="H384" t="str">
        <f t="shared" si="11"/>
        <v>10_8</v>
      </c>
    </row>
    <row r="385" spans="1:8" x14ac:dyDescent="0.2">
      <c r="A385" s="9" t="s">
        <v>51</v>
      </c>
      <c r="B385" t="s">
        <v>387</v>
      </c>
      <c r="C385" t="str">
        <f t="shared" ref="C385:C448" si="12">""""&amp;SUBSTITUTE(A385,"zzz",H385)&amp;""""&amp;","</f>
        <v>"https://www.zeldadungeon.net/maps/totk/tiles/sky/6/10_9.jpg",</v>
      </c>
      <c r="H385" t="str">
        <f t="shared" ref="H385:H448" si="13">QUOTIENT(ROW(A385),48)+2&amp;"_"&amp;MOD(ROW(A385),48)+8</f>
        <v>10_9</v>
      </c>
    </row>
    <row r="386" spans="1:8" x14ac:dyDescent="0.2">
      <c r="A386" s="9" t="s">
        <v>51</v>
      </c>
      <c r="B386" t="s">
        <v>386</v>
      </c>
      <c r="C386" t="str">
        <f t="shared" si="12"/>
        <v>"https://www.zeldadungeon.net/maps/totk/tiles/sky/6/10_10.jpg",</v>
      </c>
      <c r="H386" t="str">
        <f t="shared" si="13"/>
        <v>10_10</v>
      </c>
    </row>
    <row r="387" spans="1:8" x14ac:dyDescent="0.2">
      <c r="A387" s="9" t="s">
        <v>51</v>
      </c>
      <c r="B387" t="s">
        <v>385</v>
      </c>
      <c r="C387" t="str">
        <f t="shared" si="12"/>
        <v>"https://www.zeldadungeon.net/maps/totk/tiles/sky/6/10_11.jpg",</v>
      </c>
      <c r="H387" t="str">
        <f t="shared" si="13"/>
        <v>10_11</v>
      </c>
    </row>
    <row r="388" spans="1:8" x14ac:dyDescent="0.2">
      <c r="A388" s="9" t="s">
        <v>51</v>
      </c>
      <c r="B388" t="s">
        <v>384</v>
      </c>
      <c r="C388" t="str">
        <f t="shared" si="12"/>
        <v>"https://www.zeldadungeon.net/maps/totk/tiles/sky/6/10_12.jpg",</v>
      </c>
      <c r="H388" t="str">
        <f t="shared" si="13"/>
        <v>10_12</v>
      </c>
    </row>
    <row r="389" spans="1:8" x14ac:dyDescent="0.2">
      <c r="A389" s="9" t="s">
        <v>51</v>
      </c>
      <c r="B389" t="s">
        <v>383</v>
      </c>
      <c r="C389" t="str">
        <f t="shared" si="12"/>
        <v>"https://www.zeldadungeon.net/maps/totk/tiles/sky/6/10_13.jpg",</v>
      </c>
      <c r="H389" t="str">
        <f t="shared" si="13"/>
        <v>10_13</v>
      </c>
    </row>
    <row r="390" spans="1:8" x14ac:dyDescent="0.2">
      <c r="A390" s="9" t="s">
        <v>51</v>
      </c>
      <c r="B390" t="s">
        <v>382</v>
      </c>
      <c r="C390" t="str">
        <f t="shared" si="12"/>
        <v>"https://www.zeldadungeon.net/maps/totk/tiles/sky/6/10_14.jpg",</v>
      </c>
      <c r="H390" t="str">
        <f t="shared" si="13"/>
        <v>10_14</v>
      </c>
    </row>
    <row r="391" spans="1:8" x14ac:dyDescent="0.2">
      <c r="A391" s="9" t="s">
        <v>51</v>
      </c>
      <c r="B391" t="s">
        <v>381</v>
      </c>
      <c r="C391" t="str">
        <f t="shared" si="12"/>
        <v>"https://www.zeldadungeon.net/maps/totk/tiles/sky/6/10_15.jpg",</v>
      </c>
      <c r="H391" t="str">
        <f t="shared" si="13"/>
        <v>10_15</v>
      </c>
    </row>
    <row r="392" spans="1:8" x14ac:dyDescent="0.2">
      <c r="A392" s="9" t="s">
        <v>51</v>
      </c>
      <c r="B392" t="s">
        <v>380</v>
      </c>
      <c r="C392" t="str">
        <f t="shared" si="12"/>
        <v>"https://www.zeldadungeon.net/maps/totk/tiles/sky/6/10_16.jpg",</v>
      </c>
      <c r="H392" t="str">
        <f t="shared" si="13"/>
        <v>10_16</v>
      </c>
    </row>
    <row r="393" spans="1:8" x14ac:dyDescent="0.2">
      <c r="A393" s="9" t="s">
        <v>51</v>
      </c>
      <c r="B393" t="s">
        <v>379</v>
      </c>
      <c r="C393" t="str">
        <f t="shared" si="12"/>
        <v>"https://www.zeldadungeon.net/maps/totk/tiles/sky/6/10_17.jpg",</v>
      </c>
      <c r="H393" t="str">
        <f t="shared" si="13"/>
        <v>10_17</v>
      </c>
    </row>
    <row r="394" spans="1:8" x14ac:dyDescent="0.2">
      <c r="A394" s="9" t="s">
        <v>51</v>
      </c>
      <c r="B394" t="s">
        <v>378</v>
      </c>
      <c r="C394" t="str">
        <f t="shared" si="12"/>
        <v>"https://www.zeldadungeon.net/maps/totk/tiles/sky/6/10_18.jpg",</v>
      </c>
      <c r="H394" t="str">
        <f t="shared" si="13"/>
        <v>10_18</v>
      </c>
    </row>
    <row r="395" spans="1:8" x14ac:dyDescent="0.2">
      <c r="A395" s="9" t="s">
        <v>51</v>
      </c>
      <c r="B395" t="s">
        <v>377</v>
      </c>
      <c r="C395" t="str">
        <f t="shared" si="12"/>
        <v>"https://www.zeldadungeon.net/maps/totk/tiles/sky/6/10_19.jpg",</v>
      </c>
      <c r="H395" t="str">
        <f t="shared" si="13"/>
        <v>10_19</v>
      </c>
    </row>
    <row r="396" spans="1:8" x14ac:dyDescent="0.2">
      <c r="A396" s="9" t="s">
        <v>51</v>
      </c>
      <c r="B396" t="s">
        <v>376</v>
      </c>
      <c r="C396" t="str">
        <f t="shared" si="12"/>
        <v>"https://www.zeldadungeon.net/maps/totk/tiles/sky/6/10_20.jpg",</v>
      </c>
      <c r="H396" t="str">
        <f t="shared" si="13"/>
        <v>10_20</v>
      </c>
    </row>
    <row r="397" spans="1:8" x14ac:dyDescent="0.2">
      <c r="A397" s="9" t="s">
        <v>51</v>
      </c>
      <c r="B397" t="s">
        <v>375</v>
      </c>
      <c r="C397" t="str">
        <f t="shared" si="12"/>
        <v>"https://www.zeldadungeon.net/maps/totk/tiles/sky/6/10_21.jpg",</v>
      </c>
      <c r="H397" t="str">
        <f t="shared" si="13"/>
        <v>10_21</v>
      </c>
    </row>
    <row r="398" spans="1:8" x14ac:dyDescent="0.2">
      <c r="A398" s="9" t="s">
        <v>51</v>
      </c>
      <c r="B398" t="s">
        <v>374</v>
      </c>
      <c r="C398" t="str">
        <f t="shared" si="12"/>
        <v>"https://www.zeldadungeon.net/maps/totk/tiles/sky/6/10_22.jpg",</v>
      </c>
      <c r="H398" t="str">
        <f t="shared" si="13"/>
        <v>10_22</v>
      </c>
    </row>
    <row r="399" spans="1:8" x14ac:dyDescent="0.2">
      <c r="A399" s="9" t="s">
        <v>51</v>
      </c>
      <c r="B399" t="s">
        <v>373</v>
      </c>
      <c r="C399" t="str">
        <f t="shared" si="12"/>
        <v>"https://www.zeldadungeon.net/maps/totk/tiles/sky/6/10_23.jpg",</v>
      </c>
      <c r="H399" t="str">
        <f t="shared" si="13"/>
        <v>10_23</v>
      </c>
    </row>
    <row r="400" spans="1:8" x14ac:dyDescent="0.2">
      <c r="A400" s="9" t="s">
        <v>51</v>
      </c>
      <c r="B400" t="s">
        <v>372</v>
      </c>
      <c r="C400" t="str">
        <f t="shared" si="12"/>
        <v>"https://www.zeldadungeon.net/maps/totk/tiles/sky/6/10_24.jpg",</v>
      </c>
      <c r="H400" t="str">
        <f t="shared" si="13"/>
        <v>10_24</v>
      </c>
    </row>
    <row r="401" spans="1:8" x14ac:dyDescent="0.2">
      <c r="A401" s="9" t="s">
        <v>51</v>
      </c>
      <c r="B401" t="s">
        <v>371</v>
      </c>
      <c r="C401" t="str">
        <f t="shared" si="12"/>
        <v>"https://www.zeldadungeon.net/maps/totk/tiles/sky/6/10_25.jpg",</v>
      </c>
      <c r="H401" t="str">
        <f t="shared" si="13"/>
        <v>10_25</v>
      </c>
    </row>
    <row r="402" spans="1:8" x14ac:dyDescent="0.2">
      <c r="A402" s="9" t="s">
        <v>51</v>
      </c>
      <c r="B402" t="s">
        <v>370</v>
      </c>
      <c r="C402" t="str">
        <f t="shared" si="12"/>
        <v>"https://www.zeldadungeon.net/maps/totk/tiles/sky/6/10_26.jpg",</v>
      </c>
      <c r="H402" t="str">
        <f t="shared" si="13"/>
        <v>10_26</v>
      </c>
    </row>
    <row r="403" spans="1:8" x14ac:dyDescent="0.2">
      <c r="A403" s="9" t="s">
        <v>51</v>
      </c>
      <c r="B403" t="s">
        <v>369</v>
      </c>
      <c r="C403" t="str">
        <f t="shared" si="12"/>
        <v>"https://www.zeldadungeon.net/maps/totk/tiles/sky/6/10_27.jpg",</v>
      </c>
      <c r="H403" t="str">
        <f t="shared" si="13"/>
        <v>10_27</v>
      </c>
    </row>
    <row r="404" spans="1:8" x14ac:dyDescent="0.2">
      <c r="A404" s="9" t="s">
        <v>51</v>
      </c>
      <c r="B404" t="s">
        <v>368</v>
      </c>
      <c r="C404" t="str">
        <f t="shared" si="12"/>
        <v>"https://www.zeldadungeon.net/maps/totk/tiles/sky/6/10_28.jpg",</v>
      </c>
      <c r="H404" t="str">
        <f t="shared" si="13"/>
        <v>10_28</v>
      </c>
    </row>
    <row r="405" spans="1:8" x14ac:dyDescent="0.2">
      <c r="A405" s="9" t="s">
        <v>51</v>
      </c>
      <c r="B405" t="s">
        <v>367</v>
      </c>
      <c r="C405" t="str">
        <f t="shared" si="12"/>
        <v>"https://www.zeldadungeon.net/maps/totk/tiles/sky/6/10_29.jpg",</v>
      </c>
      <c r="H405" t="str">
        <f t="shared" si="13"/>
        <v>10_29</v>
      </c>
    </row>
    <row r="406" spans="1:8" x14ac:dyDescent="0.2">
      <c r="A406" s="9" t="s">
        <v>51</v>
      </c>
      <c r="B406" t="s">
        <v>366</v>
      </c>
      <c r="C406" t="str">
        <f t="shared" si="12"/>
        <v>"https://www.zeldadungeon.net/maps/totk/tiles/sky/6/10_30.jpg",</v>
      </c>
      <c r="H406" t="str">
        <f t="shared" si="13"/>
        <v>10_30</v>
      </c>
    </row>
    <row r="407" spans="1:8" x14ac:dyDescent="0.2">
      <c r="A407" s="9" t="s">
        <v>51</v>
      </c>
      <c r="B407" t="s">
        <v>365</v>
      </c>
      <c r="C407" t="str">
        <f t="shared" si="12"/>
        <v>"https://www.zeldadungeon.net/maps/totk/tiles/sky/6/10_31.jpg",</v>
      </c>
      <c r="H407" t="str">
        <f t="shared" si="13"/>
        <v>10_31</v>
      </c>
    </row>
    <row r="408" spans="1:8" x14ac:dyDescent="0.2">
      <c r="A408" s="9" t="s">
        <v>51</v>
      </c>
      <c r="B408" t="s">
        <v>364</v>
      </c>
      <c r="C408" t="str">
        <f t="shared" si="12"/>
        <v>"https://www.zeldadungeon.net/maps/totk/tiles/sky/6/10_32.jpg",</v>
      </c>
      <c r="H408" t="str">
        <f t="shared" si="13"/>
        <v>10_32</v>
      </c>
    </row>
    <row r="409" spans="1:8" x14ac:dyDescent="0.2">
      <c r="A409" s="9" t="s">
        <v>51</v>
      </c>
      <c r="B409" t="s">
        <v>363</v>
      </c>
      <c r="C409" t="str">
        <f t="shared" si="12"/>
        <v>"https://www.zeldadungeon.net/maps/totk/tiles/sky/6/10_33.jpg",</v>
      </c>
      <c r="H409" t="str">
        <f t="shared" si="13"/>
        <v>10_33</v>
      </c>
    </row>
    <row r="410" spans="1:8" x14ac:dyDescent="0.2">
      <c r="A410" s="9" t="s">
        <v>51</v>
      </c>
      <c r="B410" t="s">
        <v>362</v>
      </c>
      <c r="C410" t="str">
        <f t="shared" si="12"/>
        <v>"https://www.zeldadungeon.net/maps/totk/tiles/sky/6/10_34.jpg",</v>
      </c>
      <c r="H410" t="str">
        <f t="shared" si="13"/>
        <v>10_34</v>
      </c>
    </row>
    <row r="411" spans="1:8" x14ac:dyDescent="0.2">
      <c r="A411" s="9" t="s">
        <v>51</v>
      </c>
      <c r="B411" t="s">
        <v>361</v>
      </c>
      <c r="C411" t="str">
        <f t="shared" si="12"/>
        <v>"https://www.zeldadungeon.net/maps/totk/tiles/sky/6/10_35.jpg",</v>
      </c>
      <c r="H411" t="str">
        <f t="shared" si="13"/>
        <v>10_35</v>
      </c>
    </row>
    <row r="412" spans="1:8" x14ac:dyDescent="0.2">
      <c r="A412" s="9" t="s">
        <v>51</v>
      </c>
      <c r="B412" t="s">
        <v>360</v>
      </c>
      <c r="C412" t="str">
        <f t="shared" si="12"/>
        <v>"https://www.zeldadungeon.net/maps/totk/tiles/sky/6/10_36.jpg",</v>
      </c>
      <c r="H412" t="str">
        <f t="shared" si="13"/>
        <v>10_36</v>
      </c>
    </row>
    <row r="413" spans="1:8" x14ac:dyDescent="0.2">
      <c r="A413" s="9" t="s">
        <v>51</v>
      </c>
      <c r="B413" t="s">
        <v>359</v>
      </c>
      <c r="C413" t="str">
        <f t="shared" si="12"/>
        <v>"https://www.zeldadungeon.net/maps/totk/tiles/sky/6/10_37.jpg",</v>
      </c>
      <c r="H413" t="str">
        <f t="shared" si="13"/>
        <v>10_37</v>
      </c>
    </row>
    <row r="414" spans="1:8" x14ac:dyDescent="0.2">
      <c r="A414" s="9" t="s">
        <v>51</v>
      </c>
      <c r="B414" t="s">
        <v>358</v>
      </c>
      <c r="C414" t="str">
        <f t="shared" si="12"/>
        <v>"https://www.zeldadungeon.net/maps/totk/tiles/sky/6/10_38.jpg",</v>
      </c>
      <c r="H414" t="str">
        <f t="shared" si="13"/>
        <v>10_38</v>
      </c>
    </row>
    <row r="415" spans="1:8" x14ac:dyDescent="0.2">
      <c r="A415" s="9" t="s">
        <v>51</v>
      </c>
      <c r="B415" t="s">
        <v>357</v>
      </c>
      <c r="C415" t="str">
        <f t="shared" si="12"/>
        <v>"https://www.zeldadungeon.net/maps/totk/tiles/sky/6/10_39.jpg",</v>
      </c>
      <c r="H415" t="str">
        <f t="shared" si="13"/>
        <v>10_39</v>
      </c>
    </row>
    <row r="416" spans="1:8" x14ac:dyDescent="0.2">
      <c r="A416" s="9" t="s">
        <v>51</v>
      </c>
      <c r="B416" t="s">
        <v>356</v>
      </c>
      <c r="C416" t="str">
        <f t="shared" si="12"/>
        <v>"https://www.zeldadungeon.net/maps/totk/tiles/sky/6/10_40.jpg",</v>
      </c>
      <c r="H416" t="str">
        <f t="shared" si="13"/>
        <v>10_40</v>
      </c>
    </row>
    <row r="417" spans="1:8" x14ac:dyDescent="0.2">
      <c r="A417" s="9" t="s">
        <v>51</v>
      </c>
      <c r="B417" t="s">
        <v>355</v>
      </c>
      <c r="C417" t="str">
        <f t="shared" si="12"/>
        <v>"https://www.zeldadungeon.net/maps/totk/tiles/sky/6/10_41.jpg",</v>
      </c>
      <c r="H417" t="str">
        <f t="shared" si="13"/>
        <v>10_41</v>
      </c>
    </row>
    <row r="418" spans="1:8" x14ac:dyDescent="0.2">
      <c r="A418" s="9" t="s">
        <v>51</v>
      </c>
      <c r="B418" t="s">
        <v>354</v>
      </c>
      <c r="C418" t="str">
        <f t="shared" si="12"/>
        <v>"https://www.zeldadungeon.net/maps/totk/tiles/sky/6/10_42.jpg",</v>
      </c>
      <c r="H418" t="str">
        <f t="shared" si="13"/>
        <v>10_42</v>
      </c>
    </row>
    <row r="419" spans="1:8" x14ac:dyDescent="0.2">
      <c r="A419" s="9" t="s">
        <v>51</v>
      </c>
      <c r="B419" t="s">
        <v>353</v>
      </c>
      <c r="C419" t="str">
        <f t="shared" si="12"/>
        <v>"https://www.zeldadungeon.net/maps/totk/tiles/sky/6/10_43.jpg",</v>
      </c>
      <c r="H419" t="str">
        <f t="shared" si="13"/>
        <v>10_43</v>
      </c>
    </row>
    <row r="420" spans="1:8" x14ac:dyDescent="0.2">
      <c r="A420" s="9" t="s">
        <v>51</v>
      </c>
      <c r="B420" t="s">
        <v>352</v>
      </c>
      <c r="C420" t="str">
        <f t="shared" si="12"/>
        <v>"https://www.zeldadungeon.net/maps/totk/tiles/sky/6/10_44.jpg",</v>
      </c>
      <c r="H420" t="str">
        <f t="shared" si="13"/>
        <v>10_44</v>
      </c>
    </row>
    <row r="421" spans="1:8" x14ac:dyDescent="0.2">
      <c r="A421" s="9" t="s">
        <v>51</v>
      </c>
      <c r="B421" t="s">
        <v>351</v>
      </c>
      <c r="C421" t="str">
        <f t="shared" si="12"/>
        <v>"https://www.zeldadungeon.net/maps/totk/tiles/sky/6/10_45.jpg",</v>
      </c>
      <c r="H421" t="str">
        <f t="shared" si="13"/>
        <v>10_45</v>
      </c>
    </row>
    <row r="422" spans="1:8" x14ac:dyDescent="0.2">
      <c r="A422" s="9" t="s">
        <v>51</v>
      </c>
      <c r="B422" t="s">
        <v>350</v>
      </c>
      <c r="C422" t="str">
        <f t="shared" si="12"/>
        <v>"https://www.zeldadungeon.net/maps/totk/tiles/sky/6/10_46.jpg",</v>
      </c>
      <c r="H422" t="str">
        <f t="shared" si="13"/>
        <v>10_46</v>
      </c>
    </row>
    <row r="423" spans="1:8" x14ac:dyDescent="0.2">
      <c r="A423" s="9" t="s">
        <v>51</v>
      </c>
      <c r="B423" t="s">
        <v>349</v>
      </c>
      <c r="C423" t="str">
        <f t="shared" si="12"/>
        <v>"https://www.zeldadungeon.net/maps/totk/tiles/sky/6/10_47.jpg",</v>
      </c>
      <c r="H423" t="str">
        <f t="shared" si="13"/>
        <v>10_47</v>
      </c>
    </row>
    <row r="424" spans="1:8" x14ac:dyDescent="0.2">
      <c r="A424" s="9" t="s">
        <v>51</v>
      </c>
      <c r="B424" t="s">
        <v>348</v>
      </c>
      <c r="C424" t="str">
        <f t="shared" si="12"/>
        <v>"https://www.zeldadungeon.net/maps/totk/tiles/sky/6/10_48.jpg",</v>
      </c>
      <c r="H424" t="str">
        <f t="shared" si="13"/>
        <v>10_48</v>
      </c>
    </row>
    <row r="425" spans="1:8" x14ac:dyDescent="0.2">
      <c r="A425" s="9" t="s">
        <v>51</v>
      </c>
      <c r="B425" t="s">
        <v>347</v>
      </c>
      <c r="C425" t="str">
        <f t="shared" si="12"/>
        <v>"https://www.zeldadungeon.net/maps/totk/tiles/sky/6/10_49.jpg",</v>
      </c>
      <c r="H425" t="str">
        <f t="shared" si="13"/>
        <v>10_49</v>
      </c>
    </row>
    <row r="426" spans="1:8" x14ac:dyDescent="0.2">
      <c r="A426" s="9" t="s">
        <v>51</v>
      </c>
      <c r="B426" t="s">
        <v>346</v>
      </c>
      <c r="C426" t="str">
        <f t="shared" si="12"/>
        <v>"https://www.zeldadungeon.net/maps/totk/tiles/sky/6/10_50.jpg",</v>
      </c>
      <c r="H426" t="str">
        <f t="shared" si="13"/>
        <v>10_50</v>
      </c>
    </row>
    <row r="427" spans="1:8" x14ac:dyDescent="0.2">
      <c r="A427" s="9" t="s">
        <v>51</v>
      </c>
      <c r="B427" t="s">
        <v>345</v>
      </c>
      <c r="C427" t="str">
        <f t="shared" si="12"/>
        <v>"https://www.zeldadungeon.net/maps/totk/tiles/sky/6/10_51.jpg",</v>
      </c>
      <c r="H427" t="str">
        <f t="shared" si="13"/>
        <v>10_51</v>
      </c>
    </row>
    <row r="428" spans="1:8" x14ac:dyDescent="0.2">
      <c r="A428" s="9" t="s">
        <v>51</v>
      </c>
      <c r="B428" t="s">
        <v>344</v>
      </c>
      <c r="C428" t="str">
        <f t="shared" si="12"/>
        <v>"https://www.zeldadungeon.net/maps/totk/tiles/sky/6/10_52.jpg",</v>
      </c>
      <c r="H428" t="str">
        <f t="shared" si="13"/>
        <v>10_52</v>
      </c>
    </row>
    <row r="429" spans="1:8" x14ac:dyDescent="0.2">
      <c r="A429" s="9" t="s">
        <v>51</v>
      </c>
      <c r="B429" t="s">
        <v>343</v>
      </c>
      <c r="C429" t="str">
        <f t="shared" si="12"/>
        <v>"https://www.zeldadungeon.net/maps/totk/tiles/sky/6/10_53.jpg",</v>
      </c>
      <c r="H429" t="str">
        <f t="shared" si="13"/>
        <v>10_53</v>
      </c>
    </row>
    <row r="430" spans="1:8" x14ac:dyDescent="0.2">
      <c r="A430" s="9" t="s">
        <v>51</v>
      </c>
      <c r="B430" t="s">
        <v>342</v>
      </c>
      <c r="C430" t="str">
        <f t="shared" si="12"/>
        <v>"https://www.zeldadungeon.net/maps/totk/tiles/sky/6/10_54.jpg",</v>
      </c>
      <c r="H430" t="str">
        <f t="shared" si="13"/>
        <v>10_54</v>
      </c>
    </row>
    <row r="431" spans="1:8" x14ac:dyDescent="0.2">
      <c r="A431" s="9" t="s">
        <v>51</v>
      </c>
      <c r="B431" t="s">
        <v>341</v>
      </c>
      <c r="C431" t="str">
        <f t="shared" si="12"/>
        <v>"https://www.zeldadungeon.net/maps/totk/tiles/sky/6/10_55.jpg",</v>
      </c>
      <c r="H431" t="str">
        <f t="shared" si="13"/>
        <v>10_55</v>
      </c>
    </row>
    <row r="432" spans="1:8" x14ac:dyDescent="0.2">
      <c r="A432" s="9" t="s">
        <v>51</v>
      </c>
      <c r="B432" t="s">
        <v>340</v>
      </c>
      <c r="C432" t="str">
        <f t="shared" si="12"/>
        <v>"https://www.zeldadungeon.net/maps/totk/tiles/sky/6/11_8.jpg",</v>
      </c>
      <c r="H432" t="str">
        <f t="shared" si="13"/>
        <v>11_8</v>
      </c>
    </row>
    <row r="433" spans="1:8" x14ac:dyDescent="0.2">
      <c r="A433" s="9" t="s">
        <v>51</v>
      </c>
      <c r="B433" t="s">
        <v>339</v>
      </c>
      <c r="C433" t="str">
        <f t="shared" si="12"/>
        <v>"https://www.zeldadungeon.net/maps/totk/tiles/sky/6/11_9.jpg",</v>
      </c>
      <c r="H433" t="str">
        <f t="shared" si="13"/>
        <v>11_9</v>
      </c>
    </row>
    <row r="434" spans="1:8" x14ac:dyDescent="0.2">
      <c r="A434" s="9" t="s">
        <v>51</v>
      </c>
      <c r="B434" t="s">
        <v>338</v>
      </c>
      <c r="C434" t="str">
        <f t="shared" si="12"/>
        <v>"https://www.zeldadungeon.net/maps/totk/tiles/sky/6/11_10.jpg",</v>
      </c>
      <c r="H434" t="str">
        <f t="shared" si="13"/>
        <v>11_10</v>
      </c>
    </row>
    <row r="435" spans="1:8" x14ac:dyDescent="0.2">
      <c r="A435" s="9" t="s">
        <v>51</v>
      </c>
      <c r="B435" t="s">
        <v>337</v>
      </c>
      <c r="C435" t="str">
        <f t="shared" si="12"/>
        <v>"https://www.zeldadungeon.net/maps/totk/tiles/sky/6/11_11.jpg",</v>
      </c>
      <c r="H435" t="str">
        <f t="shared" si="13"/>
        <v>11_11</v>
      </c>
    </row>
    <row r="436" spans="1:8" x14ac:dyDescent="0.2">
      <c r="A436" s="9" t="s">
        <v>51</v>
      </c>
      <c r="B436" t="s">
        <v>336</v>
      </c>
      <c r="C436" t="str">
        <f t="shared" si="12"/>
        <v>"https://www.zeldadungeon.net/maps/totk/tiles/sky/6/11_12.jpg",</v>
      </c>
      <c r="H436" t="str">
        <f t="shared" si="13"/>
        <v>11_12</v>
      </c>
    </row>
    <row r="437" spans="1:8" x14ac:dyDescent="0.2">
      <c r="A437" s="9" t="s">
        <v>51</v>
      </c>
      <c r="B437" t="s">
        <v>335</v>
      </c>
      <c r="C437" t="str">
        <f t="shared" si="12"/>
        <v>"https://www.zeldadungeon.net/maps/totk/tiles/sky/6/11_13.jpg",</v>
      </c>
      <c r="H437" t="str">
        <f t="shared" si="13"/>
        <v>11_13</v>
      </c>
    </row>
    <row r="438" spans="1:8" x14ac:dyDescent="0.2">
      <c r="A438" s="9" t="s">
        <v>51</v>
      </c>
      <c r="B438" t="s">
        <v>334</v>
      </c>
      <c r="C438" t="str">
        <f t="shared" si="12"/>
        <v>"https://www.zeldadungeon.net/maps/totk/tiles/sky/6/11_14.jpg",</v>
      </c>
      <c r="H438" t="str">
        <f t="shared" si="13"/>
        <v>11_14</v>
      </c>
    </row>
    <row r="439" spans="1:8" x14ac:dyDescent="0.2">
      <c r="A439" s="9" t="s">
        <v>51</v>
      </c>
      <c r="B439" t="s">
        <v>333</v>
      </c>
      <c r="C439" t="str">
        <f t="shared" si="12"/>
        <v>"https://www.zeldadungeon.net/maps/totk/tiles/sky/6/11_15.jpg",</v>
      </c>
      <c r="H439" t="str">
        <f t="shared" si="13"/>
        <v>11_15</v>
      </c>
    </row>
    <row r="440" spans="1:8" x14ac:dyDescent="0.2">
      <c r="A440" s="9" t="s">
        <v>51</v>
      </c>
      <c r="B440" t="s">
        <v>332</v>
      </c>
      <c r="C440" t="str">
        <f t="shared" si="12"/>
        <v>"https://www.zeldadungeon.net/maps/totk/tiles/sky/6/11_16.jpg",</v>
      </c>
      <c r="H440" t="str">
        <f t="shared" si="13"/>
        <v>11_16</v>
      </c>
    </row>
    <row r="441" spans="1:8" x14ac:dyDescent="0.2">
      <c r="A441" s="9" t="s">
        <v>51</v>
      </c>
      <c r="B441" t="s">
        <v>331</v>
      </c>
      <c r="C441" t="str">
        <f t="shared" si="12"/>
        <v>"https://www.zeldadungeon.net/maps/totk/tiles/sky/6/11_17.jpg",</v>
      </c>
      <c r="H441" t="str">
        <f t="shared" si="13"/>
        <v>11_17</v>
      </c>
    </row>
    <row r="442" spans="1:8" x14ac:dyDescent="0.2">
      <c r="A442" s="9" t="s">
        <v>51</v>
      </c>
      <c r="B442" t="s">
        <v>330</v>
      </c>
      <c r="C442" t="str">
        <f t="shared" si="12"/>
        <v>"https://www.zeldadungeon.net/maps/totk/tiles/sky/6/11_18.jpg",</v>
      </c>
      <c r="H442" t="str">
        <f t="shared" si="13"/>
        <v>11_18</v>
      </c>
    </row>
    <row r="443" spans="1:8" x14ac:dyDescent="0.2">
      <c r="A443" s="9" t="s">
        <v>51</v>
      </c>
      <c r="B443" t="s">
        <v>329</v>
      </c>
      <c r="C443" t="str">
        <f t="shared" si="12"/>
        <v>"https://www.zeldadungeon.net/maps/totk/tiles/sky/6/11_19.jpg",</v>
      </c>
      <c r="H443" t="str">
        <f t="shared" si="13"/>
        <v>11_19</v>
      </c>
    </row>
    <row r="444" spans="1:8" x14ac:dyDescent="0.2">
      <c r="A444" s="9" t="s">
        <v>51</v>
      </c>
      <c r="B444" t="s">
        <v>328</v>
      </c>
      <c r="C444" t="str">
        <f t="shared" si="12"/>
        <v>"https://www.zeldadungeon.net/maps/totk/tiles/sky/6/11_20.jpg",</v>
      </c>
      <c r="H444" t="str">
        <f t="shared" si="13"/>
        <v>11_20</v>
      </c>
    </row>
    <row r="445" spans="1:8" x14ac:dyDescent="0.2">
      <c r="A445" s="9" t="s">
        <v>51</v>
      </c>
      <c r="B445" t="s">
        <v>327</v>
      </c>
      <c r="C445" t="str">
        <f t="shared" si="12"/>
        <v>"https://www.zeldadungeon.net/maps/totk/tiles/sky/6/11_21.jpg",</v>
      </c>
      <c r="H445" t="str">
        <f t="shared" si="13"/>
        <v>11_21</v>
      </c>
    </row>
    <row r="446" spans="1:8" x14ac:dyDescent="0.2">
      <c r="A446" s="9" t="s">
        <v>51</v>
      </c>
      <c r="B446" t="s">
        <v>326</v>
      </c>
      <c r="C446" t="str">
        <f t="shared" si="12"/>
        <v>"https://www.zeldadungeon.net/maps/totk/tiles/sky/6/11_22.jpg",</v>
      </c>
      <c r="H446" t="str">
        <f t="shared" si="13"/>
        <v>11_22</v>
      </c>
    </row>
    <row r="447" spans="1:8" x14ac:dyDescent="0.2">
      <c r="A447" s="9" t="s">
        <v>51</v>
      </c>
      <c r="B447" t="s">
        <v>325</v>
      </c>
      <c r="C447" t="str">
        <f t="shared" si="12"/>
        <v>"https://www.zeldadungeon.net/maps/totk/tiles/sky/6/11_23.jpg",</v>
      </c>
      <c r="H447" t="str">
        <f t="shared" si="13"/>
        <v>11_23</v>
      </c>
    </row>
    <row r="448" spans="1:8" x14ac:dyDescent="0.2">
      <c r="A448" s="9" t="s">
        <v>51</v>
      </c>
      <c r="B448" t="s">
        <v>324</v>
      </c>
      <c r="C448" t="str">
        <f t="shared" si="12"/>
        <v>"https://www.zeldadungeon.net/maps/totk/tiles/sky/6/11_24.jpg",</v>
      </c>
      <c r="H448" t="str">
        <f t="shared" si="13"/>
        <v>11_24</v>
      </c>
    </row>
    <row r="449" spans="1:8" x14ac:dyDescent="0.2">
      <c r="A449" s="9" t="s">
        <v>51</v>
      </c>
      <c r="B449" t="s">
        <v>323</v>
      </c>
      <c r="C449" t="str">
        <f t="shared" ref="C449:C512" si="14">""""&amp;SUBSTITUTE(A449,"zzz",H449)&amp;""""&amp;","</f>
        <v>"https://www.zeldadungeon.net/maps/totk/tiles/sky/6/11_25.jpg",</v>
      </c>
      <c r="H449" t="str">
        <f t="shared" ref="H449:H512" si="15">QUOTIENT(ROW(A449),48)+2&amp;"_"&amp;MOD(ROW(A449),48)+8</f>
        <v>11_25</v>
      </c>
    </row>
    <row r="450" spans="1:8" x14ac:dyDescent="0.2">
      <c r="A450" s="9" t="s">
        <v>51</v>
      </c>
      <c r="B450" t="s">
        <v>322</v>
      </c>
      <c r="C450" t="str">
        <f t="shared" si="14"/>
        <v>"https://www.zeldadungeon.net/maps/totk/tiles/sky/6/11_26.jpg",</v>
      </c>
      <c r="H450" t="str">
        <f t="shared" si="15"/>
        <v>11_26</v>
      </c>
    </row>
    <row r="451" spans="1:8" x14ac:dyDescent="0.2">
      <c r="A451" s="9" t="s">
        <v>51</v>
      </c>
      <c r="B451" t="s">
        <v>321</v>
      </c>
      <c r="C451" t="str">
        <f t="shared" si="14"/>
        <v>"https://www.zeldadungeon.net/maps/totk/tiles/sky/6/11_27.jpg",</v>
      </c>
      <c r="H451" t="str">
        <f t="shared" si="15"/>
        <v>11_27</v>
      </c>
    </row>
    <row r="452" spans="1:8" x14ac:dyDescent="0.2">
      <c r="A452" s="9" t="s">
        <v>51</v>
      </c>
      <c r="B452" t="s">
        <v>320</v>
      </c>
      <c r="C452" t="str">
        <f t="shared" si="14"/>
        <v>"https://www.zeldadungeon.net/maps/totk/tiles/sky/6/11_28.jpg",</v>
      </c>
      <c r="H452" t="str">
        <f t="shared" si="15"/>
        <v>11_28</v>
      </c>
    </row>
    <row r="453" spans="1:8" x14ac:dyDescent="0.2">
      <c r="A453" s="9" t="s">
        <v>51</v>
      </c>
      <c r="B453" t="s">
        <v>319</v>
      </c>
      <c r="C453" t="str">
        <f t="shared" si="14"/>
        <v>"https://www.zeldadungeon.net/maps/totk/tiles/sky/6/11_29.jpg",</v>
      </c>
      <c r="H453" t="str">
        <f t="shared" si="15"/>
        <v>11_29</v>
      </c>
    </row>
    <row r="454" spans="1:8" x14ac:dyDescent="0.2">
      <c r="A454" s="9" t="s">
        <v>51</v>
      </c>
      <c r="B454" t="s">
        <v>318</v>
      </c>
      <c r="C454" t="str">
        <f t="shared" si="14"/>
        <v>"https://www.zeldadungeon.net/maps/totk/tiles/sky/6/11_30.jpg",</v>
      </c>
      <c r="H454" t="str">
        <f t="shared" si="15"/>
        <v>11_30</v>
      </c>
    </row>
    <row r="455" spans="1:8" x14ac:dyDescent="0.2">
      <c r="A455" s="9" t="s">
        <v>51</v>
      </c>
      <c r="B455" t="s">
        <v>317</v>
      </c>
      <c r="C455" t="str">
        <f t="shared" si="14"/>
        <v>"https://www.zeldadungeon.net/maps/totk/tiles/sky/6/11_31.jpg",</v>
      </c>
      <c r="H455" t="str">
        <f t="shared" si="15"/>
        <v>11_31</v>
      </c>
    </row>
    <row r="456" spans="1:8" x14ac:dyDescent="0.2">
      <c r="A456" s="9" t="s">
        <v>51</v>
      </c>
      <c r="B456" t="s">
        <v>316</v>
      </c>
      <c r="C456" t="str">
        <f t="shared" si="14"/>
        <v>"https://www.zeldadungeon.net/maps/totk/tiles/sky/6/11_32.jpg",</v>
      </c>
      <c r="H456" t="str">
        <f t="shared" si="15"/>
        <v>11_32</v>
      </c>
    </row>
    <row r="457" spans="1:8" x14ac:dyDescent="0.2">
      <c r="A457" s="9" t="s">
        <v>51</v>
      </c>
      <c r="B457" t="s">
        <v>315</v>
      </c>
      <c r="C457" t="str">
        <f t="shared" si="14"/>
        <v>"https://www.zeldadungeon.net/maps/totk/tiles/sky/6/11_33.jpg",</v>
      </c>
      <c r="H457" t="str">
        <f t="shared" si="15"/>
        <v>11_33</v>
      </c>
    </row>
    <row r="458" spans="1:8" x14ac:dyDescent="0.2">
      <c r="A458" s="9" t="s">
        <v>51</v>
      </c>
      <c r="B458" t="s">
        <v>314</v>
      </c>
      <c r="C458" t="str">
        <f t="shared" si="14"/>
        <v>"https://www.zeldadungeon.net/maps/totk/tiles/sky/6/11_34.jpg",</v>
      </c>
      <c r="H458" t="str">
        <f t="shared" si="15"/>
        <v>11_34</v>
      </c>
    </row>
    <row r="459" spans="1:8" x14ac:dyDescent="0.2">
      <c r="A459" s="9" t="s">
        <v>51</v>
      </c>
      <c r="B459" t="s">
        <v>313</v>
      </c>
      <c r="C459" t="str">
        <f t="shared" si="14"/>
        <v>"https://www.zeldadungeon.net/maps/totk/tiles/sky/6/11_35.jpg",</v>
      </c>
      <c r="H459" t="str">
        <f t="shared" si="15"/>
        <v>11_35</v>
      </c>
    </row>
    <row r="460" spans="1:8" x14ac:dyDescent="0.2">
      <c r="A460" s="9" t="s">
        <v>51</v>
      </c>
      <c r="B460" t="s">
        <v>312</v>
      </c>
      <c r="C460" t="str">
        <f t="shared" si="14"/>
        <v>"https://www.zeldadungeon.net/maps/totk/tiles/sky/6/11_36.jpg",</v>
      </c>
      <c r="H460" t="str">
        <f t="shared" si="15"/>
        <v>11_36</v>
      </c>
    </row>
    <row r="461" spans="1:8" x14ac:dyDescent="0.2">
      <c r="A461" s="9" t="s">
        <v>51</v>
      </c>
      <c r="B461" t="s">
        <v>311</v>
      </c>
      <c r="C461" t="str">
        <f t="shared" si="14"/>
        <v>"https://www.zeldadungeon.net/maps/totk/tiles/sky/6/11_37.jpg",</v>
      </c>
      <c r="H461" t="str">
        <f t="shared" si="15"/>
        <v>11_37</v>
      </c>
    </row>
    <row r="462" spans="1:8" x14ac:dyDescent="0.2">
      <c r="A462" s="9" t="s">
        <v>51</v>
      </c>
      <c r="B462" t="s">
        <v>310</v>
      </c>
      <c r="C462" t="str">
        <f t="shared" si="14"/>
        <v>"https://www.zeldadungeon.net/maps/totk/tiles/sky/6/11_38.jpg",</v>
      </c>
      <c r="H462" t="str">
        <f t="shared" si="15"/>
        <v>11_38</v>
      </c>
    </row>
    <row r="463" spans="1:8" x14ac:dyDescent="0.2">
      <c r="A463" s="9" t="s">
        <v>51</v>
      </c>
      <c r="B463" t="s">
        <v>309</v>
      </c>
      <c r="C463" t="str">
        <f t="shared" si="14"/>
        <v>"https://www.zeldadungeon.net/maps/totk/tiles/sky/6/11_39.jpg",</v>
      </c>
      <c r="H463" t="str">
        <f t="shared" si="15"/>
        <v>11_39</v>
      </c>
    </row>
    <row r="464" spans="1:8" x14ac:dyDescent="0.2">
      <c r="A464" s="9" t="s">
        <v>51</v>
      </c>
      <c r="B464" t="s">
        <v>308</v>
      </c>
      <c r="C464" t="str">
        <f t="shared" si="14"/>
        <v>"https://www.zeldadungeon.net/maps/totk/tiles/sky/6/11_40.jpg",</v>
      </c>
      <c r="H464" t="str">
        <f t="shared" si="15"/>
        <v>11_40</v>
      </c>
    </row>
    <row r="465" spans="1:8" x14ac:dyDescent="0.2">
      <c r="A465" s="9" t="s">
        <v>51</v>
      </c>
      <c r="B465" t="s">
        <v>307</v>
      </c>
      <c r="C465" t="str">
        <f t="shared" si="14"/>
        <v>"https://www.zeldadungeon.net/maps/totk/tiles/sky/6/11_41.jpg",</v>
      </c>
      <c r="H465" t="str">
        <f t="shared" si="15"/>
        <v>11_41</v>
      </c>
    </row>
    <row r="466" spans="1:8" x14ac:dyDescent="0.2">
      <c r="A466" s="9" t="s">
        <v>51</v>
      </c>
      <c r="B466" t="s">
        <v>306</v>
      </c>
      <c r="C466" t="str">
        <f t="shared" si="14"/>
        <v>"https://www.zeldadungeon.net/maps/totk/tiles/sky/6/11_42.jpg",</v>
      </c>
      <c r="H466" t="str">
        <f t="shared" si="15"/>
        <v>11_42</v>
      </c>
    </row>
    <row r="467" spans="1:8" x14ac:dyDescent="0.2">
      <c r="A467" s="9" t="s">
        <v>51</v>
      </c>
      <c r="B467" t="s">
        <v>305</v>
      </c>
      <c r="C467" t="str">
        <f t="shared" si="14"/>
        <v>"https://www.zeldadungeon.net/maps/totk/tiles/sky/6/11_43.jpg",</v>
      </c>
      <c r="H467" t="str">
        <f t="shared" si="15"/>
        <v>11_43</v>
      </c>
    </row>
    <row r="468" spans="1:8" x14ac:dyDescent="0.2">
      <c r="A468" s="9" t="s">
        <v>51</v>
      </c>
      <c r="B468" t="s">
        <v>304</v>
      </c>
      <c r="C468" t="str">
        <f t="shared" si="14"/>
        <v>"https://www.zeldadungeon.net/maps/totk/tiles/sky/6/11_44.jpg",</v>
      </c>
      <c r="H468" t="str">
        <f t="shared" si="15"/>
        <v>11_44</v>
      </c>
    </row>
    <row r="469" spans="1:8" x14ac:dyDescent="0.2">
      <c r="A469" s="9" t="s">
        <v>51</v>
      </c>
      <c r="B469" t="s">
        <v>303</v>
      </c>
      <c r="C469" t="str">
        <f t="shared" si="14"/>
        <v>"https://www.zeldadungeon.net/maps/totk/tiles/sky/6/11_45.jpg",</v>
      </c>
      <c r="H469" t="str">
        <f t="shared" si="15"/>
        <v>11_45</v>
      </c>
    </row>
    <row r="470" spans="1:8" x14ac:dyDescent="0.2">
      <c r="A470" s="9" t="s">
        <v>51</v>
      </c>
      <c r="B470" t="s">
        <v>302</v>
      </c>
      <c r="C470" t="str">
        <f t="shared" si="14"/>
        <v>"https://www.zeldadungeon.net/maps/totk/tiles/sky/6/11_46.jpg",</v>
      </c>
      <c r="H470" t="str">
        <f t="shared" si="15"/>
        <v>11_46</v>
      </c>
    </row>
    <row r="471" spans="1:8" x14ac:dyDescent="0.2">
      <c r="A471" s="9" t="s">
        <v>51</v>
      </c>
      <c r="B471" t="s">
        <v>301</v>
      </c>
      <c r="C471" t="str">
        <f t="shared" si="14"/>
        <v>"https://www.zeldadungeon.net/maps/totk/tiles/sky/6/11_47.jpg",</v>
      </c>
      <c r="H471" t="str">
        <f t="shared" si="15"/>
        <v>11_47</v>
      </c>
    </row>
    <row r="472" spans="1:8" x14ac:dyDescent="0.2">
      <c r="A472" s="9" t="s">
        <v>51</v>
      </c>
      <c r="B472" t="s">
        <v>300</v>
      </c>
      <c r="C472" t="str">
        <f t="shared" si="14"/>
        <v>"https://www.zeldadungeon.net/maps/totk/tiles/sky/6/11_48.jpg",</v>
      </c>
      <c r="H472" t="str">
        <f t="shared" si="15"/>
        <v>11_48</v>
      </c>
    </row>
    <row r="473" spans="1:8" x14ac:dyDescent="0.2">
      <c r="A473" s="9" t="s">
        <v>51</v>
      </c>
      <c r="B473" t="s">
        <v>299</v>
      </c>
      <c r="C473" t="str">
        <f t="shared" si="14"/>
        <v>"https://www.zeldadungeon.net/maps/totk/tiles/sky/6/11_49.jpg",</v>
      </c>
      <c r="H473" t="str">
        <f t="shared" si="15"/>
        <v>11_49</v>
      </c>
    </row>
    <row r="474" spans="1:8" x14ac:dyDescent="0.2">
      <c r="A474" s="9" t="s">
        <v>51</v>
      </c>
      <c r="B474" t="s">
        <v>298</v>
      </c>
      <c r="C474" t="str">
        <f t="shared" si="14"/>
        <v>"https://www.zeldadungeon.net/maps/totk/tiles/sky/6/11_50.jpg",</v>
      </c>
      <c r="H474" t="str">
        <f t="shared" si="15"/>
        <v>11_50</v>
      </c>
    </row>
    <row r="475" spans="1:8" x14ac:dyDescent="0.2">
      <c r="A475" s="9" t="s">
        <v>51</v>
      </c>
      <c r="B475" t="s">
        <v>297</v>
      </c>
      <c r="C475" t="str">
        <f t="shared" si="14"/>
        <v>"https://www.zeldadungeon.net/maps/totk/tiles/sky/6/11_51.jpg",</v>
      </c>
      <c r="H475" t="str">
        <f t="shared" si="15"/>
        <v>11_51</v>
      </c>
    </row>
    <row r="476" spans="1:8" x14ac:dyDescent="0.2">
      <c r="A476" s="9" t="s">
        <v>51</v>
      </c>
      <c r="B476" t="s">
        <v>296</v>
      </c>
      <c r="C476" t="str">
        <f t="shared" si="14"/>
        <v>"https://www.zeldadungeon.net/maps/totk/tiles/sky/6/11_52.jpg",</v>
      </c>
      <c r="H476" t="str">
        <f t="shared" si="15"/>
        <v>11_52</v>
      </c>
    </row>
    <row r="477" spans="1:8" x14ac:dyDescent="0.2">
      <c r="A477" s="9" t="s">
        <v>51</v>
      </c>
      <c r="B477" t="s">
        <v>295</v>
      </c>
      <c r="C477" t="str">
        <f t="shared" si="14"/>
        <v>"https://www.zeldadungeon.net/maps/totk/tiles/sky/6/11_53.jpg",</v>
      </c>
      <c r="H477" t="str">
        <f t="shared" si="15"/>
        <v>11_53</v>
      </c>
    </row>
    <row r="478" spans="1:8" x14ac:dyDescent="0.2">
      <c r="A478" s="9" t="s">
        <v>51</v>
      </c>
      <c r="B478" t="s">
        <v>294</v>
      </c>
      <c r="C478" t="str">
        <f t="shared" si="14"/>
        <v>"https://www.zeldadungeon.net/maps/totk/tiles/sky/6/11_54.jpg",</v>
      </c>
      <c r="H478" t="str">
        <f t="shared" si="15"/>
        <v>11_54</v>
      </c>
    </row>
    <row r="479" spans="1:8" x14ac:dyDescent="0.2">
      <c r="A479" s="9" t="s">
        <v>51</v>
      </c>
      <c r="B479" t="s">
        <v>293</v>
      </c>
      <c r="C479" t="str">
        <f t="shared" si="14"/>
        <v>"https://www.zeldadungeon.net/maps/totk/tiles/sky/6/11_55.jpg",</v>
      </c>
      <c r="H479" t="str">
        <f t="shared" si="15"/>
        <v>11_55</v>
      </c>
    </row>
    <row r="480" spans="1:8" x14ac:dyDescent="0.2">
      <c r="A480" s="9" t="s">
        <v>51</v>
      </c>
      <c r="B480" t="s">
        <v>292</v>
      </c>
      <c r="C480" t="str">
        <f t="shared" si="14"/>
        <v>"https://www.zeldadungeon.net/maps/totk/tiles/sky/6/12_8.jpg",</v>
      </c>
      <c r="H480" t="str">
        <f t="shared" si="15"/>
        <v>12_8</v>
      </c>
    </row>
    <row r="481" spans="1:8" x14ac:dyDescent="0.2">
      <c r="A481" s="9" t="s">
        <v>51</v>
      </c>
      <c r="B481" t="s">
        <v>291</v>
      </c>
      <c r="C481" t="str">
        <f t="shared" si="14"/>
        <v>"https://www.zeldadungeon.net/maps/totk/tiles/sky/6/12_9.jpg",</v>
      </c>
      <c r="H481" t="str">
        <f t="shared" si="15"/>
        <v>12_9</v>
      </c>
    </row>
    <row r="482" spans="1:8" x14ac:dyDescent="0.2">
      <c r="A482" s="9" t="s">
        <v>51</v>
      </c>
      <c r="B482" t="s">
        <v>290</v>
      </c>
      <c r="C482" t="str">
        <f t="shared" si="14"/>
        <v>"https://www.zeldadungeon.net/maps/totk/tiles/sky/6/12_10.jpg",</v>
      </c>
      <c r="H482" t="str">
        <f t="shared" si="15"/>
        <v>12_10</v>
      </c>
    </row>
    <row r="483" spans="1:8" x14ac:dyDescent="0.2">
      <c r="A483" s="9" t="s">
        <v>51</v>
      </c>
      <c r="B483" t="s">
        <v>289</v>
      </c>
      <c r="C483" t="str">
        <f t="shared" si="14"/>
        <v>"https://www.zeldadungeon.net/maps/totk/tiles/sky/6/12_11.jpg",</v>
      </c>
      <c r="H483" t="str">
        <f t="shared" si="15"/>
        <v>12_11</v>
      </c>
    </row>
    <row r="484" spans="1:8" x14ac:dyDescent="0.2">
      <c r="A484" s="9" t="s">
        <v>51</v>
      </c>
      <c r="B484" t="s">
        <v>288</v>
      </c>
      <c r="C484" t="str">
        <f t="shared" si="14"/>
        <v>"https://www.zeldadungeon.net/maps/totk/tiles/sky/6/12_12.jpg",</v>
      </c>
      <c r="H484" t="str">
        <f t="shared" si="15"/>
        <v>12_12</v>
      </c>
    </row>
    <row r="485" spans="1:8" x14ac:dyDescent="0.2">
      <c r="A485" s="9" t="s">
        <v>51</v>
      </c>
      <c r="B485" t="s">
        <v>287</v>
      </c>
      <c r="C485" t="str">
        <f t="shared" si="14"/>
        <v>"https://www.zeldadungeon.net/maps/totk/tiles/sky/6/12_13.jpg",</v>
      </c>
      <c r="H485" t="str">
        <f t="shared" si="15"/>
        <v>12_13</v>
      </c>
    </row>
    <row r="486" spans="1:8" x14ac:dyDescent="0.2">
      <c r="A486" s="9" t="s">
        <v>51</v>
      </c>
      <c r="B486" t="s">
        <v>286</v>
      </c>
      <c r="C486" t="str">
        <f t="shared" si="14"/>
        <v>"https://www.zeldadungeon.net/maps/totk/tiles/sky/6/12_14.jpg",</v>
      </c>
      <c r="H486" t="str">
        <f t="shared" si="15"/>
        <v>12_14</v>
      </c>
    </row>
    <row r="487" spans="1:8" x14ac:dyDescent="0.2">
      <c r="A487" s="9" t="s">
        <v>51</v>
      </c>
      <c r="B487" t="s">
        <v>285</v>
      </c>
      <c r="C487" t="str">
        <f t="shared" si="14"/>
        <v>"https://www.zeldadungeon.net/maps/totk/tiles/sky/6/12_15.jpg",</v>
      </c>
      <c r="H487" t="str">
        <f t="shared" si="15"/>
        <v>12_15</v>
      </c>
    </row>
    <row r="488" spans="1:8" x14ac:dyDescent="0.2">
      <c r="A488" s="9" t="s">
        <v>51</v>
      </c>
      <c r="B488" t="s">
        <v>284</v>
      </c>
      <c r="C488" t="str">
        <f t="shared" si="14"/>
        <v>"https://www.zeldadungeon.net/maps/totk/tiles/sky/6/12_16.jpg",</v>
      </c>
      <c r="H488" t="str">
        <f t="shared" si="15"/>
        <v>12_16</v>
      </c>
    </row>
    <row r="489" spans="1:8" x14ac:dyDescent="0.2">
      <c r="A489" s="9" t="s">
        <v>51</v>
      </c>
      <c r="B489" t="s">
        <v>283</v>
      </c>
      <c r="C489" t="str">
        <f t="shared" si="14"/>
        <v>"https://www.zeldadungeon.net/maps/totk/tiles/sky/6/12_17.jpg",</v>
      </c>
      <c r="H489" t="str">
        <f t="shared" si="15"/>
        <v>12_17</v>
      </c>
    </row>
    <row r="490" spans="1:8" x14ac:dyDescent="0.2">
      <c r="A490" s="9" t="s">
        <v>51</v>
      </c>
      <c r="B490" t="s">
        <v>282</v>
      </c>
      <c r="C490" t="str">
        <f t="shared" si="14"/>
        <v>"https://www.zeldadungeon.net/maps/totk/tiles/sky/6/12_18.jpg",</v>
      </c>
      <c r="H490" t="str">
        <f t="shared" si="15"/>
        <v>12_18</v>
      </c>
    </row>
    <row r="491" spans="1:8" x14ac:dyDescent="0.2">
      <c r="A491" s="9" t="s">
        <v>51</v>
      </c>
      <c r="B491" t="s">
        <v>281</v>
      </c>
      <c r="C491" t="str">
        <f t="shared" si="14"/>
        <v>"https://www.zeldadungeon.net/maps/totk/tiles/sky/6/12_19.jpg",</v>
      </c>
      <c r="H491" t="str">
        <f t="shared" si="15"/>
        <v>12_19</v>
      </c>
    </row>
    <row r="492" spans="1:8" x14ac:dyDescent="0.2">
      <c r="A492" s="9" t="s">
        <v>51</v>
      </c>
      <c r="B492" t="s">
        <v>280</v>
      </c>
      <c r="C492" t="str">
        <f t="shared" si="14"/>
        <v>"https://www.zeldadungeon.net/maps/totk/tiles/sky/6/12_20.jpg",</v>
      </c>
      <c r="H492" t="str">
        <f t="shared" si="15"/>
        <v>12_20</v>
      </c>
    </row>
    <row r="493" spans="1:8" x14ac:dyDescent="0.2">
      <c r="A493" s="9" t="s">
        <v>51</v>
      </c>
      <c r="B493" t="s">
        <v>279</v>
      </c>
      <c r="C493" t="str">
        <f t="shared" si="14"/>
        <v>"https://www.zeldadungeon.net/maps/totk/tiles/sky/6/12_21.jpg",</v>
      </c>
      <c r="H493" t="str">
        <f t="shared" si="15"/>
        <v>12_21</v>
      </c>
    </row>
    <row r="494" spans="1:8" x14ac:dyDescent="0.2">
      <c r="A494" s="9" t="s">
        <v>51</v>
      </c>
      <c r="B494" t="s">
        <v>278</v>
      </c>
      <c r="C494" t="str">
        <f t="shared" si="14"/>
        <v>"https://www.zeldadungeon.net/maps/totk/tiles/sky/6/12_22.jpg",</v>
      </c>
      <c r="H494" t="str">
        <f t="shared" si="15"/>
        <v>12_22</v>
      </c>
    </row>
    <row r="495" spans="1:8" x14ac:dyDescent="0.2">
      <c r="A495" s="9" t="s">
        <v>51</v>
      </c>
      <c r="B495" t="s">
        <v>277</v>
      </c>
      <c r="C495" t="str">
        <f t="shared" si="14"/>
        <v>"https://www.zeldadungeon.net/maps/totk/tiles/sky/6/12_23.jpg",</v>
      </c>
      <c r="H495" t="str">
        <f t="shared" si="15"/>
        <v>12_23</v>
      </c>
    </row>
    <row r="496" spans="1:8" x14ac:dyDescent="0.2">
      <c r="A496" s="9" t="s">
        <v>51</v>
      </c>
      <c r="B496" t="s">
        <v>276</v>
      </c>
      <c r="C496" t="str">
        <f t="shared" si="14"/>
        <v>"https://www.zeldadungeon.net/maps/totk/tiles/sky/6/12_24.jpg",</v>
      </c>
      <c r="H496" t="str">
        <f t="shared" si="15"/>
        <v>12_24</v>
      </c>
    </row>
    <row r="497" spans="1:8" x14ac:dyDescent="0.2">
      <c r="A497" s="9" t="s">
        <v>51</v>
      </c>
      <c r="B497" t="s">
        <v>275</v>
      </c>
      <c r="C497" t="str">
        <f t="shared" si="14"/>
        <v>"https://www.zeldadungeon.net/maps/totk/tiles/sky/6/12_25.jpg",</v>
      </c>
      <c r="H497" t="str">
        <f t="shared" si="15"/>
        <v>12_25</v>
      </c>
    </row>
    <row r="498" spans="1:8" x14ac:dyDescent="0.2">
      <c r="A498" s="9" t="s">
        <v>51</v>
      </c>
      <c r="B498" t="s">
        <v>274</v>
      </c>
      <c r="C498" t="str">
        <f t="shared" si="14"/>
        <v>"https://www.zeldadungeon.net/maps/totk/tiles/sky/6/12_26.jpg",</v>
      </c>
      <c r="H498" t="str">
        <f t="shared" si="15"/>
        <v>12_26</v>
      </c>
    </row>
    <row r="499" spans="1:8" x14ac:dyDescent="0.2">
      <c r="A499" s="9" t="s">
        <v>51</v>
      </c>
      <c r="B499" t="s">
        <v>273</v>
      </c>
      <c r="C499" t="str">
        <f t="shared" si="14"/>
        <v>"https://www.zeldadungeon.net/maps/totk/tiles/sky/6/12_27.jpg",</v>
      </c>
      <c r="H499" t="str">
        <f t="shared" si="15"/>
        <v>12_27</v>
      </c>
    </row>
    <row r="500" spans="1:8" x14ac:dyDescent="0.2">
      <c r="A500" s="9" t="s">
        <v>51</v>
      </c>
      <c r="B500" t="s">
        <v>272</v>
      </c>
      <c r="C500" t="str">
        <f t="shared" si="14"/>
        <v>"https://www.zeldadungeon.net/maps/totk/tiles/sky/6/12_28.jpg",</v>
      </c>
      <c r="H500" t="str">
        <f t="shared" si="15"/>
        <v>12_28</v>
      </c>
    </row>
    <row r="501" spans="1:8" x14ac:dyDescent="0.2">
      <c r="A501" s="9" t="s">
        <v>51</v>
      </c>
      <c r="B501" t="s">
        <v>271</v>
      </c>
      <c r="C501" t="str">
        <f t="shared" si="14"/>
        <v>"https://www.zeldadungeon.net/maps/totk/tiles/sky/6/12_29.jpg",</v>
      </c>
      <c r="H501" t="str">
        <f t="shared" si="15"/>
        <v>12_29</v>
      </c>
    </row>
    <row r="502" spans="1:8" x14ac:dyDescent="0.2">
      <c r="A502" s="9" t="s">
        <v>51</v>
      </c>
      <c r="B502" t="s">
        <v>270</v>
      </c>
      <c r="C502" t="str">
        <f t="shared" si="14"/>
        <v>"https://www.zeldadungeon.net/maps/totk/tiles/sky/6/12_30.jpg",</v>
      </c>
      <c r="H502" t="str">
        <f t="shared" si="15"/>
        <v>12_30</v>
      </c>
    </row>
    <row r="503" spans="1:8" x14ac:dyDescent="0.2">
      <c r="A503" s="9" t="s">
        <v>51</v>
      </c>
      <c r="B503" t="s">
        <v>269</v>
      </c>
      <c r="C503" t="str">
        <f t="shared" si="14"/>
        <v>"https://www.zeldadungeon.net/maps/totk/tiles/sky/6/12_31.jpg",</v>
      </c>
      <c r="H503" t="str">
        <f t="shared" si="15"/>
        <v>12_31</v>
      </c>
    </row>
    <row r="504" spans="1:8" x14ac:dyDescent="0.2">
      <c r="A504" s="9" t="s">
        <v>51</v>
      </c>
      <c r="B504" t="s">
        <v>268</v>
      </c>
      <c r="C504" t="str">
        <f t="shared" si="14"/>
        <v>"https://www.zeldadungeon.net/maps/totk/tiles/sky/6/12_32.jpg",</v>
      </c>
      <c r="H504" t="str">
        <f t="shared" si="15"/>
        <v>12_32</v>
      </c>
    </row>
    <row r="505" spans="1:8" x14ac:dyDescent="0.2">
      <c r="A505" s="9" t="s">
        <v>51</v>
      </c>
      <c r="B505" t="s">
        <v>267</v>
      </c>
      <c r="C505" t="str">
        <f t="shared" si="14"/>
        <v>"https://www.zeldadungeon.net/maps/totk/tiles/sky/6/12_33.jpg",</v>
      </c>
      <c r="H505" t="str">
        <f t="shared" si="15"/>
        <v>12_33</v>
      </c>
    </row>
    <row r="506" spans="1:8" x14ac:dyDescent="0.2">
      <c r="A506" s="9" t="s">
        <v>51</v>
      </c>
      <c r="B506" t="s">
        <v>266</v>
      </c>
      <c r="C506" t="str">
        <f t="shared" si="14"/>
        <v>"https://www.zeldadungeon.net/maps/totk/tiles/sky/6/12_34.jpg",</v>
      </c>
      <c r="H506" t="str">
        <f t="shared" si="15"/>
        <v>12_34</v>
      </c>
    </row>
    <row r="507" spans="1:8" x14ac:dyDescent="0.2">
      <c r="A507" s="9" t="s">
        <v>51</v>
      </c>
      <c r="B507" t="s">
        <v>265</v>
      </c>
      <c r="C507" t="str">
        <f t="shared" si="14"/>
        <v>"https://www.zeldadungeon.net/maps/totk/tiles/sky/6/12_35.jpg",</v>
      </c>
      <c r="H507" t="str">
        <f t="shared" si="15"/>
        <v>12_35</v>
      </c>
    </row>
    <row r="508" spans="1:8" x14ac:dyDescent="0.2">
      <c r="A508" s="9" t="s">
        <v>51</v>
      </c>
      <c r="B508" t="s">
        <v>264</v>
      </c>
      <c r="C508" t="str">
        <f t="shared" si="14"/>
        <v>"https://www.zeldadungeon.net/maps/totk/tiles/sky/6/12_36.jpg",</v>
      </c>
      <c r="H508" t="str">
        <f t="shared" si="15"/>
        <v>12_36</v>
      </c>
    </row>
    <row r="509" spans="1:8" x14ac:dyDescent="0.2">
      <c r="A509" s="9" t="s">
        <v>51</v>
      </c>
      <c r="B509" t="s">
        <v>263</v>
      </c>
      <c r="C509" t="str">
        <f t="shared" si="14"/>
        <v>"https://www.zeldadungeon.net/maps/totk/tiles/sky/6/12_37.jpg",</v>
      </c>
      <c r="H509" t="str">
        <f t="shared" si="15"/>
        <v>12_37</v>
      </c>
    </row>
    <row r="510" spans="1:8" x14ac:dyDescent="0.2">
      <c r="A510" s="9" t="s">
        <v>51</v>
      </c>
      <c r="B510" t="s">
        <v>262</v>
      </c>
      <c r="C510" t="str">
        <f t="shared" si="14"/>
        <v>"https://www.zeldadungeon.net/maps/totk/tiles/sky/6/12_38.jpg",</v>
      </c>
      <c r="H510" t="str">
        <f t="shared" si="15"/>
        <v>12_38</v>
      </c>
    </row>
    <row r="511" spans="1:8" x14ac:dyDescent="0.2">
      <c r="A511" s="9" t="s">
        <v>51</v>
      </c>
      <c r="B511" t="s">
        <v>261</v>
      </c>
      <c r="C511" t="str">
        <f t="shared" si="14"/>
        <v>"https://www.zeldadungeon.net/maps/totk/tiles/sky/6/12_39.jpg",</v>
      </c>
      <c r="H511" t="str">
        <f t="shared" si="15"/>
        <v>12_39</v>
      </c>
    </row>
    <row r="512" spans="1:8" x14ac:dyDescent="0.2">
      <c r="A512" s="9" t="s">
        <v>51</v>
      </c>
      <c r="B512" t="s">
        <v>260</v>
      </c>
      <c r="C512" t="str">
        <f t="shared" si="14"/>
        <v>"https://www.zeldadungeon.net/maps/totk/tiles/sky/6/12_40.jpg",</v>
      </c>
      <c r="H512" t="str">
        <f t="shared" si="15"/>
        <v>12_40</v>
      </c>
    </row>
    <row r="513" spans="1:8" x14ac:dyDescent="0.2">
      <c r="A513" s="9" t="s">
        <v>51</v>
      </c>
      <c r="B513" t="s">
        <v>259</v>
      </c>
      <c r="C513" t="str">
        <f t="shared" ref="C513:C576" si="16">""""&amp;SUBSTITUTE(A513,"zzz",H513)&amp;""""&amp;","</f>
        <v>"https://www.zeldadungeon.net/maps/totk/tiles/sky/6/12_41.jpg",</v>
      </c>
      <c r="H513" t="str">
        <f t="shared" ref="H513:H576" si="17">QUOTIENT(ROW(A513),48)+2&amp;"_"&amp;MOD(ROW(A513),48)+8</f>
        <v>12_41</v>
      </c>
    </row>
    <row r="514" spans="1:8" x14ac:dyDescent="0.2">
      <c r="A514" s="9" t="s">
        <v>51</v>
      </c>
      <c r="B514" t="s">
        <v>258</v>
      </c>
      <c r="C514" t="str">
        <f t="shared" si="16"/>
        <v>"https://www.zeldadungeon.net/maps/totk/tiles/sky/6/12_42.jpg",</v>
      </c>
      <c r="H514" t="str">
        <f t="shared" si="17"/>
        <v>12_42</v>
      </c>
    </row>
    <row r="515" spans="1:8" x14ac:dyDescent="0.2">
      <c r="A515" s="9" t="s">
        <v>51</v>
      </c>
      <c r="B515" t="s">
        <v>257</v>
      </c>
      <c r="C515" t="str">
        <f t="shared" si="16"/>
        <v>"https://www.zeldadungeon.net/maps/totk/tiles/sky/6/12_43.jpg",</v>
      </c>
      <c r="H515" t="str">
        <f t="shared" si="17"/>
        <v>12_43</v>
      </c>
    </row>
    <row r="516" spans="1:8" x14ac:dyDescent="0.2">
      <c r="A516" s="9" t="s">
        <v>51</v>
      </c>
      <c r="B516" t="s">
        <v>256</v>
      </c>
      <c r="C516" t="str">
        <f t="shared" si="16"/>
        <v>"https://www.zeldadungeon.net/maps/totk/tiles/sky/6/12_44.jpg",</v>
      </c>
      <c r="H516" t="str">
        <f t="shared" si="17"/>
        <v>12_44</v>
      </c>
    </row>
    <row r="517" spans="1:8" x14ac:dyDescent="0.2">
      <c r="A517" s="9" t="s">
        <v>51</v>
      </c>
      <c r="B517" t="s">
        <v>255</v>
      </c>
      <c r="C517" t="str">
        <f t="shared" si="16"/>
        <v>"https://www.zeldadungeon.net/maps/totk/tiles/sky/6/12_45.jpg",</v>
      </c>
      <c r="H517" t="str">
        <f t="shared" si="17"/>
        <v>12_45</v>
      </c>
    </row>
    <row r="518" spans="1:8" x14ac:dyDescent="0.2">
      <c r="A518" s="9" t="s">
        <v>51</v>
      </c>
      <c r="B518" t="s">
        <v>254</v>
      </c>
      <c r="C518" t="str">
        <f t="shared" si="16"/>
        <v>"https://www.zeldadungeon.net/maps/totk/tiles/sky/6/12_46.jpg",</v>
      </c>
      <c r="H518" t="str">
        <f t="shared" si="17"/>
        <v>12_46</v>
      </c>
    </row>
    <row r="519" spans="1:8" x14ac:dyDescent="0.2">
      <c r="A519" s="9" t="s">
        <v>51</v>
      </c>
      <c r="B519" t="s">
        <v>253</v>
      </c>
      <c r="C519" t="str">
        <f t="shared" si="16"/>
        <v>"https://www.zeldadungeon.net/maps/totk/tiles/sky/6/12_47.jpg",</v>
      </c>
      <c r="H519" t="str">
        <f t="shared" si="17"/>
        <v>12_47</v>
      </c>
    </row>
    <row r="520" spans="1:8" x14ac:dyDescent="0.2">
      <c r="A520" s="9" t="s">
        <v>51</v>
      </c>
      <c r="B520" t="s">
        <v>252</v>
      </c>
      <c r="C520" t="str">
        <f t="shared" si="16"/>
        <v>"https://www.zeldadungeon.net/maps/totk/tiles/sky/6/12_48.jpg",</v>
      </c>
      <c r="H520" t="str">
        <f t="shared" si="17"/>
        <v>12_48</v>
      </c>
    </row>
    <row r="521" spans="1:8" x14ac:dyDescent="0.2">
      <c r="A521" s="9" t="s">
        <v>51</v>
      </c>
      <c r="B521" t="s">
        <v>251</v>
      </c>
      <c r="C521" t="str">
        <f t="shared" si="16"/>
        <v>"https://www.zeldadungeon.net/maps/totk/tiles/sky/6/12_49.jpg",</v>
      </c>
      <c r="H521" t="str">
        <f t="shared" si="17"/>
        <v>12_49</v>
      </c>
    </row>
    <row r="522" spans="1:8" x14ac:dyDescent="0.2">
      <c r="A522" s="9" t="s">
        <v>51</v>
      </c>
      <c r="B522" t="s">
        <v>250</v>
      </c>
      <c r="C522" t="str">
        <f t="shared" si="16"/>
        <v>"https://www.zeldadungeon.net/maps/totk/tiles/sky/6/12_50.jpg",</v>
      </c>
      <c r="H522" t="str">
        <f t="shared" si="17"/>
        <v>12_50</v>
      </c>
    </row>
    <row r="523" spans="1:8" x14ac:dyDescent="0.2">
      <c r="A523" s="9" t="s">
        <v>51</v>
      </c>
      <c r="B523" t="s">
        <v>249</v>
      </c>
      <c r="C523" t="str">
        <f t="shared" si="16"/>
        <v>"https://www.zeldadungeon.net/maps/totk/tiles/sky/6/12_51.jpg",</v>
      </c>
      <c r="H523" t="str">
        <f t="shared" si="17"/>
        <v>12_51</v>
      </c>
    </row>
    <row r="524" spans="1:8" x14ac:dyDescent="0.2">
      <c r="A524" s="9" t="s">
        <v>51</v>
      </c>
      <c r="B524" t="s">
        <v>248</v>
      </c>
      <c r="C524" t="str">
        <f t="shared" si="16"/>
        <v>"https://www.zeldadungeon.net/maps/totk/tiles/sky/6/12_52.jpg",</v>
      </c>
      <c r="H524" t="str">
        <f t="shared" si="17"/>
        <v>12_52</v>
      </c>
    </row>
    <row r="525" spans="1:8" x14ac:dyDescent="0.2">
      <c r="A525" s="9" t="s">
        <v>51</v>
      </c>
      <c r="B525" t="s">
        <v>247</v>
      </c>
      <c r="C525" t="str">
        <f t="shared" si="16"/>
        <v>"https://www.zeldadungeon.net/maps/totk/tiles/sky/6/12_53.jpg",</v>
      </c>
      <c r="H525" t="str">
        <f t="shared" si="17"/>
        <v>12_53</v>
      </c>
    </row>
    <row r="526" spans="1:8" x14ac:dyDescent="0.2">
      <c r="A526" s="9" t="s">
        <v>51</v>
      </c>
      <c r="B526" t="s">
        <v>246</v>
      </c>
      <c r="C526" t="str">
        <f t="shared" si="16"/>
        <v>"https://www.zeldadungeon.net/maps/totk/tiles/sky/6/12_54.jpg",</v>
      </c>
      <c r="H526" t="str">
        <f t="shared" si="17"/>
        <v>12_54</v>
      </c>
    </row>
    <row r="527" spans="1:8" x14ac:dyDescent="0.2">
      <c r="A527" s="9" t="s">
        <v>51</v>
      </c>
      <c r="B527" t="s">
        <v>245</v>
      </c>
      <c r="C527" t="str">
        <f t="shared" si="16"/>
        <v>"https://www.zeldadungeon.net/maps/totk/tiles/sky/6/12_55.jpg",</v>
      </c>
      <c r="H527" t="str">
        <f t="shared" si="17"/>
        <v>12_55</v>
      </c>
    </row>
    <row r="528" spans="1:8" x14ac:dyDescent="0.2">
      <c r="A528" s="9" t="s">
        <v>51</v>
      </c>
      <c r="B528" t="s">
        <v>244</v>
      </c>
      <c r="C528" t="str">
        <f t="shared" si="16"/>
        <v>"https://www.zeldadungeon.net/maps/totk/tiles/sky/6/13_8.jpg",</v>
      </c>
      <c r="H528" t="str">
        <f t="shared" si="17"/>
        <v>13_8</v>
      </c>
    </row>
    <row r="529" spans="1:8" x14ac:dyDescent="0.2">
      <c r="A529" s="9" t="s">
        <v>51</v>
      </c>
      <c r="B529" t="s">
        <v>243</v>
      </c>
      <c r="C529" t="str">
        <f t="shared" si="16"/>
        <v>"https://www.zeldadungeon.net/maps/totk/tiles/sky/6/13_9.jpg",</v>
      </c>
      <c r="H529" t="str">
        <f t="shared" si="17"/>
        <v>13_9</v>
      </c>
    </row>
    <row r="530" spans="1:8" x14ac:dyDescent="0.2">
      <c r="A530" s="9" t="s">
        <v>51</v>
      </c>
      <c r="B530" t="s">
        <v>242</v>
      </c>
      <c r="C530" t="str">
        <f t="shared" si="16"/>
        <v>"https://www.zeldadungeon.net/maps/totk/tiles/sky/6/13_10.jpg",</v>
      </c>
      <c r="H530" t="str">
        <f t="shared" si="17"/>
        <v>13_10</v>
      </c>
    </row>
    <row r="531" spans="1:8" x14ac:dyDescent="0.2">
      <c r="A531" s="9" t="s">
        <v>51</v>
      </c>
      <c r="B531" t="s">
        <v>241</v>
      </c>
      <c r="C531" t="str">
        <f t="shared" si="16"/>
        <v>"https://www.zeldadungeon.net/maps/totk/tiles/sky/6/13_11.jpg",</v>
      </c>
      <c r="H531" t="str">
        <f t="shared" si="17"/>
        <v>13_11</v>
      </c>
    </row>
    <row r="532" spans="1:8" x14ac:dyDescent="0.2">
      <c r="A532" s="9" t="s">
        <v>51</v>
      </c>
      <c r="B532" t="s">
        <v>240</v>
      </c>
      <c r="C532" t="str">
        <f t="shared" si="16"/>
        <v>"https://www.zeldadungeon.net/maps/totk/tiles/sky/6/13_12.jpg",</v>
      </c>
      <c r="H532" t="str">
        <f t="shared" si="17"/>
        <v>13_12</v>
      </c>
    </row>
    <row r="533" spans="1:8" x14ac:dyDescent="0.2">
      <c r="A533" s="9" t="s">
        <v>51</v>
      </c>
      <c r="B533" t="s">
        <v>239</v>
      </c>
      <c r="C533" t="str">
        <f t="shared" si="16"/>
        <v>"https://www.zeldadungeon.net/maps/totk/tiles/sky/6/13_13.jpg",</v>
      </c>
      <c r="H533" t="str">
        <f t="shared" si="17"/>
        <v>13_13</v>
      </c>
    </row>
    <row r="534" spans="1:8" x14ac:dyDescent="0.2">
      <c r="A534" s="9" t="s">
        <v>51</v>
      </c>
      <c r="B534" t="s">
        <v>238</v>
      </c>
      <c r="C534" t="str">
        <f t="shared" si="16"/>
        <v>"https://www.zeldadungeon.net/maps/totk/tiles/sky/6/13_14.jpg",</v>
      </c>
      <c r="H534" t="str">
        <f t="shared" si="17"/>
        <v>13_14</v>
      </c>
    </row>
    <row r="535" spans="1:8" x14ac:dyDescent="0.2">
      <c r="A535" s="9" t="s">
        <v>51</v>
      </c>
      <c r="B535" t="s">
        <v>237</v>
      </c>
      <c r="C535" t="str">
        <f t="shared" si="16"/>
        <v>"https://www.zeldadungeon.net/maps/totk/tiles/sky/6/13_15.jpg",</v>
      </c>
      <c r="H535" t="str">
        <f t="shared" si="17"/>
        <v>13_15</v>
      </c>
    </row>
    <row r="536" spans="1:8" x14ac:dyDescent="0.2">
      <c r="A536" s="9" t="s">
        <v>51</v>
      </c>
      <c r="B536" t="s">
        <v>236</v>
      </c>
      <c r="C536" t="str">
        <f t="shared" si="16"/>
        <v>"https://www.zeldadungeon.net/maps/totk/tiles/sky/6/13_16.jpg",</v>
      </c>
      <c r="H536" t="str">
        <f t="shared" si="17"/>
        <v>13_16</v>
      </c>
    </row>
    <row r="537" spans="1:8" x14ac:dyDescent="0.2">
      <c r="A537" s="9" t="s">
        <v>51</v>
      </c>
      <c r="B537" t="s">
        <v>235</v>
      </c>
      <c r="C537" t="str">
        <f t="shared" si="16"/>
        <v>"https://www.zeldadungeon.net/maps/totk/tiles/sky/6/13_17.jpg",</v>
      </c>
      <c r="H537" t="str">
        <f t="shared" si="17"/>
        <v>13_17</v>
      </c>
    </row>
    <row r="538" spans="1:8" x14ac:dyDescent="0.2">
      <c r="A538" s="9" t="s">
        <v>51</v>
      </c>
      <c r="B538" t="s">
        <v>234</v>
      </c>
      <c r="C538" t="str">
        <f t="shared" si="16"/>
        <v>"https://www.zeldadungeon.net/maps/totk/tiles/sky/6/13_18.jpg",</v>
      </c>
      <c r="H538" t="str">
        <f t="shared" si="17"/>
        <v>13_18</v>
      </c>
    </row>
    <row r="539" spans="1:8" x14ac:dyDescent="0.2">
      <c r="A539" s="9" t="s">
        <v>51</v>
      </c>
      <c r="B539" t="s">
        <v>233</v>
      </c>
      <c r="C539" t="str">
        <f t="shared" si="16"/>
        <v>"https://www.zeldadungeon.net/maps/totk/tiles/sky/6/13_19.jpg",</v>
      </c>
      <c r="H539" t="str">
        <f t="shared" si="17"/>
        <v>13_19</v>
      </c>
    </row>
    <row r="540" spans="1:8" x14ac:dyDescent="0.2">
      <c r="A540" s="9" t="s">
        <v>51</v>
      </c>
      <c r="B540" t="s">
        <v>232</v>
      </c>
      <c r="C540" t="str">
        <f t="shared" si="16"/>
        <v>"https://www.zeldadungeon.net/maps/totk/tiles/sky/6/13_20.jpg",</v>
      </c>
      <c r="H540" t="str">
        <f t="shared" si="17"/>
        <v>13_20</v>
      </c>
    </row>
    <row r="541" spans="1:8" x14ac:dyDescent="0.2">
      <c r="A541" s="9" t="s">
        <v>51</v>
      </c>
      <c r="B541" t="s">
        <v>231</v>
      </c>
      <c r="C541" t="str">
        <f t="shared" si="16"/>
        <v>"https://www.zeldadungeon.net/maps/totk/tiles/sky/6/13_21.jpg",</v>
      </c>
      <c r="H541" t="str">
        <f t="shared" si="17"/>
        <v>13_21</v>
      </c>
    </row>
    <row r="542" spans="1:8" x14ac:dyDescent="0.2">
      <c r="A542" s="9" t="s">
        <v>51</v>
      </c>
      <c r="B542" t="s">
        <v>230</v>
      </c>
      <c r="C542" t="str">
        <f t="shared" si="16"/>
        <v>"https://www.zeldadungeon.net/maps/totk/tiles/sky/6/13_22.jpg",</v>
      </c>
      <c r="H542" t="str">
        <f t="shared" si="17"/>
        <v>13_22</v>
      </c>
    </row>
    <row r="543" spans="1:8" x14ac:dyDescent="0.2">
      <c r="A543" s="9" t="s">
        <v>51</v>
      </c>
      <c r="B543" t="s">
        <v>229</v>
      </c>
      <c r="C543" t="str">
        <f t="shared" si="16"/>
        <v>"https://www.zeldadungeon.net/maps/totk/tiles/sky/6/13_23.jpg",</v>
      </c>
      <c r="H543" t="str">
        <f t="shared" si="17"/>
        <v>13_23</v>
      </c>
    </row>
    <row r="544" spans="1:8" x14ac:dyDescent="0.2">
      <c r="A544" s="9" t="s">
        <v>51</v>
      </c>
      <c r="B544" t="s">
        <v>228</v>
      </c>
      <c r="C544" t="str">
        <f t="shared" si="16"/>
        <v>"https://www.zeldadungeon.net/maps/totk/tiles/sky/6/13_24.jpg",</v>
      </c>
      <c r="H544" t="str">
        <f t="shared" si="17"/>
        <v>13_24</v>
      </c>
    </row>
    <row r="545" spans="1:8" x14ac:dyDescent="0.2">
      <c r="A545" s="9" t="s">
        <v>51</v>
      </c>
      <c r="B545" t="s">
        <v>227</v>
      </c>
      <c r="C545" t="str">
        <f t="shared" si="16"/>
        <v>"https://www.zeldadungeon.net/maps/totk/tiles/sky/6/13_25.jpg",</v>
      </c>
      <c r="H545" t="str">
        <f t="shared" si="17"/>
        <v>13_25</v>
      </c>
    </row>
    <row r="546" spans="1:8" x14ac:dyDescent="0.2">
      <c r="A546" s="9" t="s">
        <v>51</v>
      </c>
      <c r="B546" t="s">
        <v>226</v>
      </c>
      <c r="C546" t="str">
        <f t="shared" si="16"/>
        <v>"https://www.zeldadungeon.net/maps/totk/tiles/sky/6/13_26.jpg",</v>
      </c>
      <c r="H546" t="str">
        <f t="shared" si="17"/>
        <v>13_26</v>
      </c>
    </row>
    <row r="547" spans="1:8" x14ac:dyDescent="0.2">
      <c r="A547" s="9" t="s">
        <v>51</v>
      </c>
      <c r="B547" t="s">
        <v>225</v>
      </c>
      <c r="C547" t="str">
        <f t="shared" si="16"/>
        <v>"https://www.zeldadungeon.net/maps/totk/tiles/sky/6/13_27.jpg",</v>
      </c>
      <c r="H547" t="str">
        <f t="shared" si="17"/>
        <v>13_27</v>
      </c>
    </row>
    <row r="548" spans="1:8" x14ac:dyDescent="0.2">
      <c r="A548" s="9" t="s">
        <v>51</v>
      </c>
      <c r="B548" t="s">
        <v>224</v>
      </c>
      <c r="C548" t="str">
        <f t="shared" si="16"/>
        <v>"https://www.zeldadungeon.net/maps/totk/tiles/sky/6/13_28.jpg",</v>
      </c>
      <c r="H548" t="str">
        <f t="shared" si="17"/>
        <v>13_28</v>
      </c>
    </row>
    <row r="549" spans="1:8" x14ac:dyDescent="0.2">
      <c r="A549" s="9" t="s">
        <v>51</v>
      </c>
      <c r="B549" t="s">
        <v>223</v>
      </c>
      <c r="C549" t="str">
        <f t="shared" si="16"/>
        <v>"https://www.zeldadungeon.net/maps/totk/tiles/sky/6/13_29.jpg",</v>
      </c>
      <c r="H549" t="str">
        <f t="shared" si="17"/>
        <v>13_29</v>
      </c>
    </row>
    <row r="550" spans="1:8" x14ac:dyDescent="0.2">
      <c r="A550" s="9" t="s">
        <v>51</v>
      </c>
      <c r="B550" t="s">
        <v>222</v>
      </c>
      <c r="C550" t="str">
        <f t="shared" si="16"/>
        <v>"https://www.zeldadungeon.net/maps/totk/tiles/sky/6/13_30.jpg",</v>
      </c>
      <c r="H550" t="str">
        <f t="shared" si="17"/>
        <v>13_30</v>
      </c>
    </row>
    <row r="551" spans="1:8" x14ac:dyDescent="0.2">
      <c r="A551" s="9" t="s">
        <v>51</v>
      </c>
      <c r="B551" t="s">
        <v>221</v>
      </c>
      <c r="C551" t="str">
        <f t="shared" si="16"/>
        <v>"https://www.zeldadungeon.net/maps/totk/tiles/sky/6/13_31.jpg",</v>
      </c>
      <c r="H551" t="str">
        <f t="shared" si="17"/>
        <v>13_31</v>
      </c>
    </row>
    <row r="552" spans="1:8" x14ac:dyDescent="0.2">
      <c r="A552" s="9" t="s">
        <v>51</v>
      </c>
      <c r="B552" t="s">
        <v>220</v>
      </c>
      <c r="C552" t="str">
        <f t="shared" si="16"/>
        <v>"https://www.zeldadungeon.net/maps/totk/tiles/sky/6/13_32.jpg",</v>
      </c>
      <c r="H552" t="str">
        <f t="shared" si="17"/>
        <v>13_32</v>
      </c>
    </row>
    <row r="553" spans="1:8" x14ac:dyDescent="0.2">
      <c r="A553" s="9" t="s">
        <v>51</v>
      </c>
      <c r="B553" t="s">
        <v>219</v>
      </c>
      <c r="C553" t="str">
        <f t="shared" si="16"/>
        <v>"https://www.zeldadungeon.net/maps/totk/tiles/sky/6/13_33.jpg",</v>
      </c>
      <c r="H553" t="str">
        <f t="shared" si="17"/>
        <v>13_33</v>
      </c>
    </row>
    <row r="554" spans="1:8" x14ac:dyDescent="0.2">
      <c r="A554" s="9" t="s">
        <v>51</v>
      </c>
      <c r="B554" t="s">
        <v>218</v>
      </c>
      <c r="C554" t="str">
        <f t="shared" si="16"/>
        <v>"https://www.zeldadungeon.net/maps/totk/tiles/sky/6/13_34.jpg",</v>
      </c>
      <c r="H554" t="str">
        <f t="shared" si="17"/>
        <v>13_34</v>
      </c>
    </row>
    <row r="555" spans="1:8" x14ac:dyDescent="0.2">
      <c r="A555" s="9" t="s">
        <v>51</v>
      </c>
      <c r="B555" t="s">
        <v>217</v>
      </c>
      <c r="C555" t="str">
        <f t="shared" si="16"/>
        <v>"https://www.zeldadungeon.net/maps/totk/tiles/sky/6/13_35.jpg",</v>
      </c>
      <c r="H555" t="str">
        <f t="shared" si="17"/>
        <v>13_35</v>
      </c>
    </row>
    <row r="556" spans="1:8" x14ac:dyDescent="0.2">
      <c r="A556" s="9" t="s">
        <v>51</v>
      </c>
      <c r="B556" t="s">
        <v>216</v>
      </c>
      <c r="C556" t="str">
        <f t="shared" si="16"/>
        <v>"https://www.zeldadungeon.net/maps/totk/tiles/sky/6/13_36.jpg",</v>
      </c>
      <c r="H556" t="str">
        <f t="shared" si="17"/>
        <v>13_36</v>
      </c>
    </row>
    <row r="557" spans="1:8" x14ac:dyDescent="0.2">
      <c r="A557" s="9" t="s">
        <v>51</v>
      </c>
      <c r="B557" t="s">
        <v>215</v>
      </c>
      <c r="C557" t="str">
        <f t="shared" si="16"/>
        <v>"https://www.zeldadungeon.net/maps/totk/tiles/sky/6/13_37.jpg",</v>
      </c>
      <c r="H557" t="str">
        <f t="shared" si="17"/>
        <v>13_37</v>
      </c>
    </row>
    <row r="558" spans="1:8" x14ac:dyDescent="0.2">
      <c r="A558" s="9" t="s">
        <v>51</v>
      </c>
      <c r="B558" t="s">
        <v>214</v>
      </c>
      <c r="C558" t="str">
        <f t="shared" si="16"/>
        <v>"https://www.zeldadungeon.net/maps/totk/tiles/sky/6/13_38.jpg",</v>
      </c>
      <c r="H558" t="str">
        <f t="shared" si="17"/>
        <v>13_38</v>
      </c>
    </row>
    <row r="559" spans="1:8" x14ac:dyDescent="0.2">
      <c r="A559" s="9" t="s">
        <v>51</v>
      </c>
      <c r="B559" t="s">
        <v>213</v>
      </c>
      <c r="C559" t="str">
        <f t="shared" si="16"/>
        <v>"https://www.zeldadungeon.net/maps/totk/tiles/sky/6/13_39.jpg",</v>
      </c>
      <c r="H559" t="str">
        <f t="shared" si="17"/>
        <v>13_39</v>
      </c>
    </row>
    <row r="560" spans="1:8" x14ac:dyDescent="0.2">
      <c r="A560" s="9" t="s">
        <v>51</v>
      </c>
      <c r="B560" t="s">
        <v>212</v>
      </c>
      <c r="C560" t="str">
        <f t="shared" si="16"/>
        <v>"https://www.zeldadungeon.net/maps/totk/tiles/sky/6/13_40.jpg",</v>
      </c>
      <c r="H560" t="str">
        <f t="shared" si="17"/>
        <v>13_40</v>
      </c>
    </row>
    <row r="561" spans="1:8" x14ac:dyDescent="0.2">
      <c r="A561" s="9" t="s">
        <v>51</v>
      </c>
      <c r="B561" t="s">
        <v>211</v>
      </c>
      <c r="C561" t="str">
        <f t="shared" si="16"/>
        <v>"https://www.zeldadungeon.net/maps/totk/tiles/sky/6/13_41.jpg",</v>
      </c>
      <c r="H561" t="str">
        <f t="shared" si="17"/>
        <v>13_41</v>
      </c>
    </row>
    <row r="562" spans="1:8" x14ac:dyDescent="0.2">
      <c r="A562" s="9" t="s">
        <v>51</v>
      </c>
      <c r="B562" t="s">
        <v>210</v>
      </c>
      <c r="C562" t="str">
        <f t="shared" si="16"/>
        <v>"https://www.zeldadungeon.net/maps/totk/tiles/sky/6/13_42.jpg",</v>
      </c>
      <c r="H562" t="str">
        <f t="shared" si="17"/>
        <v>13_42</v>
      </c>
    </row>
    <row r="563" spans="1:8" x14ac:dyDescent="0.2">
      <c r="A563" s="9" t="s">
        <v>51</v>
      </c>
      <c r="B563" t="s">
        <v>209</v>
      </c>
      <c r="C563" t="str">
        <f t="shared" si="16"/>
        <v>"https://www.zeldadungeon.net/maps/totk/tiles/sky/6/13_43.jpg",</v>
      </c>
      <c r="H563" t="str">
        <f t="shared" si="17"/>
        <v>13_43</v>
      </c>
    </row>
    <row r="564" spans="1:8" x14ac:dyDescent="0.2">
      <c r="A564" s="9" t="s">
        <v>51</v>
      </c>
      <c r="B564" t="s">
        <v>208</v>
      </c>
      <c r="C564" t="str">
        <f t="shared" si="16"/>
        <v>"https://www.zeldadungeon.net/maps/totk/tiles/sky/6/13_44.jpg",</v>
      </c>
      <c r="H564" t="str">
        <f t="shared" si="17"/>
        <v>13_44</v>
      </c>
    </row>
    <row r="565" spans="1:8" x14ac:dyDescent="0.2">
      <c r="A565" s="9" t="s">
        <v>51</v>
      </c>
      <c r="B565" t="s">
        <v>207</v>
      </c>
      <c r="C565" t="str">
        <f t="shared" si="16"/>
        <v>"https://www.zeldadungeon.net/maps/totk/tiles/sky/6/13_45.jpg",</v>
      </c>
      <c r="H565" t="str">
        <f t="shared" si="17"/>
        <v>13_45</v>
      </c>
    </row>
    <row r="566" spans="1:8" x14ac:dyDescent="0.2">
      <c r="A566" s="9" t="s">
        <v>51</v>
      </c>
      <c r="B566" t="s">
        <v>206</v>
      </c>
      <c r="C566" t="str">
        <f t="shared" si="16"/>
        <v>"https://www.zeldadungeon.net/maps/totk/tiles/sky/6/13_46.jpg",</v>
      </c>
      <c r="H566" t="str">
        <f t="shared" si="17"/>
        <v>13_46</v>
      </c>
    </row>
    <row r="567" spans="1:8" x14ac:dyDescent="0.2">
      <c r="A567" s="9" t="s">
        <v>51</v>
      </c>
      <c r="B567" t="s">
        <v>205</v>
      </c>
      <c r="C567" t="str">
        <f t="shared" si="16"/>
        <v>"https://www.zeldadungeon.net/maps/totk/tiles/sky/6/13_47.jpg",</v>
      </c>
      <c r="H567" t="str">
        <f t="shared" si="17"/>
        <v>13_47</v>
      </c>
    </row>
    <row r="568" spans="1:8" x14ac:dyDescent="0.2">
      <c r="A568" s="9" t="s">
        <v>51</v>
      </c>
      <c r="B568" t="s">
        <v>204</v>
      </c>
      <c r="C568" t="str">
        <f t="shared" si="16"/>
        <v>"https://www.zeldadungeon.net/maps/totk/tiles/sky/6/13_48.jpg",</v>
      </c>
      <c r="H568" t="str">
        <f t="shared" si="17"/>
        <v>13_48</v>
      </c>
    </row>
    <row r="569" spans="1:8" x14ac:dyDescent="0.2">
      <c r="A569" s="9" t="s">
        <v>51</v>
      </c>
      <c r="B569" t="s">
        <v>203</v>
      </c>
      <c r="C569" t="str">
        <f t="shared" si="16"/>
        <v>"https://www.zeldadungeon.net/maps/totk/tiles/sky/6/13_49.jpg",</v>
      </c>
      <c r="H569" t="str">
        <f t="shared" si="17"/>
        <v>13_49</v>
      </c>
    </row>
    <row r="570" spans="1:8" x14ac:dyDescent="0.2">
      <c r="A570" s="9" t="s">
        <v>51</v>
      </c>
      <c r="B570" t="s">
        <v>202</v>
      </c>
      <c r="C570" t="str">
        <f t="shared" si="16"/>
        <v>"https://www.zeldadungeon.net/maps/totk/tiles/sky/6/13_50.jpg",</v>
      </c>
      <c r="H570" t="str">
        <f t="shared" si="17"/>
        <v>13_50</v>
      </c>
    </row>
    <row r="571" spans="1:8" x14ac:dyDescent="0.2">
      <c r="A571" s="9" t="s">
        <v>51</v>
      </c>
      <c r="B571" t="s">
        <v>201</v>
      </c>
      <c r="C571" t="str">
        <f t="shared" si="16"/>
        <v>"https://www.zeldadungeon.net/maps/totk/tiles/sky/6/13_51.jpg",</v>
      </c>
      <c r="H571" t="str">
        <f t="shared" si="17"/>
        <v>13_51</v>
      </c>
    </row>
    <row r="572" spans="1:8" x14ac:dyDescent="0.2">
      <c r="A572" s="9" t="s">
        <v>51</v>
      </c>
      <c r="B572" t="s">
        <v>200</v>
      </c>
      <c r="C572" t="str">
        <f t="shared" si="16"/>
        <v>"https://www.zeldadungeon.net/maps/totk/tiles/sky/6/13_52.jpg",</v>
      </c>
      <c r="H572" t="str">
        <f t="shared" si="17"/>
        <v>13_52</v>
      </c>
    </row>
    <row r="573" spans="1:8" x14ac:dyDescent="0.2">
      <c r="A573" s="9" t="s">
        <v>51</v>
      </c>
      <c r="B573" t="s">
        <v>199</v>
      </c>
      <c r="C573" t="str">
        <f t="shared" si="16"/>
        <v>"https://www.zeldadungeon.net/maps/totk/tiles/sky/6/13_53.jpg",</v>
      </c>
      <c r="H573" t="str">
        <f t="shared" si="17"/>
        <v>13_53</v>
      </c>
    </row>
    <row r="574" spans="1:8" x14ac:dyDescent="0.2">
      <c r="A574" s="9" t="s">
        <v>51</v>
      </c>
      <c r="B574" t="s">
        <v>198</v>
      </c>
      <c r="C574" t="str">
        <f t="shared" si="16"/>
        <v>"https://www.zeldadungeon.net/maps/totk/tiles/sky/6/13_54.jpg",</v>
      </c>
      <c r="H574" t="str">
        <f t="shared" si="17"/>
        <v>13_54</v>
      </c>
    </row>
    <row r="575" spans="1:8" x14ac:dyDescent="0.2">
      <c r="A575" s="9" t="s">
        <v>51</v>
      </c>
      <c r="B575" t="s">
        <v>197</v>
      </c>
      <c r="C575" t="str">
        <f t="shared" si="16"/>
        <v>"https://www.zeldadungeon.net/maps/totk/tiles/sky/6/13_55.jpg",</v>
      </c>
      <c r="H575" t="str">
        <f t="shared" si="17"/>
        <v>13_55</v>
      </c>
    </row>
    <row r="576" spans="1:8" x14ac:dyDescent="0.2">
      <c r="A576" s="9" t="s">
        <v>51</v>
      </c>
      <c r="B576" t="s">
        <v>196</v>
      </c>
      <c r="C576" t="str">
        <f t="shared" si="16"/>
        <v>"https://www.zeldadungeon.net/maps/totk/tiles/sky/6/14_8.jpg",</v>
      </c>
      <c r="H576" t="str">
        <f t="shared" si="17"/>
        <v>14_8</v>
      </c>
    </row>
    <row r="577" spans="1:8" x14ac:dyDescent="0.2">
      <c r="A577" s="9" t="s">
        <v>51</v>
      </c>
      <c r="B577" t="s">
        <v>195</v>
      </c>
      <c r="C577" t="str">
        <f t="shared" ref="C577:C640" si="18">""""&amp;SUBSTITUTE(A577,"zzz",H577)&amp;""""&amp;","</f>
        <v>"https://www.zeldadungeon.net/maps/totk/tiles/sky/6/14_9.jpg",</v>
      </c>
      <c r="H577" t="str">
        <f t="shared" ref="H577:H640" si="19">QUOTIENT(ROW(A577),48)+2&amp;"_"&amp;MOD(ROW(A577),48)+8</f>
        <v>14_9</v>
      </c>
    </row>
    <row r="578" spans="1:8" x14ac:dyDescent="0.2">
      <c r="A578" s="9" t="s">
        <v>51</v>
      </c>
      <c r="B578" t="s">
        <v>194</v>
      </c>
      <c r="C578" t="str">
        <f t="shared" si="18"/>
        <v>"https://www.zeldadungeon.net/maps/totk/tiles/sky/6/14_10.jpg",</v>
      </c>
      <c r="H578" t="str">
        <f t="shared" si="19"/>
        <v>14_10</v>
      </c>
    </row>
    <row r="579" spans="1:8" x14ac:dyDescent="0.2">
      <c r="A579" s="9" t="s">
        <v>51</v>
      </c>
      <c r="B579" t="s">
        <v>193</v>
      </c>
      <c r="C579" t="str">
        <f t="shared" si="18"/>
        <v>"https://www.zeldadungeon.net/maps/totk/tiles/sky/6/14_11.jpg",</v>
      </c>
      <c r="H579" t="str">
        <f t="shared" si="19"/>
        <v>14_11</v>
      </c>
    </row>
    <row r="580" spans="1:8" x14ac:dyDescent="0.2">
      <c r="A580" s="9" t="s">
        <v>51</v>
      </c>
      <c r="B580" t="s">
        <v>192</v>
      </c>
      <c r="C580" t="str">
        <f t="shared" si="18"/>
        <v>"https://www.zeldadungeon.net/maps/totk/tiles/sky/6/14_12.jpg",</v>
      </c>
      <c r="H580" t="str">
        <f t="shared" si="19"/>
        <v>14_12</v>
      </c>
    </row>
    <row r="581" spans="1:8" x14ac:dyDescent="0.2">
      <c r="A581" s="9" t="s">
        <v>51</v>
      </c>
      <c r="B581" t="s">
        <v>191</v>
      </c>
      <c r="C581" t="str">
        <f t="shared" si="18"/>
        <v>"https://www.zeldadungeon.net/maps/totk/tiles/sky/6/14_13.jpg",</v>
      </c>
      <c r="H581" t="str">
        <f t="shared" si="19"/>
        <v>14_13</v>
      </c>
    </row>
    <row r="582" spans="1:8" x14ac:dyDescent="0.2">
      <c r="A582" s="9" t="s">
        <v>51</v>
      </c>
      <c r="B582" t="s">
        <v>190</v>
      </c>
      <c r="C582" t="str">
        <f t="shared" si="18"/>
        <v>"https://www.zeldadungeon.net/maps/totk/tiles/sky/6/14_14.jpg",</v>
      </c>
      <c r="H582" t="str">
        <f t="shared" si="19"/>
        <v>14_14</v>
      </c>
    </row>
    <row r="583" spans="1:8" x14ac:dyDescent="0.2">
      <c r="A583" s="9" t="s">
        <v>51</v>
      </c>
      <c r="B583" t="s">
        <v>189</v>
      </c>
      <c r="C583" t="str">
        <f t="shared" si="18"/>
        <v>"https://www.zeldadungeon.net/maps/totk/tiles/sky/6/14_15.jpg",</v>
      </c>
      <c r="H583" t="str">
        <f t="shared" si="19"/>
        <v>14_15</v>
      </c>
    </row>
    <row r="584" spans="1:8" x14ac:dyDescent="0.2">
      <c r="A584" s="9" t="s">
        <v>51</v>
      </c>
      <c r="B584" t="s">
        <v>188</v>
      </c>
      <c r="C584" t="str">
        <f t="shared" si="18"/>
        <v>"https://www.zeldadungeon.net/maps/totk/tiles/sky/6/14_16.jpg",</v>
      </c>
      <c r="H584" t="str">
        <f t="shared" si="19"/>
        <v>14_16</v>
      </c>
    </row>
    <row r="585" spans="1:8" x14ac:dyDescent="0.2">
      <c r="A585" s="9" t="s">
        <v>51</v>
      </c>
      <c r="B585" t="s">
        <v>187</v>
      </c>
      <c r="C585" t="str">
        <f t="shared" si="18"/>
        <v>"https://www.zeldadungeon.net/maps/totk/tiles/sky/6/14_17.jpg",</v>
      </c>
      <c r="H585" t="str">
        <f t="shared" si="19"/>
        <v>14_17</v>
      </c>
    </row>
    <row r="586" spans="1:8" x14ac:dyDescent="0.2">
      <c r="A586" s="9" t="s">
        <v>51</v>
      </c>
      <c r="B586" t="s">
        <v>186</v>
      </c>
      <c r="C586" t="str">
        <f t="shared" si="18"/>
        <v>"https://www.zeldadungeon.net/maps/totk/tiles/sky/6/14_18.jpg",</v>
      </c>
      <c r="H586" t="str">
        <f t="shared" si="19"/>
        <v>14_18</v>
      </c>
    </row>
    <row r="587" spans="1:8" x14ac:dyDescent="0.2">
      <c r="A587" s="9" t="s">
        <v>51</v>
      </c>
      <c r="B587" t="s">
        <v>185</v>
      </c>
      <c r="C587" t="str">
        <f t="shared" si="18"/>
        <v>"https://www.zeldadungeon.net/maps/totk/tiles/sky/6/14_19.jpg",</v>
      </c>
      <c r="H587" t="str">
        <f t="shared" si="19"/>
        <v>14_19</v>
      </c>
    </row>
    <row r="588" spans="1:8" x14ac:dyDescent="0.2">
      <c r="A588" s="9" t="s">
        <v>51</v>
      </c>
      <c r="B588" t="s">
        <v>184</v>
      </c>
      <c r="C588" t="str">
        <f t="shared" si="18"/>
        <v>"https://www.zeldadungeon.net/maps/totk/tiles/sky/6/14_20.jpg",</v>
      </c>
      <c r="H588" t="str">
        <f t="shared" si="19"/>
        <v>14_20</v>
      </c>
    </row>
    <row r="589" spans="1:8" x14ac:dyDescent="0.2">
      <c r="A589" s="9" t="s">
        <v>51</v>
      </c>
      <c r="B589" t="s">
        <v>183</v>
      </c>
      <c r="C589" t="str">
        <f t="shared" si="18"/>
        <v>"https://www.zeldadungeon.net/maps/totk/tiles/sky/6/14_21.jpg",</v>
      </c>
      <c r="H589" t="str">
        <f t="shared" si="19"/>
        <v>14_21</v>
      </c>
    </row>
    <row r="590" spans="1:8" x14ac:dyDescent="0.2">
      <c r="A590" s="9" t="s">
        <v>51</v>
      </c>
      <c r="B590" t="s">
        <v>182</v>
      </c>
      <c r="C590" t="str">
        <f t="shared" si="18"/>
        <v>"https://www.zeldadungeon.net/maps/totk/tiles/sky/6/14_22.jpg",</v>
      </c>
      <c r="H590" t="str">
        <f t="shared" si="19"/>
        <v>14_22</v>
      </c>
    </row>
    <row r="591" spans="1:8" x14ac:dyDescent="0.2">
      <c r="A591" s="9" t="s">
        <v>51</v>
      </c>
      <c r="B591" t="s">
        <v>181</v>
      </c>
      <c r="C591" t="str">
        <f t="shared" si="18"/>
        <v>"https://www.zeldadungeon.net/maps/totk/tiles/sky/6/14_23.jpg",</v>
      </c>
      <c r="H591" t="str">
        <f t="shared" si="19"/>
        <v>14_23</v>
      </c>
    </row>
    <row r="592" spans="1:8" x14ac:dyDescent="0.2">
      <c r="A592" s="9" t="s">
        <v>51</v>
      </c>
      <c r="B592" t="s">
        <v>180</v>
      </c>
      <c r="C592" t="str">
        <f t="shared" si="18"/>
        <v>"https://www.zeldadungeon.net/maps/totk/tiles/sky/6/14_24.jpg",</v>
      </c>
      <c r="H592" t="str">
        <f t="shared" si="19"/>
        <v>14_24</v>
      </c>
    </row>
    <row r="593" spans="1:8" x14ac:dyDescent="0.2">
      <c r="A593" s="9" t="s">
        <v>51</v>
      </c>
      <c r="B593" t="s">
        <v>179</v>
      </c>
      <c r="C593" t="str">
        <f t="shared" si="18"/>
        <v>"https://www.zeldadungeon.net/maps/totk/tiles/sky/6/14_25.jpg",</v>
      </c>
      <c r="H593" t="str">
        <f t="shared" si="19"/>
        <v>14_25</v>
      </c>
    </row>
    <row r="594" spans="1:8" x14ac:dyDescent="0.2">
      <c r="A594" s="9" t="s">
        <v>51</v>
      </c>
      <c r="B594" t="s">
        <v>178</v>
      </c>
      <c r="C594" t="str">
        <f t="shared" si="18"/>
        <v>"https://www.zeldadungeon.net/maps/totk/tiles/sky/6/14_26.jpg",</v>
      </c>
      <c r="H594" t="str">
        <f t="shared" si="19"/>
        <v>14_26</v>
      </c>
    </row>
    <row r="595" spans="1:8" x14ac:dyDescent="0.2">
      <c r="A595" s="9" t="s">
        <v>51</v>
      </c>
      <c r="B595" t="s">
        <v>177</v>
      </c>
      <c r="C595" t="str">
        <f t="shared" si="18"/>
        <v>"https://www.zeldadungeon.net/maps/totk/tiles/sky/6/14_27.jpg",</v>
      </c>
      <c r="H595" t="str">
        <f t="shared" si="19"/>
        <v>14_27</v>
      </c>
    </row>
    <row r="596" spans="1:8" x14ac:dyDescent="0.2">
      <c r="A596" s="9" t="s">
        <v>51</v>
      </c>
      <c r="B596" t="s">
        <v>176</v>
      </c>
      <c r="C596" t="str">
        <f t="shared" si="18"/>
        <v>"https://www.zeldadungeon.net/maps/totk/tiles/sky/6/14_28.jpg",</v>
      </c>
      <c r="H596" t="str">
        <f t="shared" si="19"/>
        <v>14_28</v>
      </c>
    </row>
    <row r="597" spans="1:8" x14ac:dyDescent="0.2">
      <c r="A597" s="9" t="s">
        <v>51</v>
      </c>
      <c r="B597" t="s">
        <v>175</v>
      </c>
      <c r="C597" t="str">
        <f t="shared" si="18"/>
        <v>"https://www.zeldadungeon.net/maps/totk/tiles/sky/6/14_29.jpg",</v>
      </c>
      <c r="H597" t="str">
        <f t="shared" si="19"/>
        <v>14_29</v>
      </c>
    </row>
    <row r="598" spans="1:8" x14ac:dyDescent="0.2">
      <c r="A598" s="9" t="s">
        <v>51</v>
      </c>
      <c r="B598" t="s">
        <v>174</v>
      </c>
      <c r="C598" t="str">
        <f t="shared" si="18"/>
        <v>"https://www.zeldadungeon.net/maps/totk/tiles/sky/6/14_30.jpg",</v>
      </c>
      <c r="H598" t="str">
        <f t="shared" si="19"/>
        <v>14_30</v>
      </c>
    </row>
    <row r="599" spans="1:8" x14ac:dyDescent="0.2">
      <c r="A599" s="9" t="s">
        <v>51</v>
      </c>
      <c r="B599" t="s">
        <v>173</v>
      </c>
      <c r="C599" t="str">
        <f t="shared" si="18"/>
        <v>"https://www.zeldadungeon.net/maps/totk/tiles/sky/6/14_31.jpg",</v>
      </c>
      <c r="H599" t="str">
        <f t="shared" si="19"/>
        <v>14_31</v>
      </c>
    </row>
    <row r="600" spans="1:8" x14ac:dyDescent="0.2">
      <c r="A600" s="9" t="s">
        <v>51</v>
      </c>
      <c r="B600" t="s">
        <v>172</v>
      </c>
      <c r="C600" t="str">
        <f t="shared" si="18"/>
        <v>"https://www.zeldadungeon.net/maps/totk/tiles/sky/6/14_32.jpg",</v>
      </c>
      <c r="H600" t="str">
        <f t="shared" si="19"/>
        <v>14_32</v>
      </c>
    </row>
    <row r="601" spans="1:8" x14ac:dyDescent="0.2">
      <c r="A601" s="9" t="s">
        <v>51</v>
      </c>
      <c r="B601" t="s">
        <v>171</v>
      </c>
      <c r="C601" t="str">
        <f t="shared" si="18"/>
        <v>"https://www.zeldadungeon.net/maps/totk/tiles/sky/6/14_33.jpg",</v>
      </c>
      <c r="H601" t="str">
        <f t="shared" si="19"/>
        <v>14_33</v>
      </c>
    </row>
    <row r="602" spans="1:8" x14ac:dyDescent="0.2">
      <c r="A602" s="9" t="s">
        <v>51</v>
      </c>
      <c r="B602" t="s">
        <v>170</v>
      </c>
      <c r="C602" t="str">
        <f t="shared" si="18"/>
        <v>"https://www.zeldadungeon.net/maps/totk/tiles/sky/6/14_34.jpg",</v>
      </c>
      <c r="H602" t="str">
        <f t="shared" si="19"/>
        <v>14_34</v>
      </c>
    </row>
    <row r="603" spans="1:8" x14ac:dyDescent="0.2">
      <c r="A603" s="9" t="s">
        <v>51</v>
      </c>
      <c r="B603" t="s">
        <v>169</v>
      </c>
      <c r="C603" t="str">
        <f t="shared" si="18"/>
        <v>"https://www.zeldadungeon.net/maps/totk/tiles/sky/6/14_35.jpg",</v>
      </c>
      <c r="H603" t="str">
        <f t="shared" si="19"/>
        <v>14_35</v>
      </c>
    </row>
    <row r="604" spans="1:8" x14ac:dyDescent="0.2">
      <c r="A604" s="9" t="s">
        <v>51</v>
      </c>
      <c r="B604" t="s">
        <v>168</v>
      </c>
      <c r="C604" t="str">
        <f t="shared" si="18"/>
        <v>"https://www.zeldadungeon.net/maps/totk/tiles/sky/6/14_36.jpg",</v>
      </c>
      <c r="H604" t="str">
        <f t="shared" si="19"/>
        <v>14_36</v>
      </c>
    </row>
    <row r="605" spans="1:8" x14ac:dyDescent="0.2">
      <c r="A605" s="9" t="s">
        <v>51</v>
      </c>
      <c r="B605" t="s">
        <v>167</v>
      </c>
      <c r="C605" t="str">
        <f t="shared" si="18"/>
        <v>"https://www.zeldadungeon.net/maps/totk/tiles/sky/6/14_37.jpg",</v>
      </c>
      <c r="H605" t="str">
        <f t="shared" si="19"/>
        <v>14_37</v>
      </c>
    </row>
    <row r="606" spans="1:8" x14ac:dyDescent="0.2">
      <c r="A606" s="9" t="s">
        <v>51</v>
      </c>
      <c r="B606" t="s">
        <v>166</v>
      </c>
      <c r="C606" t="str">
        <f t="shared" si="18"/>
        <v>"https://www.zeldadungeon.net/maps/totk/tiles/sky/6/14_38.jpg",</v>
      </c>
      <c r="H606" t="str">
        <f t="shared" si="19"/>
        <v>14_38</v>
      </c>
    </row>
    <row r="607" spans="1:8" x14ac:dyDescent="0.2">
      <c r="A607" s="9" t="s">
        <v>51</v>
      </c>
      <c r="B607" t="s">
        <v>165</v>
      </c>
      <c r="C607" t="str">
        <f t="shared" si="18"/>
        <v>"https://www.zeldadungeon.net/maps/totk/tiles/sky/6/14_39.jpg",</v>
      </c>
      <c r="H607" t="str">
        <f t="shared" si="19"/>
        <v>14_39</v>
      </c>
    </row>
    <row r="608" spans="1:8" x14ac:dyDescent="0.2">
      <c r="A608" s="9" t="s">
        <v>51</v>
      </c>
      <c r="B608" t="s">
        <v>164</v>
      </c>
      <c r="C608" t="str">
        <f t="shared" si="18"/>
        <v>"https://www.zeldadungeon.net/maps/totk/tiles/sky/6/14_40.jpg",</v>
      </c>
      <c r="H608" t="str">
        <f t="shared" si="19"/>
        <v>14_40</v>
      </c>
    </row>
    <row r="609" spans="1:8" x14ac:dyDescent="0.2">
      <c r="A609" s="9" t="s">
        <v>51</v>
      </c>
      <c r="B609" t="s">
        <v>163</v>
      </c>
      <c r="C609" t="str">
        <f t="shared" si="18"/>
        <v>"https://www.zeldadungeon.net/maps/totk/tiles/sky/6/14_41.jpg",</v>
      </c>
      <c r="H609" t="str">
        <f t="shared" si="19"/>
        <v>14_41</v>
      </c>
    </row>
    <row r="610" spans="1:8" x14ac:dyDescent="0.2">
      <c r="A610" s="9" t="s">
        <v>51</v>
      </c>
      <c r="B610" t="s">
        <v>162</v>
      </c>
      <c r="C610" t="str">
        <f t="shared" si="18"/>
        <v>"https://www.zeldadungeon.net/maps/totk/tiles/sky/6/14_42.jpg",</v>
      </c>
      <c r="H610" t="str">
        <f t="shared" si="19"/>
        <v>14_42</v>
      </c>
    </row>
    <row r="611" spans="1:8" x14ac:dyDescent="0.2">
      <c r="A611" s="9" t="s">
        <v>51</v>
      </c>
      <c r="B611" t="s">
        <v>161</v>
      </c>
      <c r="C611" t="str">
        <f t="shared" si="18"/>
        <v>"https://www.zeldadungeon.net/maps/totk/tiles/sky/6/14_43.jpg",</v>
      </c>
      <c r="H611" t="str">
        <f t="shared" si="19"/>
        <v>14_43</v>
      </c>
    </row>
    <row r="612" spans="1:8" x14ac:dyDescent="0.2">
      <c r="A612" s="9" t="s">
        <v>51</v>
      </c>
      <c r="B612" t="s">
        <v>160</v>
      </c>
      <c r="C612" t="str">
        <f t="shared" si="18"/>
        <v>"https://www.zeldadungeon.net/maps/totk/tiles/sky/6/14_44.jpg",</v>
      </c>
      <c r="H612" t="str">
        <f t="shared" si="19"/>
        <v>14_44</v>
      </c>
    </row>
    <row r="613" spans="1:8" x14ac:dyDescent="0.2">
      <c r="A613" s="9" t="s">
        <v>51</v>
      </c>
      <c r="B613" t="s">
        <v>159</v>
      </c>
      <c r="C613" t="str">
        <f t="shared" si="18"/>
        <v>"https://www.zeldadungeon.net/maps/totk/tiles/sky/6/14_45.jpg",</v>
      </c>
      <c r="H613" t="str">
        <f t="shared" si="19"/>
        <v>14_45</v>
      </c>
    </row>
    <row r="614" spans="1:8" x14ac:dyDescent="0.2">
      <c r="A614" s="9" t="s">
        <v>51</v>
      </c>
      <c r="B614" t="s">
        <v>158</v>
      </c>
      <c r="C614" t="str">
        <f t="shared" si="18"/>
        <v>"https://www.zeldadungeon.net/maps/totk/tiles/sky/6/14_46.jpg",</v>
      </c>
      <c r="H614" t="str">
        <f t="shared" si="19"/>
        <v>14_46</v>
      </c>
    </row>
    <row r="615" spans="1:8" x14ac:dyDescent="0.2">
      <c r="A615" s="9" t="s">
        <v>51</v>
      </c>
      <c r="B615" t="s">
        <v>157</v>
      </c>
      <c r="C615" t="str">
        <f t="shared" si="18"/>
        <v>"https://www.zeldadungeon.net/maps/totk/tiles/sky/6/14_47.jpg",</v>
      </c>
      <c r="H615" t="str">
        <f t="shared" si="19"/>
        <v>14_47</v>
      </c>
    </row>
    <row r="616" spans="1:8" x14ac:dyDescent="0.2">
      <c r="A616" s="9" t="s">
        <v>51</v>
      </c>
      <c r="B616" t="s">
        <v>156</v>
      </c>
      <c r="C616" t="str">
        <f t="shared" si="18"/>
        <v>"https://www.zeldadungeon.net/maps/totk/tiles/sky/6/14_48.jpg",</v>
      </c>
      <c r="H616" t="str">
        <f t="shared" si="19"/>
        <v>14_48</v>
      </c>
    </row>
    <row r="617" spans="1:8" x14ac:dyDescent="0.2">
      <c r="A617" s="9" t="s">
        <v>51</v>
      </c>
      <c r="B617" t="s">
        <v>155</v>
      </c>
      <c r="C617" t="str">
        <f t="shared" si="18"/>
        <v>"https://www.zeldadungeon.net/maps/totk/tiles/sky/6/14_49.jpg",</v>
      </c>
      <c r="H617" t="str">
        <f t="shared" si="19"/>
        <v>14_49</v>
      </c>
    </row>
    <row r="618" spans="1:8" x14ac:dyDescent="0.2">
      <c r="A618" s="9" t="s">
        <v>51</v>
      </c>
      <c r="B618" t="s">
        <v>154</v>
      </c>
      <c r="C618" t="str">
        <f t="shared" si="18"/>
        <v>"https://www.zeldadungeon.net/maps/totk/tiles/sky/6/14_50.jpg",</v>
      </c>
      <c r="H618" t="str">
        <f t="shared" si="19"/>
        <v>14_50</v>
      </c>
    </row>
    <row r="619" spans="1:8" x14ac:dyDescent="0.2">
      <c r="A619" s="9" t="s">
        <v>51</v>
      </c>
      <c r="B619" t="s">
        <v>153</v>
      </c>
      <c r="C619" t="str">
        <f t="shared" si="18"/>
        <v>"https://www.zeldadungeon.net/maps/totk/tiles/sky/6/14_51.jpg",</v>
      </c>
      <c r="H619" t="str">
        <f t="shared" si="19"/>
        <v>14_51</v>
      </c>
    </row>
    <row r="620" spans="1:8" x14ac:dyDescent="0.2">
      <c r="A620" s="9" t="s">
        <v>51</v>
      </c>
      <c r="B620" t="s">
        <v>152</v>
      </c>
      <c r="C620" t="str">
        <f t="shared" si="18"/>
        <v>"https://www.zeldadungeon.net/maps/totk/tiles/sky/6/14_52.jpg",</v>
      </c>
      <c r="H620" t="str">
        <f t="shared" si="19"/>
        <v>14_52</v>
      </c>
    </row>
    <row r="621" spans="1:8" x14ac:dyDescent="0.2">
      <c r="A621" s="9" t="s">
        <v>51</v>
      </c>
      <c r="B621" t="s">
        <v>151</v>
      </c>
      <c r="C621" t="str">
        <f t="shared" si="18"/>
        <v>"https://www.zeldadungeon.net/maps/totk/tiles/sky/6/14_53.jpg",</v>
      </c>
      <c r="H621" t="str">
        <f t="shared" si="19"/>
        <v>14_53</v>
      </c>
    </row>
    <row r="622" spans="1:8" x14ac:dyDescent="0.2">
      <c r="A622" s="9" t="s">
        <v>51</v>
      </c>
      <c r="B622" t="s">
        <v>150</v>
      </c>
      <c r="C622" t="str">
        <f t="shared" si="18"/>
        <v>"https://www.zeldadungeon.net/maps/totk/tiles/sky/6/14_54.jpg",</v>
      </c>
      <c r="H622" t="str">
        <f t="shared" si="19"/>
        <v>14_54</v>
      </c>
    </row>
    <row r="623" spans="1:8" x14ac:dyDescent="0.2">
      <c r="A623" s="9" t="s">
        <v>51</v>
      </c>
      <c r="B623" t="s">
        <v>149</v>
      </c>
      <c r="C623" t="str">
        <f t="shared" si="18"/>
        <v>"https://www.zeldadungeon.net/maps/totk/tiles/sky/6/14_55.jpg",</v>
      </c>
      <c r="H623" t="str">
        <f t="shared" si="19"/>
        <v>14_55</v>
      </c>
    </row>
    <row r="624" spans="1:8" x14ac:dyDescent="0.2">
      <c r="A624" s="9" t="s">
        <v>51</v>
      </c>
      <c r="B624" t="s">
        <v>148</v>
      </c>
      <c r="C624" t="str">
        <f t="shared" si="18"/>
        <v>"https://www.zeldadungeon.net/maps/totk/tiles/sky/6/15_8.jpg",</v>
      </c>
      <c r="H624" t="str">
        <f t="shared" si="19"/>
        <v>15_8</v>
      </c>
    </row>
    <row r="625" spans="1:8" x14ac:dyDescent="0.2">
      <c r="A625" s="9" t="s">
        <v>51</v>
      </c>
      <c r="B625" t="s">
        <v>147</v>
      </c>
      <c r="C625" t="str">
        <f t="shared" si="18"/>
        <v>"https://www.zeldadungeon.net/maps/totk/tiles/sky/6/15_9.jpg",</v>
      </c>
      <c r="H625" t="str">
        <f t="shared" si="19"/>
        <v>15_9</v>
      </c>
    </row>
    <row r="626" spans="1:8" x14ac:dyDescent="0.2">
      <c r="A626" s="9" t="s">
        <v>51</v>
      </c>
      <c r="B626" t="s">
        <v>146</v>
      </c>
      <c r="C626" t="str">
        <f t="shared" si="18"/>
        <v>"https://www.zeldadungeon.net/maps/totk/tiles/sky/6/15_10.jpg",</v>
      </c>
      <c r="H626" t="str">
        <f t="shared" si="19"/>
        <v>15_10</v>
      </c>
    </row>
    <row r="627" spans="1:8" x14ac:dyDescent="0.2">
      <c r="A627" s="9" t="s">
        <v>51</v>
      </c>
      <c r="B627" t="s">
        <v>145</v>
      </c>
      <c r="C627" t="str">
        <f t="shared" si="18"/>
        <v>"https://www.zeldadungeon.net/maps/totk/tiles/sky/6/15_11.jpg",</v>
      </c>
      <c r="H627" t="str">
        <f t="shared" si="19"/>
        <v>15_11</v>
      </c>
    </row>
    <row r="628" spans="1:8" x14ac:dyDescent="0.2">
      <c r="A628" s="9" t="s">
        <v>51</v>
      </c>
      <c r="B628" t="s">
        <v>144</v>
      </c>
      <c r="C628" t="str">
        <f t="shared" si="18"/>
        <v>"https://www.zeldadungeon.net/maps/totk/tiles/sky/6/15_12.jpg",</v>
      </c>
      <c r="H628" t="str">
        <f t="shared" si="19"/>
        <v>15_12</v>
      </c>
    </row>
    <row r="629" spans="1:8" x14ac:dyDescent="0.2">
      <c r="A629" s="9" t="s">
        <v>51</v>
      </c>
      <c r="B629" t="s">
        <v>143</v>
      </c>
      <c r="C629" t="str">
        <f t="shared" si="18"/>
        <v>"https://www.zeldadungeon.net/maps/totk/tiles/sky/6/15_13.jpg",</v>
      </c>
      <c r="H629" t="str">
        <f t="shared" si="19"/>
        <v>15_13</v>
      </c>
    </row>
    <row r="630" spans="1:8" x14ac:dyDescent="0.2">
      <c r="A630" s="9" t="s">
        <v>51</v>
      </c>
      <c r="B630" t="s">
        <v>142</v>
      </c>
      <c r="C630" t="str">
        <f t="shared" si="18"/>
        <v>"https://www.zeldadungeon.net/maps/totk/tiles/sky/6/15_14.jpg",</v>
      </c>
      <c r="H630" t="str">
        <f t="shared" si="19"/>
        <v>15_14</v>
      </c>
    </row>
    <row r="631" spans="1:8" x14ac:dyDescent="0.2">
      <c r="A631" s="9" t="s">
        <v>51</v>
      </c>
      <c r="B631" t="s">
        <v>141</v>
      </c>
      <c r="C631" t="str">
        <f t="shared" si="18"/>
        <v>"https://www.zeldadungeon.net/maps/totk/tiles/sky/6/15_15.jpg",</v>
      </c>
      <c r="H631" t="str">
        <f t="shared" si="19"/>
        <v>15_15</v>
      </c>
    </row>
    <row r="632" spans="1:8" x14ac:dyDescent="0.2">
      <c r="A632" s="9" t="s">
        <v>51</v>
      </c>
      <c r="B632" t="s">
        <v>140</v>
      </c>
      <c r="C632" t="str">
        <f t="shared" si="18"/>
        <v>"https://www.zeldadungeon.net/maps/totk/tiles/sky/6/15_16.jpg",</v>
      </c>
      <c r="H632" t="str">
        <f t="shared" si="19"/>
        <v>15_16</v>
      </c>
    </row>
    <row r="633" spans="1:8" x14ac:dyDescent="0.2">
      <c r="A633" s="9" t="s">
        <v>51</v>
      </c>
      <c r="B633" t="s">
        <v>139</v>
      </c>
      <c r="C633" t="str">
        <f t="shared" si="18"/>
        <v>"https://www.zeldadungeon.net/maps/totk/tiles/sky/6/15_17.jpg",</v>
      </c>
      <c r="H633" t="str">
        <f t="shared" si="19"/>
        <v>15_17</v>
      </c>
    </row>
    <row r="634" spans="1:8" x14ac:dyDescent="0.2">
      <c r="A634" s="9" t="s">
        <v>51</v>
      </c>
      <c r="B634" t="s">
        <v>138</v>
      </c>
      <c r="C634" t="str">
        <f t="shared" si="18"/>
        <v>"https://www.zeldadungeon.net/maps/totk/tiles/sky/6/15_18.jpg",</v>
      </c>
      <c r="H634" t="str">
        <f t="shared" si="19"/>
        <v>15_18</v>
      </c>
    </row>
    <row r="635" spans="1:8" x14ac:dyDescent="0.2">
      <c r="A635" s="9" t="s">
        <v>51</v>
      </c>
      <c r="B635" t="s">
        <v>137</v>
      </c>
      <c r="C635" t="str">
        <f t="shared" si="18"/>
        <v>"https://www.zeldadungeon.net/maps/totk/tiles/sky/6/15_19.jpg",</v>
      </c>
      <c r="H635" t="str">
        <f t="shared" si="19"/>
        <v>15_19</v>
      </c>
    </row>
    <row r="636" spans="1:8" x14ac:dyDescent="0.2">
      <c r="A636" s="9" t="s">
        <v>51</v>
      </c>
      <c r="B636" t="s">
        <v>136</v>
      </c>
      <c r="C636" t="str">
        <f t="shared" si="18"/>
        <v>"https://www.zeldadungeon.net/maps/totk/tiles/sky/6/15_20.jpg",</v>
      </c>
      <c r="H636" t="str">
        <f t="shared" si="19"/>
        <v>15_20</v>
      </c>
    </row>
    <row r="637" spans="1:8" x14ac:dyDescent="0.2">
      <c r="A637" s="9" t="s">
        <v>51</v>
      </c>
      <c r="B637" t="s">
        <v>135</v>
      </c>
      <c r="C637" t="str">
        <f t="shared" si="18"/>
        <v>"https://www.zeldadungeon.net/maps/totk/tiles/sky/6/15_21.jpg",</v>
      </c>
      <c r="H637" t="str">
        <f t="shared" si="19"/>
        <v>15_21</v>
      </c>
    </row>
    <row r="638" spans="1:8" x14ac:dyDescent="0.2">
      <c r="A638" s="9" t="s">
        <v>51</v>
      </c>
      <c r="B638" t="s">
        <v>134</v>
      </c>
      <c r="C638" t="str">
        <f t="shared" si="18"/>
        <v>"https://www.zeldadungeon.net/maps/totk/tiles/sky/6/15_22.jpg",</v>
      </c>
      <c r="H638" t="str">
        <f t="shared" si="19"/>
        <v>15_22</v>
      </c>
    </row>
    <row r="639" spans="1:8" x14ac:dyDescent="0.2">
      <c r="A639" s="9" t="s">
        <v>51</v>
      </c>
      <c r="B639" t="s">
        <v>133</v>
      </c>
      <c r="C639" t="str">
        <f t="shared" si="18"/>
        <v>"https://www.zeldadungeon.net/maps/totk/tiles/sky/6/15_23.jpg",</v>
      </c>
      <c r="H639" t="str">
        <f t="shared" si="19"/>
        <v>15_23</v>
      </c>
    </row>
    <row r="640" spans="1:8" x14ac:dyDescent="0.2">
      <c r="A640" s="9" t="s">
        <v>51</v>
      </c>
      <c r="B640" t="s">
        <v>132</v>
      </c>
      <c r="C640" t="str">
        <f t="shared" si="18"/>
        <v>"https://www.zeldadungeon.net/maps/totk/tiles/sky/6/15_24.jpg",</v>
      </c>
      <c r="H640" t="str">
        <f t="shared" si="19"/>
        <v>15_24</v>
      </c>
    </row>
    <row r="641" spans="1:8" x14ac:dyDescent="0.2">
      <c r="A641" s="9" t="s">
        <v>51</v>
      </c>
      <c r="B641" t="s">
        <v>131</v>
      </c>
      <c r="C641" t="str">
        <f t="shared" ref="C641:C704" si="20">""""&amp;SUBSTITUTE(A641,"zzz",H641)&amp;""""&amp;","</f>
        <v>"https://www.zeldadungeon.net/maps/totk/tiles/sky/6/15_25.jpg",</v>
      </c>
      <c r="H641" t="str">
        <f t="shared" ref="H641:H704" si="21">QUOTIENT(ROW(A641),48)+2&amp;"_"&amp;MOD(ROW(A641),48)+8</f>
        <v>15_25</v>
      </c>
    </row>
    <row r="642" spans="1:8" x14ac:dyDescent="0.2">
      <c r="A642" s="9" t="s">
        <v>51</v>
      </c>
      <c r="B642" t="s">
        <v>130</v>
      </c>
      <c r="C642" t="str">
        <f t="shared" si="20"/>
        <v>"https://www.zeldadungeon.net/maps/totk/tiles/sky/6/15_26.jpg",</v>
      </c>
      <c r="H642" t="str">
        <f t="shared" si="21"/>
        <v>15_26</v>
      </c>
    </row>
    <row r="643" spans="1:8" x14ac:dyDescent="0.2">
      <c r="A643" s="9" t="s">
        <v>51</v>
      </c>
      <c r="B643" t="s">
        <v>129</v>
      </c>
      <c r="C643" t="str">
        <f t="shared" si="20"/>
        <v>"https://www.zeldadungeon.net/maps/totk/tiles/sky/6/15_27.jpg",</v>
      </c>
      <c r="H643" t="str">
        <f t="shared" si="21"/>
        <v>15_27</v>
      </c>
    </row>
    <row r="644" spans="1:8" x14ac:dyDescent="0.2">
      <c r="A644" s="9" t="s">
        <v>51</v>
      </c>
      <c r="B644" t="s">
        <v>128</v>
      </c>
      <c r="C644" t="str">
        <f t="shared" si="20"/>
        <v>"https://www.zeldadungeon.net/maps/totk/tiles/sky/6/15_28.jpg",</v>
      </c>
      <c r="H644" t="str">
        <f t="shared" si="21"/>
        <v>15_28</v>
      </c>
    </row>
    <row r="645" spans="1:8" x14ac:dyDescent="0.2">
      <c r="A645" s="9" t="s">
        <v>51</v>
      </c>
      <c r="B645" t="s">
        <v>127</v>
      </c>
      <c r="C645" t="str">
        <f t="shared" si="20"/>
        <v>"https://www.zeldadungeon.net/maps/totk/tiles/sky/6/15_29.jpg",</v>
      </c>
      <c r="H645" t="str">
        <f t="shared" si="21"/>
        <v>15_29</v>
      </c>
    </row>
    <row r="646" spans="1:8" x14ac:dyDescent="0.2">
      <c r="A646" s="9" t="s">
        <v>51</v>
      </c>
      <c r="B646" t="s">
        <v>126</v>
      </c>
      <c r="C646" t="str">
        <f t="shared" si="20"/>
        <v>"https://www.zeldadungeon.net/maps/totk/tiles/sky/6/15_30.jpg",</v>
      </c>
      <c r="H646" t="str">
        <f t="shared" si="21"/>
        <v>15_30</v>
      </c>
    </row>
    <row r="647" spans="1:8" x14ac:dyDescent="0.2">
      <c r="A647" s="9" t="s">
        <v>51</v>
      </c>
      <c r="B647" t="s">
        <v>125</v>
      </c>
      <c r="C647" t="str">
        <f t="shared" si="20"/>
        <v>"https://www.zeldadungeon.net/maps/totk/tiles/sky/6/15_31.jpg",</v>
      </c>
      <c r="H647" t="str">
        <f t="shared" si="21"/>
        <v>15_31</v>
      </c>
    </row>
    <row r="648" spans="1:8" x14ac:dyDescent="0.2">
      <c r="A648" s="9" t="s">
        <v>51</v>
      </c>
      <c r="B648" t="s">
        <v>124</v>
      </c>
      <c r="C648" t="str">
        <f t="shared" si="20"/>
        <v>"https://www.zeldadungeon.net/maps/totk/tiles/sky/6/15_32.jpg",</v>
      </c>
      <c r="H648" t="str">
        <f t="shared" si="21"/>
        <v>15_32</v>
      </c>
    </row>
    <row r="649" spans="1:8" x14ac:dyDescent="0.2">
      <c r="A649" s="9" t="s">
        <v>51</v>
      </c>
      <c r="B649" t="s">
        <v>123</v>
      </c>
      <c r="C649" t="str">
        <f t="shared" si="20"/>
        <v>"https://www.zeldadungeon.net/maps/totk/tiles/sky/6/15_33.jpg",</v>
      </c>
      <c r="H649" t="str">
        <f t="shared" si="21"/>
        <v>15_33</v>
      </c>
    </row>
    <row r="650" spans="1:8" x14ac:dyDescent="0.2">
      <c r="A650" s="9" t="s">
        <v>51</v>
      </c>
      <c r="B650" t="s">
        <v>122</v>
      </c>
      <c r="C650" t="str">
        <f t="shared" si="20"/>
        <v>"https://www.zeldadungeon.net/maps/totk/tiles/sky/6/15_34.jpg",</v>
      </c>
      <c r="H650" t="str">
        <f t="shared" si="21"/>
        <v>15_34</v>
      </c>
    </row>
    <row r="651" spans="1:8" x14ac:dyDescent="0.2">
      <c r="A651" s="9" t="s">
        <v>51</v>
      </c>
      <c r="B651" t="s">
        <v>121</v>
      </c>
      <c r="C651" t="str">
        <f t="shared" si="20"/>
        <v>"https://www.zeldadungeon.net/maps/totk/tiles/sky/6/15_35.jpg",</v>
      </c>
      <c r="H651" t="str">
        <f t="shared" si="21"/>
        <v>15_35</v>
      </c>
    </row>
    <row r="652" spans="1:8" x14ac:dyDescent="0.2">
      <c r="A652" s="9" t="s">
        <v>51</v>
      </c>
      <c r="B652" t="s">
        <v>120</v>
      </c>
      <c r="C652" t="str">
        <f t="shared" si="20"/>
        <v>"https://www.zeldadungeon.net/maps/totk/tiles/sky/6/15_36.jpg",</v>
      </c>
      <c r="H652" t="str">
        <f t="shared" si="21"/>
        <v>15_36</v>
      </c>
    </row>
    <row r="653" spans="1:8" x14ac:dyDescent="0.2">
      <c r="A653" s="9" t="s">
        <v>51</v>
      </c>
      <c r="B653" t="s">
        <v>119</v>
      </c>
      <c r="C653" t="str">
        <f t="shared" si="20"/>
        <v>"https://www.zeldadungeon.net/maps/totk/tiles/sky/6/15_37.jpg",</v>
      </c>
      <c r="H653" t="str">
        <f t="shared" si="21"/>
        <v>15_37</v>
      </c>
    </row>
    <row r="654" spans="1:8" x14ac:dyDescent="0.2">
      <c r="A654" s="9" t="s">
        <v>51</v>
      </c>
      <c r="B654" t="s">
        <v>118</v>
      </c>
      <c r="C654" t="str">
        <f t="shared" si="20"/>
        <v>"https://www.zeldadungeon.net/maps/totk/tiles/sky/6/15_38.jpg",</v>
      </c>
      <c r="H654" t="str">
        <f t="shared" si="21"/>
        <v>15_38</v>
      </c>
    </row>
    <row r="655" spans="1:8" x14ac:dyDescent="0.2">
      <c r="A655" s="9" t="s">
        <v>51</v>
      </c>
      <c r="B655" t="s">
        <v>117</v>
      </c>
      <c r="C655" t="str">
        <f t="shared" si="20"/>
        <v>"https://www.zeldadungeon.net/maps/totk/tiles/sky/6/15_39.jpg",</v>
      </c>
      <c r="H655" t="str">
        <f t="shared" si="21"/>
        <v>15_39</v>
      </c>
    </row>
    <row r="656" spans="1:8" x14ac:dyDescent="0.2">
      <c r="A656" s="9" t="s">
        <v>51</v>
      </c>
      <c r="B656" t="s">
        <v>116</v>
      </c>
      <c r="C656" t="str">
        <f t="shared" si="20"/>
        <v>"https://www.zeldadungeon.net/maps/totk/tiles/sky/6/15_40.jpg",</v>
      </c>
      <c r="H656" t="str">
        <f t="shared" si="21"/>
        <v>15_40</v>
      </c>
    </row>
    <row r="657" spans="1:8" x14ac:dyDescent="0.2">
      <c r="A657" s="9" t="s">
        <v>51</v>
      </c>
      <c r="B657" t="s">
        <v>115</v>
      </c>
      <c r="C657" t="str">
        <f t="shared" si="20"/>
        <v>"https://www.zeldadungeon.net/maps/totk/tiles/sky/6/15_41.jpg",</v>
      </c>
      <c r="H657" t="str">
        <f t="shared" si="21"/>
        <v>15_41</v>
      </c>
    </row>
    <row r="658" spans="1:8" x14ac:dyDescent="0.2">
      <c r="A658" s="9" t="s">
        <v>51</v>
      </c>
      <c r="B658" t="s">
        <v>114</v>
      </c>
      <c r="C658" t="str">
        <f t="shared" si="20"/>
        <v>"https://www.zeldadungeon.net/maps/totk/tiles/sky/6/15_42.jpg",</v>
      </c>
      <c r="H658" t="str">
        <f t="shared" si="21"/>
        <v>15_42</v>
      </c>
    </row>
    <row r="659" spans="1:8" x14ac:dyDescent="0.2">
      <c r="A659" s="9" t="s">
        <v>51</v>
      </c>
      <c r="B659" t="s">
        <v>113</v>
      </c>
      <c r="C659" t="str">
        <f t="shared" si="20"/>
        <v>"https://www.zeldadungeon.net/maps/totk/tiles/sky/6/15_43.jpg",</v>
      </c>
      <c r="H659" t="str">
        <f t="shared" si="21"/>
        <v>15_43</v>
      </c>
    </row>
    <row r="660" spans="1:8" x14ac:dyDescent="0.2">
      <c r="A660" s="9" t="s">
        <v>51</v>
      </c>
      <c r="B660" t="s">
        <v>112</v>
      </c>
      <c r="C660" t="str">
        <f t="shared" si="20"/>
        <v>"https://www.zeldadungeon.net/maps/totk/tiles/sky/6/15_44.jpg",</v>
      </c>
      <c r="H660" t="str">
        <f t="shared" si="21"/>
        <v>15_44</v>
      </c>
    </row>
    <row r="661" spans="1:8" x14ac:dyDescent="0.2">
      <c r="A661" s="9" t="s">
        <v>51</v>
      </c>
      <c r="B661" t="s">
        <v>111</v>
      </c>
      <c r="C661" t="str">
        <f t="shared" si="20"/>
        <v>"https://www.zeldadungeon.net/maps/totk/tiles/sky/6/15_45.jpg",</v>
      </c>
      <c r="H661" t="str">
        <f t="shared" si="21"/>
        <v>15_45</v>
      </c>
    </row>
    <row r="662" spans="1:8" x14ac:dyDescent="0.2">
      <c r="A662" s="9" t="s">
        <v>51</v>
      </c>
      <c r="B662" t="s">
        <v>110</v>
      </c>
      <c r="C662" t="str">
        <f t="shared" si="20"/>
        <v>"https://www.zeldadungeon.net/maps/totk/tiles/sky/6/15_46.jpg",</v>
      </c>
      <c r="H662" t="str">
        <f t="shared" si="21"/>
        <v>15_46</v>
      </c>
    </row>
    <row r="663" spans="1:8" x14ac:dyDescent="0.2">
      <c r="A663" s="9" t="s">
        <v>51</v>
      </c>
      <c r="B663" t="s">
        <v>109</v>
      </c>
      <c r="C663" t="str">
        <f t="shared" si="20"/>
        <v>"https://www.zeldadungeon.net/maps/totk/tiles/sky/6/15_47.jpg",</v>
      </c>
      <c r="H663" t="str">
        <f t="shared" si="21"/>
        <v>15_47</v>
      </c>
    </row>
    <row r="664" spans="1:8" x14ac:dyDescent="0.2">
      <c r="A664" s="9" t="s">
        <v>51</v>
      </c>
      <c r="B664" t="s">
        <v>108</v>
      </c>
      <c r="C664" t="str">
        <f t="shared" si="20"/>
        <v>"https://www.zeldadungeon.net/maps/totk/tiles/sky/6/15_48.jpg",</v>
      </c>
      <c r="H664" t="str">
        <f t="shared" si="21"/>
        <v>15_48</v>
      </c>
    </row>
    <row r="665" spans="1:8" x14ac:dyDescent="0.2">
      <c r="A665" s="9" t="s">
        <v>51</v>
      </c>
      <c r="B665" t="s">
        <v>107</v>
      </c>
      <c r="C665" t="str">
        <f t="shared" si="20"/>
        <v>"https://www.zeldadungeon.net/maps/totk/tiles/sky/6/15_49.jpg",</v>
      </c>
      <c r="H665" t="str">
        <f t="shared" si="21"/>
        <v>15_49</v>
      </c>
    </row>
    <row r="666" spans="1:8" x14ac:dyDescent="0.2">
      <c r="A666" s="9" t="s">
        <v>51</v>
      </c>
      <c r="B666" t="s">
        <v>106</v>
      </c>
      <c r="C666" t="str">
        <f t="shared" si="20"/>
        <v>"https://www.zeldadungeon.net/maps/totk/tiles/sky/6/15_50.jpg",</v>
      </c>
      <c r="H666" t="str">
        <f t="shared" si="21"/>
        <v>15_50</v>
      </c>
    </row>
    <row r="667" spans="1:8" x14ac:dyDescent="0.2">
      <c r="A667" s="9" t="s">
        <v>51</v>
      </c>
      <c r="B667" t="s">
        <v>105</v>
      </c>
      <c r="C667" t="str">
        <f t="shared" si="20"/>
        <v>"https://www.zeldadungeon.net/maps/totk/tiles/sky/6/15_51.jpg",</v>
      </c>
      <c r="H667" t="str">
        <f t="shared" si="21"/>
        <v>15_51</v>
      </c>
    </row>
    <row r="668" spans="1:8" x14ac:dyDescent="0.2">
      <c r="A668" s="9" t="s">
        <v>51</v>
      </c>
      <c r="B668" t="s">
        <v>104</v>
      </c>
      <c r="C668" t="str">
        <f t="shared" si="20"/>
        <v>"https://www.zeldadungeon.net/maps/totk/tiles/sky/6/15_52.jpg",</v>
      </c>
      <c r="H668" t="str">
        <f t="shared" si="21"/>
        <v>15_52</v>
      </c>
    </row>
    <row r="669" spans="1:8" x14ac:dyDescent="0.2">
      <c r="A669" s="9" t="s">
        <v>51</v>
      </c>
      <c r="B669" t="s">
        <v>103</v>
      </c>
      <c r="C669" t="str">
        <f t="shared" si="20"/>
        <v>"https://www.zeldadungeon.net/maps/totk/tiles/sky/6/15_53.jpg",</v>
      </c>
      <c r="H669" t="str">
        <f t="shared" si="21"/>
        <v>15_53</v>
      </c>
    </row>
    <row r="670" spans="1:8" x14ac:dyDescent="0.2">
      <c r="A670" s="9" t="s">
        <v>51</v>
      </c>
      <c r="B670" t="s">
        <v>102</v>
      </c>
      <c r="C670" t="str">
        <f t="shared" si="20"/>
        <v>"https://www.zeldadungeon.net/maps/totk/tiles/sky/6/15_54.jpg",</v>
      </c>
      <c r="H670" t="str">
        <f t="shared" si="21"/>
        <v>15_54</v>
      </c>
    </row>
    <row r="671" spans="1:8" x14ac:dyDescent="0.2">
      <c r="A671" s="9" t="s">
        <v>51</v>
      </c>
      <c r="B671" t="s">
        <v>101</v>
      </c>
      <c r="C671" t="str">
        <f t="shared" si="20"/>
        <v>"https://www.zeldadungeon.net/maps/totk/tiles/sky/6/15_55.jpg",</v>
      </c>
      <c r="H671" t="str">
        <f t="shared" si="21"/>
        <v>15_55</v>
      </c>
    </row>
    <row r="672" spans="1:8" x14ac:dyDescent="0.2">
      <c r="A672" s="9" t="s">
        <v>51</v>
      </c>
      <c r="B672" t="s">
        <v>100</v>
      </c>
      <c r="C672" t="str">
        <f t="shared" si="20"/>
        <v>"https://www.zeldadungeon.net/maps/totk/tiles/sky/6/16_8.jpg",</v>
      </c>
      <c r="H672" t="str">
        <f t="shared" si="21"/>
        <v>16_8</v>
      </c>
    </row>
    <row r="673" spans="1:8" x14ac:dyDescent="0.2">
      <c r="A673" s="9" t="s">
        <v>51</v>
      </c>
      <c r="B673" t="s">
        <v>99</v>
      </c>
      <c r="C673" t="str">
        <f t="shared" si="20"/>
        <v>"https://www.zeldadungeon.net/maps/totk/tiles/sky/6/16_9.jpg",</v>
      </c>
      <c r="H673" t="str">
        <f t="shared" si="21"/>
        <v>16_9</v>
      </c>
    </row>
    <row r="674" spans="1:8" x14ac:dyDescent="0.2">
      <c r="A674" s="9" t="s">
        <v>51</v>
      </c>
      <c r="B674" t="s">
        <v>98</v>
      </c>
      <c r="C674" t="str">
        <f t="shared" si="20"/>
        <v>"https://www.zeldadungeon.net/maps/totk/tiles/sky/6/16_10.jpg",</v>
      </c>
      <c r="H674" t="str">
        <f t="shared" si="21"/>
        <v>16_10</v>
      </c>
    </row>
    <row r="675" spans="1:8" x14ac:dyDescent="0.2">
      <c r="A675" s="9" t="s">
        <v>51</v>
      </c>
      <c r="B675" t="s">
        <v>97</v>
      </c>
      <c r="C675" t="str">
        <f t="shared" si="20"/>
        <v>"https://www.zeldadungeon.net/maps/totk/tiles/sky/6/16_11.jpg",</v>
      </c>
      <c r="H675" t="str">
        <f t="shared" si="21"/>
        <v>16_11</v>
      </c>
    </row>
    <row r="676" spans="1:8" x14ac:dyDescent="0.2">
      <c r="A676" s="9" t="s">
        <v>51</v>
      </c>
      <c r="B676" t="s">
        <v>96</v>
      </c>
      <c r="C676" t="str">
        <f t="shared" si="20"/>
        <v>"https://www.zeldadungeon.net/maps/totk/tiles/sky/6/16_12.jpg",</v>
      </c>
      <c r="H676" t="str">
        <f t="shared" si="21"/>
        <v>16_12</v>
      </c>
    </row>
    <row r="677" spans="1:8" x14ac:dyDescent="0.2">
      <c r="A677" s="9" t="s">
        <v>51</v>
      </c>
      <c r="B677" t="s">
        <v>95</v>
      </c>
      <c r="C677" t="str">
        <f t="shared" si="20"/>
        <v>"https://www.zeldadungeon.net/maps/totk/tiles/sky/6/16_13.jpg",</v>
      </c>
      <c r="H677" t="str">
        <f t="shared" si="21"/>
        <v>16_13</v>
      </c>
    </row>
    <row r="678" spans="1:8" x14ac:dyDescent="0.2">
      <c r="A678" s="9" t="s">
        <v>51</v>
      </c>
      <c r="B678" t="s">
        <v>94</v>
      </c>
      <c r="C678" t="str">
        <f t="shared" si="20"/>
        <v>"https://www.zeldadungeon.net/maps/totk/tiles/sky/6/16_14.jpg",</v>
      </c>
      <c r="H678" t="str">
        <f t="shared" si="21"/>
        <v>16_14</v>
      </c>
    </row>
    <row r="679" spans="1:8" x14ac:dyDescent="0.2">
      <c r="A679" s="9" t="s">
        <v>51</v>
      </c>
      <c r="B679" t="s">
        <v>93</v>
      </c>
      <c r="C679" t="str">
        <f t="shared" si="20"/>
        <v>"https://www.zeldadungeon.net/maps/totk/tiles/sky/6/16_15.jpg",</v>
      </c>
      <c r="H679" t="str">
        <f t="shared" si="21"/>
        <v>16_15</v>
      </c>
    </row>
    <row r="680" spans="1:8" x14ac:dyDescent="0.2">
      <c r="A680" s="9" t="s">
        <v>51</v>
      </c>
      <c r="B680" t="s">
        <v>92</v>
      </c>
      <c r="C680" t="str">
        <f t="shared" si="20"/>
        <v>"https://www.zeldadungeon.net/maps/totk/tiles/sky/6/16_16.jpg",</v>
      </c>
      <c r="H680" t="str">
        <f t="shared" si="21"/>
        <v>16_16</v>
      </c>
    </row>
    <row r="681" spans="1:8" x14ac:dyDescent="0.2">
      <c r="A681" s="9" t="s">
        <v>51</v>
      </c>
      <c r="B681" t="s">
        <v>91</v>
      </c>
      <c r="C681" t="str">
        <f t="shared" si="20"/>
        <v>"https://www.zeldadungeon.net/maps/totk/tiles/sky/6/16_17.jpg",</v>
      </c>
      <c r="H681" t="str">
        <f t="shared" si="21"/>
        <v>16_17</v>
      </c>
    </row>
    <row r="682" spans="1:8" x14ac:dyDescent="0.2">
      <c r="A682" s="9" t="s">
        <v>51</v>
      </c>
      <c r="B682" t="s">
        <v>90</v>
      </c>
      <c r="C682" t="str">
        <f t="shared" si="20"/>
        <v>"https://www.zeldadungeon.net/maps/totk/tiles/sky/6/16_18.jpg",</v>
      </c>
      <c r="H682" t="str">
        <f t="shared" si="21"/>
        <v>16_18</v>
      </c>
    </row>
    <row r="683" spans="1:8" x14ac:dyDescent="0.2">
      <c r="A683" s="9" t="s">
        <v>51</v>
      </c>
      <c r="B683" t="s">
        <v>89</v>
      </c>
      <c r="C683" t="str">
        <f t="shared" si="20"/>
        <v>"https://www.zeldadungeon.net/maps/totk/tiles/sky/6/16_19.jpg",</v>
      </c>
      <c r="H683" t="str">
        <f t="shared" si="21"/>
        <v>16_19</v>
      </c>
    </row>
    <row r="684" spans="1:8" x14ac:dyDescent="0.2">
      <c r="A684" s="9" t="s">
        <v>51</v>
      </c>
      <c r="B684" t="s">
        <v>88</v>
      </c>
      <c r="C684" t="str">
        <f t="shared" si="20"/>
        <v>"https://www.zeldadungeon.net/maps/totk/tiles/sky/6/16_20.jpg",</v>
      </c>
      <c r="H684" t="str">
        <f t="shared" si="21"/>
        <v>16_20</v>
      </c>
    </row>
    <row r="685" spans="1:8" x14ac:dyDescent="0.2">
      <c r="A685" s="9" t="s">
        <v>51</v>
      </c>
      <c r="B685" t="s">
        <v>87</v>
      </c>
      <c r="C685" t="str">
        <f t="shared" si="20"/>
        <v>"https://www.zeldadungeon.net/maps/totk/tiles/sky/6/16_21.jpg",</v>
      </c>
      <c r="H685" t="str">
        <f t="shared" si="21"/>
        <v>16_21</v>
      </c>
    </row>
    <row r="686" spans="1:8" x14ac:dyDescent="0.2">
      <c r="A686" s="9" t="s">
        <v>51</v>
      </c>
      <c r="B686" t="s">
        <v>86</v>
      </c>
      <c r="C686" t="str">
        <f t="shared" si="20"/>
        <v>"https://www.zeldadungeon.net/maps/totk/tiles/sky/6/16_22.jpg",</v>
      </c>
      <c r="H686" t="str">
        <f t="shared" si="21"/>
        <v>16_22</v>
      </c>
    </row>
    <row r="687" spans="1:8" x14ac:dyDescent="0.2">
      <c r="A687" s="9" t="s">
        <v>51</v>
      </c>
      <c r="B687" t="s">
        <v>85</v>
      </c>
      <c r="C687" t="str">
        <f t="shared" si="20"/>
        <v>"https://www.zeldadungeon.net/maps/totk/tiles/sky/6/16_23.jpg",</v>
      </c>
      <c r="H687" t="str">
        <f t="shared" si="21"/>
        <v>16_23</v>
      </c>
    </row>
    <row r="688" spans="1:8" x14ac:dyDescent="0.2">
      <c r="A688" s="9" t="s">
        <v>51</v>
      </c>
      <c r="B688" t="s">
        <v>84</v>
      </c>
      <c r="C688" t="str">
        <f t="shared" si="20"/>
        <v>"https://www.zeldadungeon.net/maps/totk/tiles/sky/6/16_24.jpg",</v>
      </c>
      <c r="H688" t="str">
        <f t="shared" si="21"/>
        <v>16_24</v>
      </c>
    </row>
    <row r="689" spans="1:8" x14ac:dyDescent="0.2">
      <c r="A689" s="9" t="s">
        <v>51</v>
      </c>
      <c r="B689" t="s">
        <v>83</v>
      </c>
      <c r="C689" t="str">
        <f t="shared" si="20"/>
        <v>"https://www.zeldadungeon.net/maps/totk/tiles/sky/6/16_25.jpg",</v>
      </c>
      <c r="H689" t="str">
        <f t="shared" si="21"/>
        <v>16_25</v>
      </c>
    </row>
    <row r="690" spans="1:8" x14ac:dyDescent="0.2">
      <c r="A690" s="9" t="s">
        <v>51</v>
      </c>
      <c r="B690" t="s">
        <v>82</v>
      </c>
      <c r="C690" t="str">
        <f t="shared" si="20"/>
        <v>"https://www.zeldadungeon.net/maps/totk/tiles/sky/6/16_26.jpg",</v>
      </c>
      <c r="H690" t="str">
        <f t="shared" si="21"/>
        <v>16_26</v>
      </c>
    </row>
    <row r="691" spans="1:8" x14ac:dyDescent="0.2">
      <c r="A691" s="9" t="s">
        <v>51</v>
      </c>
      <c r="B691" t="s">
        <v>81</v>
      </c>
      <c r="C691" t="str">
        <f t="shared" si="20"/>
        <v>"https://www.zeldadungeon.net/maps/totk/tiles/sky/6/16_27.jpg",</v>
      </c>
      <c r="H691" t="str">
        <f t="shared" si="21"/>
        <v>16_27</v>
      </c>
    </row>
    <row r="692" spans="1:8" x14ac:dyDescent="0.2">
      <c r="A692" s="9" t="s">
        <v>51</v>
      </c>
      <c r="B692" t="s">
        <v>80</v>
      </c>
      <c r="C692" t="str">
        <f t="shared" si="20"/>
        <v>"https://www.zeldadungeon.net/maps/totk/tiles/sky/6/16_28.jpg",</v>
      </c>
      <c r="H692" t="str">
        <f t="shared" si="21"/>
        <v>16_28</v>
      </c>
    </row>
    <row r="693" spans="1:8" x14ac:dyDescent="0.2">
      <c r="A693" s="9" t="s">
        <v>51</v>
      </c>
      <c r="B693" t="s">
        <v>79</v>
      </c>
      <c r="C693" t="str">
        <f t="shared" si="20"/>
        <v>"https://www.zeldadungeon.net/maps/totk/tiles/sky/6/16_29.jpg",</v>
      </c>
      <c r="H693" t="str">
        <f t="shared" si="21"/>
        <v>16_29</v>
      </c>
    </row>
    <row r="694" spans="1:8" x14ac:dyDescent="0.2">
      <c r="A694" s="9" t="s">
        <v>51</v>
      </c>
      <c r="B694" t="s">
        <v>78</v>
      </c>
      <c r="C694" t="str">
        <f t="shared" si="20"/>
        <v>"https://www.zeldadungeon.net/maps/totk/tiles/sky/6/16_30.jpg",</v>
      </c>
      <c r="H694" t="str">
        <f t="shared" si="21"/>
        <v>16_30</v>
      </c>
    </row>
    <row r="695" spans="1:8" x14ac:dyDescent="0.2">
      <c r="A695" s="9" t="s">
        <v>51</v>
      </c>
      <c r="B695" t="s">
        <v>77</v>
      </c>
      <c r="C695" t="str">
        <f t="shared" si="20"/>
        <v>"https://www.zeldadungeon.net/maps/totk/tiles/sky/6/16_31.jpg",</v>
      </c>
      <c r="H695" t="str">
        <f t="shared" si="21"/>
        <v>16_31</v>
      </c>
    </row>
    <row r="696" spans="1:8" x14ac:dyDescent="0.2">
      <c r="A696" s="9" t="s">
        <v>51</v>
      </c>
      <c r="B696" t="s">
        <v>76</v>
      </c>
      <c r="C696" t="str">
        <f t="shared" si="20"/>
        <v>"https://www.zeldadungeon.net/maps/totk/tiles/sky/6/16_32.jpg",</v>
      </c>
      <c r="H696" t="str">
        <f t="shared" si="21"/>
        <v>16_32</v>
      </c>
    </row>
    <row r="697" spans="1:8" x14ac:dyDescent="0.2">
      <c r="A697" s="9" t="s">
        <v>51</v>
      </c>
      <c r="B697" t="s">
        <v>75</v>
      </c>
      <c r="C697" t="str">
        <f t="shared" si="20"/>
        <v>"https://www.zeldadungeon.net/maps/totk/tiles/sky/6/16_33.jpg",</v>
      </c>
      <c r="H697" t="str">
        <f t="shared" si="21"/>
        <v>16_33</v>
      </c>
    </row>
    <row r="698" spans="1:8" x14ac:dyDescent="0.2">
      <c r="A698" s="9" t="s">
        <v>51</v>
      </c>
      <c r="B698" t="s">
        <v>74</v>
      </c>
      <c r="C698" t="str">
        <f t="shared" si="20"/>
        <v>"https://www.zeldadungeon.net/maps/totk/tiles/sky/6/16_34.jpg",</v>
      </c>
      <c r="H698" t="str">
        <f t="shared" si="21"/>
        <v>16_34</v>
      </c>
    </row>
    <row r="699" spans="1:8" x14ac:dyDescent="0.2">
      <c r="A699" s="9" t="s">
        <v>51</v>
      </c>
      <c r="B699" t="s">
        <v>73</v>
      </c>
      <c r="C699" t="str">
        <f t="shared" si="20"/>
        <v>"https://www.zeldadungeon.net/maps/totk/tiles/sky/6/16_35.jpg",</v>
      </c>
      <c r="H699" t="str">
        <f t="shared" si="21"/>
        <v>16_35</v>
      </c>
    </row>
    <row r="700" spans="1:8" x14ac:dyDescent="0.2">
      <c r="A700" s="9" t="s">
        <v>51</v>
      </c>
      <c r="B700" t="s">
        <v>72</v>
      </c>
      <c r="C700" t="str">
        <f t="shared" si="20"/>
        <v>"https://www.zeldadungeon.net/maps/totk/tiles/sky/6/16_36.jpg",</v>
      </c>
      <c r="H700" t="str">
        <f t="shared" si="21"/>
        <v>16_36</v>
      </c>
    </row>
    <row r="701" spans="1:8" x14ac:dyDescent="0.2">
      <c r="A701" s="9" t="s">
        <v>51</v>
      </c>
      <c r="B701" t="s">
        <v>71</v>
      </c>
      <c r="C701" t="str">
        <f t="shared" si="20"/>
        <v>"https://www.zeldadungeon.net/maps/totk/tiles/sky/6/16_37.jpg",</v>
      </c>
      <c r="H701" t="str">
        <f t="shared" si="21"/>
        <v>16_37</v>
      </c>
    </row>
    <row r="702" spans="1:8" x14ac:dyDescent="0.2">
      <c r="A702" s="9" t="s">
        <v>51</v>
      </c>
      <c r="B702" t="s">
        <v>70</v>
      </c>
      <c r="C702" t="str">
        <f t="shared" si="20"/>
        <v>"https://www.zeldadungeon.net/maps/totk/tiles/sky/6/16_38.jpg",</v>
      </c>
      <c r="H702" t="str">
        <f t="shared" si="21"/>
        <v>16_38</v>
      </c>
    </row>
    <row r="703" spans="1:8" x14ac:dyDescent="0.2">
      <c r="A703" s="9" t="s">
        <v>51</v>
      </c>
      <c r="B703" t="s">
        <v>69</v>
      </c>
      <c r="C703" t="str">
        <f t="shared" si="20"/>
        <v>"https://www.zeldadungeon.net/maps/totk/tiles/sky/6/16_39.jpg",</v>
      </c>
      <c r="H703" t="str">
        <f t="shared" si="21"/>
        <v>16_39</v>
      </c>
    </row>
    <row r="704" spans="1:8" x14ac:dyDescent="0.2">
      <c r="A704" s="9" t="s">
        <v>51</v>
      </c>
      <c r="B704" t="s">
        <v>68</v>
      </c>
      <c r="C704" t="str">
        <f t="shared" si="20"/>
        <v>"https://www.zeldadungeon.net/maps/totk/tiles/sky/6/16_40.jpg",</v>
      </c>
      <c r="H704" t="str">
        <f t="shared" si="21"/>
        <v>16_40</v>
      </c>
    </row>
    <row r="705" spans="1:8" x14ac:dyDescent="0.2">
      <c r="A705" s="9" t="s">
        <v>51</v>
      </c>
      <c r="B705" t="s">
        <v>67</v>
      </c>
      <c r="C705" t="str">
        <f t="shared" ref="C705:C768" si="22">""""&amp;SUBSTITUTE(A705,"zzz",H705)&amp;""""&amp;","</f>
        <v>"https://www.zeldadungeon.net/maps/totk/tiles/sky/6/16_41.jpg",</v>
      </c>
      <c r="H705" t="str">
        <f t="shared" ref="H705:H768" si="23">QUOTIENT(ROW(A705),48)+2&amp;"_"&amp;MOD(ROW(A705),48)+8</f>
        <v>16_41</v>
      </c>
    </row>
    <row r="706" spans="1:8" x14ac:dyDescent="0.2">
      <c r="A706" s="9" t="s">
        <v>51</v>
      </c>
      <c r="B706" t="s">
        <v>66</v>
      </c>
      <c r="C706" t="str">
        <f t="shared" si="22"/>
        <v>"https://www.zeldadungeon.net/maps/totk/tiles/sky/6/16_42.jpg",</v>
      </c>
      <c r="H706" t="str">
        <f t="shared" si="23"/>
        <v>16_42</v>
      </c>
    </row>
    <row r="707" spans="1:8" x14ac:dyDescent="0.2">
      <c r="A707" s="9" t="s">
        <v>51</v>
      </c>
      <c r="B707" t="s">
        <v>65</v>
      </c>
      <c r="C707" t="str">
        <f t="shared" si="22"/>
        <v>"https://www.zeldadungeon.net/maps/totk/tiles/sky/6/16_43.jpg",</v>
      </c>
      <c r="H707" t="str">
        <f t="shared" si="23"/>
        <v>16_43</v>
      </c>
    </row>
    <row r="708" spans="1:8" x14ac:dyDescent="0.2">
      <c r="A708" s="9" t="s">
        <v>51</v>
      </c>
      <c r="B708" t="s">
        <v>64</v>
      </c>
      <c r="C708" t="str">
        <f t="shared" si="22"/>
        <v>"https://www.zeldadungeon.net/maps/totk/tiles/sky/6/16_44.jpg",</v>
      </c>
      <c r="H708" t="str">
        <f t="shared" si="23"/>
        <v>16_44</v>
      </c>
    </row>
    <row r="709" spans="1:8" x14ac:dyDescent="0.2">
      <c r="A709" s="9" t="s">
        <v>51</v>
      </c>
      <c r="B709" t="s">
        <v>63</v>
      </c>
      <c r="C709" t="str">
        <f t="shared" si="22"/>
        <v>"https://www.zeldadungeon.net/maps/totk/tiles/sky/6/16_45.jpg",</v>
      </c>
      <c r="H709" t="str">
        <f t="shared" si="23"/>
        <v>16_45</v>
      </c>
    </row>
    <row r="710" spans="1:8" x14ac:dyDescent="0.2">
      <c r="A710" s="9" t="s">
        <v>51</v>
      </c>
      <c r="B710" t="s">
        <v>62</v>
      </c>
      <c r="C710" t="str">
        <f t="shared" si="22"/>
        <v>"https://www.zeldadungeon.net/maps/totk/tiles/sky/6/16_46.jpg",</v>
      </c>
      <c r="H710" t="str">
        <f t="shared" si="23"/>
        <v>16_46</v>
      </c>
    </row>
    <row r="711" spans="1:8" x14ac:dyDescent="0.2">
      <c r="A711" s="9" t="s">
        <v>51</v>
      </c>
      <c r="B711" t="s">
        <v>61</v>
      </c>
      <c r="C711" t="str">
        <f t="shared" si="22"/>
        <v>"https://www.zeldadungeon.net/maps/totk/tiles/sky/6/16_47.jpg",</v>
      </c>
      <c r="H711" t="str">
        <f t="shared" si="23"/>
        <v>16_47</v>
      </c>
    </row>
    <row r="712" spans="1:8" x14ac:dyDescent="0.2">
      <c r="A712" s="9" t="s">
        <v>51</v>
      </c>
      <c r="B712" t="s">
        <v>60</v>
      </c>
      <c r="C712" t="str">
        <f t="shared" si="22"/>
        <v>"https://www.zeldadungeon.net/maps/totk/tiles/sky/6/16_48.jpg",</v>
      </c>
      <c r="H712" t="str">
        <f t="shared" si="23"/>
        <v>16_48</v>
      </c>
    </row>
    <row r="713" spans="1:8" x14ac:dyDescent="0.2">
      <c r="A713" s="9" t="s">
        <v>51</v>
      </c>
      <c r="B713" t="s">
        <v>59</v>
      </c>
      <c r="C713" t="str">
        <f t="shared" si="22"/>
        <v>"https://www.zeldadungeon.net/maps/totk/tiles/sky/6/16_49.jpg",</v>
      </c>
      <c r="H713" t="str">
        <f t="shared" si="23"/>
        <v>16_49</v>
      </c>
    </row>
    <row r="714" spans="1:8" x14ac:dyDescent="0.2">
      <c r="A714" s="9" t="s">
        <v>51</v>
      </c>
      <c r="B714" t="s">
        <v>58</v>
      </c>
      <c r="C714" t="str">
        <f t="shared" si="22"/>
        <v>"https://www.zeldadungeon.net/maps/totk/tiles/sky/6/16_50.jpg",</v>
      </c>
      <c r="H714" t="str">
        <f t="shared" si="23"/>
        <v>16_50</v>
      </c>
    </row>
    <row r="715" spans="1:8" x14ac:dyDescent="0.2">
      <c r="A715" s="9" t="s">
        <v>51</v>
      </c>
      <c r="B715" t="s">
        <v>57</v>
      </c>
      <c r="C715" t="str">
        <f t="shared" si="22"/>
        <v>"https://www.zeldadungeon.net/maps/totk/tiles/sky/6/16_51.jpg",</v>
      </c>
      <c r="H715" t="str">
        <f t="shared" si="23"/>
        <v>16_51</v>
      </c>
    </row>
    <row r="716" spans="1:8" x14ac:dyDescent="0.2">
      <c r="A716" s="9" t="s">
        <v>51</v>
      </c>
      <c r="B716" t="s">
        <v>56</v>
      </c>
      <c r="C716" t="str">
        <f t="shared" si="22"/>
        <v>"https://www.zeldadungeon.net/maps/totk/tiles/sky/6/16_52.jpg",</v>
      </c>
      <c r="H716" t="str">
        <f t="shared" si="23"/>
        <v>16_52</v>
      </c>
    </row>
    <row r="717" spans="1:8" x14ac:dyDescent="0.2">
      <c r="A717" s="9" t="s">
        <v>51</v>
      </c>
      <c r="B717" t="s">
        <v>55</v>
      </c>
      <c r="C717" t="str">
        <f t="shared" si="22"/>
        <v>"https://www.zeldadungeon.net/maps/totk/tiles/sky/6/16_53.jpg",</v>
      </c>
      <c r="H717" t="str">
        <f t="shared" si="23"/>
        <v>16_53</v>
      </c>
    </row>
    <row r="718" spans="1:8" x14ac:dyDescent="0.2">
      <c r="A718" s="9" t="s">
        <v>51</v>
      </c>
      <c r="B718" t="s">
        <v>54</v>
      </c>
      <c r="C718" t="str">
        <f t="shared" si="22"/>
        <v>"https://www.zeldadungeon.net/maps/totk/tiles/sky/6/16_54.jpg",</v>
      </c>
      <c r="H718" t="str">
        <f t="shared" si="23"/>
        <v>16_54</v>
      </c>
    </row>
    <row r="719" spans="1:8" x14ac:dyDescent="0.2">
      <c r="A719" s="9" t="s">
        <v>51</v>
      </c>
      <c r="B719" t="s">
        <v>53</v>
      </c>
      <c r="C719" t="str">
        <f t="shared" si="22"/>
        <v>"https://www.zeldadungeon.net/maps/totk/tiles/sky/6/16_55.jpg",</v>
      </c>
      <c r="H719" t="str">
        <f t="shared" si="23"/>
        <v>16_55</v>
      </c>
    </row>
    <row r="720" spans="1:8" x14ac:dyDescent="0.2">
      <c r="A720" s="9" t="s">
        <v>51</v>
      </c>
      <c r="B720" t="s">
        <v>52</v>
      </c>
      <c r="C720" t="str">
        <f t="shared" si="22"/>
        <v>"https://www.zeldadungeon.net/maps/totk/tiles/sky/6/17_8.jpg",</v>
      </c>
      <c r="H720" t="str">
        <f t="shared" si="23"/>
        <v>17_8</v>
      </c>
    </row>
    <row r="721" spans="1:8" x14ac:dyDescent="0.2">
      <c r="A721" s="9" t="s">
        <v>51</v>
      </c>
      <c r="C721" t="str">
        <f t="shared" si="22"/>
        <v>"https://www.zeldadungeon.net/maps/totk/tiles/sky/6/17_9.jpg",</v>
      </c>
      <c r="H721" t="str">
        <f t="shared" si="23"/>
        <v>17_9</v>
      </c>
    </row>
    <row r="722" spans="1:8" x14ac:dyDescent="0.2">
      <c r="A722" s="9" t="s">
        <v>51</v>
      </c>
      <c r="C722" t="str">
        <f t="shared" si="22"/>
        <v>"https://www.zeldadungeon.net/maps/totk/tiles/sky/6/17_10.jpg",</v>
      </c>
      <c r="H722" t="str">
        <f t="shared" si="23"/>
        <v>17_10</v>
      </c>
    </row>
    <row r="723" spans="1:8" x14ac:dyDescent="0.2">
      <c r="A723" s="9" t="s">
        <v>51</v>
      </c>
      <c r="C723" t="str">
        <f t="shared" si="22"/>
        <v>"https://www.zeldadungeon.net/maps/totk/tiles/sky/6/17_11.jpg",</v>
      </c>
      <c r="H723" t="str">
        <f t="shared" si="23"/>
        <v>17_11</v>
      </c>
    </row>
    <row r="724" spans="1:8" x14ac:dyDescent="0.2">
      <c r="A724" s="9" t="s">
        <v>51</v>
      </c>
      <c r="C724" t="str">
        <f t="shared" si="22"/>
        <v>"https://www.zeldadungeon.net/maps/totk/tiles/sky/6/17_12.jpg",</v>
      </c>
      <c r="H724" t="str">
        <f t="shared" si="23"/>
        <v>17_12</v>
      </c>
    </row>
    <row r="725" spans="1:8" x14ac:dyDescent="0.2">
      <c r="A725" s="9" t="s">
        <v>51</v>
      </c>
      <c r="C725" t="str">
        <f t="shared" si="22"/>
        <v>"https://www.zeldadungeon.net/maps/totk/tiles/sky/6/17_13.jpg",</v>
      </c>
      <c r="H725" t="str">
        <f t="shared" si="23"/>
        <v>17_13</v>
      </c>
    </row>
    <row r="726" spans="1:8" x14ac:dyDescent="0.2">
      <c r="A726" s="9" t="s">
        <v>51</v>
      </c>
      <c r="C726" t="str">
        <f t="shared" si="22"/>
        <v>"https://www.zeldadungeon.net/maps/totk/tiles/sky/6/17_14.jpg",</v>
      </c>
      <c r="H726" t="str">
        <f t="shared" si="23"/>
        <v>17_14</v>
      </c>
    </row>
    <row r="727" spans="1:8" x14ac:dyDescent="0.2">
      <c r="A727" s="9" t="s">
        <v>51</v>
      </c>
      <c r="C727" t="str">
        <f t="shared" si="22"/>
        <v>"https://www.zeldadungeon.net/maps/totk/tiles/sky/6/17_15.jpg",</v>
      </c>
      <c r="H727" t="str">
        <f t="shared" si="23"/>
        <v>17_15</v>
      </c>
    </row>
    <row r="728" spans="1:8" x14ac:dyDescent="0.2">
      <c r="A728" s="9" t="s">
        <v>51</v>
      </c>
      <c r="C728" t="str">
        <f t="shared" si="22"/>
        <v>"https://www.zeldadungeon.net/maps/totk/tiles/sky/6/17_16.jpg",</v>
      </c>
      <c r="H728" t="str">
        <f t="shared" si="23"/>
        <v>17_16</v>
      </c>
    </row>
    <row r="729" spans="1:8" x14ac:dyDescent="0.2">
      <c r="A729" s="9" t="s">
        <v>51</v>
      </c>
      <c r="C729" t="str">
        <f t="shared" si="22"/>
        <v>"https://www.zeldadungeon.net/maps/totk/tiles/sky/6/17_17.jpg",</v>
      </c>
      <c r="H729" t="str">
        <f t="shared" si="23"/>
        <v>17_17</v>
      </c>
    </row>
    <row r="730" spans="1:8" x14ac:dyDescent="0.2">
      <c r="A730" s="9" t="s">
        <v>51</v>
      </c>
      <c r="C730" t="str">
        <f t="shared" si="22"/>
        <v>"https://www.zeldadungeon.net/maps/totk/tiles/sky/6/17_18.jpg",</v>
      </c>
      <c r="H730" t="str">
        <f t="shared" si="23"/>
        <v>17_18</v>
      </c>
    </row>
    <row r="731" spans="1:8" x14ac:dyDescent="0.2">
      <c r="A731" s="9" t="s">
        <v>51</v>
      </c>
      <c r="C731" t="str">
        <f t="shared" si="22"/>
        <v>"https://www.zeldadungeon.net/maps/totk/tiles/sky/6/17_19.jpg",</v>
      </c>
      <c r="H731" t="str">
        <f t="shared" si="23"/>
        <v>17_19</v>
      </c>
    </row>
    <row r="732" spans="1:8" x14ac:dyDescent="0.2">
      <c r="A732" s="9" t="s">
        <v>51</v>
      </c>
      <c r="C732" t="str">
        <f t="shared" si="22"/>
        <v>"https://www.zeldadungeon.net/maps/totk/tiles/sky/6/17_20.jpg",</v>
      </c>
      <c r="H732" t="str">
        <f t="shared" si="23"/>
        <v>17_20</v>
      </c>
    </row>
    <row r="733" spans="1:8" x14ac:dyDescent="0.2">
      <c r="A733" s="9" t="s">
        <v>51</v>
      </c>
      <c r="C733" t="str">
        <f t="shared" si="22"/>
        <v>"https://www.zeldadungeon.net/maps/totk/tiles/sky/6/17_21.jpg",</v>
      </c>
      <c r="H733" t="str">
        <f t="shared" si="23"/>
        <v>17_21</v>
      </c>
    </row>
    <row r="734" spans="1:8" x14ac:dyDescent="0.2">
      <c r="A734" s="9" t="s">
        <v>51</v>
      </c>
      <c r="C734" t="str">
        <f t="shared" si="22"/>
        <v>"https://www.zeldadungeon.net/maps/totk/tiles/sky/6/17_22.jpg",</v>
      </c>
      <c r="H734" t="str">
        <f t="shared" si="23"/>
        <v>17_22</v>
      </c>
    </row>
    <row r="735" spans="1:8" x14ac:dyDescent="0.2">
      <c r="A735" s="9" t="s">
        <v>51</v>
      </c>
      <c r="C735" t="str">
        <f t="shared" si="22"/>
        <v>"https://www.zeldadungeon.net/maps/totk/tiles/sky/6/17_23.jpg",</v>
      </c>
      <c r="H735" t="str">
        <f t="shared" si="23"/>
        <v>17_23</v>
      </c>
    </row>
    <row r="736" spans="1:8" x14ac:dyDescent="0.2">
      <c r="A736" s="9" t="s">
        <v>51</v>
      </c>
      <c r="C736" t="str">
        <f t="shared" si="22"/>
        <v>"https://www.zeldadungeon.net/maps/totk/tiles/sky/6/17_24.jpg",</v>
      </c>
      <c r="H736" t="str">
        <f t="shared" si="23"/>
        <v>17_24</v>
      </c>
    </row>
    <row r="737" spans="1:8" x14ac:dyDescent="0.2">
      <c r="A737" s="9" t="s">
        <v>51</v>
      </c>
      <c r="C737" t="str">
        <f t="shared" si="22"/>
        <v>"https://www.zeldadungeon.net/maps/totk/tiles/sky/6/17_25.jpg",</v>
      </c>
      <c r="H737" t="str">
        <f t="shared" si="23"/>
        <v>17_25</v>
      </c>
    </row>
    <row r="738" spans="1:8" x14ac:dyDescent="0.2">
      <c r="A738" s="9" t="s">
        <v>51</v>
      </c>
      <c r="C738" t="str">
        <f t="shared" si="22"/>
        <v>"https://www.zeldadungeon.net/maps/totk/tiles/sky/6/17_26.jpg",</v>
      </c>
      <c r="H738" t="str">
        <f t="shared" si="23"/>
        <v>17_26</v>
      </c>
    </row>
    <row r="739" spans="1:8" x14ac:dyDescent="0.2">
      <c r="A739" s="9" t="s">
        <v>51</v>
      </c>
      <c r="C739" t="str">
        <f t="shared" si="22"/>
        <v>"https://www.zeldadungeon.net/maps/totk/tiles/sky/6/17_27.jpg",</v>
      </c>
      <c r="H739" t="str">
        <f t="shared" si="23"/>
        <v>17_27</v>
      </c>
    </row>
    <row r="740" spans="1:8" x14ac:dyDescent="0.2">
      <c r="A740" s="9" t="s">
        <v>51</v>
      </c>
      <c r="C740" t="str">
        <f t="shared" si="22"/>
        <v>"https://www.zeldadungeon.net/maps/totk/tiles/sky/6/17_28.jpg",</v>
      </c>
      <c r="H740" t="str">
        <f t="shared" si="23"/>
        <v>17_28</v>
      </c>
    </row>
    <row r="741" spans="1:8" x14ac:dyDescent="0.2">
      <c r="A741" s="9" t="s">
        <v>51</v>
      </c>
      <c r="C741" t="str">
        <f t="shared" si="22"/>
        <v>"https://www.zeldadungeon.net/maps/totk/tiles/sky/6/17_29.jpg",</v>
      </c>
      <c r="H741" t="str">
        <f t="shared" si="23"/>
        <v>17_29</v>
      </c>
    </row>
    <row r="742" spans="1:8" x14ac:dyDescent="0.2">
      <c r="A742" s="9" t="s">
        <v>51</v>
      </c>
      <c r="C742" t="str">
        <f t="shared" si="22"/>
        <v>"https://www.zeldadungeon.net/maps/totk/tiles/sky/6/17_30.jpg",</v>
      </c>
      <c r="H742" t="str">
        <f t="shared" si="23"/>
        <v>17_30</v>
      </c>
    </row>
    <row r="743" spans="1:8" x14ac:dyDescent="0.2">
      <c r="A743" s="9" t="s">
        <v>51</v>
      </c>
      <c r="C743" t="str">
        <f t="shared" si="22"/>
        <v>"https://www.zeldadungeon.net/maps/totk/tiles/sky/6/17_31.jpg",</v>
      </c>
      <c r="H743" t="str">
        <f t="shared" si="23"/>
        <v>17_31</v>
      </c>
    </row>
    <row r="744" spans="1:8" x14ac:dyDescent="0.2">
      <c r="A744" s="9" t="s">
        <v>51</v>
      </c>
      <c r="C744" t="str">
        <f t="shared" si="22"/>
        <v>"https://www.zeldadungeon.net/maps/totk/tiles/sky/6/17_32.jpg",</v>
      </c>
      <c r="H744" t="str">
        <f t="shared" si="23"/>
        <v>17_32</v>
      </c>
    </row>
    <row r="745" spans="1:8" x14ac:dyDescent="0.2">
      <c r="A745" s="9" t="s">
        <v>51</v>
      </c>
      <c r="C745" t="str">
        <f t="shared" si="22"/>
        <v>"https://www.zeldadungeon.net/maps/totk/tiles/sky/6/17_33.jpg",</v>
      </c>
      <c r="H745" t="str">
        <f t="shared" si="23"/>
        <v>17_33</v>
      </c>
    </row>
    <row r="746" spans="1:8" x14ac:dyDescent="0.2">
      <c r="A746" s="9" t="s">
        <v>51</v>
      </c>
      <c r="C746" t="str">
        <f t="shared" si="22"/>
        <v>"https://www.zeldadungeon.net/maps/totk/tiles/sky/6/17_34.jpg",</v>
      </c>
      <c r="H746" t="str">
        <f t="shared" si="23"/>
        <v>17_34</v>
      </c>
    </row>
    <row r="747" spans="1:8" x14ac:dyDescent="0.2">
      <c r="A747" s="9" t="s">
        <v>51</v>
      </c>
      <c r="C747" t="str">
        <f t="shared" si="22"/>
        <v>"https://www.zeldadungeon.net/maps/totk/tiles/sky/6/17_35.jpg",</v>
      </c>
      <c r="H747" t="str">
        <f t="shared" si="23"/>
        <v>17_35</v>
      </c>
    </row>
    <row r="748" spans="1:8" x14ac:dyDescent="0.2">
      <c r="A748" s="9" t="s">
        <v>51</v>
      </c>
      <c r="C748" t="str">
        <f t="shared" si="22"/>
        <v>"https://www.zeldadungeon.net/maps/totk/tiles/sky/6/17_36.jpg",</v>
      </c>
      <c r="H748" t="str">
        <f t="shared" si="23"/>
        <v>17_36</v>
      </c>
    </row>
    <row r="749" spans="1:8" x14ac:dyDescent="0.2">
      <c r="A749" s="9" t="s">
        <v>51</v>
      </c>
      <c r="C749" t="str">
        <f t="shared" si="22"/>
        <v>"https://www.zeldadungeon.net/maps/totk/tiles/sky/6/17_37.jpg",</v>
      </c>
      <c r="H749" t="str">
        <f t="shared" si="23"/>
        <v>17_37</v>
      </c>
    </row>
    <row r="750" spans="1:8" x14ac:dyDescent="0.2">
      <c r="A750" s="9" t="s">
        <v>51</v>
      </c>
      <c r="C750" t="str">
        <f t="shared" si="22"/>
        <v>"https://www.zeldadungeon.net/maps/totk/tiles/sky/6/17_38.jpg",</v>
      </c>
      <c r="H750" t="str">
        <f t="shared" si="23"/>
        <v>17_38</v>
      </c>
    </row>
    <row r="751" spans="1:8" x14ac:dyDescent="0.2">
      <c r="A751" s="9" t="s">
        <v>51</v>
      </c>
      <c r="C751" t="str">
        <f t="shared" si="22"/>
        <v>"https://www.zeldadungeon.net/maps/totk/tiles/sky/6/17_39.jpg",</v>
      </c>
      <c r="H751" t="str">
        <f t="shared" si="23"/>
        <v>17_39</v>
      </c>
    </row>
    <row r="752" spans="1:8" x14ac:dyDescent="0.2">
      <c r="A752" s="9" t="s">
        <v>51</v>
      </c>
      <c r="C752" t="str">
        <f t="shared" si="22"/>
        <v>"https://www.zeldadungeon.net/maps/totk/tiles/sky/6/17_40.jpg",</v>
      </c>
      <c r="H752" t="str">
        <f t="shared" si="23"/>
        <v>17_40</v>
      </c>
    </row>
    <row r="753" spans="1:8" x14ac:dyDescent="0.2">
      <c r="A753" s="9" t="s">
        <v>51</v>
      </c>
      <c r="C753" t="str">
        <f t="shared" si="22"/>
        <v>"https://www.zeldadungeon.net/maps/totk/tiles/sky/6/17_41.jpg",</v>
      </c>
      <c r="H753" t="str">
        <f t="shared" si="23"/>
        <v>17_41</v>
      </c>
    </row>
    <row r="754" spans="1:8" x14ac:dyDescent="0.2">
      <c r="A754" s="9" t="s">
        <v>51</v>
      </c>
      <c r="C754" t="str">
        <f t="shared" si="22"/>
        <v>"https://www.zeldadungeon.net/maps/totk/tiles/sky/6/17_42.jpg",</v>
      </c>
      <c r="H754" t="str">
        <f t="shared" si="23"/>
        <v>17_42</v>
      </c>
    </row>
    <row r="755" spans="1:8" x14ac:dyDescent="0.2">
      <c r="A755" s="9" t="s">
        <v>51</v>
      </c>
      <c r="C755" t="str">
        <f t="shared" si="22"/>
        <v>"https://www.zeldadungeon.net/maps/totk/tiles/sky/6/17_43.jpg",</v>
      </c>
      <c r="H755" t="str">
        <f t="shared" si="23"/>
        <v>17_43</v>
      </c>
    </row>
    <row r="756" spans="1:8" x14ac:dyDescent="0.2">
      <c r="A756" s="9" t="s">
        <v>51</v>
      </c>
      <c r="C756" t="str">
        <f t="shared" si="22"/>
        <v>"https://www.zeldadungeon.net/maps/totk/tiles/sky/6/17_44.jpg",</v>
      </c>
      <c r="H756" t="str">
        <f t="shared" si="23"/>
        <v>17_44</v>
      </c>
    </row>
    <row r="757" spans="1:8" x14ac:dyDescent="0.2">
      <c r="A757" s="9" t="s">
        <v>51</v>
      </c>
      <c r="C757" t="str">
        <f t="shared" si="22"/>
        <v>"https://www.zeldadungeon.net/maps/totk/tiles/sky/6/17_45.jpg",</v>
      </c>
      <c r="H757" t="str">
        <f t="shared" si="23"/>
        <v>17_45</v>
      </c>
    </row>
    <row r="758" spans="1:8" x14ac:dyDescent="0.2">
      <c r="A758" s="9" t="s">
        <v>51</v>
      </c>
      <c r="C758" t="str">
        <f t="shared" si="22"/>
        <v>"https://www.zeldadungeon.net/maps/totk/tiles/sky/6/17_46.jpg",</v>
      </c>
      <c r="H758" t="str">
        <f t="shared" si="23"/>
        <v>17_46</v>
      </c>
    </row>
    <row r="759" spans="1:8" x14ac:dyDescent="0.2">
      <c r="A759" s="9" t="s">
        <v>51</v>
      </c>
      <c r="C759" t="str">
        <f t="shared" si="22"/>
        <v>"https://www.zeldadungeon.net/maps/totk/tiles/sky/6/17_47.jpg",</v>
      </c>
      <c r="H759" t="str">
        <f t="shared" si="23"/>
        <v>17_47</v>
      </c>
    </row>
    <row r="760" spans="1:8" x14ac:dyDescent="0.2">
      <c r="A760" s="9" t="s">
        <v>51</v>
      </c>
      <c r="C760" t="str">
        <f t="shared" si="22"/>
        <v>"https://www.zeldadungeon.net/maps/totk/tiles/sky/6/17_48.jpg",</v>
      </c>
      <c r="H760" t="str">
        <f t="shared" si="23"/>
        <v>17_48</v>
      </c>
    </row>
    <row r="761" spans="1:8" x14ac:dyDescent="0.2">
      <c r="A761" s="9" t="s">
        <v>51</v>
      </c>
      <c r="C761" t="str">
        <f t="shared" si="22"/>
        <v>"https://www.zeldadungeon.net/maps/totk/tiles/sky/6/17_49.jpg",</v>
      </c>
      <c r="H761" t="str">
        <f t="shared" si="23"/>
        <v>17_49</v>
      </c>
    </row>
    <row r="762" spans="1:8" x14ac:dyDescent="0.2">
      <c r="A762" s="9" t="s">
        <v>51</v>
      </c>
      <c r="C762" t="str">
        <f t="shared" si="22"/>
        <v>"https://www.zeldadungeon.net/maps/totk/tiles/sky/6/17_50.jpg",</v>
      </c>
      <c r="H762" t="str">
        <f t="shared" si="23"/>
        <v>17_50</v>
      </c>
    </row>
    <row r="763" spans="1:8" x14ac:dyDescent="0.2">
      <c r="A763" s="9" t="s">
        <v>51</v>
      </c>
      <c r="C763" t="str">
        <f t="shared" si="22"/>
        <v>"https://www.zeldadungeon.net/maps/totk/tiles/sky/6/17_51.jpg",</v>
      </c>
      <c r="H763" t="str">
        <f t="shared" si="23"/>
        <v>17_51</v>
      </c>
    </row>
    <row r="764" spans="1:8" x14ac:dyDescent="0.2">
      <c r="A764" s="9" t="s">
        <v>51</v>
      </c>
      <c r="C764" t="str">
        <f t="shared" si="22"/>
        <v>"https://www.zeldadungeon.net/maps/totk/tiles/sky/6/17_52.jpg",</v>
      </c>
      <c r="H764" t="str">
        <f t="shared" si="23"/>
        <v>17_52</v>
      </c>
    </row>
    <row r="765" spans="1:8" x14ac:dyDescent="0.2">
      <c r="A765" s="9" t="s">
        <v>51</v>
      </c>
      <c r="C765" t="str">
        <f t="shared" si="22"/>
        <v>"https://www.zeldadungeon.net/maps/totk/tiles/sky/6/17_53.jpg",</v>
      </c>
      <c r="H765" t="str">
        <f t="shared" si="23"/>
        <v>17_53</v>
      </c>
    </row>
    <row r="766" spans="1:8" x14ac:dyDescent="0.2">
      <c r="A766" s="9" t="s">
        <v>51</v>
      </c>
      <c r="C766" t="str">
        <f t="shared" si="22"/>
        <v>"https://www.zeldadungeon.net/maps/totk/tiles/sky/6/17_54.jpg",</v>
      </c>
      <c r="H766" t="str">
        <f t="shared" si="23"/>
        <v>17_54</v>
      </c>
    </row>
    <row r="767" spans="1:8" x14ac:dyDescent="0.2">
      <c r="A767" s="9" t="s">
        <v>51</v>
      </c>
      <c r="C767" t="str">
        <f t="shared" si="22"/>
        <v>"https://www.zeldadungeon.net/maps/totk/tiles/sky/6/17_55.jpg",</v>
      </c>
      <c r="H767" t="str">
        <f t="shared" si="23"/>
        <v>17_55</v>
      </c>
    </row>
    <row r="768" spans="1:8" x14ac:dyDescent="0.2">
      <c r="A768" s="9" t="s">
        <v>51</v>
      </c>
      <c r="C768" t="str">
        <f t="shared" si="22"/>
        <v>"https://www.zeldadungeon.net/maps/totk/tiles/sky/6/18_8.jpg",</v>
      </c>
      <c r="H768" t="str">
        <f t="shared" si="23"/>
        <v>18_8</v>
      </c>
    </row>
    <row r="769" spans="1:8" x14ac:dyDescent="0.2">
      <c r="A769" s="9" t="s">
        <v>51</v>
      </c>
      <c r="C769" t="str">
        <f t="shared" ref="C769:C832" si="24">""""&amp;SUBSTITUTE(A769,"zzz",H769)&amp;""""&amp;","</f>
        <v>"https://www.zeldadungeon.net/maps/totk/tiles/sky/6/18_9.jpg",</v>
      </c>
      <c r="H769" t="str">
        <f t="shared" ref="H769:H832" si="25">QUOTIENT(ROW(A769),48)+2&amp;"_"&amp;MOD(ROW(A769),48)+8</f>
        <v>18_9</v>
      </c>
    </row>
    <row r="770" spans="1:8" x14ac:dyDescent="0.2">
      <c r="A770" s="9" t="s">
        <v>51</v>
      </c>
      <c r="C770" t="str">
        <f t="shared" si="24"/>
        <v>"https://www.zeldadungeon.net/maps/totk/tiles/sky/6/18_10.jpg",</v>
      </c>
      <c r="H770" t="str">
        <f t="shared" si="25"/>
        <v>18_10</v>
      </c>
    </row>
    <row r="771" spans="1:8" x14ac:dyDescent="0.2">
      <c r="A771" s="9" t="s">
        <v>51</v>
      </c>
      <c r="C771" t="str">
        <f t="shared" si="24"/>
        <v>"https://www.zeldadungeon.net/maps/totk/tiles/sky/6/18_11.jpg",</v>
      </c>
      <c r="H771" t="str">
        <f t="shared" si="25"/>
        <v>18_11</v>
      </c>
    </row>
    <row r="772" spans="1:8" x14ac:dyDescent="0.2">
      <c r="A772" s="9" t="s">
        <v>51</v>
      </c>
      <c r="C772" t="str">
        <f t="shared" si="24"/>
        <v>"https://www.zeldadungeon.net/maps/totk/tiles/sky/6/18_12.jpg",</v>
      </c>
      <c r="H772" t="str">
        <f t="shared" si="25"/>
        <v>18_12</v>
      </c>
    </row>
    <row r="773" spans="1:8" x14ac:dyDescent="0.2">
      <c r="A773" s="9" t="s">
        <v>51</v>
      </c>
      <c r="C773" t="str">
        <f t="shared" si="24"/>
        <v>"https://www.zeldadungeon.net/maps/totk/tiles/sky/6/18_13.jpg",</v>
      </c>
      <c r="H773" t="str">
        <f t="shared" si="25"/>
        <v>18_13</v>
      </c>
    </row>
    <row r="774" spans="1:8" x14ac:dyDescent="0.2">
      <c r="A774" s="9" t="s">
        <v>51</v>
      </c>
      <c r="C774" t="str">
        <f t="shared" si="24"/>
        <v>"https://www.zeldadungeon.net/maps/totk/tiles/sky/6/18_14.jpg",</v>
      </c>
      <c r="H774" t="str">
        <f t="shared" si="25"/>
        <v>18_14</v>
      </c>
    </row>
    <row r="775" spans="1:8" x14ac:dyDescent="0.2">
      <c r="A775" s="9" t="s">
        <v>51</v>
      </c>
      <c r="C775" t="str">
        <f t="shared" si="24"/>
        <v>"https://www.zeldadungeon.net/maps/totk/tiles/sky/6/18_15.jpg",</v>
      </c>
      <c r="H775" t="str">
        <f t="shared" si="25"/>
        <v>18_15</v>
      </c>
    </row>
    <row r="776" spans="1:8" x14ac:dyDescent="0.2">
      <c r="A776" s="9" t="s">
        <v>51</v>
      </c>
      <c r="C776" t="str">
        <f t="shared" si="24"/>
        <v>"https://www.zeldadungeon.net/maps/totk/tiles/sky/6/18_16.jpg",</v>
      </c>
      <c r="H776" t="str">
        <f t="shared" si="25"/>
        <v>18_16</v>
      </c>
    </row>
    <row r="777" spans="1:8" x14ac:dyDescent="0.2">
      <c r="A777" s="9" t="s">
        <v>51</v>
      </c>
      <c r="C777" t="str">
        <f t="shared" si="24"/>
        <v>"https://www.zeldadungeon.net/maps/totk/tiles/sky/6/18_17.jpg",</v>
      </c>
      <c r="H777" t="str">
        <f t="shared" si="25"/>
        <v>18_17</v>
      </c>
    </row>
    <row r="778" spans="1:8" x14ac:dyDescent="0.2">
      <c r="A778" s="9" t="s">
        <v>51</v>
      </c>
      <c r="C778" t="str">
        <f t="shared" si="24"/>
        <v>"https://www.zeldadungeon.net/maps/totk/tiles/sky/6/18_18.jpg",</v>
      </c>
      <c r="H778" t="str">
        <f t="shared" si="25"/>
        <v>18_18</v>
      </c>
    </row>
    <row r="779" spans="1:8" x14ac:dyDescent="0.2">
      <c r="A779" s="9" t="s">
        <v>51</v>
      </c>
      <c r="C779" t="str">
        <f t="shared" si="24"/>
        <v>"https://www.zeldadungeon.net/maps/totk/tiles/sky/6/18_19.jpg",</v>
      </c>
      <c r="H779" t="str">
        <f t="shared" si="25"/>
        <v>18_19</v>
      </c>
    </row>
    <row r="780" spans="1:8" x14ac:dyDescent="0.2">
      <c r="A780" s="9" t="s">
        <v>51</v>
      </c>
      <c r="C780" t="str">
        <f t="shared" si="24"/>
        <v>"https://www.zeldadungeon.net/maps/totk/tiles/sky/6/18_20.jpg",</v>
      </c>
      <c r="H780" t="str">
        <f t="shared" si="25"/>
        <v>18_20</v>
      </c>
    </row>
    <row r="781" spans="1:8" x14ac:dyDescent="0.2">
      <c r="A781" s="9" t="s">
        <v>51</v>
      </c>
      <c r="C781" t="str">
        <f t="shared" si="24"/>
        <v>"https://www.zeldadungeon.net/maps/totk/tiles/sky/6/18_21.jpg",</v>
      </c>
      <c r="H781" t="str">
        <f t="shared" si="25"/>
        <v>18_21</v>
      </c>
    </row>
    <row r="782" spans="1:8" x14ac:dyDescent="0.2">
      <c r="A782" s="9" t="s">
        <v>51</v>
      </c>
      <c r="C782" t="str">
        <f t="shared" si="24"/>
        <v>"https://www.zeldadungeon.net/maps/totk/tiles/sky/6/18_22.jpg",</v>
      </c>
      <c r="H782" t="str">
        <f t="shared" si="25"/>
        <v>18_22</v>
      </c>
    </row>
    <row r="783" spans="1:8" x14ac:dyDescent="0.2">
      <c r="A783" s="9" t="s">
        <v>51</v>
      </c>
      <c r="C783" t="str">
        <f t="shared" si="24"/>
        <v>"https://www.zeldadungeon.net/maps/totk/tiles/sky/6/18_23.jpg",</v>
      </c>
      <c r="H783" t="str">
        <f t="shared" si="25"/>
        <v>18_23</v>
      </c>
    </row>
    <row r="784" spans="1:8" x14ac:dyDescent="0.2">
      <c r="A784" s="9" t="s">
        <v>51</v>
      </c>
      <c r="C784" t="str">
        <f t="shared" si="24"/>
        <v>"https://www.zeldadungeon.net/maps/totk/tiles/sky/6/18_24.jpg",</v>
      </c>
      <c r="H784" t="str">
        <f t="shared" si="25"/>
        <v>18_24</v>
      </c>
    </row>
    <row r="785" spans="1:8" x14ac:dyDescent="0.2">
      <c r="A785" s="9" t="s">
        <v>51</v>
      </c>
      <c r="C785" t="str">
        <f t="shared" si="24"/>
        <v>"https://www.zeldadungeon.net/maps/totk/tiles/sky/6/18_25.jpg",</v>
      </c>
      <c r="H785" t="str">
        <f t="shared" si="25"/>
        <v>18_25</v>
      </c>
    </row>
    <row r="786" spans="1:8" x14ac:dyDescent="0.2">
      <c r="A786" s="9" t="s">
        <v>51</v>
      </c>
      <c r="C786" t="str">
        <f t="shared" si="24"/>
        <v>"https://www.zeldadungeon.net/maps/totk/tiles/sky/6/18_26.jpg",</v>
      </c>
      <c r="H786" t="str">
        <f t="shared" si="25"/>
        <v>18_26</v>
      </c>
    </row>
    <row r="787" spans="1:8" x14ac:dyDescent="0.2">
      <c r="A787" s="9" t="s">
        <v>51</v>
      </c>
      <c r="C787" t="str">
        <f t="shared" si="24"/>
        <v>"https://www.zeldadungeon.net/maps/totk/tiles/sky/6/18_27.jpg",</v>
      </c>
      <c r="H787" t="str">
        <f t="shared" si="25"/>
        <v>18_27</v>
      </c>
    </row>
    <row r="788" spans="1:8" x14ac:dyDescent="0.2">
      <c r="A788" s="9" t="s">
        <v>51</v>
      </c>
      <c r="C788" t="str">
        <f t="shared" si="24"/>
        <v>"https://www.zeldadungeon.net/maps/totk/tiles/sky/6/18_28.jpg",</v>
      </c>
      <c r="H788" t="str">
        <f t="shared" si="25"/>
        <v>18_28</v>
      </c>
    </row>
    <row r="789" spans="1:8" x14ac:dyDescent="0.2">
      <c r="A789" s="9" t="s">
        <v>51</v>
      </c>
      <c r="C789" t="str">
        <f t="shared" si="24"/>
        <v>"https://www.zeldadungeon.net/maps/totk/tiles/sky/6/18_29.jpg",</v>
      </c>
      <c r="H789" t="str">
        <f t="shared" si="25"/>
        <v>18_29</v>
      </c>
    </row>
    <row r="790" spans="1:8" x14ac:dyDescent="0.2">
      <c r="A790" s="9" t="s">
        <v>51</v>
      </c>
      <c r="C790" t="str">
        <f t="shared" si="24"/>
        <v>"https://www.zeldadungeon.net/maps/totk/tiles/sky/6/18_30.jpg",</v>
      </c>
      <c r="H790" t="str">
        <f t="shared" si="25"/>
        <v>18_30</v>
      </c>
    </row>
    <row r="791" spans="1:8" x14ac:dyDescent="0.2">
      <c r="A791" s="9" t="s">
        <v>51</v>
      </c>
      <c r="C791" t="str">
        <f t="shared" si="24"/>
        <v>"https://www.zeldadungeon.net/maps/totk/tiles/sky/6/18_31.jpg",</v>
      </c>
      <c r="H791" t="str">
        <f t="shared" si="25"/>
        <v>18_31</v>
      </c>
    </row>
    <row r="792" spans="1:8" x14ac:dyDescent="0.2">
      <c r="A792" s="9" t="s">
        <v>51</v>
      </c>
      <c r="C792" t="str">
        <f t="shared" si="24"/>
        <v>"https://www.zeldadungeon.net/maps/totk/tiles/sky/6/18_32.jpg",</v>
      </c>
      <c r="H792" t="str">
        <f t="shared" si="25"/>
        <v>18_32</v>
      </c>
    </row>
    <row r="793" spans="1:8" x14ac:dyDescent="0.2">
      <c r="A793" s="9" t="s">
        <v>51</v>
      </c>
      <c r="C793" t="str">
        <f t="shared" si="24"/>
        <v>"https://www.zeldadungeon.net/maps/totk/tiles/sky/6/18_33.jpg",</v>
      </c>
      <c r="H793" t="str">
        <f t="shared" si="25"/>
        <v>18_33</v>
      </c>
    </row>
    <row r="794" spans="1:8" x14ac:dyDescent="0.2">
      <c r="A794" s="9" t="s">
        <v>51</v>
      </c>
      <c r="C794" t="str">
        <f t="shared" si="24"/>
        <v>"https://www.zeldadungeon.net/maps/totk/tiles/sky/6/18_34.jpg",</v>
      </c>
      <c r="H794" t="str">
        <f t="shared" si="25"/>
        <v>18_34</v>
      </c>
    </row>
    <row r="795" spans="1:8" x14ac:dyDescent="0.2">
      <c r="A795" s="9" t="s">
        <v>51</v>
      </c>
      <c r="C795" t="str">
        <f t="shared" si="24"/>
        <v>"https://www.zeldadungeon.net/maps/totk/tiles/sky/6/18_35.jpg",</v>
      </c>
      <c r="H795" t="str">
        <f t="shared" si="25"/>
        <v>18_35</v>
      </c>
    </row>
    <row r="796" spans="1:8" x14ac:dyDescent="0.2">
      <c r="A796" s="9" t="s">
        <v>51</v>
      </c>
      <c r="C796" t="str">
        <f t="shared" si="24"/>
        <v>"https://www.zeldadungeon.net/maps/totk/tiles/sky/6/18_36.jpg",</v>
      </c>
      <c r="H796" t="str">
        <f t="shared" si="25"/>
        <v>18_36</v>
      </c>
    </row>
    <row r="797" spans="1:8" x14ac:dyDescent="0.2">
      <c r="A797" s="9" t="s">
        <v>51</v>
      </c>
      <c r="C797" t="str">
        <f t="shared" si="24"/>
        <v>"https://www.zeldadungeon.net/maps/totk/tiles/sky/6/18_37.jpg",</v>
      </c>
      <c r="H797" t="str">
        <f t="shared" si="25"/>
        <v>18_37</v>
      </c>
    </row>
    <row r="798" spans="1:8" x14ac:dyDescent="0.2">
      <c r="A798" s="9" t="s">
        <v>51</v>
      </c>
      <c r="C798" t="str">
        <f t="shared" si="24"/>
        <v>"https://www.zeldadungeon.net/maps/totk/tiles/sky/6/18_38.jpg",</v>
      </c>
      <c r="H798" t="str">
        <f t="shared" si="25"/>
        <v>18_38</v>
      </c>
    </row>
    <row r="799" spans="1:8" x14ac:dyDescent="0.2">
      <c r="A799" s="9" t="s">
        <v>51</v>
      </c>
      <c r="C799" t="str">
        <f t="shared" si="24"/>
        <v>"https://www.zeldadungeon.net/maps/totk/tiles/sky/6/18_39.jpg",</v>
      </c>
      <c r="H799" t="str">
        <f t="shared" si="25"/>
        <v>18_39</v>
      </c>
    </row>
    <row r="800" spans="1:8" x14ac:dyDescent="0.2">
      <c r="A800" s="9" t="s">
        <v>51</v>
      </c>
      <c r="C800" t="str">
        <f t="shared" si="24"/>
        <v>"https://www.zeldadungeon.net/maps/totk/tiles/sky/6/18_40.jpg",</v>
      </c>
      <c r="H800" t="str">
        <f t="shared" si="25"/>
        <v>18_40</v>
      </c>
    </row>
    <row r="801" spans="1:8" x14ac:dyDescent="0.2">
      <c r="A801" s="9" t="s">
        <v>51</v>
      </c>
      <c r="C801" t="str">
        <f t="shared" si="24"/>
        <v>"https://www.zeldadungeon.net/maps/totk/tiles/sky/6/18_41.jpg",</v>
      </c>
      <c r="H801" t="str">
        <f t="shared" si="25"/>
        <v>18_41</v>
      </c>
    </row>
    <row r="802" spans="1:8" x14ac:dyDescent="0.2">
      <c r="A802" s="9" t="s">
        <v>51</v>
      </c>
      <c r="C802" t="str">
        <f t="shared" si="24"/>
        <v>"https://www.zeldadungeon.net/maps/totk/tiles/sky/6/18_42.jpg",</v>
      </c>
      <c r="H802" t="str">
        <f t="shared" si="25"/>
        <v>18_42</v>
      </c>
    </row>
    <row r="803" spans="1:8" x14ac:dyDescent="0.2">
      <c r="A803" s="9" t="s">
        <v>51</v>
      </c>
      <c r="C803" t="str">
        <f t="shared" si="24"/>
        <v>"https://www.zeldadungeon.net/maps/totk/tiles/sky/6/18_43.jpg",</v>
      </c>
      <c r="H803" t="str">
        <f t="shared" si="25"/>
        <v>18_43</v>
      </c>
    </row>
    <row r="804" spans="1:8" x14ac:dyDescent="0.2">
      <c r="A804" s="9" t="s">
        <v>51</v>
      </c>
      <c r="C804" t="str">
        <f t="shared" si="24"/>
        <v>"https://www.zeldadungeon.net/maps/totk/tiles/sky/6/18_44.jpg",</v>
      </c>
      <c r="H804" t="str">
        <f t="shared" si="25"/>
        <v>18_44</v>
      </c>
    </row>
    <row r="805" spans="1:8" x14ac:dyDescent="0.2">
      <c r="A805" s="9" t="s">
        <v>51</v>
      </c>
      <c r="C805" t="str">
        <f t="shared" si="24"/>
        <v>"https://www.zeldadungeon.net/maps/totk/tiles/sky/6/18_45.jpg",</v>
      </c>
      <c r="H805" t="str">
        <f t="shared" si="25"/>
        <v>18_45</v>
      </c>
    </row>
    <row r="806" spans="1:8" x14ac:dyDescent="0.2">
      <c r="A806" s="9" t="s">
        <v>51</v>
      </c>
      <c r="C806" t="str">
        <f t="shared" si="24"/>
        <v>"https://www.zeldadungeon.net/maps/totk/tiles/sky/6/18_46.jpg",</v>
      </c>
      <c r="H806" t="str">
        <f t="shared" si="25"/>
        <v>18_46</v>
      </c>
    </row>
    <row r="807" spans="1:8" x14ac:dyDescent="0.2">
      <c r="A807" s="9" t="s">
        <v>51</v>
      </c>
      <c r="C807" t="str">
        <f t="shared" si="24"/>
        <v>"https://www.zeldadungeon.net/maps/totk/tiles/sky/6/18_47.jpg",</v>
      </c>
      <c r="H807" t="str">
        <f t="shared" si="25"/>
        <v>18_47</v>
      </c>
    </row>
    <row r="808" spans="1:8" x14ac:dyDescent="0.2">
      <c r="A808" s="9" t="s">
        <v>51</v>
      </c>
      <c r="C808" t="str">
        <f t="shared" si="24"/>
        <v>"https://www.zeldadungeon.net/maps/totk/tiles/sky/6/18_48.jpg",</v>
      </c>
      <c r="H808" t="str">
        <f t="shared" si="25"/>
        <v>18_48</v>
      </c>
    </row>
    <row r="809" spans="1:8" x14ac:dyDescent="0.2">
      <c r="A809" s="9" t="s">
        <v>51</v>
      </c>
      <c r="C809" t="str">
        <f t="shared" si="24"/>
        <v>"https://www.zeldadungeon.net/maps/totk/tiles/sky/6/18_49.jpg",</v>
      </c>
      <c r="H809" t="str">
        <f t="shared" si="25"/>
        <v>18_49</v>
      </c>
    </row>
    <row r="810" spans="1:8" x14ac:dyDescent="0.2">
      <c r="A810" s="9" t="s">
        <v>51</v>
      </c>
      <c r="C810" t="str">
        <f t="shared" si="24"/>
        <v>"https://www.zeldadungeon.net/maps/totk/tiles/sky/6/18_50.jpg",</v>
      </c>
      <c r="H810" t="str">
        <f t="shared" si="25"/>
        <v>18_50</v>
      </c>
    </row>
    <row r="811" spans="1:8" x14ac:dyDescent="0.2">
      <c r="A811" s="9" t="s">
        <v>51</v>
      </c>
      <c r="C811" t="str">
        <f t="shared" si="24"/>
        <v>"https://www.zeldadungeon.net/maps/totk/tiles/sky/6/18_51.jpg",</v>
      </c>
      <c r="H811" t="str">
        <f t="shared" si="25"/>
        <v>18_51</v>
      </c>
    </row>
    <row r="812" spans="1:8" x14ac:dyDescent="0.2">
      <c r="A812" s="9" t="s">
        <v>51</v>
      </c>
      <c r="C812" t="str">
        <f t="shared" si="24"/>
        <v>"https://www.zeldadungeon.net/maps/totk/tiles/sky/6/18_52.jpg",</v>
      </c>
      <c r="H812" t="str">
        <f t="shared" si="25"/>
        <v>18_52</v>
      </c>
    </row>
    <row r="813" spans="1:8" x14ac:dyDescent="0.2">
      <c r="A813" s="9" t="s">
        <v>51</v>
      </c>
      <c r="C813" t="str">
        <f t="shared" si="24"/>
        <v>"https://www.zeldadungeon.net/maps/totk/tiles/sky/6/18_53.jpg",</v>
      </c>
      <c r="H813" t="str">
        <f t="shared" si="25"/>
        <v>18_53</v>
      </c>
    </row>
    <row r="814" spans="1:8" x14ac:dyDescent="0.2">
      <c r="A814" s="9" t="s">
        <v>51</v>
      </c>
      <c r="C814" t="str">
        <f t="shared" si="24"/>
        <v>"https://www.zeldadungeon.net/maps/totk/tiles/sky/6/18_54.jpg",</v>
      </c>
      <c r="H814" t="str">
        <f t="shared" si="25"/>
        <v>18_54</v>
      </c>
    </row>
    <row r="815" spans="1:8" x14ac:dyDescent="0.2">
      <c r="A815" s="9" t="s">
        <v>51</v>
      </c>
      <c r="C815" t="str">
        <f t="shared" si="24"/>
        <v>"https://www.zeldadungeon.net/maps/totk/tiles/sky/6/18_55.jpg",</v>
      </c>
      <c r="H815" t="str">
        <f t="shared" si="25"/>
        <v>18_55</v>
      </c>
    </row>
    <row r="816" spans="1:8" x14ac:dyDescent="0.2">
      <c r="A816" s="9" t="s">
        <v>51</v>
      </c>
      <c r="C816" t="str">
        <f t="shared" si="24"/>
        <v>"https://www.zeldadungeon.net/maps/totk/tiles/sky/6/19_8.jpg",</v>
      </c>
      <c r="H816" t="str">
        <f t="shared" si="25"/>
        <v>19_8</v>
      </c>
    </row>
    <row r="817" spans="1:8" x14ac:dyDescent="0.2">
      <c r="A817" s="9" t="s">
        <v>51</v>
      </c>
      <c r="C817" t="str">
        <f t="shared" si="24"/>
        <v>"https://www.zeldadungeon.net/maps/totk/tiles/sky/6/19_9.jpg",</v>
      </c>
      <c r="H817" t="str">
        <f t="shared" si="25"/>
        <v>19_9</v>
      </c>
    </row>
    <row r="818" spans="1:8" x14ac:dyDescent="0.2">
      <c r="A818" s="9" t="s">
        <v>51</v>
      </c>
      <c r="C818" t="str">
        <f t="shared" si="24"/>
        <v>"https://www.zeldadungeon.net/maps/totk/tiles/sky/6/19_10.jpg",</v>
      </c>
      <c r="H818" t="str">
        <f t="shared" si="25"/>
        <v>19_10</v>
      </c>
    </row>
    <row r="819" spans="1:8" x14ac:dyDescent="0.2">
      <c r="A819" s="9" t="s">
        <v>51</v>
      </c>
      <c r="C819" t="str">
        <f t="shared" si="24"/>
        <v>"https://www.zeldadungeon.net/maps/totk/tiles/sky/6/19_11.jpg",</v>
      </c>
      <c r="H819" t="str">
        <f t="shared" si="25"/>
        <v>19_11</v>
      </c>
    </row>
    <row r="820" spans="1:8" x14ac:dyDescent="0.2">
      <c r="A820" s="9" t="s">
        <v>51</v>
      </c>
      <c r="C820" t="str">
        <f t="shared" si="24"/>
        <v>"https://www.zeldadungeon.net/maps/totk/tiles/sky/6/19_12.jpg",</v>
      </c>
      <c r="H820" t="str">
        <f t="shared" si="25"/>
        <v>19_12</v>
      </c>
    </row>
    <row r="821" spans="1:8" x14ac:dyDescent="0.2">
      <c r="A821" s="9" t="s">
        <v>51</v>
      </c>
      <c r="C821" t="str">
        <f t="shared" si="24"/>
        <v>"https://www.zeldadungeon.net/maps/totk/tiles/sky/6/19_13.jpg",</v>
      </c>
      <c r="H821" t="str">
        <f t="shared" si="25"/>
        <v>19_13</v>
      </c>
    </row>
    <row r="822" spans="1:8" x14ac:dyDescent="0.2">
      <c r="A822" s="9" t="s">
        <v>51</v>
      </c>
      <c r="C822" t="str">
        <f t="shared" si="24"/>
        <v>"https://www.zeldadungeon.net/maps/totk/tiles/sky/6/19_14.jpg",</v>
      </c>
      <c r="H822" t="str">
        <f t="shared" si="25"/>
        <v>19_14</v>
      </c>
    </row>
    <row r="823" spans="1:8" x14ac:dyDescent="0.2">
      <c r="A823" s="9" t="s">
        <v>51</v>
      </c>
      <c r="C823" t="str">
        <f t="shared" si="24"/>
        <v>"https://www.zeldadungeon.net/maps/totk/tiles/sky/6/19_15.jpg",</v>
      </c>
      <c r="H823" t="str">
        <f t="shared" si="25"/>
        <v>19_15</v>
      </c>
    </row>
    <row r="824" spans="1:8" x14ac:dyDescent="0.2">
      <c r="A824" s="9" t="s">
        <v>51</v>
      </c>
      <c r="C824" t="str">
        <f t="shared" si="24"/>
        <v>"https://www.zeldadungeon.net/maps/totk/tiles/sky/6/19_16.jpg",</v>
      </c>
      <c r="H824" t="str">
        <f t="shared" si="25"/>
        <v>19_16</v>
      </c>
    </row>
    <row r="825" spans="1:8" x14ac:dyDescent="0.2">
      <c r="A825" s="9" t="s">
        <v>51</v>
      </c>
      <c r="C825" t="str">
        <f t="shared" si="24"/>
        <v>"https://www.zeldadungeon.net/maps/totk/tiles/sky/6/19_17.jpg",</v>
      </c>
      <c r="H825" t="str">
        <f t="shared" si="25"/>
        <v>19_17</v>
      </c>
    </row>
    <row r="826" spans="1:8" x14ac:dyDescent="0.2">
      <c r="A826" s="9" t="s">
        <v>51</v>
      </c>
      <c r="C826" t="str">
        <f t="shared" si="24"/>
        <v>"https://www.zeldadungeon.net/maps/totk/tiles/sky/6/19_18.jpg",</v>
      </c>
      <c r="H826" t="str">
        <f t="shared" si="25"/>
        <v>19_18</v>
      </c>
    </row>
    <row r="827" spans="1:8" x14ac:dyDescent="0.2">
      <c r="A827" s="9" t="s">
        <v>51</v>
      </c>
      <c r="C827" t="str">
        <f t="shared" si="24"/>
        <v>"https://www.zeldadungeon.net/maps/totk/tiles/sky/6/19_19.jpg",</v>
      </c>
      <c r="H827" t="str">
        <f t="shared" si="25"/>
        <v>19_19</v>
      </c>
    </row>
    <row r="828" spans="1:8" x14ac:dyDescent="0.2">
      <c r="A828" s="9" t="s">
        <v>51</v>
      </c>
      <c r="C828" t="str">
        <f t="shared" si="24"/>
        <v>"https://www.zeldadungeon.net/maps/totk/tiles/sky/6/19_20.jpg",</v>
      </c>
      <c r="H828" t="str">
        <f t="shared" si="25"/>
        <v>19_20</v>
      </c>
    </row>
    <row r="829" spans="1:8" x14ac:dyDescent="0.2">
      <c r="A829" s="9" t="s">
        <v>51</v>
      </c>
      <c r="C829" t="str">
        <f t="shared" si="24"/>
        <v>"https://www.zeldadungeon.net/maps/totk/tiles/sky/6/19_21.jpg",</v>
      </c>
      <c r="H829" t="str">
        <f t="shared" si="25"/>
        <v>19_21</v>
      </c>
    </row>
    <row r="830" spans="1:8" x14ac:dyDescent="0.2">
      <c r="A830" s="9" t="s">
        <v>51</v>
      </c>
      <c r="C830" t="str">
        <f t="shared" si="24"/>
        <v>"https://www.zeldadungeon.net/maps/totk/tiles/sky/6/19_22.jpg",</v>
      </c>
      <c r="H830" t="str">
        <f t="shared" si="25"/>
        <v>19_22</v>
      </c>
    </row>
    <row r="831" spans="1:8" x14ac:dyDescent="0.2">
      <c r="A831" s="9" t="s">
        <v>51</v>
      </c>
      <c r="C831" t="str">
        <f t="shared" si="24"/>
        <v>"https://www.zeldadungeon.net/maps/totk/tiles/sky/6/19_23.jpg",</v>
      </c>
      <c r="H831" t="str">
        <f t="shared" si="25"/>
        <v>19_23</v>
      </c>
    </row>
    <row r="832" spans="1:8" x14ac:dyDescent="0.2">
      <c r="A832" s="9" t="s">
        <v>51</v>
      </c>
      <c r="C832" t="str">
        <f t="shared" si="24"/>
        <v>"https://www.zeldadungeon.net/maps/totk/tiles/sky/6/19_24.jpg",</v>
      </c>
      <c r="H832" t="str">
        <f t="shared" si="25"/>
        <v>19_24</v>
      </c>
    </row>
    <row r="833" spans="1:8" x14ac:dyDescent="0.2">
      <c r="A833" s="9" t="s">
        <v>51</v>
      </c>
      <c r="C833" t="str">
        <f t="shared" ref="C833:C896" si="26">""""&amp;SUBSTITUTE(A833,"zzz",H833)&amp;""""&amp;","</f>
        <v>"https://www.zeldadungeon.net/maps/totk/tiles/sky/6/19_25.jpg",</v>
      </c>
      <c r="H833" t="str">
        <f t="shared" ref="H833:H896" si="27">QUOTIENT(ROW(A833),48)+2&amp;"_"&amp;MOD(ROW(A833),48)+8</f>
        <v>19_25</v>
      </c>
    </row>
    <row r="834" spans="1:8" x14ac:dyDescent="0.2">
      <c r="A834" s="9" t="s">
        <v>51</v>
      </c>
      <c r="C834" t="str">
        <f t="shared" si="26"/>
        <v>"https://www.zeldadungeon.net/maps/totk/tiles/sky/6/19_26.jpg",</v>
      </c>
      <c r="H834" t="str">
        <f t="shared" si="27"/>
        <v>19_26</v>
      </c>
    </row>
    <row r="835" spans="1:8" x14ac:dyDescent="0.2">
      <c r="A835" s="9" t="s">
        <v>51</v>
      </c>
      <c r="C835" t="str">
        <f t="shared" si="26"/>
        <v>"https://www.zeldadungeon.net/maps/totk/tiles/sky/6/19_27.jpg",</v>
      </c>
      <c r="H835" t="str">
        <f t="shared" si="27"/>
        <v>19_27</v>
      </c>
    </row>
    <row r="836" spans="1:8" x14ac:dyDescent="0.2">
      <c r="A836" s="9" t="s">
        <v>51</v>
      </c>
      <c r="C836" t="str">
        <f t="shared" si="26"/>
        <v>"https://www.zeldadungeon.net/maps/totk/tiles/sky/6/19_28.jpg",</v>
      </c>
      <c r="H836" t="str">
        <f t="shared" si="27"/>
        <v>19_28</v>
      </c>
    </row>
    <row r="837" spans="1:8" x14ac:dyDescent="0.2">
      <c r="A837" s="9" t="s">
        <v>51</v>
      </c>
      <c r="C837" t="str">
        <f t="shared" si="26"/>
        <v>"https://www.zeldadungeon.net/maps/totk/tiles/sky/6/19_29.jpg",</v>
      </c>
      <c r="H837" t="str">
        <f t="shared" si="27"/>
        <v>19_29</v>
      </c>
    </row>
    <row r="838" spans="1:8" x14ac:dyDescent="0.2">
      <c r="A838" s="9" t="s">
        <v>51</v>
      </c>
      <c r="C838" t="str">
        <f t="shared" si="26"/>
        <v>"https://www.zeldadungeon.net/maps/totk/tiles/sky/6/19_30.jpg",</v>
      </c>
      <c r="H838" t="str">
        <f t="shared" si="27"/>
        <v>19_30</v>
      </c>
    </row>
    <row r="839" spans="1:8" x14ac:dyDescent="0.2">
      <c r="A839" s="9" t="s">
        <v>51</v>
      </c>
      <c r="C839" t="str">
        <f t="shared" si="26"/>
        <v>"https://www.zeldadungeon.net/maps/totk/tiles/sky/6/19_31.jpg",</v>
      </c>
      <c r="H839" t="str">
        <f t="shared" si="27"/>
        <v>19_31</v>
      </c>
    </row>
    <row r="840" spans="1:8" x14ac:dyDescent="0.2">
      <c r="A840" s="9" t="s">
        <v>51</v>
      </c>
      <c r="C840" t="str">
        <f t="shared" si="26"/>
        <v>"https://www.zeldadungeon.net/maps/totk/tiles/sky/6/19_32.jpg",</v>
      </c>
      <c r="H840" t="str">
        <f t="shared" si="27"/>
        <v>19_32</v>
      </c>
    </row>
    <row r="841" spans="1:8" x14ac:dyDescent="0.2">
      <c r="A841" s="9" t="s">
        <v>51</v>
      </c>
      <c r="C841" t="str">
        <f t="shared" si="26"/>
        <v>"https://www.zeldadungeon.net/maps/totk/tiles/sky/6/19_33.jpg",</v>
      </c>
      <c r="H841" t="str">
        <f t="shared" si="27"/>
        <v>19_33</v>
      </c>
    </row>
    <row r="842" spans="1:8" x14ac:dyDescent="0.2">
      <c r="A842" s="9" t="s">
        <v>51</v>
      </c>
      <c r="C842" t="str">
        <f t="shared" si="26"/>
        <v>"https://www.zeldadungeon.net/maps/totk/tiles/sky/6/19_34.jpg",</v>
      </c>
      <c r="H842" t="str">
        <f t="shared" si="27"/>
        <v>19_34</v>
      </c>
    </row>
    <row r="843" spans="1:8" x14ac:dyDescent="0.2">
      <c r="A843" s="9" t="s">
        <v>51</v>
      </c>
      <c r="C843" t="str">
        <f t="shared" si="26"/>
        <v>"https://www.zeldadungeon.net/maps/totk/tiles/sky/6/19_35.jpg",</v>
      </c>
      <c r="H843" t="str">
        <f t="shared" si="27"/>
        <v>19_35</v>
      </c>
    </row>
    <row r="844" spans="1:8" x14ac:dyDescent="0.2">
      <c r="A844" s="9" t="s">
        <v>51</v>
      </c>
      <c r="C844" t="str">
        <f t="shared" si="26"/>
        <v>"https://www.zeldadungeon.net/maps/totk/tiles/sky/6/19_36.jpg",</v>
      </c>
      <c r="H844" t="str">
        <f t="shared" si="27"/>
        <v>19_36</v>
      </c>
    </row>
    <row r="845" spans="1:8" x14ac:dyDescent="0.2">
      <c r="A845" s="9" t="s">
        <v>51</v>
      </c>
      <c r="C845" t="str">
        <f t="shared" si="26"/>
        <v>"https://www.zeldadungeon.net/maps/totk/tiles/sky/6/19_37.jpg",</v>
      </c>
      <c r="H845" t="str">
        <f t="shared" si="27"/>
        <v>19_37</v>
      </c>
    </row>
    <row r="846" spans="1:8" x14ac:dyDescent="0.2">
      <c r="A846" s="9" t="s">
        <v>51</v>
      </c>
      <c r="C846" t="str">
        <f t="shared" si="26"/>
        <v>"https://www.zeldadungeon.net/maps/totk/tiles/sky/6/19_38.jpg",</v>
      </c>
      <c r="H846" t="str">
        <f t="shared" si="27"/>
        <v>19_38</v>
      </c>
    </row>
    <row r="847" spans="1:8" x14ac:dyDescent="0.2">
      <c r="A847" s="9" t="s">
        <v>51</v>
      </c>
      <c r="C847" t="str">
        <f t="shared" si="26"/>
        <v>"https://www.zeldadungeon.net/maps/totk/tiles/sky/6/19_39.jpg",</v>
      </c>
      <c r="H847" t="str">
        <f t="shared" si="27"/>
        <v>19_39</v>
      </c>
    </row>
    <row r="848" spans="1:8" x14ac:dyDescent="0.2">
      <c r="A848" s="9" t="s">
        <v>51</v>
      </c>
      <c r="C848" t="str">
        <f t="shared" si="26"/>
        <v>"https://www.zeldadungeon.net/maps/totk/tiles/sky/6/19_40.jpg",</v>
      </c>
      <c r="H848" t="str">
        <f t="shared" si="27"/>
        <v>19_40</v>
      </c>
    </row>
    <row r="849" spans="1:8" x14ac:dyDescent="0.2">
      <c r="A849" s="9" t="s">
        <v>51</v>
      </c>
      <c r="C849" t="str">
        <f t="shared" si="26"/>
        <v>"https://www.zeldadungeon.net/maps/totk/tiles/sky/6/19_41.jpg",</v>
      </c>
      <c r="H849" t="str">
        <f t="shared" si="27"/>
        <v>19_41</v>
      </c>
    </row>
    <row r="850" spans="1:8" x14ac:dyDescent="0.2">
      <c r="A850" s="9" t="s">
        <v>51</v>
      </c>
      <c r="C850" t="str">
        <f t="shared" si="26"/>
        <v>"https://www.zeldadungeon.net/maps/totk/tiles/sky/6/19_42.jpg",</v>
      </c>
      <c r="H850" t="str">
        <f t="shared" si="27"/>
        <v>19_42</v>
      </c>
    </row>
    <row r="851" spans="1:8" x14ac:dyDescent="0.2">
      <c r="A851" s="9" t="s">
        <v>51</v>
      </c>
      <c r="C851" t="str">
        <f t="shared" si="26"/>
        <v>"https://www.zeldadungeon.net/maps/totk/tiles/sky/6/19_43.jpg",</v>
      </c>
      <c r="H851" t="str">
        <f t="shared" si="27"/>
        <v>19_43</v>
      </c>
    </row>
    <row r="852" spans="1:8" x14ac:dyDescent="0.2">
      <c r="A852" s="9" t="s">
        <v>51</v>
      </c>
      <c r="C852" t="str">
        <f t="shared" si="26"/>
        <v>"https://www.zeldadungeon.net/maps/totk/tiles/sky/6/19_44.jpg",</v>
      </c>
      <c r="H852" t="str">
        <f t="shared" si="27"/>
        <v>19_44</v>
      </c>
    </row>
    <row r="853" spans="1:8" x14ac:dyDescent="0.2">
      <c r="A853" s="9" t="s">
        <v>51</v>
      </c>
      <c r="C853" t="str">
        <f t="shared" si="26"/>
        <v>"https://www.zeldadungeon.net/maps/totk/tiles/sky/6/19_45.jpg",</v>
      </c>
      <c r="H853" t="str">
        <f t="shared" si="27"/>
        <v>19_45</v>
      </c>
    </row>
    <row r="854" spans="1:8" x14ac:dyDescent="0.2">
      <c r="A854" s="9" t="s">
        <v>51</v>
      </c>
      <c r="C854" t="str">
        <f t="shared" si="26"/>
        <v>"https://www.zeldadungeon.net/maps/totk/tiles/sky/6/19_46.jpg",</v>
      </c>
      <c r="H854" t="str">
        <f t="shared" si="27"/>
        <v>19_46</v>
      </c>
    </row>
    <row r="855" spans="1:8" x14ac:dyDescent="0.2">
      <c r="A855" s="9" t="s">
        <v>51</v>
      </c>
      <c r="C855" t="str">
        <f t="shared" si="26"/>
        <v>"https://www.zeldadungeon.net/maps/totk/tiles/sky/6/19_47.jpg",</v>
      </c>
      <c r="H855" t="str">
        <f t="shared" si="27"/>
        <v>19_47</v>
      </c>
    </row>
    <row r="856" spans="1:8" x14ac:dyDescent="0.2">
      <c r="A856" s="9" t="s">
        <v>51</v>
      </c>
      <c r="C856" t="str">
        <f t="shared" si="26"/>
        <v>"https://www.zeldadungeon.net/maps/totk/tiles/sky/6/19_48.jpg",</v>
      </c>
      <c r="H856" t="str">
        <f t="shared" si="27"/>
        <v>19_48</v>
      </c>
    </row>
    <row r="857" spans="1:8" x14ac:dyDescent="0.2">
      <c r="A857" s="9" t="s">
        <v>51</v>
      </c>
      <c r="C857" t="str">
        <f t="shared" si="26"/>
        <v>"https://www.zeldadungeon.net/maps/totk/tiles/sky/6/19_49.jpg",</v>
      </c>
      <c r="H857" t="str">
        <f t="shared" si="27"/>
        <v>19_49</v>
      </c>
    </row>
    <row r="858" spans="1:8" x14ac:dyDescent="0.2">
      <c r="A858" s="9" t="s">
        <v>51</v>
      </c>
      <c r="C858" t="str">
        <f t="shared" si="26"/>
        <v>"https://www.zeldadungeon.net/maps/totk/tiles/sky/6/19_50.jpg",</v>
      </c>
      <c r="H858" t="str">
        <f t="shared" si="27"/>
        <v>19_50</v>
      </c>
    </row>
    <row r="859" spans="1:8" x14ac:dyDescent="0.2">
      <c r="A859" s="9" t="s">
        <v>51</v>
      </c>
      <c r="C859" t="str">
        <f t="shared" si="26"/>
        <v>"https://www.zeldadungeon.net/maps/totk/tiles/sky/6/19_51.jpg",</v>
      </c>
      <c r="H859" t="str">
        <f t="shared" si="27"/>
        <v>19_51</v>
      </c>
    </row>
    <row r="860" spans="1:8" x14ac:dyDescent="0.2">
      <c r="A860" s="9" t="s">
        <v>51</v>
      </c>
      <c r="C860" t="str">
        <f t="shared" si="26"/>
        <v>"https://www.zeldadungeon.net/maps/totk/tiles/sky/6/19_52.jpg",</v>
      </c>
      <c r="H860" t="str">
        <f t="shared" si="27"/>
        <v>19_52</v>
      </c>
    </row>
    <row r="861" spans="1:8" x14ac:dyDescent="0.2">
      <c r="A861" s="9" t="s">
        <v>51</v>
      </c>
      <c r="C861" t="str">
        <f t="shared" si="26"/>
        <v>"https://www.zeldadungeon.net/maps/totk/tiles/sky/6/19_53.jpg",</v>
      </c>
      <c r="H861" t="str">
        <f t="shared" si="27"/>
        <v>19_53</v>
      </c>
    </row>
    <row r="862" spans="1:8" x14ac:dyDescent="0.2">
      <c r="A862" s="9" t="s">
        <v>51</v>
      </c>
      <c r="C862" t="str">
        <f t="shared" si="26"/>
        <v>"https://www.zeldadungeon.net/maps/totk/tiles/sky/6/19_54.jpg",</v>
      </c>
      <c r="H862" t="str">
        <f t="shared" si="27"/>
        <v>19_54</v>
      </c>
    </row>
    <row r="863" spans="1:8" x14ac:dyDescent="0.2">
      <c r="A863" s="9" t="s">
        <v>51</v>
      </c>
      <c r="C863" t="str">
        <f t="shared" si="26"/>
        <v>"https://www.zeldadungeon.net/maps/totk/tiles/sky/6/19_55.jpg",</v>
      </c>
      <c r="H863" t="str">
        <f t="shared" si="27"/>
        <v>19_55</v>
      </c>
    </row>
    <row r="864" spans="1:8" x14ac:dyDescent="0.2">
      <c r="A864" s="9" t="s">
        <v>51</v>
      </c>
      <c r="C864" t="str">
        <f t="shared" si="26"/>
        <v>"https://www.zeldadungeon.net/maps/totk/tiles/sky/6/20_8.jpg",</v>
      </c>
      <c r="H864" t="str">
        <f t="shared" si="27"/>
        <v>20_8</v>
      </c>
    </row>
    <row r="865" spans="1:8" x14ac:dyDescent="0.2">
      <c r="A865" s="9" t="s">
        <v>51</v>
      </c>
      <c r="C865" t="str">
        <f t="shared" si="26"/>
        <v>"https://www.zeldadungeon.net/maps/totk/tiles/sky/6/20_9.jpg",</v>
      </c>
      <c r="H865" t="str">
        <f t="shared" si="27"/>
        <v>20_9</v>
      </c>
    </row>
    <row r="866" spans="1:8" x14ac:dyDescent="0.2">
      <c r="A866" s="9" t="s">
        <v>51</v>
      </c>
      <c r="C866" t="str">
        <f t="shared" si="26"/>
        <v>"https://www.zeldadungeon.net/maps/totk/tiles/sky/6/20_10.jpg",</v>
      </c>
      <c r="H866" t="str">
        <f t="shared" si="27"/>
        <v>20_10</v>
      </c>
    </row>
    <row r="867" spans="1:8" x14ac:dyDescent="0.2">
      <c r="A867" s="9" t="s">
        <v>51</v>
      </c>
      <c r="C867" t="str">
        <f t="shared" si="26"/>
        <v>"https://www.zeldadungeon.net/maps/totk/tiles/sky/6/20_11.jpg",</v>
      </c>
      <c r="H867" t="str">
        <f t="shared" si="27"/>
        <v>20_11</v>
      </c>
    </row>
    <row r="868" spans="1:8" x14ac:dyDescent="0.2">
      <c r="A868" s="9" t="s">
        <v>51</v>
      </c>
      <c r="C868" t="str">
        <f t="shared" si="26"/>
        <v>"https://www.zeldadungeon.net/maps/totk/tiles/sky/6/20_12.jpg",</v>
      </c>
      <c r="H868" t="str">
        <f t="shared" si="27"/>
        <v>20_12</v>
      </c>
    </row>
    <row r="869" spans="1:8" x14ac:dyDescent="0.2">
      <c r="A869" s="9" t="s">
        <v>51</v>
      </c>
      <c r="C869" t="str">
        <f t="shared" si="26"/>
        <v>"https://www.zeldadungeon.net/maps/totk/tiles/sky/6/20_13.jpg",</v>
      </c>
      <c r="H869" t="str">
        <f t="shared" si="27"/>
        <v>20_13</v>
      </c>
    </row>
    <row r="870" spans="1:8" x14ac:dyDescent="0.2">
      <c r="A870" s="9" t="s">
        <v>51</v>
      </c>
      <c r="C870" t="str">
        <f t="shared" si="26"/>
        <v>"https://www.zeldadungeon.net/maps/totk/tiles/sky/6/20_14.jpg",</v>
      </c>
      <c r="H870" t="str">
        <f t="shared" si="27"/>
        <v>20_14</v>
      </c>
    </row>
    <row r="871" spans="1:8" x14ac:dyDescent="0.2">
      <c r="A871" s="9" t="s">
        <v>51</v>
      </c>
      <c r="C871" t="str">
        <f t="shared" si="26"/>
        <v>"https://www.zeldadungeon.net/maps/totk/tiles/sky/6/20_15.jpg",</v>
      </c>
      <c r="H871" t="str">
        <f t="shared" si="27"/>
        <v>20_15</v>
      </c>
    </row>
    <row r="872" spans="1:8" x14ac:dyDescent="0.2">
      <c r="A872" s="9" t="s">
        <v>51</v>
      </c>
      <c r="C872" t="str">
        <f t="shared" si="26"/>
        <v>"https://www.zeldadungeon.net/maps/totk/tiles/sky/6/20_16.jpg",</v>
      </c>
      <c r="H872" t="str">
        <f t="shared" si="27"/>
        <v>20_16</v>
      </c>
    </row>
    <row r="873" spans="1:8" x14ac:dyDescent="0.2">
      <c r="A873" s="9" t="s">
        <v>51</v>
      </c>
      <c r="C873" t="str">
        <f t="shared" si="26"/>
        <v>"https://www.zeldadungeon.net/maps/totk/tiles/sky/6/20_17.jpg",</v>
      </c>
      <c r="H873" t="str">
        <f t="shared" si="27"/>
        <v>20_17</v>
      </c>
    </row>
    <row r="874" spans="1:8" x14ac:dyDescent="0.2">
      <c r="A874" s="9" t="s">
        <v>51</v>
      </c>
      <c r="C874" t="str">
        <f t="shared" si="26"/>
        <v>"https://www.zeldadungeon.net/maps/totk/tiles/sky/6/20_18.jpg",</v>
      </c>
      <c r="H874" t="str">
        <f t="shared" si="27"/>
        <v>20_18</v>
      </c>
    </row>
    <row r="875" spans="1:8" x14ac:dyDescent="0.2">
      <c r="A875" s="9" t="s">
        <v>51</v>
      </c>
      <c r="C875" t="str">
        <f t="shared" si="26"/>
        <v>"https://www.zeldadungeon.net/maps/totk/tiles/sky/6/20_19.jpg",</v>
      </c>
      <c r="H875" t="str">
        <f t="shared" si="27"/>
        <v>20_19</v>
      </c>
    </row>
    <row r="876" spans="1:8" x14ac:dyDescent="0.2">
      <c r="A876" s="9" t="s">
        <v>51</v>
      </c>
      <c r="C876" t="str">
        <f t="shared" si="26"/>
        <v>"https://www.zeldadungeon.net/maps/totk/tiles/sky/6/20_20.jpg",</v>
      </c>
      <c r="H876" t="str">
        <f t="shared" si="27"/>
        <v>20_20</v>
      </c>
    </row>
    <row r="877" spans="1:8" x14ac:dyDescent="0.2">
      <c r="A877" s="9" t="s">
        <v>51</v>
      </c>
      <c r="C877" t="str">
        <f t="shared" si="26"/>
        <v>"https://www.zeldadungeon.net/maps/totk/tiles/sky/6/20_21.jpg",</v>
      </c>
      <c r="H877" t="str">
        <f t="shared" si="27"/>
        <v>20_21</v>
      </c>
    </row>
    <row r="878" spans="1:8" x14ac:dyDescent="0.2">
      <c r="A878" s="9" t="s">
        <v>51</v>
      </c>
      <c r="C878" t="str">
        <f t="shared" si="26"/>
        <v>"https://www.zeldadungeon.net/maps/totk/tiles/sky/6/20_22.jpg",</v>
      </c>
      <c r="H878" t="str">
        <f t="shared" si="27"/>
        <v>20_22</v>
      </c>
    </row>
    <row r="879" spans="1:8" x14ac:dyDescent="0.2">
      <c r="A879" s="9" t="s">
        <v>51</v>
      </c>
      <c r="C879" t="str">
        <f t="shared" si="26"/>
        <v>"https://www.zeldadungeon.net/maps/totk/tiles/sky/6/20_23.jpg",</v>
      </c>
      <c r="H879" t="str">
        <f t="shared" si="27"/>
        <v>20_23</v>
      </c>
    </row>
    <row r="880" spans="1:8" x14ac:dyDescent="0.2">
      <c r="A880" s="9" t="s">
        <v>51</v>
      </c>
      <c r="C880" t="str">
        <f t="shared" si="26"/>
        <v>"https://www.zeldadungeon.net/maps/totk/tiles/sky/6/20_24.jpg",</v>
      </c>
      <c r="H880" t="str">
        <f t="shared" si="27"/>
        <v>20_24</v>
      </c>
    </row>
    <row r="881" spans="1:8" x14ac:dyDescent="0.2">
      <c r="A881" s="9" t="s">
        <v>51</v>
      </c>
      <c r="C881" t="str">
        <f t="shared" si="26"/>
        <v>"https://www.zeldadungeon.net/maps/totk/tiles/sky/6/20_25.jpg",</v>
      </c>
      <c r="H881" t="str">
        <f t="shared" si="27"/>
        <v>20_25</v>
      </c>
    </row>
    <row r="882" spans="1:8" x14ac:dyDescent="0.2">
      <c r="A882" s="9" t="s">
        <v>51</v>
      </c>
      <c r="C882" t="str">
        <f t="shared" si="26"/>
        <v>"https://www.zeldadungeon.net/maps/totk/tiles/sky/6/20_26.jpg",</v>
      </c>
      <c r="H882" t="str">
        <f t="shared" si="27"/>
        <v>20_26</v>
      </c>
    </row>
    <row r="883" spans="1:8" x14ac:dyDescent="0.2">
      <c r="A883" s="9" t="s">
        <v>51</v>
      </c>
      <c r="C883" t="str">
        <f t="shared" si="26"/>
        <v>"https://www.zeldadungeon.net/maps/totk/tiles/sky/6/20_27.jpg",</v>
      </c>
      <c r="H883" t="str">
        <f t="shared" si="27"/>
        <v>20_27</v>
      </c>
    </row>
    <row r="884" spans="1:8" x14ac:dyDescent="0.2">
      <c r="A884" s="9" t="s">
        <v>51</v>
      </c>
      <c r="C884" t="str">
        <f t="shared" si="26"/>
        <v>"https://www.zeldadungeon.net/maps/totk/tiles/sky/6/20_28.jpg",</v>
      </c>
      <c r="H884" t="str">
        <f t="shared" si="27"/>
        <v>20_28</v>
      </c>
    </row>
    <row r="885" spans="1:8" x14ac:dyDescent="0.2">
      <c r="A885" s="9" t="s">
        <v>51</v>
      </c>
      <c r="C885" t="str">
        <f t="shared" si="26"/>
        <v>"https://www.zeldadungeon.net/maps/totk/tiles/sky/6/20_29.jpg",</v>
      </c>
      <c r="H885" t="str">
        <f t="shared" si="27"/>
        <v>20_29</v>
      </c>
    </row>
    <row r="886" spans="1:8" x14ac:dyDescent="0.2">
      <c r="A886" s="9" t="s">
        <v>51</v>
      </c>
      <c r="C886" t="str">
        <f t="shared" si="26"/>
        <v>"https://www.zeldadungeon.net/maps/totk/tiles/sky/6/20_30.jpg",</v>
      </c>
      <c r="H886" t="str">
        <f t="shared" si="27"/>
        <v>20_30</v>
      </c>
    </row>
    <row r="887" spans="1:8" x14ac:dyDescent="0.2">
      <c r="A887" s="9" t="s">
        <v>51</v>
      </c>
      <c r="C887" t="str">
        <f t="shared" si="26"/>
        <v>"https://www.zeldadungeon.net/maps/totk/tiles/sky/6/20_31.jpg",</v>
      </c>
      <c r="H887" t="str">
        <f t="shared" si="27"/>
        <v>20_31</v>
      </c>
    </row>
    <row r="888" spans="1:8" x14ac:dyDescent="0.2">
      <c r="A888" s="9" t="s">
        <v>51</v>
      </c>
      <c r="C888" t="str">
        <f t="shared" si="26"/>
        <v>"https://www.zeldadungeon.net/maps/totk/tiles/sky/6/20_32.jpg",</v>
      </c>
      <c r="H888" t="str">
        <f t="shared" si="27"/>
        <v>20_32</v>
      </c>
    </row>
    <row r="889" spans="1:8" x14ac:dyDescent="0.2">
      <c r="A889" s="9" t="s">
        <v>51</v>
      </c>
      <c r="C889" t="str">
        <f t="shared" si="26"/>
        <v>"https://www.zeldadungeon.net/maps/totk/tiles/sky/6/20_33.jpg",</v>
      </c>
      <c r="H889" t="str">
        <f t="shared" si="27"/>
        <v>20_33</v>
      </c>
    </row>
    <row r="890" spans="1:8" x14ac:dyDescent="0.2">
      <c r="A890" s="9" t="s">
        <v>51</v>
      </c>
      <c r="C890" t="str">
        <f t="shared" si="26"/>
        <v>"https://www.zeldadungeon.net/maps/totk/tiles/sky/6/20_34.jpg",</v>
      </c>
      <c r="H890" t="str">
        <f t="shared" si="27"/>
        <v>20_34</v>
      </c>
    </row>
    <row r="891" spans="1:8" x14ac:dyDescent="0.2">
      <c r="A891" s="9" t="s">
        <v>51</v>
      </c>
      <c r="C891" t="str">
        <f t="shared" si="26"/>
        <v>"https://www.zeldadungeon.net/maps/totk/tiles/sky/6/20_35.jpg",</v>
      </c>
      <c r="H891" t="str">
        <f t="shared" si="27"/>
        <v>20_35</v>
      </c>
    </row>
    <row r="892" spans="1:8" x14ac:dyDescent="0.2">
      <c r="A892" s="9" t="s">
        <v>51</v>
      </c>
      <c r="C892" t="str">
        <f t="shared" si="26"/>
        <v>"https://www.zeldadungeon.net/maps/totk/tiles/sky/6/20_36.jpg",</v>
      </c>
      <c r="H892" t="str">
        <f t="shared" si="27"/>
        <v>20_36</v>
      </c>
    </row>
    <row r="893" spans="1:8" x14ac:dyDescent="0.2">
      <c r="A893" s="9" t="s">
        <v>51</v>
      </c>
      <c r="C893" t="str">
        <f t="shared" si="26"/>
        <v>"https://www.zeldadungeon.net/maps/totk/tiles/sky/6/20_37.jpg",</v>
      </c>
      <c r="H893" t="str">
        <f t="shared" si="27"/>
        <v>20_37</v>
      </c>
    </row>
    <row r="894" spans="1:8" x14ac:dyDescent="0.2">
      <c r="A894" s="9" t="s">
        <v>51</v>
      </c>
      <c r="C894" t="str">
        <f t="shared" si="26"/>
        <v>"https://www.zeldadungeon.net/maps/totk/tiles/sky/6/20_38.jpg",</v>
      </c>
      <c r="H894" t="str">
        <f t="shared" si="27"/>
        <v>20_38</v>
      </c>
    </row>
    <row r="895" spans="1:8" x14ac:dyDescent="0.2">
      <c r="A895" s="9" t="s">
        <v>51</v>
      </c>
      <c r="C895" t="str">
        <f t="shared" si="26"/>
        <v>"https://www.zeldadungeon.net/maps/totk/tiles/sky/6/20_39.jpg",</v>
      </c>
      <c r="H895" t="str">
        <f t="shared" si="27"/>
        <v>20_39</v>
      </c>
    </row>
    <row r="896" spans="1:8" x14ac:dyDescent="0.2">
      <c r="A896" s="9" t="s">
        <v>51</v>
      </c>
      <c r="C896" t="str">
        <f t="shared" si="26"/>
        <v>"https://www.zeldadungeon.net/maps/totk/tiles/sky/6/20_40.jpg",</v>
      </c>
      <c r="H896" t="str">
        <f t="shared" si="27"/>
        <v>20_40</v>
      </c>
    </row>
    <row r="897" spans="1:8" x14ac:dyDescent="0.2">
      <c r="A897" s="9" t="s">
        <v>51</v>
      </c>
      <c r="C897" t="str">
        <f t="shared" ref="C897:C960" si="28">""""&amp;SUBSTITUTE(A897,"zzz",H897)&amp;""""&amp;","</f>
        <v>"https://www.zeldadungeon.net/maps/totk/tiles/sky/6/20_41.jpg",</v>
      </c>
      <c r="H897" t="str">
        <f t="shared" ref="H897:H960" si="29">QUOTIENT(ROW(A897),48)+2&amp;"_"&amp;MOD(ROW(A897),48)+8</f>
        <v>20_41</v>
      </c>
    </row>
    <row r="898" spans="1:8" x14ac:dyDescent="0.2">
      <c r="A898" s="9" t="s">
        <v>51</v>
      </c>
      <c r="C898" t="str">
        <f t="shared" si="28"/>
        <v>"https://www.zeldadungeon.net/maps/totk/tiles/sky/6/20_42.jpg",</v>
      </c>
      <c r="H898" t="str">
        <f t="shared" si="29"/>
        <v>20_42</v>
      </c>
    </row>
    <row r="899" spans="1:8" x14ac:dyDescent="0.2">
      <c r="A899" s="9" t="s">
        <v>51</v>
      </c>
      <c r="C899" t="str">
        <f t="shared" si="28"/>
        <v>"https://www.zeldadungeon.net/maps/totk/tiles/sky/6/20_43.jpg",</v>
      </c>
      <c r="H899" t="str">
        <f t="shared" si="29"/>
        <v>20_43</v>
      </c>
    </row>
    <row r="900" spans="1:8" x14ac:dyDescent="0.2">
      <c r="A900" s="9" t="s">
        <v>51</v>
      </c>
      <c r="C900" t="str">
        <f t="shared" si="28"/>
        <v>"https://www.zeldadungeon.net/maps/totk/tiles/sky/6/20_44.jpg",</v>
      </c>
      <c r="H900" t="str">
        <f t="shared" si="29"/>
        <v>20_44</v>
      </c>
    </row>
    <row r="901" spans="1:8" x14ac:dyDescent="0.2">
      <c r="A901" s="9" t="s">
        <v>51</v>
      </c>
      <c r="C901" t="str">
        <f t="shared" si="28"/>
        <v>"https://www.zeldadungeon.net/maps/totk/tiles/sky/6/20_45.jpg",</v>
      </c>
      <c r="H901" t="str">
        <f t="shared" si="29"/>
        <v>20_45</v>
      </c>
    </row>
    <row r="902" spans="1:8" x14ac:dyDescent="0.2">
      <c r="A902" s="9" t="s">
        <v>51</v>
      </c>
      <c r="C902" t="str">
        <f t="shared" si="28"/>
        <v>"https://www.zeldadungeon.net/maps/totk/tiles/sky/6/20_46.jpg",</v>
      </c>
      <c r="H902" t="str">
        <f t="shared" si="29"/>
        <v>20_46</v>
      </c>
    </row>
    <row r="903" spans="1:8" x14ac:dyDescent="0.2">
      <c r="A903" s="9" t="s">
        <v>51</v>
      </c>
      <c r="C903" t="str">
        <f t="shared" si="28"/>
        <v>"https://www.zeldadungeon.net/maps/totk/tiles/sky/6/20_47.jpg",</v>
      </c>
      <c r="H903" t="str">
        <f t="shared" si="29"/>
        <v>20_47</v>
      </c>
    </row>
    <row r="904" spans="1:8" x14ac:dyDescent="0.2">
      <c r="A904" s="9" t="s">
        <v>51</v>
      </c>
      <c r="C904" t="str">
        <f t="shared" si="28"/>
        <v>"https://www.zeldadungeon.net/maps/totk/tiles/sky/6/20_48.jpg",</v>
      </c>
      <c r="H904" t="str">
        <f t="shared" si="29"/>
        <v>20_48</v>
      </c>
    </row>
    <row r="905" spans="1:8" x14ac:dyDescent="0.2">
      <c r="A905" s="9" t="s">
        <v>51</v>
      </c>
      <c r="C905" t="str">
        <f t="shared" si="28"/>
        <v>"https://www.zeldadungeon.net/maps/totk/tiles/sky/6/20_49.jpg",</v>
      </c>
      <c r="H905" t="str">
        <f t="shared" si="29"/>
        <v>20_49</v>
      </c>
    </row>
    <row r="906" spans="1:8" x14ac:dyDescent="0.2">
      <c r="A906" s="9" t="s">
        <v>51</v>
      </c>
      <c r="C906" t="str">
        <f t="shared" si="28"/>
        <v>"https://www.zeldadungeon.net/maps/totk/tiles/sky/6/20_50.jpg",</v>
      </c>
      <c r="H906" t="str">
        <f t="shared" si="29"/>
        <v>20_50</v>
      </c>
    </row>
    <row r="907" spans="1:8" x14ac:dyDescent="0.2">
      <c r="A907" s="9" t="s">
        <v>51</v>
      </c>
      <c r="C907" t="str">
        <f t="shared" si="28"/>
        <v>"https://www.zeldadungeon.net/maps/totk/tiles/sky/6/20_51.jpg",</v>
      </c>
      <c r="H907" t="str">
        <f t="shared" si="29"/>
        <v>20_51</v>
      </c>
    </row>
    <row r="908" spans="1:8" x14ac:dyDescent="0.2">
      <c r="A908" s="9" t="s">
        <v>51</v>
      </c>
      <c r="C908" t="str">
        <f t="shared" si="28"/>
        <v>"https://www.zeldadungeon.net/maps/totk/tiles/sky/6/20_52.jpg",</v>
      </c>
      <c r="H908" t="str">
        <f t="shared" si="29"/>
        <v>20_52</v>
      </c>
    </row>
    <row r="909" spans="1:8" x14ac:dyDescent="0.2">
      <c r="A909" s="9" t="s">
        <v>51</v>
      </c>
      <c r="C909" t="str">
        <f t="shared" si="28"/>
        <v>"https://www.zeldadungeon.net/maps/totk/tiles/sky/6/20_53.jpg",</v>
      </c>
      <c r="H909" t="str">
        <f t="shared" si="29"/>
        <v>20_53</v>
      </c>
    </row>
    <row r="910" spans="1:8" x14ac:dyDescent="0.2">
      <c r="A910" s="9" t="s">
        <v>51</v>
      </c>
      <c r="C910" t="str">
        <f t="shared" si="28"/>
        <v>"https://www.zeldadungeon.net/maps/totk/tiles/sky/6/20_54.jpg",</v>
      </c>
      <c r="H910" t="str">
        <f t="shared" si="29"/>
        <v>20_54</v>
      </c>
    </row>
    <row r="911" spans="1:8" x14ac:dyDescent="0.2">
      <c r="A911" s="9" t="s">
        <v>51</v>
      </c>
      <c r="C911" t="str">
        <f t="shared" si="28"/>
        <v>"https://www.zeldadungeon.net/maps/totk/tiles/sky/6/20_55.jpg",</v>
      </c>
      <c r="H911" t="str">
        <f t="shared" si="29"/>
        <v>20_55</v>
      </c>
    </row>
    <row r="912" spans="1:8" x14ac:dyDescent="0.2">
      <c r="A912" s="9" t="s">
        <v>51</v>
      </c>
      <c r="C912" t="str">
        <f t="shared" si="28"/>
        <v>"https://www.zeldadungeon.net/maps/totk/tiles/sky/6/21_8.jpg",</v>
      </c>
      <c r="H912" t="str">
        <f t="shared" si="29"/>
        <v>21_8</v>
      </c>
    </row>
    <row r="913" spans="1:8" x14ac:dyDescent="0.2">
      <c r="A913" s="9" t="s">
        <v>51</v>
      </c>
      <c r="C913" t="str">
        <f t="shared" si="28"/>
        <v>"https://www.zeldadungeon.net/maps/totk/tiles/sky/6/21_9.jpg",</v>
      </c>
      <c r="H913" t="str">
        <f t="shared" si="29"/>
        <v>21_9</v>
      </c>
    </row>
    <row r="914" spans="1:8" x14ac:dyDescent="0.2">
      <c r="A914" s="9" t="s">
        <v>51</v>
      </c>
      <c r="C914" t="str">
        <f t="shared" si="28"/>
        <v>"https://www.zeldadungeon.net/maps/totk/tiles/sky/6/21_10.jpg",</v>
      </c>
      <c r="H914" t="str">
        <f t="shared" si="29"/>
        <v>21_10</v>
      </c>
    </row>
    <row r="915" spans="1:8" x14ac:dyDescent="0.2">
      <c r="A915" s="9" t="s">
        <v>51</v>
      </c>
      <c r="C915" t="str">
        <f t="shared" si="28"/>
        <v>"https://www.zeldadungeon.net/maps/totk/tiles/sky/6/21_11.jpg",</v>
      </c>
      <c r="H915" t="str">
        <f t="shared" si="29"/>
        <v>21_11</v>
      </c>
    </row>
    <row r="916" spans="1:8" x14ac:dyDescent="0.2">
      <c r="A916" s="9" t="s">
        <v>51</v>
      </c>
      <c r="C916" t="str">
        <f t="shared" si="28"/>
        <v>"https://www.zeldadungeon.net/maps/totk/tiles/sky/6/21_12.jpg",</v>
      </c>
      <c r="H916" t="str">
        <f t="shared" si="29"/>
        <v>21_12</v>
      </c>
    </row>
    <row r="917" spans="1:8" x14ac:dyDescent="0.2">
      <c r="A917" s="9" t="s">
        <v>51</v>
      </c>
      <c r="C917" t="str">
        <f t="shared" si="28"/>
        <v>"https://www.zeldadungeon.net/maps/totk/tiles/sky/6/21_13.jpg",</v>
      </c>
      <c r="H917" t="str">
        <f t="shared" si="29"/>
        <v>21_13</v>
      </c>
    </row>
    <row r="918" spans="1:8" x14ac:dyDescent="0.2">
      <c r="A918" s="9" t="s">
        <v>51</v>
      </c>
      <c r="C918" t="str">
        <f t="shared" si="28"/>
        <v>"https://www.zeldadungeon.net/maps/totk/tiles/sky/6/21_14.jpg",</v>
      </c>
      <c r="H918" t="str">
        <f t="shared" si="29"/>
        <v>21_14</v>
      </c>
    </row>
    <row r="919" spans="1:8" x14ac:dyDescent="0.2">
      <c r="A919" s="9" t="s">
        <v>51</v>
      </c>
      <c r="C919" t="str">
        <f t="shared" si="28"/>
        <v>"https://www.zeldadungeon.net/maps/totk/tiles/sky/6/21_15.jpg",</v>
      </c>
      <c r="H919" t="str">
        <f t="shared" si="29"/>
        <v>21_15</v>
      </c>
    </row>
    <row r="920" spans="1:8" x14ac:dyDescent="0.2">
      <c r="A920" s="9" t="s">
        <v>51</v>
      </c>
      <c r="C920" t="str">
        <f t="shared" si="28"/>
        <v>"https://www.zeldadungeon.net/maps/totk/tiles/sky/6/21_16.jpg",</v>
      </c>
      <c r="H920" t="str">
        <f t="shared" si="29"/>
        <v>21_16</v>
      </c>
    </row>
    <row r="921" spans="1:8" x14ac:dyDescent="0.2">
      <c r="A921" s="9" t="s">
        <v>51</v>
      </c>
      <c r="C921" t="str">
        <f t="shared" si="28"/>
        <v>"https://www.zeldadungeon.net/maps/totk/tiles/sky/6/21_17.jpg",</v>
      </c>
      <c r="H921" t="str">
        <f t="shared" si="29"/>
        <v>21_17</v>
      </c>
    </row>
    <row r="922" spans="1:8" x14ac:dyDescent="0.2">
      <c r="A922" s="9" t="s">
        <v>51</v>
      </c>
      <c r="C922" t="str">
        <f t="shared" si="28"/>
        <v>"https://www.zeldadungeon.net/maps/totk/tiles/sky/6/21_18.jpg",</v>
      </c>
      <c r="H922" t="str">
        <f t="shared" si="29"/>
        <v>21_18</v>
      </c>
    </row>
    <row r="923" spans="1:8" x14ac:dyDescent="0.2">
      <c r="A923" s="9" t="s">
        <v>51</v>
      </c>
      <c r="C923" t="str">
        <f t="shared" si="28"/>
        <v>"https://www.zeldadungeon.net/maps/totk/tiles/sky/6/21_19.jpg",</v>
      </c>
      <c r="H923" t="str">
        <f t="shared" si="29"/>
        <v>21_19</v>
      </c>
    </row>
    <row r="924" spans="1:8" x14ac:dyDescent="0.2">
      <c r="A924" s="9" t="s">
        <v>51</v>
      </c>
      <c r="C924" t="str">
        <f t="shared" si="28"/>
        <v>"https://www.zeldadungeon.net/maps/totk/tiles/sky/6/21_20.jpg",</v>
      </c>
      <c r="H924" t="str">
        <f t="shared" si="29"/>
        <v>21_20</v>
      </c>
    </row>
    <row r="925" spans="1:8" x14ac:dyDescent="0.2">
      <c r="A925" s="9" t="s">
        <v>51</v>
      </c>
      <c r="C925" t="str">
        <f t="shared" si="28"/>
        <v>"https://www.zeldadungeon.net/maps/totk/tiles/sky/6/21_21.jpg",</v>
      </c>
      <c r="H925" t="str">
        <f t="shared" si="29"/>
        <v>21_21</v>
      </c>
    </row>
    <row r="926" spans="1:8" x14ac:dyDescent="0.2">
      <c r="A926" s="9" t="s">
        <v>51</v>
      </c>
      <c r="C926" t="str">
        <f t="shared" si="28"/>
        <v>"https://www.zeldadungeon.net/maps/totk/tiles/sky/6/21_22.jpg",</v>
      </c>
      <c r="H926" t="str">
        <f t="shared" si="29"/>
        <v>21_22</v>
      </c>
    </row>
    <row r="927" spans="1:8" x14ac:dyDescent="0.2">
      <c r="A927" s="9" t="s">
        <v>51</v>
      </c>
      <c r="C927" t="str">
        <f t="shared" si="28"/>
        <v>"https://www.zeldadungeon.net/maps/totk/tiles/sky/6/21_23.jpg",</v>
      </c>
      <c r="H927" t="str">
        <f t="shared" si="29"/>
        <v>21_23</v>
      </c>
    </row>
    <row r="928" spans="1:8" x14ac:dyDescent="0.2">
      <c r="A928" s="9" t="s">
        <v>51</v>
      </c>
      <c r="C928" t="str">
        <f t="shared" si="28"/>
        <v>"https://www.zeldadungeon.net/maps/totk/tiles/sky/6/21_24.jpg",</v>
      </c>
      <c r="H928" t="str">
        <f t="shared" si="29"/>
        <v>21_24</v>
      </c>
    </row>
    <row r="929" spans="1:8" x14ac:dyDescent="0.2">
      <c r="A929" s="9" t="s">
        <v>51</v>
      </c>
      <c r="C929" t="str">
        <f t="shared" si="28"/>
        <v>"https://www.zeldadungeon.net/maps/totk/tiles/sky/6/21_25.jpg",</v>
      </c>
      <c r="H929" t="str">
        <f t="shared" si="29"/>
        <v>21_25</v>
      </c>
    </row>
    <row r="930" spans="1:8" x14ac:dyDescent="0.2">
      <c r="A930" s="9" t="s">
        <v>51</v>
      </c>
      <c r="C930" t="str">
        <f t="shared" si="28"/>
        <v>"https://www.zeldadungeon.net/maps/totk/tiles/sky/6/21_26.jpg",</v>
      </c>
      <c r="H930" t="str">
        <f t="shared" si="29"/>
        <v>21_26</v>
      </c>
    </row>
    <row r="931" spans="1:8" x14ac:dyDescent="0.2">
      <c r="A931" s="9" t="s">
        <v>51</v>
      </c>
      <c r="C931" t="str">
        <f t="shared" si="28"/>
        <v>"https://www.zeldadungeon.net/maps/totk/tiles/sky/6/21_27.jpg",</v>
      </c>
      <c r="H931" t="str">
        <f t="shared" si="29"/>
        <v>21_27</v>
      </c>
    </row>
    <row r="932" spans="1:8" x14ac:dyDescent="0.2">
      <c r="A932" s="9" t="s">
        <v>51</v>
      </c>
      <c r="C932" t="str">
        <f t="shared" si="28"/>
        <v>"https://www.zeldadungeon.net/maps/totk/tiles/sky/6/21_28.jpg",</v>
      </c>
      <c r="H932" t="str">
        <f t="shared" si="29"/>
        <v>21_28</v>
      </c>
    </row>
    <row r="933" spans="1:8" x14ac:dyDescent="0.2">
      <c r="A933" s="9" t="s">
        <v>51</v>
      </c>
      <c r="C933" t="str">
        <f t="shared" si="28"/>
        <v>"https://www.zeldadungeon.net/maps/totk/tiles/sky/6/21_29.jpg",</v>
      </c>
      <c r="H933" t="str">
        <f t="shared" si="29"/>
        <v>21_29</v>
      </c>
    </row>
    <row r="934" spans="1:8" x14ac:dyDescent="0.2">
      <c r="A934" s="9" t="s">
        <v>51</v>
      </c>
      <c r="C934" t="str">
        <f t="shared" si="28"/>
        <v>"https://www.zeldadungeon.net/maps/totk/tiles/sky/6/21_30.jpg",</v>
      </c>
      <c r="H934" t="str">
        <f t="shared" si="29"/>
        <v>21_30</v>
      </c>
    </row>
    <row r="935" spans="1:8" x14ac:dyDescent="0.2">
      <c r="A935" s="9" t="s">
        <v>51</v>
      </c>
      <c r="C935" t="str">
        <f t="shared" si="28"/>
        <v>"https://www.zeldadungeon.net/maps/totk/tiles/sky/6/21_31.jpg",</v>
      </c>
      <c r="H935" t="str">
        <f t="shared" si="29"/>
        <v>21_31</v>
      </c>
    </row>
    <row r="936" spans="1:8" x14ac:dyDescent="0.2">
      <c r="A936" s="9" t="s">
        <v>51</v>
      </c>
      <c r="C936" t="str">
        <f t="shared" si="28"/>
        <v>"https://www.zeldadungeon.net/maps/totk/tiles/sky/6/21_32.jpg",</v>
      </c>
      <c r="H936" t="str">
        <f t="shared" si="29"/>
        <v>21_32</v>
      </c>
    </row>
    <row r="937" spans="1:8" x14ac:dyDescent="0.2">
      <c r="A937" s="9" t="s">
        <v>51</v>
      </c>
      <c r="C937" t="str">
        <f t="shared" si="28"/>
        <v>"https://www.zeldadungeon.net/maps/totk/tiles/sky/6/21_33.jpg",</v>
      </c>
      <c r="H937" t="str">
        <f t="shared" si="29"/>
        <v>21_33</v>
      </c>
    </row>
    <row r="938" spans="1:8" x14ac:dyDescent="0.2">
      <c r="A938" s="9" t="s">
        <v>51</v>
      </c>
      <c r="C938" t="str">
        <f t="shared" si="28"/>
        <v>"https://www.zeldadungeon.net/maps/totk/tiles/sky/6/21_34.jpg",</v>
      </c>
      <c r="H938" t="str">
        <f t="shared" si="29"/>
        <v>21_34</v>
      </c>
    </row>
    <row r="939" spans="1:8" x14ac:dyDescent="0.2">
      <c r="A939" s="9" t="s">
        <v>51</v>
      </c>
      <c r="C939" t="str">
        <f t="shared" si="28"/>
        <v>"https://www.zeldadungeon.net/maps/totk/tiles/sky/6/21_35.jpg",</v>
      </c>
      <c r="H939" t="str">
        <f t="shared" si="29"/>
        <v>21_35</v>
      </c>
    </row>
    <row r="940" spans="1:8" x14ac:dyDescent="0.2">
      <c r="A940" s="9" t="s">
        <v>51</v>
      </c>
      <c r="C940" t="str">
        <f t="shared" si="28"/>
        <v>"https://www.zeldadungeon.net/maps/totk/tiles/sky/6/21_36.jpg",</v>
      </c>
      <c r="H940" t="str">
        <f t="shared" si="29"/>
        <v>21_36</v>
      </c>
    </row>
    <row r="941" spans="1:8" x14ac:dyDescent="0.2">
      <c r="A941" s="9" t="s">
        <v>51</v>
      </c>
      <c r="C941" t="str">
        <f t="shared" si="28"/>
        <v>"https://www.zeldadungeon.net/maps/totk/tiles/sky/6/21_37.jpg",</v>
      </c>
      <c r="H941" t="str">
        <f t="shared" si="29"/>
        <v>21_37</v>
      </c>
    </row>
    <row r="942" spans="1:8" x14ac:dyDescent="0.2">
      <c r="A942" s="9" t="s">
        <v>51</v>
      </c>
      <c r="C942" t="str">
        <f t="shared" si="28"/>
        <v>"https://www.zeldadungeon.net/maps/totk/tiles/sky/6/21_38.jpg",</v>
      </c>
      <c r="H942" t="str">
        <f t="shared" si="29"/>
        <v>21_38</v>
      </c>
    </row>
    <row r="943" spans="1:8" x14ac:dyDescent="0.2">
      <c r="A943" s="9" t="s">
        <v>51</v>
      </c>
      <c r="C943" t="str">
        <f t="shared" si="28"/>
        <v>"https://www.zeldadungeon.net/maps/totk/tiles/sky/6/21_39.jpg",</v>
      </c>
      <c r="H943" t="str">
        <f t="shared" si="29"/>
        <v>21_39</v>
      </c>
    </row>
    <row r="944" spans="1:8" x14ac:dyDescent="0.2">
      <c r="A944" s="9" t="s">
        <v>51</v>
      </c>
      <c r="C944" t="str">
        <f t="shared" si="28"/>
        <v>"https://www.zeldadungeon.net/maps/totk/tiles/sky/6/21_40.jpg",</v>
      </c>
      <c r="H944" t="str">
        <f t="shared" si="29"/>
        <v>21_40</v>
      </c>
    </row>
    <row r="945" spans="1:8" x14ac:dyDescent="0.2">
      <c r="A945" s="9" t="s">
        <v>51</v>
      </c>
      <c r="C945" t="str">
        <f t="shared" si="28"/>
        <v>"https://www.zeldadungeon.net/maps/totk/tiles/sky/6/21_41.jpg",</v>
      </c>
      <c r="H945" t="str">
        <f t="shared" si="29"/>
        <v>21_41</v>
      </c>
    </row>
    <row r="946" spans="1:8" x14ac:dyDescent="0.2">
      <c r="A946" s="9" t="s">
        <v>51</v>
      </c>
      <c r="C946" t="str">
        <f t="shared" si="28"/>
        <v>"https://www.zeldadungeon.net/maps/totk/tiles/sky/6/21_42.jpg",</v>
      </c>
      <c r="H946" t="str">
        <f t="shared" si="29"/>
        <v>21_42</v>
      </c>
    </row>
    <row r="947" spans="1:8" x14ac:dyDescent="0.2">
      <c r="A947" s="9" t="s">
        <v>51</v>
      </c>
      <c r="C947" t="str">
        <f t="shared" si="28"/>
        <v>"https://www.zeldadungeon.net/maps/totk/tiles/sky/6/21_43.jpg",</v>
      </c>
      <c r="H947" t="str">
        <f t="shared" si="29"/>
        <v>21_43</v>
      </c>
    </row>
    <row r="948" spans="1:8" x14ac:dyDescent="0.2">
      <c r="A948" s="9" t="s">
        <v>51</v>
      </c>
      <c r="C948" t="str">
        <f t="shared" si="28"/>
        <v>"https://www.zeldadungeon.net/maps/totk/tiles/sky/6/21_44.jpg",</v>
      </c>
      <c r="H948" t="str">
        <f t="shared" si="29"/>
        <v>21_44</v>
      </c>
    </row>
    <row r="949" spans="1:8" x14ac:dyDescent="0.2">
      <c r="A949" s="9" t="s">
        <v>51</v>
      </c>
      <c r="C949" t="str">
        <f t="shared" si="28"/>
        <v>"https://www.zeldadungeon.net/maps/totk/tiles/sky/6/21_45.jpg",</v>
      </c>
      <c r="H949" t="str">
        <f t="shared" si="29"/>
        <v>21_45</v>
      </c>
    </row>
    <row r="950" spans="1:8" x14ac:dyDescent="0.2">
      <c r="A950" s="9" t="s">
        <v>51</v>
      </c>
      <c r="C950" t="str">
        <f t="shared" si="28"/>
        <v>"https://www.zeldadungeon.net/maps/totk/tiles/sky/6/21_46.jpg",</v>
      </c>
      <c r="H950" t="str">
        <f t="shared" si="29"/>
        <v>21_46</v>
      </c>
    </row>
    <row r="951" spans="1:8" x14ac:dyDescent="0.2">
      <c r="A951" s="9" t="s">
        <v>51</v>
      </c>
      <c r="C951" t="str">
        <f t="shared" si="28"/>
        <v>"https://www.zeldadungeon.net/maps/totk/tiles/sky/6/21_47.jpg",</v>
      </c>
      <c r="H951" t="str">
        <f t="shared" si="29"/>
        <v>21_47</v>
      </c>
    </row>
    <row r="952" spans="1:8" x14ac:dyDescent="0.2">
      <c r="A952" s="9" t="s">
        <v>51</v>
      </c>
      <c r="C952" t="str">
        <f t="shared" si="28"/>
        <v>"https://www.zeldadungeon.net/maps/totk/tiles/sky/6/21_48.jpg",</v>
      </c>
      <c r="H952" t="str">
        <f t="shared" si="29"/>
        <v>21_48</v>
      </c>
    </row>
    <row r="953" spans="1:8" x14ac:dyDescent="0.2">
      <c r="A953" s="9" t="s">
        <v>51</v>
      </c>
      <c r="C953" t="str">
        <f t="shared" si="28"/>
        <v>"https://www.zeldadungeon.net/maps/totk/tiles/sky/6/21_49.jpg",</v>
      </c>
      <c r="H953" t="str">
        <f t="shared" si="29"/>
        <v>21_49</v>
      </c>
    </row>
    <row r="954" spans="1:8" x14ac:dyDescent="0.2">
      <c r="A954" s="9" t="s">
        <v>51</v>
      </c>
      <c r="C954" t="str">
        <f t="shared" si="28"/>
        <v>"https://www.zeldadungeon.net/maps/totk/tiles/sky/6/21_50.jpg",</v>
      </c>
      <c r="H954" t="str">
        <f t="shared" si="29"/>
        <v>21_50</v>
      </c>
    </row>
    <row r="955" spans="1:8" x14ac:dyDescent="0.2">
      <c r="A955" s="9" t="s">
        <v>51</v>
      </c>
      <c r="C955" t="str">
        <f t="shared" si="28"/>
        <v>"https://www.zeldadungeon.net/maps/totk/tiles/sky/6/21_51.jpg",</v>
      </c>
      <c r="H955" t="str">
        <f t="shared" si="29"/>
        <v>21_51</v>
      </c>
    </row>
    <row r="956" spans="1:8" x14ac:dyDescent="0.2">
      <c r="A956" s="9" t="s">
        <v>51</v>
      </c>
      <c r="C956" t="str">
        <f t="shared" si="28"/>
        <v>"https://www.zeldadungeon.net/maps/totk/tiles/sky/6/21_52.jpg",</v>
      </c>
      <c r="H956" t="str">
        <f t="shared" si="29"/>
        <v>21_52</v>
      </c>
    </row>
    <row r="957" spans="1:8" x14ac:dyDescent="0.2">
      <c r="A957" s="9" t="s">
        <v>51</v>
      </c>
      <c r="C957" t="str">
        <f t="shared" si="28"/>
        <v>"https://www.zeldadungeon.net/maps/totk/tiles/sky/6/21_53.jpg",</v>
      </c>
      <c r="H957" t="str">
        <f t="shared" si="29"/>
        <v>21_53</v>
      </c>
    </row>
    <row r="958" spans="1:8" x14ac:dyDescent="0.2">
      <c r="A958" s="9" t="s">
        <v>51</v>
      </c>
      <c r="C958" t="str">
        <f t="shared" si="28"/>
        <v>"https://www.zeldadungeon.net/maps/totk/tiles/sky/6/21_54.jpg",</v>
      </c>
      <c r="H958" t="str">
        <f t="shared" si="29"/>
        <v>21_54</v>
      </c>
    </row>
    <row r="959" spans="1:8" x14ac:dyDescent="0.2">
      <c r="A959" s="9" t="s">
        <v>51</v>
      </c>
      <c r="C959" t="str">
        <f t="shared" si="28"/>
        <v>"https://www.zeldadungeon.net/maps/totk/tiles/sky/6/21_55.jpg",</v>
      </c>
      <c r="H959" t="str">
        <f t="shared" si="29"/>
        <v>21_55</v>
      </c>
    </row>
    <row r="960" spans="1:8" x14ac:dyDescent="0.2">
      <c r="A960" s="9" t="s">
        <v>51</v>
      </c>
      <c r="C960" t="str">
        <f t="shared" si="28"/>
        <v>"https://www.zeldadungeon.net/maps/totk/tiles/sky/6/22_8.jpg",</v>
      </c>
      <c r="H960" t="str">
        <f t="shared" si="29"/>
        <v>22_8</v>
      </c>
    </row>
    <row r="961" spans="1:8" x14ac:dyDescent="0.2">
      <c r="A961" s="9" t="s">
        <v>51</v>
      </c>
      <c r="C961" t="str">
        <f t="shared" ref="C961:C1024" si="30">""""&amp;SUBSTITUTE(A961,"zzz",H961)&amp;""""&amp;","</f>
        <v>"https://www.zeldadungeon.net/maps/totk/tiles/sky/6/22_9.jpg",</v>
      </c>
      <c r="H961" t="str">
        <f t="shared" ref="H961:H1024" si="31">QUOTIENT(ROW(A961),48)+2&amp;"_"&amp;MOD(ROW(A961),48)+8</f>
        <v>22_9</v>
      </c>
    </row>
    <row r="962" spans="1:8" x14ac:dyDescent="0.2">
      <c r="A962" s="9" t="s">
        <v>51</v>
      </c>
      <c r="C962" t="str">
        <f t="shared" si="30"/>
        <v>"https://www.zeldadungeon.net/maps/totk/tiles/sky/6/22_10.jpg",</v>
      </c>
      <c r="H962" t="str">
        <f t="shared" si="31"/>
        <v>22_10</v>
      </c>
    </row>
    <row r="963" spans="1:8" x14ac:dyDescent="0.2">
      <c r="A963" s="9" t="s">
        <v>51</v>
      </c>
      <c r="C963" t="str">
        <f t="shared" si="30"/>
        <v>"https://www.zeldadungeon.net/maps/totk/tiles/sky/6/22_11.jpg",</v>
      </c>
      <c r="H963" t="str">
        <f t="shared" si="31"/>
        <v>22_11</v>
      </c>
    </row>
    <row r="964" spans="1:8" x14ac:dyDescent="0.2">
      <c r="A964" s="9" t="s">
        <v>51</v>
      </c>
      <c r="C964" t="str">
        <f t="shared" si="30"/>
        <v>"https://www.zeldadungeon.net/maps/totk/tiles/sky/6/22_12.jpg",</v>
      </c>
      <c r="H964" t="str">
        <f t="shared" si="31"/>
        <v>22_12</v>
      </c>
    </row>
    <row r="965" spans="1:8" x14ac:dyDescent="0.2">
      <c r="A965" s="9" t="s">
        <v>51</v>
      </c>
      <c r="C965" t="str">
        <f t="shared" si="30"/>
        <v>"https://www.zeldadungeon.net/maps/totk/tiles/sky/6/22_13.jpg",</v>
      </c>
      <c r="H965" t="str">
        <f t="shared" si="31"/>
        <v>22_13</v>
      </c>
    </row>
    <row r="966" spans="1:8" x14ac:dyDescent="0.2">
      <c r="A966" s="9" t="s">
        <v>51</v>
      </c>
      <c r="C966" t="str">
        <f t="shared" si="30"/>
        <v>"https://www.zeldadungeon.net/maps/totk/tiles/sky/6/22_14.jpg",</v>
      </c>
      <c r="H966" t="str">
        <f t="shared" si="31"/>
        <v>22_14</v>
      </c>
    </row>
    <row r="967" spans="1:8" x14ac:dyDescent="0.2">
      <c r="A967" s="9" t="s">
        <v>51</v>
      </c>
      <c r="C967" t="str">
        <f t="shared" si="30"/>
        <v>"https://www.zeldadungeon.net/maps/totk/tiles/sky/6/22_15.jpg",</v>
      </c>
      <c r="H967" t="str">
        <f t="shared" si="31"/>
        <v>22_15</v>
      </c>
    </row>
    <row r="968" spans="1:8" x14ac:dyDescent="0.2">
      <c r="A968" s="9" t="s">
        <v>51</v>
      </c>
      <c r="C968" t="str">
        <f t="shared" si="30"/>
        <v>"https://www.zeldadungeon.net/maps/totk/tiles/sky/6/22_16.jpg",</v>
      </c>
      <c r="H968" t="str">
        <f t="shared" si="31"/>
        <v>22_16</v>
      </c>
    </row>
    <row r="969" spans="1:8" x14ac:dyDescent="0.2">
      <c r="A969" s="9" t="s">
        <v>51</v>
      </c>
      <c r="C969" t="str">
        <f t="shared" si="30"/>
        <v>"https://www.zeldadungeon.net/maps/totk/tiles/sky/6/22_17.jpg",</v>
      </c>
      <c r="H969" t="str">
        <f t="shared" si="31"/>
        <v>22_17</v>
      </c>
    </row>
    <row r="970" spans="1:8" x14ac:dyDescent="0.2">
      <c r="A970" s="9" t="s">
        <v>51</v>
      </c>
      <c r="C970" t="str">
        <f t="shared" si="30"/>
        <v>"https://www.zeldadungeon.net/maps/totk/tiles/sky/6/22_18.jpg",</v>
      </c>
      <c r="H970" t="str">
        <f t="shared" si="31"/>
        <v>22_18</v>
      </c>
    </row>
    <row r="971" spans="1:8" x14ac:dyDescent="0.2">
      <c r="A971" s="9" t="s">
        <v>51</v>
      </c>
      <c r="C971" t="str">
        <f t="shared" si="30"/>
        <v>"https://www.zeldadungeon.net/maps/totk/tiles/sky/6/22_19.jpg",</v>
      </c>
      <c r="H971" t="str">
        <f t="shared" si="31"/>
        <v>22_19</v>
      </c>
    </row>
    <row r="972" spans="1:8" x14ac:dyDescent="0.2">
      <c r="A972" s="9" t="s">
        <v>51</v>
      </c>
      <c r="C972" t="str">
        <f t="shared" si="30"/>
        <v>"https://www.zeldadungeon.net/maps/totk/tiles/sky/6/22_20.jpg",</v>
      </c>
      <c r="H972" t="str">
        <f t="shared" si="31"/>
        <v>22_20</v>
      </c>
    </row>
    <row r="973" spans="1:8" x14ac:dyDescent="0.2">
      <c r="A973" s="9" t="s">
        <v>51</v>
      </c>
      <c r="C973" t="str">
        <f t="shared" si="30"/>
        <v>"https://www.zeldadungeon.net/maps/totk/tiles/sky/6/22_21.jpg",</v>
      </c>
      <c r="H973" t="str">
        <f t="shared" si="31"/>
        <v>22_21</v>
      </c>
    </row>
    <row r="974" spans="1:8" x14ac:dyDescent="0.2">
      <c r="A974" s="9" t="s">
        <v>51</v>
      </c>
      <c r="C974" t="str">
        <f t="shared" si="30"/>
        <v>"https://www.zeldadungeon.net/maps/totk/tiles/sky/6/22_22.jpg",</v>
      </c>
      <c r="H974" t="str">
        <f t="shared" si="31"/>
        <v>22_22</v>
      </c>
    </row>
    <row r="975" spans="1:8" x14ac:dyDescent="0.2">
      <c r="A975" s="9" t="s">
        <v>51</v>
      </c>
      <c r="C975" t="str">
        <f t="shared" si="30"/>
        <v>"https://www.zeldadungeon.net/maps/totk/tiles/sky/6/22_23.jpg",</v>
      </c>
      <c r="H975" t="str">
        <f t="shared" si="31"/>
        <v>22_23</v>
      </c>
    </row>
    <row r="976" spans="1:8" x14ac:dyDescent="0.2">
      <c r="A976" s="9" t="s">
        <v>51</v>
      </c>
      <c r="C976" t="str">
        <f t="shared" si="30"/>
        <v>"https://www.zeldadungeon.net/maps/totk/tiles/sky/6/22_24.jpg",</v>
      </c>
      <c r="H976" t="str">
        <f t="shared" si="31"/>
        <v>22_24</v>
      </c>
    </row>
    <row r="977" spans="1:8" x14ac:dyDescent="0.2">
      <c r="A977" s="9" t="s">
        <v>51</v>
      </c>
      <c r="C977" t="str">
        <f t="shared" si="30"/>
        <v>"https://www.zeldadungeon.net/maps/totk/tiles/sky/6/22_25.jpg",</v>
      </c>
      <c r="H977" t="str">
        <f t="shared" si="31"/>
        <v>22_25</v>
      </c>
    </row>
    <row r="978" spans="1:8" x14ac:dyDescent="0.2">
      <c r="A978" s="9" t="s">
        <v>51</v>
      </c>
      <c r="C978" t="str">
        <f t="shared" si="30"/>
        <v>"https://www.zeldadungeon.net/maps/totk/tiles/sky/6/22_26.jpg",</v>
      </c>
      <c r="H978" t="str">
        <f t="shared" si="31"/>
        <v>22_26</v>
      </c>
    </row>
    <row r="979" spans="1:8" x14ac:dyDescent="0.2">
      <c r="A979" s="9" t="s">
        <v>51</v>
      </c>
      <c r="C979" t="str">
        <f t="shared" si="30"/>
        <v>"https://www.zeldadungeon.net/maps/totk/tiles/sky/6/22_27.jpg",</v>
      </c>
      <c r="H979" t="str">
        <f t="shared" si="31"/>
        <v>22_27</v>
      </c>
    </row>
    <row r="980" spans="1:8" x14ac:dyDescent="0.2">
      <c r="A980" s="9" t="s">
        <v>51</v>
      </c>
      <c r="C980" t="str">
        <f t="shared" si="30"/>
        <v>"https://www.zeldadungeon.net/maps/totk/tiles/sky/6/22_28.jpg",</v>
      </c>
      <c r="H980" t="str">
        <f t="shared" si="31"/>
        <v>22_28</v>
      </c>
    </row>
    <row r="981" spans="1:8" x14ac:dyDescent="0.2">
      <c r="A981" s="9" t="s">
        <v>51</v>
      </c>
      <c r="C981" t="str">
        <f t="shared" si="30"/>
        <v>"https://www.zeldadungeon.net/maps/totk/tiles/sky/6/22_29.jpg",</v>
      </c>
      <c r="H981" t="str">
        <f t="shared" si="31"/>
        <v>22_29</v>
      </c>
    </row>
    <row r="982" spans="1:8" x14ac:dyDescent="0.2">
      <c r="A982" s="9" t="s">
        <v>51</v>
      </c>
      <c r="C982" t="str">
        <f t="shared" si="30"/>
        <v>"https://www.zeldadungeon.net/maps/totk/tiles/sky/6/22_30.jpg",</v>
      </c>
      <c r="H982" t="str">
        <f t="shared" si="31"/>
        <v>22_30</v>
      </c>
    </row>
    <row r="983" spans="1:8" x14ac:dyDescent="0.2">
      <c r="A983" s="9" t="s">
        <v>51</v>
      </c>
      <c r="C983" t="str">
        <f t="shared" si="30"/>
        <v>"https://www.zeldadungeon.net/maps/totk/tiles/sky/6/22_31.jpg",</v>
      </c>
      <c r="H983" t="str">
        <f t="shared" si="31"/>
        <v>22_31</v>
      </c>
    </row>
    <row r="984" spans="1:8" x14ac:dyDescent="0.2">
      <c r="A984" s="9" t="s">
        <v>51</v>
      </c>
      <c r="C984" t="str">
        <f t="shared" si="30"/>
        <v>"https://www.zeldadungeon.net/maps/totk/tiles/sky/6/22_32.jpg",</v>
      </c>
      <c r="H984" t="str">
        <f t="shared" si="31"/>
        <v>22_32</v>
      </c>
    </row>
    <row r="985" spans="1:8" x14ac:dyDescent="0.2">
      <c r="A985" s="9" t="s">
        <v>51</v>
      </c>
      <c r="C985" t="str">
        <f t="shared" si="30"/>
        <v>"https://www.zeldadungeon.net/maps/totk/tiles/sky/6/22_33.jpg",</v>
      </c>
      <c r="H985" t="str">
        <f t="shared" si="31"/>
        <v>22_33</v>
      </c>
    </row>
    <row r="986" spans="1:8" x14ac:dyDescent="0.2">
      <c r="A986" s="9" t="s">
        <v>51</v>
      </c>
      <c r="C986" t="str">
        <f t="shared" si="30"/>
        <v>"https://www.zeldadungeon.net/maps/totk/tiles/sky/6/22_34.jpg",</v>
      </c>
      <c r="H986" t="str">
        <f t="shared" si="31"/>
        <v>22_34</v>
      </c>
    </row>
    <row r="987" spans="1:8" x14ac:dyDescent="0.2">
      <c r="A987" s="9" t="s">
        <v>51</v>
      </c>
      <c r="C987" t="str">
        <f t="shared" si="30"/>
        <v>"https://www.zeldadungeon.net/maps/totk/tiles/sky/6/22_35.jpg",</v>
      </c>
      <c r="H987" t="str">
        <f t="shared" si="31"/>
        <v>22_35</v>
      </c>
    </row>
    <row r="988" spans="1:8" x14ac:dyDescent="0.2">
      <c r="A988" s="9" t="s">
        <v>51</v>
      </c>
      <c r="C988" t="str">
        <f t="shared" si="30"/>
        <v>"https://www.zeldadungeon.net/maps/totk/tiles/sky/6/22_36.jpg",</v>
      </c>
      <c r="H988" t="str">
        <f t="shared" si="31"/>
        <v>22_36</v>
      </c>
    </row>
    <row r="989" spans="1:8" x14ac:dyDescent="0.2">
      <c r="A989" s="9" t="s">
        <v>51</v>
      </c>
      <c r="C989" t="str">
        <f t="shared" si="30"/>
        <v>"https://www.zeldadungeon.net/maps/totk/tiles/sky/6/22_37.jpg",</v>
      </c>
      <c r="H989" t="str">
        <f t="shared" si="31"/>
        <v>22_37</v>
      </c>
    </row>
    <row r="990" spans="1:8" x14ac:dyDescent="0.2">
      <c r="A990" s="9" t="s">
        <v>51</v>
      </c>
      <c r="C990" t="str">
        <f t="shared" si="30"/>
        <v>"https://www.zeldadungeon.net/maps/totk/tiles/sky/6/22_38.jpg",</v>
      </c>
      <c r="H990" t="str">
        <f t="shared" si="31"/>
        <v>22_38</v>
      </c>
    </row>
    <row r="991" spans="1:8" x14ac:dyDescent="0.2">
      <c r="A991" s="9" t="s">
        <v>51</v>
      </c>
      <c r="C991" t="str">
        <f t="shared" si="30"/>
        <v>"https://www.zeldadungeon.net/maps/totk/tiles/sky/6/22_39.jpg",</v>
      </c>
      <c r="H991" t="str">
        <f t="shared" si="31"/>
        <v>22_39</v>
      </c>
    </row>
    <row r="992" spans="1:8" x14ac:dyDescent="0.2">
      <c r="A992" s="9" t="s">
        <v>51</v>
      </c>
      <c r="C992" t="str">
        <f t="shared" si="30"/>
        <v>"https://www.zeldadungeon.net/maps/totk/tiles/sky/6/22_40.jpg",</v>
      </c>
      <c r="H992" t="str">
        <f t="shared" si="31"/>
        <v>22_40</v>
      </c>
    </row>
    <row r="993" spans="1:8" x14ac:dyDescent="0.2">
      <c r="A993" s="9" t="s">
        <v>51</v>
      </c>
      <c r="C993" t="str">
        <f t="shared" si="30"/>
        <v>"https://www.zeldadungeon.net/maps/totk/tiles/sky/6/22_41.jpg",</v>
      </c>
      <c r="H993" t="str">
        <f t="shared" si="31"/>
        <v>22_41</v>
      </c>
    </row>
    <row r="994" spans="1:8" x14ac:dyDescent="0.2">
      <c r="A994" s="9" t="s">
        <v>51</v>
      </c>
      <c r="C994" t="str">
        <f t="shared" si="30"/>
        <v>"https://www.zeldadungeon.net/maps/totk/tiles/sky/6/22_42.jpg",</v>
      </c>
      <c r="H994" t="str">
        <f t="shared" si="31"/>
        <v>22_42</v>
      </c>
    </row>
    <row r="995" spans="1:8" x14ac:dyDescent="0.2">
      <c r="A995" s="9" t="s">
        <v>51</v>
      </c>
      <c r="C995" t="str">
        <f t="shared" si="30"/>
        <v>"https://www.zeldadungeon.net/maps/totk/tiles/sky/6/22_43.jpg",</v>
      </c>
      <c r="H995" t="str">
        <f t="shared" si="31"/>
        <v>22_43</v>
      </c>
    </row>
    <row r="996" spans="1:8" x14ac:dyDescent="0.2">
      <c r="A996" s="9" t="s">
        <v>51</v>
      </c>
      <c r="C996" t="str">
        <f t="shared" si="30"/>
        <v>"https://www.zeldadungeon.net/maps/totk/tiles/sky/6/22_44.jpg",</v>
      </c>
      <c r="H996" t="str">
        <f t="shared" si="31"/>
        <v>22_44</v>
      </c>
    </row>
    <row r="997" spans="1:8" x14ac:dyDescent="0.2">
      <c r="A997" s="9" t="s">
        <v>51</v>
      </c>
      <c r="C997" t="str">
        <f t="shared" si="30"/>
        <v>"https://www.zeldadungeon.net/maps/totk/tiles/sky/6/22_45.jpg",</v>
      </c>
      <c r="H997" t="str">
        <f t="shared" si="31"/>
        <v>22_45</v>
      </c>
    </row>
    <row r="998" spans="1:8" x14ac:dyDescent="0.2">
      <c r="A998" s="9" t="s">
        <v>51</v>
      </c>
      <c r="C998" t="str">
        <f t="shared" si="30"/>
        <v>"https://www.zeldadungeon.net/maps/totk/tiles/sky/6/22_46.jpg",</v>
      </c>
      <c r="H998" t="str">
        <f t="shared" si="31"/>
        <v>22_46</v>
      </c>
    </row>
    <row r="999" spans="1:8" x14ac:dyDescent="0.2">
      <c r="A999" s="9" t="s">
        <v>51</v>
      </c>
      <c r="C999" t="str">
        <f t="shared" si="30"/>
        <v>"https://www.zeldadungeon.net/maps/totk/tiles/sky/6/22_47.jpg",</v>
      </c>
      <c r="H999" t="str">
        <f t="shared" si="31"/>
        <v>22_47</v>
      </c>
    </row>
    <row r="1000" spans="1:8" x14ac:dyDescent="0.2">
      <c r="A1000" s="9" t="s">
        <v>51</v>
      </c>
      <c r="C1000" t="str">
        <f t="shared" si="30"/>
        <v>"https://www.zeldadungeon.net/maps/totk/tiles/sky/6/22_48.jpg",</v>
      </c>
      <c r="H1000" t="str">
        <f t="shared" si="31"/>
        <v>22_48</v>
      </c>
    </row>
    <row r="1001" spans="1:8" x14ac:dyDescent="0.2">
      <c r="A1001" s="9" t="s">
        <v>51</v>
      </c>
      <c r="C1001" t="str">
        <f t="shared" si="30"/>
        <v>"https://www.zeldadungeon.net/maps/totk/tiles/sky/6/22_49.jpg",</v>
      </c>
      <c r="H1001" t="str">
        <f t="shared" si="31"/>
        <v>22_49</v>
      </c>
    </row>
    <row r="1002" spans="1:8" x14ac:dyDescent="0.2">
      <c r="A1002" s="9" t="s">
        <v>51</v>
      </c>
      <c r="C1002" t="str">
        <f t="shared" si="30"/>
        <v>"https://www.zeldadungeon.net/maps/totk/tiles/sky/6/22_50.jpg",</v>
      </c>
      <c r="H1002" t="str">
        <f t="shared" si="31"/>
        <v>22_50</v>
      </c>
    </row>
    <row r="1003" spans="1:8" x14ac:dyDescent="0.2">
      <c r="A1003" s="9" t="s">
        <v>51</v>
      </c>
      <c r="C1003" t="str">
        <f t="shared" si="30"/>
        <v>"https://www.zeldadungeon.net/maps/totk/tiles/sky/6/22_51.jpg",</v>
      </c>
      <c r="H1003" t="str">
        <f t="shared" si="31"/>
        <v>22_51</v>
      </c>
    </row>
    <row r="1004" spans="1:8" x14ac:dyDescent="0.2">
      <c r="A1004" s="9" t="s">
        <v>51</v>
      </c>
      <c r="C1004" t="str">
        <f t="shared" si="30"/>
        <v>"https://www.zeldadungeon.net/maps/totk/tiles/sky/6/22_52.jpg",</v>
      </c>
      <c r="H1004" t="str">
        <f t="shared" si="31"/>
        <v>22_52</v>
      </c>
    </row>
    <row r="1005" spans="1:8" x14ac:dyDescent="0.2">
      <c r="A1005" s="9" t="s">
        <v>51</v>
      </c>
      <c r="C1005" t="str">
        <f t="shared" si="30"/>
        <v>"https://www.zeldadungeon.net/maps/totk/tiles/sky/6/22_53.jpg",</v>
      </c>
      <c r="H1005" t="str">
        <f t="shared" si="31"/>
        <v>22_53</v>
      </c>
    </row>
    <row r="1006" spans="1:8" x14ac:dyDescent="0.2">
      <c r="A1006" s="9" t="s">
        <v>51</v>
      </c>
      <c r="C1006" t="str">
        <f t="shared" si="30"/>
        <v>"https://www.zeldadungeon.net/maps/totk/tiles/sky/6/22_54.jpg",</v>
      </c>
      <c r="H1006" t="str">
        <f t="shared" si="31"/>
        <v>22_54</v>
      </c>
    </row>
    <row r="1007" spans="1:8" x14ac:dyDescent="0.2">
      <c r="A1007" s="9" t="s">
        <v>51</v>
      </c>
      <c r="C1007" t="str">
        <f t="shared" si="30"/>
        <v>"https://www.zeldadungeon.net/maps/totk/tiles/sky/6/22_55.jpg",</v>
      </c>
      <c r="H1007" t="str">
        <f t="shared" si="31"/>
        <v>22_55</v>
      </c>
    </row>
    <row r="1008" spans="1:8" x14ac:dyDescent="0.2">
      <c r="A1008" s="9" t="s">
        <v>51</v>
      </c>
      <c r="C1008" t="str">
        <f t="shared" si="30"/>
        <v>"https://www.zeldadungeon.net/maps/totk/tiles/sky/6/23_8.jpg",</v>
      </c>
      <c r="H1008" t="str">
        <f t="shared" si="31"/>
        <v>23_8</v>
      </c>
    </row>
    <row r="1009" spans="1:8" x14ac:dyDescent="0.2">
      <c r="A1009" s="9" t="s">
        <v>51</v>
      </c>
      <c r="C1009" t="str">
        <f t="shared" si="30"/>
        <v>"https://www.zeldadungeon.net/maps/totk/tiles/sky/6/23_9.jpg",</v>
      </c>
      <c r="H1009" t="str">
        <f t="shared" si="31"/>
        <v>23_9</v>
      </c>
    </row>
    <row r="1010" spans="1:8" x14ac:dyDescent="0.2">
      <c r="A1010" s="9" t="s">
        <v>51</v>
      </c>
      <c r="C1010" t="str">
        <f t="shared" si="30"/>
        <v>"https://www.zeldadungeon.net/maps/totk/tiles/sky/6/23_10.jpg",</v>
      </c>
      <c r="H1010" t="str">
        <f t="shared" si="31"/>
        <v>23_10</v>
      </c>
    </row>
    <row r="1011" spans="1:8" x14ac:dyDescent="0.2">
      <c r="A1011" s="9" t="s">
        <v>51</v>
      </c>
      <c r="C1011" t="str">
        <f t="shared" si="30"/>
        <v>"https://www.zeldadungeon.net/maps/totk/tiles/sky/6/23_11.jpg",</v>
      </c>
      <c r="H1011" t="str">
        <f t="shared" si="31"/>
        <v>23_11</v>
      </c>
    </row>
    <row r="1012" spans="1:8" x14ac:dyDescent="0.2">
      <c r="A1012" s="9" t="s">
        <v>51</v>
      </c>
      <c r="C1012" t="str">
        <f t="shared" si="30"/>
        <v>"https://www.zeldadungeon.net/maps/totk/tiles/sky/6/23_12.jpg",</v>
      </c>
      <c r="H1012" t="str">
        <f t="shared" si="31"/>
        <v>23_12</v>
      </c>
    </row>
    <row r="1013" spans="1:8" x14ac:dyDescent="0.2">
      <c r="A1013" s="9" t="s">
        <v>51</v>
      </c>
      <c r="C1013" t="str">
        <f t="shared" si="30"/>
        <v>"https://www.zeldadungeon.net/maps/totk/tiles/sky/6/23_13.jpg",</v>
      </c>
      <c r="H1013" t="str">
        <f t="shared" si="31"/>
        <v>23_13</v>
      </c>
    </row>
    <row r="1014" spans="1:8" x14ac:dyDescent="0.2">
      <c r="A1014" s="9" t="s">
        <v>51</v>
      </c>
      <c r="C1014" t="str">
        <f t="shared" si="30"/>
        <v>"https://www.zeldadungeon.net/maps/totk/tiles/sky/6/23_14.jpg",</v>
      </c>
      <c r="H1014" t="str">
        <f t="shared" si="31"/>
        <v>23_14</v>
      </c>
    </row>
    <row r="1015" spans="1:8" x14ac:dyDescent="0.2">
      <c r="A1015" s="9" t="s">
        <v>51</v>
      </c>
      <c r="C1015" t="str">
        <f t="shared" si="30"/>
        <v>"https://www.zeldadungeon.net/maps/totk/tiles/sky/6/23_15.jpg",</v>
      </c>
      <c r="H1015" t="str">
        <f t="shared" si="31"/>
        <v>23_15</v>
      </c>
    </row>
    <row r="1016" spans="1:8" x14ac:dyDescent="0.2">
      <c r="A1016" s="9" t="s">
        <v>51</v>
      </c>
      <c r="C1016" t="str">
        <f t="shared" si="30"/>
        <v>"https://www.zeldadungeon.net/maps/totk/tiles/sky/6/23_16.jpg",</v>
      </c>
      <c r="H1016" t="str">
        <f t="shared" si="31"/>
        <v>23_16</v>
      </c>
    </row>
    <row r="1017" spans="1:8" x14ac:dyDescent="0.2">
      <c r="A1017" s="9" t="s">
        <v>51</v>
      </c>
      <c r="C1017" t="str">
        <f t="shared" si="30"/>
        <v>"https://www.zeldadungeon.net/maps/totk/tiles/sky/6/23_17.jpg",</v>
      </c>
      <c r="H1017" t="str">
        <f t="shared" si="31"/>
        <v>23_17</v>
      </c>
    </row>
    <row r="1018" spans="1:8" x14ac:dyDescent="0.2">
      <c r="A1018" s="9" t="s">
        <v>51</v>
      </c>
      <c r="C1018" t="str">
        <f t="shared" si="30"/>
        <v>"https://www.zeldadungeon.net/maps/totk/tiles/sky/6/23_18.jpg",</v>
      </c>
      <c r="H1018" t="str">
        <f t="shared" si="31"/>
        <v>23_18</v>
      </c>
    </row>
    <row r="1019" spans="1:8" x14ac:dyDescent="0.2">
      <c r="A1019" s="9" t="s">
        <v>51</v>
      </c>
      <c r="C1019" t="str">
        <f t="shared" si="30"/>
        <v>"https://www.zeldadungeon.net/maps/totk/tiles/sky/6/23_19.jpg",</v>
      </c>
      <c r="H1019" t="str">
        <f t="shared" si="31"/>
        <v>23_19</v>
      </c>
    </row>
    <row r="1020" spans="1:8" x14ac:dyDescent="0.2">
      <c r="A1020" s="9" t="s">
        <v>51</v>
      </c>
      <c r="C1020" t="str">
        <f t="shared" si="30"/>
        <v>"https://www.zeldadungeon.net/maps/totk/tiles/sky/6/23_20.jpg",</v>
      </c>
      <c r="H1020" t="str">
        <f t="shared" si="31"/>
        <v>23_20</v>
      </c>
    </row>
    <row r="1021" spans="1:8" x14ac:dyDescent="0.2">
      <c r="A1021" s="9" t="s">
        <v>51</v>
      </c>
      <c r="C1021" t="str">
        <f t="shared" si="30"/>
        <v>"https://www.zeldadungeon.net/maps/totk/tiles/sky/6/23_21.jpg",</v>
      </c>
      <c r="H1021" t="str">
        <f t="shared" si="31"/>
        <v>23_21</v>
      </c>
    </row>
    <row r="1022" spans="1:8" x14ac:dyDescent="0.2">
      <c r="A1022" s="9" t="s">
        <v>51</v>
      </c>
      <c r="C1022" t="str">
        <f t="shared" si="30"/>
        <v>"https://www.zeldadungeon.net/maps/totk/tiles/sky/6/23_22.jpg",</v>
      </c>
      <c r="H1022" t="str">
        <f t="shared" si="31"/>
        <v>23_22</v>
      </c>
    </row>
    <row r="1023" spans="1:8" x14ac:dyDescent="0.2">
      <c r="A1023" s="9" t="s">
        <v>51</v>
      </c>
      <c r="C1023" t="str">
        <f t="shared" si="30"/>
        <v>"https://www.zeldadungeon.net/maps/totk/tiles/sky/6/23_23.jpg",</v>
      </c>
      <c r="H1023" t="str">
        <f t="shared" si="31"/>
        <v>23_23</v>
      </c>
    </row>
    <row r="1024" spans="1:8" x14ac:dyDescent="0.2">
      <c r="A1024" s="9" t="s">
        <v>51</v>
      </c>
      <c r="C1024" t="str">
        <f t="shared" si="30"/>
        <v>"https://www.zeldadungeon.net/maps/totk/tiles/sky/6/23_24.jpg",</v>
      </c>
      <c r="H1024" t="str">
        <f t="shared" si="31"/>
        <v>23_24</v>
      </c>
    </row>
    <row r="1025" spans="1:8" x14ac:dyDescent="0.2">
      <c r="A1025" s="9" t="s">
        <v>51</v>
      </c>
      <c r="C1025" t="str">
        <f t="shared" ref="C1025:C1088" si="32">""""&amp;SUBSTITUTE(A1025,"zzz",H1025)&amp;""""&amp;","</f>
        <v>"https://www.zeldadungeon.net/maps/totk/tiles/sky/6/23_25.jpg",</v>
      </c>
      <c r="H1025" t="str">
        <f t="shared" ref="H1025:H1088" si="33">QUOTIENT(ROW(A1025),48)+2&amp;"_"&amp;MOD(ROW(A1025),48)+8</f>
        <v>23_25</v>
      </c>
    </row>
    <row r="1026" spans="1:8" x14ac:dyDescent="0.2">
      <c r="A1026" s="9" t="s">
        <v>51</v>
      </c>
      <c r="C1026" t="str">
        <f t="shared" si="32"/>
        <v>"https://www.zeldadungeon.net/maps/totk/tiles/sky/6/23_26.jpg",</v>
      </c>
      <c r="H1026" t="str">
        <f t="shared" si="33"/>
        <v>23_26</v>
      </c>
    </row>
    <row r="1027" spans="1:8" x14ac:dyDescent="0.2">
      <c r="A1027" s="9" t="s">
        <v>51</v>
      </c>
      <c r="C1027" t="str">
        <f t="shared" si="32"/>
        <v>"https://www.zeldadungeon.net/maps/totk/tiles/sky/6/23_27.jpg",</v>
      </c>
      <c r="H1027" t="str">
        <f t="shared" si="33"/>
        <v>23_27</v>
      </c>
    </row>
    <row r="1028" spans="1:8" x14ac:dyDescent="0.2">
      <c r="A1028" s="9" t="s">
        <v>51</v>
      </c>
      <c r="C1028" t="str">
        <f t="shared" si="32"/>
        <v>"https://www.zeldadungeon.net/maps/totk/tiles/sky/6/23_28.jpg",</v>
      </c>
      <c r="H1028" t="str">
        <f t="shared" si="33"/>
        <v>23_28</v>
      </c>
    </row>
    <row r="1029" spans="1:8" x14ac:dyDescent="0.2">
      <c r="A1029" s="9" t="s">
        <v>51</v>
      </c>
      <c r="C1029" t="str">
        <f t="shared" si="32"/>
        <v>"https://www.zeldadungeon.net/maps/totk/tiles/sky/6/23_29.jpg",</v>
      </c>
      <c r="H1029" t="str">
        <f t="shared" si="33"/>
        <v>23_29</v>
      </c>
    </row>
    <row r="1030" spans="1:8" x14ac:dyDescent="0.2">
      <c r="A1030" s="9" t="s">
        <v>51</v>
      </c>
      <c r="C1030" t="str">
        <f t="shared" si="32"/>
        <v>"https://www.zeldadungeon.net/maps/totk/tiles/sky/6/23_30.jpg",</v>
      </c>
      <c r="H1030" t="str">
        <f t="shared" si="33"/>
        <v>23_30</v>
      </c>
    </row>
    <row r="1031" spans="1:8" x14ac:dyDescent="0.2">
      <c r="A1031" s="9" t="s">
        <v>51</v>
      </c>
      <c r="C1031" t="str">
        <f t="shared" si="32"/>
        <v>"https://www.zeldadungeon.net/maps/totk/tiles/sky/6/23_31.jpg",</v>
      </c>
      <c r="H1031" t="str">
        <f t="shared" si="33"/>
        <v>23_31</v>
      </c>
    </row>
    <row r="1032" spans="1:8" x14ac:dyDescent="0.2">
      <c r="A1032" s="9" t="s">
        <v>51</v>
      </c>
      <c r="C1032" t="str">
        <f t="shared" si="32"/>
        <v>"https://www.zeldadungeon.net/maps/totk/tiles/sky/6/23_32.jpg",</v>
      </c>
      <c r="H1032" t="str">
        <f t="shared" si="33"/>
        <v>23_32</v>
      </c>
    </row>
    <row r="1033" spans="1:8" x14ac:dyDescent="0.2">
      <c r="A1033" s="9" t="s">
        <v>51</v>
      </c>
      <c r="C1033" t="str">
        <f t="shared" si="32"/>
        <v>"https://www.zeldadungeon.net/maps/totk/tiles/sky/6/23_33.jpg",</v>
      </c>
      <c r="H1033" t="str">
        <f t="shared" si="33"/>
        <v>23_33</v>
      </c>
    </row>
    <row r="1034" spans="1:8" x14ac:dyDescent="0.2">
      <c r="A1034" s="9" t="s">
        <v>51</v>
      </c>
      <c r="C1034" t="str">
        <f t="shared" si="32"/>
        <v>"https://www.zeldadungeon.net/maps/totk/tiles/sky/6/23_34.jpg",</v>
      </c>
      <c r="H1034" t="str">
        <f t="shared" si="33"/>
        <v>23_34</v>
      </c>
    </row>
    <row r="1035" spans="1:8" x14ac:dyDescent="0.2">
      <c r="A1035" s="9" t="s">
        <v>51</v>
      </c>
      <c r="C1035" t="str">
        <f t="shared" si="32"/>
        <v>"https://www.zeldadungeon.net/maps/totk/tiles/sky/6/23_35.jpg",</v>
      </c>
      <c r="H1035" t="str">
        <f t="shared" si="33"/>
        <v>23_35</v>
      </c>
    </row>
    <row r="1036" spans="1:8" x14ac:dyDescent="0.2">
      <c r="A1036" s="9" t="s">
        <v>51</v>
      </c>
      <c r="C1036" t="str">
        <f t="shared" si="32"/>
        <v>"https://www.zeldadungeon.net/maps/totk/tiles/sky/6/23_36.jpg",</v>
      </c>
      <c r="H1036" t="str">
        <f t="shared" si="33"/>
        <v>23_36</v>
      </c>
    </row>
    <row r="1037" spans="1:8" x14ac:dyDescent="0.2">
      <c r="A1037" s="9" t="s">
        <v>51</v>
      </c>
      <c r="C1037" t="str">
        <f t="shared" si="32"/>
        <v>"https://www.zeldadungeon.net/maps/totk/tiles/sky/6/23_37.jpg",</v>
      </c>
      <c r="H1037" t="str">
        <f t="shared" si="33"/>
        <v>23_37</v>
      </c>
    </row>
    <row r="1038" spans="1:8" x14ac:dyDescent="0.2">
      <c r="A1038" s="9" t="s">
        <v>51</v>
      </c>
      <c r="C1038" t="str">
        <f t="shared" si="32"/>
        <v>"https://www.zeldadungeon.net/maps/totk/tiles/sky/6/23_38.jpg",</v>
      </c>
      <c r="H1038" t="str">
        <f t="shared" si="33"/>
        <v>23_38</v>
      </c>
    </row>
    <row r="1039" spans="1:8" x14ac:dyDescent="0.2">
      <c r="A1039" s="9" t="s">
        <v>51</v>
      </c>
      <c r="C1039" t="str">
        <f t="shared" si="32"/>
        <v>"https://www.zeldadungeon.net/maps/totk/tiles/sky/6/23_39.jpg",</v>
      </c>
      <c r="H1039" t="str">
        <f t="shared" si="33"/>
        <v>23_39</v>
      </c>
    </row>
    <row r="1040" spans="1:8" x14ac:dyDescent="0.2">
      <c r="A1040" s="9" t="s">
        <v>51</v>
      </c>
      <c r="C1040" t="str">
        <f t="shared" si="32"/>
        <v>"https://www.zeldadungeon.net/maps/totk/tiles/sky/6/23_40.jpg",</v>
      </c>
      <c r="H1040" t="str">
        <f t="shared" si="33"/>
        <v>23_40</v>
      </c>
    </row>
    <row r="1041" spans="1:8" x14ac:dyDescent="0.2">
      <c r="A1041" s="9" t="s">
        <v>51</v>
      </c>
      <c r="C1041" t="str">
        <f t="shared" si="32"/>
        <v>"https://www.zeldadungeon.net/maps/totk/tiles/sky/6/23_41.jpg",</v>
      </c>
      <c r="H1041" t="str">
        <f t="shared" si="33"/>
        <v>23_41</v>
      </c>
    </row>
    <row r="1042" spans="1:8" x14ac:dyDescent="0.2">
      <c r="A1042" s="9" t="s">
        <v>51</v>
      </c>
      <c r="C1042" t="str">
        <f t="shared" si="32"/>
        <v>"https://www.zeldadungeon.net/maps/totk/tiles/sky/6/23_42.jpg",</v>
      </c>
      <c r="H1042" t="str">
        <f t="shared" si="33"/>
        <v>23_42</v>
      </c>
    </row>
    <row r="1043" spans="1:8" x14ac:dyDescent="0.2">
      <c r="A1043" s="9" t="s">
        <v>51</v>
      </c>
      <c r="C1043" t="str">
        <f t="shared" si="32"/>
        <v>"https://www.zeldadungeon.net/maps/totk/tiles/sky/6/23_43.jpg",</v>
      </c>
      <c r="H1043" t="str">
        <f t="shared" si="33"/>
        <v>23_43</v>
      </c>
    </row>
    <row r="1044" spans="1:8" x14ac:dyDescent="0.2">
      <c r="A1044" s="9" t="s">
        <v>51</v>
      </c>
      <c r="C1044" t="str">
        <f t="shared" si="32"/>
        <v>"https://www.zeldadungeon.net/maps/totk/tiles/sky/6/23_44.jpg",</v>
      </c>
      <c r="H1044" t="str">
        <f t="shared" si="33"/>
        <v>23_44</v>
      </c>
    </row>
    <row r="1045" spans="1:8" x14ac:dyDescent="0.2">
      <c r="A1045" s="9" t="s">
        <v>51</v>
      </c>
      <c r="C1045" t="str">
        <f t="shared" si="32"/>
        <v>"https://www.zeldadungeon.net/maps/totk/tiles/sky/6/23_45.jpg",</v>
      </c>
      <c r="H1045" t="str">
        <f t="shared" si="33"/>
        <v>23_45</v>
      </c>
    </row>
    <row r="1046" spans="1:8" x14ac:dyDescent="0.2">
      <c r="A1046" s="9" t="s">
        <v>51</v>
      </c>
      <c r="C1046" t="str">
        <f t="shared" si="32"/>
        <v>"https://www.zeldadungeon.net/maps/totk/tiles/sky/6/23_46.jpg",</v>
      </c>
      <c r="H1046" t="str">
        <f t="shared" si="33"/>
        <v>23_46</v>
      </c>
    </row>
    <row r="1047" spans="1:8" x14ac:dyDescent="0.2">
      <c r="A1047" s="9" t="s">
        <v>51</v>
      </c>
      <c r="C1047" t="str">
        <f t="shared" si="32"/>
        <v>"https://www.zeldadungeon.net/maps/totk/tiles/sky/6/23_47.jpg",</v>
      </c>
      <c r="H1047" t="str">
        <f t="shared" si="33"/>
        <v>23_47</v>
      </c>
    </row>
    <row r="1048" spans="1:8" x14ac:dyDescent="0.2">
      <c r="A1048" s="9" t="s">
        <v>51</v>
      </c>
      <c r="C1048" t="str">
        <f t="shared" si="32"/>
        <v>"https://www.zeldadungeon.net/maps/totk/tiles/sky/6/23_48.jpg",</v>
      </c>
      <c r="H1048" t="str">
        <f t="shared" si="33"/>
        <v>23_48</v>
      </c>
    </row>
    <row r="1049" spans="1:8" x14ac:dyDescent="0.2">
      <c r="A1049" s="9" t="s">
        <v>51</v>
      </c>
      <c r="C1049" t="str">
        <f t="shared" si="32"/>
        <v>"https://www.zeldadungeon.net/maps/totk/tiles/sky/6/23_49.jpg",</v>
      </c>
      <c r="H1049" t="str">
        <f t="shared" si="33"/>
        <v>23_49</v>
      </c>
    </row>
    <row r="1050" spans="1:8" x14ac:dyDescent="0.2">
      <c r="A1050" s="9" t="s">
        <v>51</v>
      </c>
      <c r="C1050" t="str">
        <f t="shared" si="32"/>
        <v>"https://www.zeldadungeon.net/maps/totk/tiles/sky/6/23_50.jpg",</v>
      </c>
      <c r="H1050" t="str">
        <f t="shared" si="33"/>
        <v>23_50</v>
      </c>
    </row>
    <row r="1051" spans="1:8" x14ac:dyDescent="0.2">
      <c r="A1051" s="9" t="s">
        <v>51</v>
      </c>
      <c r="C1051" t="str">
        <f t="shared" si="32"/>
        <v>"https://www.zeldadungeon.net/maps/totk/tiles/sky/6/23_51.jpg",</v>
      </c>
      <c r="H1051" t="str">
        <f t="shared" si="33"/>
        <v>23_51</v>
      </c>
    </row>
    <row r="1052" spans="1:8" x14ac:dyDescent="0.2">
      <c r="A1052" s="9" t="s">
        <v>51</v>
      </c>
      <c r="C1052" t="str">
        <f t="shared" si="32"/>
        <v>"https://www.zeldadungeon.net/maps/totk/tiles/sky/6/23_52.jpg",</v>
      </c>
      <c r="H1052" t="str">
        <f t="shared" si="33"/>
        <v>23_52</v>
      </c>
    </row>
    <row r="1053" spans="1:8" x14ac:dyDescent="0.2">
      <c r="A1053" s="9" t="s">
        <v>51</v>
      </c>
      <c r="C1053" t="str">
        <f t="shared" si="32"/>
        <v>"https://www.zeldadungeon.net/maps/totk/tiles/sky/6/23_53.jpg",</v>
      </c>
      <c r="H1053" t="str">
        <f t="shared" si="33"/>
        <v>23_53</v>
      </c>
    </row>
    <row r="1054" spans="1:8" x14ac:dyDescent="0.2">
      <c r="A1054" s="9" t="s">
        <v>51</v>
      </c>
      <c r="C1054" t="str">
        <f t="shared" si="32"/>
        <v>"https://www.zeldadungeon.net/maps/totk/tiles/sky/6/23_54.jpg",</v>
      </c>
      <c r="H1054" t="str">
        <f t="shared" si="33"/>
        <v>23_54</v>
      </c>
    </row>
    <row r="1055" spans="1:8" x14ac:dyDescent="0.2">
      <c r="A1055" s="9" t="s">
        <v>51</v>
      </c>
      <c r="C1055" t="str">
        <f t="shared" si="32"/>
        <v>"https://www.zeldadungeon.net/maps/totk/tiles/sky/6/23_55.jpg",</v>
      </c>
      <c r="H1055" t="str">
        <f t="shared" si="33"/>
        <v>23_55</v>
      </c>
    </row>
    <row r="1056" spans="1:8" x14ac:dyDescent="0.2">
      <c r="A1056" s="9" t="s">
        <v>51</v>
      </c>
      <c r="C1056" t="str">
        <f t="shared" si="32"/>
        <v>"https://www.zeldadungeon.net/maps/totk/tiles/sky/6/24_8.jpg",</v>
      </c>
      <c r="H1056" t="str">
        <f t="shared" si="33"/>
        <v>24_8</v>
      </c>
    </row>
    <row r="1057" spans="1:8" x14ac:dyDescent="0.2">
      <c r="A1057" s="9" t="s">
        <v>51</v>
      </c>
      <c r="C1057" t="str">
        <f t="shared" si="32"/>
        <v>"https://www.zeldadungeon.net/maps/totk/tiles/sky/6/24_9.jpg",</v>
      </c>
      <c r="H1057" t="str">
        <f t="shared" si="33"/>
        <v>24_9</v>
      </c>
    </row>
    <row r="1058" spans="1:8" x14ac:dyDescent="0.2">
      <c r="A1058" s="9" t="s">
        <v>51</v>
      </c>
      <c r="C1058" t="str">
        <f t="shared" si="32"/>
        <v>"https://www.zeldadungeon.net/maps/totk/tiles/sky/6/24_10.jpg",</v>
      </c>
      <c r="H1058" t="str">
        <f t="shared" si="33"/>
        <v>24_10</v>
      </c>
    </row>
    <row r="1059" spans="1:8" x14ac:dyDescent="0.2">
      <c r="A1059" s="9" t="s">
        <v>51</v>
      </c>
      <c r="C1059" t="str">
        <f t="shared" si="32"/>
        <v>"https://www.zeldadungeon.net/maps/totk/tiles/sky/6/24_11.jpg",</v>
      </c>
      <c r="H1059" t="str">
        <f t="shared" si="33"/>
        <v>24_11</v>
      </c>
    </row>
    <row r="1060" spans="1:8" x14ac:dyDescent="0.2">
      <c r="A1060" s="9" t="s">
        <v>51</v>
      </c>
      <c r="C1060" t="str">
        <f t="shared" si="32"/>
        <v>"https://www.zeldadungeon.net/maps/totk/tiles/sky/6/24_12.jpg",</v>
      </c>
      <c r="H1060" t="str">
        <f t="shared" si="33"/>
        <v>24_12</v>
      </c>
    </row>
    <row r="1061" spans="1:8" x14ac:dyDescent="0.2">
      <c r="A1061" s="9" t="s">
        <v>51</v>
      </c>
      <c r="C1061" t="str">
        <f t="shared" si="32"/>
        <v>"https://www.zeldadungeon.net/maps/totk/tiles/sky/6/24_13.jpg",</v>
      </c>
      <c r="H1061" t="str">
        <f t="shared" si="33"/>
        <v>24_13</v>
      </c>
    </row>
    <row r="1062" spans="1:8" x14ac:dyDescent="0.2">
      <c r="A1062" s="9" t="s">
        <v>51</v>
      </c>
      <c r="C1062" t="str">
        <f t="shared" si="32"/>
        <v>"https://www.zeldadungeon.net/maps/totk/tiles/sky/6/24_14.jpg",</v>
      </c>
      <c r="H1062" t="str">
        <f t="shared" si="33"/>
        <v>24_14</v>
      </c>
    </row>
    <row r="1063" spans="1:8" x14ac:dyDescent="0.2">
      <c r="A1063" s="9" t="s">
        <v>51</v>
      </c>
      <c r="C1063" t="str">
        <f t="shared" si="32"/>
        <v>"https://www.zeldadungeon.net/maps/totk/tiles/sky/6/24_15.jpg",</v>
      </c>
      <c r="H1063" t="str">
        <f t="shared" si="33"/>
        <v>24_15</v>
      </c>
    </row>
    <row r="1064" spans="1:8" x14ac:dyDescent="0.2">
      <c r="A1064" s="9" t="s">
        <v>51</v>
      </c>
      <c r="C1064" t="str">
        <f t="shared" si="32"/>
        <v>"https://www.zeldadungeon.net/maps/totk/tiles/sky/6/24_16.jpg",</v>
      </c>
      <c r="H1064" t="str">
        <f t="shared" si="33"/>
        <v>24_16</v>
      </c>
    </row>
    <row r="1065" spans="1:8" x14ac:dyDescent="0.2">
      <c r="A1065" s="9" t="s">
        <v>51</v>
      </c>
      <c r="C1065" t="str">
        <f t="shared" si="32"/>
        <v>"https://www.zeldadungeon.net/maps/totk/tiles/sky/6/24_17.jpg",</v>
      </c>
      <c r="H1065" t="str">
        <f t="shared" si="33"/>
        <v>24_17</v>
      </c>
    </row>
    <row r="1066" spans="1:8" x14ac:dyDescent="0.2">
      <c r="A1066" s="9" t="s">
        <v>51</v>
      </c>
      <c r="C1066" t="str">
        <f t="shared" si="32"/>
        <v>"https://www.zeldadungeon.net/maps/totk/tiles/sky/6/24_18.jpg",</v>
      </c>
      <c r="H1066" t="str">
        <f t="shared" si="33"/>
        <v>24_18</v>
      </c>
    </row>
    <row r="1067" spans="1:8" x14ac:dyDescent="0.2">
      <c r="A1067" s="9" t="s">
        <v>51</v>
      </c>
      <c r="C1067" t="str">
        <f t="shared" si="32"/>
        <v>"https://www.zeldadungeon.net/maps/totk/tiles/sky/6/24_19.jpg",</v>
      </c>
      <c r="H1067" t="str">
        <f t="shared" si="33"/>
        <v>24_19</v>
      </c>
    </row>
    <row r="1068" spans="1:8" x14ac:dyDescent="0.2">
      <c r="A1068" s="9" t="s">
        <v>51</v>
      </c>
      <c r="C1068" t="str">
        <f t="shared" si="32"/>
        <v>"https://www.zeldadungeon.net/maps/totk/tiles/sky/6/24_20.jpg",</v>
      </c>
      <c r="H1068" t="str">
        <f t="shared" si="33"/>
        <v>24_20</v>
      </c>
    </row>
    <row r="1069" spans="1:8" x14ac:dyDescent="0.2">
      <c r="A1069" s="9" t="s">
        <v>51</v>
      </c>
      <c r="C1069" t="str">
        <f t="shared" si="32"/>
        <v>"https://www.zeldadungeon.net/maps/totk/tiles/sky/6/24_21.jpg",</v>
      </c>
      <c r="H1069" t="str">
        <f t="shared" si="33"/>
        <v>24_21</v>
      </c>
    </row>
    <row r="1070" spans="1:8" x14ac:dyDescent="0.2">
      <c r="A1070" s="9" t="s">
        <v>51</v>
      </c>
      <c r="C1070" t="str">
        <f t="shared" si="32"/>
        <v>"https://www.zeldadungeon.net/maps/totk/tiles/sky/6/24_22.jpg",</v>
      </c>
      <c r="H1070" t="str">
        <f t="shared" si="33"/>
        <v>24_22</v>
      </c>
    </row>
    <row r="1071" spans="1:8" x14ac:dyDescent="0.2">
      <c r="A1071" s="9" t="s">
        <v>51</v>
      </c>
      <c r="C1071" t="str">
        <f t="shared" si="32"/>
        <v>"https://www.zeldadungeon.net/maps/totk/tiles/sky/6/24_23.jpg",</v>
      </c>
      <c r="H1071" t="str">
        <f t="shared" si="33"/>
        <v>24_23</v>
      </c>
    </row>
    <row r="1072" spans="1:8" x14ac:dyDescent="0.2">
      <c r="A1072" s="9" t="s">
        <v>51</v>
      </c>
      <c r="C1072" t="str">
        <f t="shared" si="32"/>
        <v>"https://www.zeldadungeon.net/maps/totk/tiles/sky/6/24_24.jpg",</v>
      </c>
      <c r="H1072" t="str">
        <f t="shared" si="33"/>
        <v>24_24</v>
      </c>
    </row>
    <row r="1073" spans="1:8" x14ac:dyDescent="0.2">
      <c r="A1073" s="9" t="s">
        <v>51</v>
      </c>
      <c r="C1073" t="str">
        <f t="shared" si="32"/>
        <v>"https://www.zeldadungeon.net/maps/totk/tiles/sky/6/24_25.jpg",</v>
      </c>
      <c r="H1073" t="str">
        <f t="shared" si="33"/>
        <v>24_25</v>
      </c>
    </row>
    <row r="1074" spans="1:8" x14ac:dyDescent="0.2">
      <c r="A1074" s="9" t="s">
        <v>51</v>
      </c>
      <c r="C1074" t="str">
        <f t="shared" si="32"/>
        <v>"https://www.zeldadungeon.net/maps/totk/tiles/sky/6/24_26.jpg",</v>
      </c>
      <c r="H1074" t="str">
        <f t="shared" si="33"/>
        <v>24_26</v>
      </c>
    </row>
    <row r="1075" spans="1:8" x14ac:dyDescent="0.2">
      <c r="A1075" s="9" t="s">
        <v>51</v>
      </c>
      <c r="C1075" t="str">
        <f t="shared" si="32"/>
        <v>"https://www.zeldadungeon.net/maps/totk/tiles/sky/6/24_27.jpg",</v>
      </c>
      <c r="H1075" t="str">
        <f t="shared" si="33"/>
        <v>24_27</v>
      </c>
    </row>
    <row r="1076" spans="1:8" x14ac:dyDescent="0.2">
      <c r="A1076" s="9" t="s">
        <v>51</v>
      </c>
      <c r="C1076" t="str">
        <f t="shared" si="32"/>
        <v>"https://www.zeldadungeon.net/maps/totk/tiles/sky/6/24_28.jpg",</v>
      </c>
      <c r="H1076" t="str">
        <f t="shared" si="33"/>
        <v>24_28</v>
      </c>
    </row>
    <row r="1077" spans="1:8" x14ac:dyDescent="0.2">
      <c r="A1077" s="9" t="s">
        <v>51</v>
      </c>
      <c r="C1077" t="str">
        <f t="shared" si="32"/>
        <v>"https://www.zeldadungeon.net/maps/totk/tiles/sky/6/24_29.jpg",</v>
      </c>
      <c r="H1077" t="str">
        <f t="shared" si="33"/>
        <v>24_29</v>
      </c>
    </row>
    <row r="1078" spans="1:8" x14ac:dyDescent="0.2">
      <c r="A1078" s="9" t="s">
        <v>51</v>
      </c>
      <c r="C1078" t="str">
        <f t="shared" si="32"/>
        <v>"https://www.zeldadungeon.net/maps/totk/tiles/sky/6/24_30.jpg",</v>
      </c>
      <c r="H1078" t="str">
        <f t="shared" si="33"/>
        <v>24_30</v>
      </c>
    </row>
    <row r="1079" spans="1:8" x14ac:dyDescent="0.2">
      <c r="A1079" s="9" t="s">
        <v>51</v>
      </c>
      <c r="C1079" t="str">
        <f t="shared" si="32"/>
        <v>"https://www.zeldadungeon.net/maps/totk/tiles/sky/6/24_31.jpg",</v>
      </c>
      <c r="H1079" t="str">
        <f t="shared" si="33"/>
        <v>24_31</v>
      </c>
    </row>
    <row r="1080" spans="1:8" x14ac:dyDescent="0.2">
      <c r="A1080" s="9" t="s">
        <v>51</v>
      </c>
      <c r="C1080" t="str">
        <f t="shared" si="32"/>
        <v>"https://www.zeldadungeon.net/maps/totk/tiles/sky/6/24_32.jpg",</v>
      </c>
      <c r="H1080" t="str">
        <f t="shared" si="33"/>
        <v>24_32</v>
      </c>
    </row>
    <row r="1081" spans="1:8" x14ac:dyDescent="0.2">
      <c r="A1081" s="9" t="s">
        <v>51</v>
      </c>
      <c r="C1081" t="str">
        <f t="shared" si="32"/>
        <v>"https://www.zeldadungeon.net/maps/totk/tiles/sky/6/24_33.jpg",</v>
      </c>
      <c r="H1081" t="str">
        <f t="shared" si="33"/>
        <v>24_33</v>
      </c>
    </row>
    <row r="1082" spans="1:8" x14ac:dyDescent="0.2">
      <c r="A1082" s="9" t="s">
        <v>51</v>
      </c>
      <c r="C1082" t="str">
        <f t="shared" si="32"/>
        <v>"https://www.zeldadungeon.net/maps/totk/tiles/sky/6/24_34.jpg",</v>
      </c>
      <c r="H1082" t="str">
        <f t="shared" si="33"/>
        <v>24_34</v>
      </c>
    </row>
    <row r="1083" spans="1:8" x14ac:dyDescent="0.2">
      <c r="A1083" s="9" t="s">
        <v>51</v>
      </c>
      <c r="C1083" t="str">
        <f t="shared" si="32"/>
        <v>"https://www.zeldadungeon.net/maps/totk/tiles/sky/6/24_35.jpg",</v>
      </c>
      <c r="H1083" t="str">
        <f t="shared" si="33"/>
        <v>24_35</v>
      </c>
    </row>
    <row r="1084" spans="1:8" x14ac:dyDescent="0.2">
      <c r="A1084" s="9" t="s">
        <v>51</v>
      </c>
      <c r="C1084" t="str">
        <f t="shared" si="32"/>
        <v>"https://www.zeldadungeon.net/maps/totk/tiles/sky/6/24_36.jpg",</v>
      </c>
      <c r="H1084" t="str">
        <f t="shared" si="33"/>
        <v>24_36</v>
      </c>
    </row>
    <row r="1085" spans="1:8" x14ac:dyDescent="0.2">
      <c r="A1085" s="9" t="s">
        <v>51</v>
      </c>
      <c r="C1085" t="str">
        <f t="shared" si="32"/>
        <v>"https://www.zeldadungeon.net/maps/totk/tiles/sky/6/24_37.jpg",</v>
      </c>
      <c r="H1085" t="str">
        <f t="shared" si="33"/>
        <v>24_37</v>
      </c>
    </row>
    <row r="1086" spans="1:8" x14ac:dyDescent="0.2">
      <c r="A1086" s="9" t="s">
        <v>51</v>
      </c>
      <c r="C1086" t="str">
        <f t="shared" si="32"/>
        <v>"https://www.zeldadungeon.net/maps/totk/tiles/sky/6/24_38.jpg",</v>
      </c>
      <c r="H1086" t="str">
        <f t="shared" si="33"/>
        <v>24_38</v>
      </c>
    </row>
    <row r="1087" spans="1:8" x14ac:dyDescent="0.2">
      <c r="A1087" s="9" t="s">
        <v>51</v>
      </c>
      <c r="C1087" t="str">
        <f t="shared" si="32"/>
        <v>"https://www.zeldadungeon.net/maps/totk/tiles/sky/6/24_39.jpg",</v>
      </c>
      <c r="H1087" t="str">
        <f t="shared" si="33"/>
        <v>24_39</v>
      </c>
    </row>
    <row r="1088" spans="1:8" x14ac:dyDescent="0.2">
      <c r="A1088" s="9" t="s">
        <v>51</v>
      </c>
      <c r="C1088" t="str">
        <f t="shared" si="32"/>
        <v>"https://www.zeldadungeon.net/maps/totk/tiles/sky/6/24_40.jpg",</v>
      </c>
      <c r="H1088" t="str">
        <f t="shared" si="33"/>
        <v>24_40</v>
      </c>
    </row>
    <row r="1089" spans="1:8" x14ac:dyDescent="0.2">
      <c r="A1089" s="9" t="s">
        <v>51</v>
      </c>
      <c r="C1089" t="str">
        <f t="shared" ref="C1089:C1152" si="34">""""&amp;SUBSTITUTE(A1089,"zzz",H1089)&amp;""""&amp;","</f>
        <v>"https://www.zeldadungeon.net/maps/totk/tiles/sky/6/24_41.jpg",</v>
      </c>
      <c r="H1089" t="str">
        <f t="shared" ref="H1089:H1152" si="35">QUOTIENT(ROW(A1089),48)+2&amp;"_"&amp;MOD(ROW(A1089),48)+8</f>
        <v>24_41</v>
      </c>
    </row>
    <row r="1090" spans="1:8" x14ac:dyDescent="0.2">
      <c r="A1090" s="9" t="s">
        <v>51</v>
      </c>
      <c r="C1090" t="str">
        <f t="shared" si="34"/>
        <v>"https://www.zeldadungeon.net/maps/totk/tiles/sky/6/24_42.jpg",</v>
      </c>
      <c r="H1090" t="str">
        <f t="shared" si="35"/>
        <v>24_42</v>
      </c>
    </row>
    <row r="1091" spans="1:8" x14ac:dyDescent="0.2">
      <c r="A1091" s="9" t="s">
        <v>51</v>
      </c>
      <c r="C1091" t="str">
        <f t="shared" si="34"/>
        <v>"https://www.zeldadungeon.net/maps/totk/tiles/sky/6/24_43.jpg",</v>
      </c>
      <c r="H1091" t="str">
        <f t="shared" si="35"/>
        <v>24_43</v>
      </c>
    </row>
    <row r="1092" spans="1:8" x14ac:dyDescent="0.2">
      <c r="A1092" s="9" t="s">
        <v>51</v>
      </c>
      <c r="C1092" t="str">
        <f t="shared" si="34"/>
        <v>"https://www.zeldadungeon.net/maps/totk/tiles/sky/6/24_44.jpg",</v>
      </c>
      <c r="H1092" t="str">
        <f t="shared" si="35"/>
        <v>24_44</v>
      </c>
    </row>
    <row r="1093" spans="1:8" x14ac:dyDescent="0.2">
      <c r="A1093" s="9" t="s">
        <v>51</v>
      </c>
      <c r="C1093" t="str">
        <f t="shared" si="34"/>
        <v>"https://www.zeldadungeon.net/maps/totk/tiles/sky/6/24_45.jpg",</v>
      </c>
      <c r="H1093" t="str">
        <f t="shared" si="35"/>
        <v>24_45</v>
      </c>
    </row>
    <row r="1094" spans="1:8" x14ac:dyDescent="0.2">
      <c r="A1094" s="9" t="s">
        <v>51</v>
      </c>
      <c r="C1094" t="str">
        <f t="shared" si="34"/>
        <v>"https://www.zeldadungeon.net/maps/totk/tiles/sky/6/24_46.jpg",</v>
      </c>
      <c r="H1094" t="str">
        <f t="shared" si="35"/>
        <v>24_46</v>
      </c>
    </row>
    <row r="1095" spans="1:8" x14ac:dyDescent="0.2">
      <c r="A1095" s="9" t="s">
        <v>51</v>
      </c>
      <c r="C1095" t="str">
        <f t="shared" si="34"/>
        <v>"https://www.zeldadungeon.net/maps/totk/tiles/sky/6/24_47.jpg",</v>
      </c>
      <c r="H1095" t="str">
        <f t="shared" si="35"/>
        <v>24_47</v>
      </c>
    </row>
    <row r="1096" spans="1:8" x14ac:dyDescent="0.2">
      <c r="A1096" s="9" t="s">
        <v>51</v>
      </c>
      <c r="C1096" t="str">
        <f t="shared" si="34"/>
        <v>"https://www.zeldadungeon.net/maps/totk/tiles/sky/6/24_48.jpg",</v>
      </c>
      <c r="H1096" t="str">
        <f t="shared" si="35"/>
        <v>24_48</v>
      </c>
    </row>
    <row r="1097" spans="1:8" x14ac:dyDescent="0.2">
      <c r="A1097" s="9" t="s">
        <v>51</v>
      </c>
      <c r="C1097" t="str">
        <f t="shared" si="34"/>
        <v>"https://www.zeldadungeon.net/maps/totk/tiles/sky/6/24_49.jpg",</v>
      </c>
      <c r="H1097" t="str">
        <f t="shared" si="35"/>
        <v>24_49</v>
      </c>
    </row>
    <row r="1098" spans="1:8" x14ac:dyDescent="0.2">
      <c r="A1098" s="9" t="s">
        <v>51</v>
      </c>
      <c r="C1098" t="str">
        <f t="shared" si="34"/>
        <v>"https://www.zeldadungeon.net/maps/totk/tiles/sky/6/24_50.jpg",</v>
      </c>
      <c r="H1098" t="str">
        <f t="shared" si="35"/>
        <v>24_50</v>
      </c>
    </row>
    <row r="1099" spans="1:8" x14ac:dyDescent="0.2">
      <c r="A1099" s="9" t="s">
        <v>51</v>
      </c>
      <c r="C1099" t="str">
        <f t="shared" si="34"/>
        <v>"https://www.zeldadungeon.net/maps/totk/tiles/sky/6/24_51.jpg",</v>
      </c>
      <c r="H1099" t="str">
        <f t="shared" si="35"/>
        <v>24_51</v>
      </c>
    </row>
    <row r="1100" spans="1:8" x14ac:dyDescent="0.2">
      <c r="A1100" s="9" t="s">
        <v>51</v>
      </c>
      <c r="C1100" t="str">
        <f t="shared" si="34"/>
        <v>"https://www.zeldadungeon.net/maps/totk/tiles/sky/6/24_52.jpg",</v>
      </c>
      <c r="H1100" t="str">
        <f t="shared" si="35"/>
        <v>24_52</v>
      </c>
    </row>
    <row r="1101" spans="1:8" x14ac:dyDescent="0.2">
      <c r="A1101" s="9" t="s">
        <v>51</v>
      </c>
      <c r="C1101" t="str">
        <f t="shared" si="34"/>
        <v>"https://www.zeldadungeon.net/maps/totk/tiles/sky/6/24_53.jpg",</v>
      </c>
      <c r="H1101" t="str">
        <f t="shared" si="35"/>
        <v>24_53</v>
      </c>
    </row>
    <row r="1102" spans="1:8" x14ac:dyDescent="0.2">
      <c r="A1102" s="9" t="s">
        <v>51</v>
      </c>
      <c r="C1102" t="str">
        <f t="shared" si="34"/>
        <v>"https://www.zeldadungeon.net/maps/totk/tiles/sky/6/24_54.jpg",</v>
      </c>
      <c r="H1102" t="str">
        <f t="shared" si="35"/>
        <v>24_54</v>
      </c>
    </row>
    <row r="1103" spans="1:8" x14ac:dyDescent="0.2">
      <c r="A1103" s="9" t="s">
        <v>51</v>
      </c>
      <c r="C1103" t="str">
        <f t="shared" si="34"/>
        <v>"https://www.zeldadungeon.net/maps/totk/tiles/sky/6/24_55.jpg",</v>
      </c>
      <c r="H1103" t="str">
        <f t="shared" si="35"/>
        <v>24_55</v>
      </c>
    </row>
    <row r="1104" spans="1:8" x14ac:dyDescent="0.2">
      <c r="A1104" s="9" t="s">
        <v>51</v>
      </c>
      <c r="C1104" t="str">
        <f t="shared" si="34"/>
        <v>"https://www.zeldadungeon.net/maps/totk/tiles/sky/6/25_8.jpg",</v>
      </c>
      <c r="H1104" t="str">
        <f t="shared" si="35"/>
        <v>25_8</v>
      </c>
    </row>
    <row r="1105" spans="1:8" x14ac:dyDescent="0.2">
      <c r="A1105" s="9" t="s">
        <v>51</v>
      </c>
      <c r="C1105" t="str">
        <f t="shared" si="34"/>
        <v>"https://www.zeldadungeon.net/maps/totk/tiles/sky/6/25_9.jpg",</v>
      </c>
      <c r="H1105" t="str">
        <f t="shared" si="35"/>
        <v>25_9</v>
      </c>
    </row>
    <row r="1106" spans="1:8" x14ac:dyDescent="0.2">
      <c r="A1106" s="9" t="s">
        <v>51</v>
      </c>
      <c r="C1106" t="str">
        <f t="shared" si="34"/>
        <v>"https://www.zeldadungeon.net/maps/totk/tiles/sky/6/25_10.jpg",</v>
      </c>
      <c r="H1106" t="str">
        <f t="shared" si="35"/>
        <v>25_10</v>
      </c>
    </row>
    <row r="1107" spans="1:8" x14ac:dyDescent="0.2">
      <c r="A1107" s="9" t="s">
        <v>51</v>
      </c>
      <c r="C1107" t="str">
        <f t="shared" si="34"/>
        <v>"https://www.zeldadungeon.net/maps/totk/tiles/sky/6/25_11.jpg",</v>
      </c>
      <c r="H1107" t="str">
        <f t="shared" si="35"/>
        <v>25_11</v>
      </c>
    </row>
    <row r="1108" spans="1:8" x14ac:dyDescent="0.2">
      <c r="A1108" s="9" t="s">
        <v>51</v>
      </c>
      <c r="C1108" t="str">
        <f t="shared" si="34"/>
        <v>"https://www.zeldadungeon.net/maps/totk/tiles/sky/6/25_12.jpg",</v>
      </c>
      <c r="H1108" t="str">
        <f t="shared" si="35"/>
        <v>25_12</v>
      </c>
    </row>
    <row r="1109" spans="1:8" x14ac:dyDescent="0.2">
      <c r="A1109" s="9" t="s">
        <v>51</v>
      </c>
      <c r="C1109" t="str">
        <f t="shared" si="34"/>
        <v>"https://www.zeldadungeon.net/maps/totk/tiles/sky/6/25_13.jpg",</v>
      </c>
      <c r="H1109" t="str">
        <f t="shared" si="35"/>
        <v>25_13</v>
      </c>
    </row>
    <row r="1110" spans="1:8" x14ac:dyDescent="0.2">
      <c r="A1110" s="9" t="s">
        <v>51</v>
      </c>
      <c r="C1110" t="str">
        <f t="shared" si="34"/>
        <v>"https://www.zeldadungeon.net/maps/totk/tiles/sky/6/25_14.jpg",</v>
      </c>
      <c r="H1110" t="str">
        <f t="shared" si="35"/>
        <v>25_14</v>
      </c>
    </row>
    <row r="1111" spans="1:8" x14ac:dyDescent="0.2">
      <c r="A1111" s="9" t="s">
        <v>51</v>
      </c>
      <c r="C1111" t="str">
        <f t="shared" si="34"/>
        <v>"https://www.zeldadungeon.net/maps/totk/tiles/sky/6/25_15.jpg",</v>
      </c>
      <c r="H1111" t="str">
        <f t="shared" si="35"/>
        <v>25_15</v>
      </c>
    </row>
    <row r="1112" spans="1:8" x14ac:dyDescent="0.2">
      <c r="A1112" s="9" t="s">
        <v>51</v>
      </c>
      <c r="C1112" t="str">
        <f t="shared" si="34"/>
        <v>"https://www.zeldadungeon.net/maps/totk/tiles/sky/6/25_16.jpg",</v>
      </c>
      <c r="H1112" t="str">
        <f t="shared" si="35"/>
        <v>25_16</v>
      </c>
    </row>
    <row r="1113" spans="1:8" x14ac:dyDescent="0.2">
      <c r="A1113" s="9" t="s">
        <v>51</v>
      </c>
      <c r="C1113" t="str">
        <f t="shared" si="34"/>
        <v>"https://www.zeldadungeon.net/maps/totk/tiles/sky/6/25_17.jpg",</v>
      </c>
      <c r="H1113" t="str">
        <f t="shared" si="35"/>
        <v>25_17</v>
      </c>
    </row>
    <row r="1114" spans="1:8" x14ac:dyDescent="0.2">
      <c r="A1114" s="9" t="s">
        <v>51</v>
      </c>
      <c r="C1114" t="str">
        <f t="shared" si="34"/>
        <v>"https://www.zeldadungeon.net/maps/totk/tiles/sky/6/25_18.jpg",</v>
      </c>
      <c r="H1114" t="str">
        <f t="shared" si="35"/>
        <v>25_18</v>
      </c>
    </row>
    <row r="1115" spans="1:8" x14ac:dyDescent="0.2">
      <c r="A1115" s="9" t="s">
        <v>51</v>
      </c>
      <c r="C1115" t="str">
        <f t="shared" si="34"/>
        <v>"https://www.zeldadungeon.net/maps/totk/tiles/sky/6/25_19.jpg",</v>
      </c>
      <c r="H1115" t="str">
        <f t="shared" si="35"/>
        <v>25_19</v>
      </c>
    </row>
    <row r="1116" spans="1:8" x14ac:dyDescent="0.2">
      <c r="A1116" s="9" t="s">
        <v>51</v>
      </c>
      <c r="C1116" t="str">
        <f t="shared" si="34"/>
        <v>"https://www.zeldadungeon.net/maps/totk/tiles/sky/6/25_20.jpg",</v>
      </c>
      <c r="H1116" t="str">
        <f t="shared" si="35"/>
        <v>25_20</v>
      </c>
    </row>
    <row r="1117" spans="1:8" x14ac:dyDescent="0.2">
      <c r="A1117" s="9" t="s">
        <v>51</v>
      </c>
      <c r="C1117" t="str">
        <f t="shared" si="34"/>
        <v>"https://www.zeldadungeon.net/maps/totk/tiles/sky/6/25_21.jpg",</v>
      </c>
      <c r="H1117" t="str">
        <f t="shared" si="35"/>
        <v>25_21</v>
      </c>
    </row>
    <row r="1118" spans="1:8" x14ac:dyDescent="0.2">
      <c r="A1118" s="9" t="s">
        <v>51</v>
      </c>
      <c r="C1118" t="str">
        <f t="shared" si="34"/>
        <v>"https://www.zeldadungeon.net/maps/totk/tiles/sky/6/25_22.jpg",</v>
      </c>
      <c r="H1118" t="str">
        <f t="shared" si="35"/>
        <v>25_22</v>
      </c>
    </row>
    <row r="1119" spans="1:8" x14ac:dyDescent="0.2">
      <c r="A1119" s="9" t="s">
        <v>51</v>
      </c>
      <c r="C1119" t="str">
        <f t="shared" si="34"/>
        <v>"https://www.zeldadungeon.net/maps/totk/tiles/sky/6/25_23.jpg",</v>
      </c>
      <c r="H1119" t="str">
        <f t="shared" si="35"/>
        <v>25_23</v>
      </c>
    </row>
    <row r="1120" spans="1:8" x14ac:dyDescent="0.2">
      <c r="A1120" s="9" t="s">
        <v>51</v>
      </c>
      <c r="C1120" t="str">
        <f t="shared" si="34"/>
        <v>"https://www.zeldadungeon.net/maps/totk/tiles/sky/6/25_24.jpg",</v>
      </c>
      <c r="H1120" t="str">
        <f t="shared" si="35"/>
        <v>25_24</v>
      </c>
    </row>
    <row r="1121" spans="1:8" x14ac:dyDescent="0.2">
      <c r="A1121" s="9" t="s">
        <v>51</v>
      </c>
      <c r="C1121" t="str">
        <f t="shared" si="34"/>
        <v>"https://www.zeldadungeon.net/maps/totk/tiles/sky/6/25_25.jpg",</v>
      </c>
      <c r="H1121" t="str">
        <f t="shared" si="35"/>
        <v>25_25</v>
      </c>
    </row>
    <row r="1122" spans="1:8" x14ac:dyDescent="0.2">
      <c r="A1122" s="9" t="s">
        <v>51</v>
      </c>
      <c r="C1122" t="str">
        <f t="shared" si="34"/>
        <v>"https://www.zeldadungeon.net/maps/totk/tiles/sky/6/25_26.jpg",</v>
      </c>
      <c r="H1122" t="str">
        <f t="shared" si="35"/>
        <v>25_26</v>
      </c>
    </row>
    <row r="1123" spans="1:8" x14ac:dyDescent="0.2">
      <c r="A1123" s="9" t="s">
        <v>51</v>
      </c>
      <c r="C1123" t="str">
        <f t="shared" si="34"/>
        <v>"https://www.zeldadungeon.net/maps/totk/tiles/sky/6/25_27.jpg",</v>
      </c>
      <c r="H1123" t="str">
        <f t="shared" si="35"/>
        <v>25_27</v>
      </c>
    </row>
    <row r="1124" spans="1:8" x14ac:dyDescent="0.2">
      <c r="A1124" s="9" t="s">
        <v>51</v>
      </c>
      <c r="C1124" t="str">
        <f t="shared" si="34"/>
        <v>"https://www.zeldadungeon.net/maps/totk/tiles/sky/6/25_28.jpg",</v>
      </c>
      <c r="H1124" t="str">
        <f t="shared" si="35"/>
        <v>25_28</v>
      </c>
    </row>
    <row r="1125" spans="1:8" x14ac:dyDescent="0.2">
      <c r="A1125" s="9" t="s">
        <v>51</v>
      </c>
      <c r="C1125" t="str">
        <f t="shared" si="34"/>
        <v>"https://www.zeldadungeon.net/maps/totk/tiles/sky/6/25_29.jpg",</v>
      </c>
      <c r="H1125" t="str">
        <f t="shared" si="35"/>
        <v>25_29</v>
      </c>
    </row>
    <row r="1126" spans="1:8" x14ac:dyDescent="0.2">
      <c r="A1126" s="9" t="s">
        <v>51</v>
      </c>
      <c r="C1126" t="str">
        <f t="shared" si="34"/>
        <v>"https://www.zeldadungeon.net/maps/totk/tiles/sky/6/25_30.jpg",</v>
      </c>
      <c r="H1126" t="str">
        <f t="shared" si="35"/>
        <v>25_30</v>
      </c>
    </row>
    <row r="1127" spans="1:8" x14ac:dyDescent="0.2">
      <c r="A1127" s="9" t="s">
        <v>51</v>
      </c>
      <c r="C1127" t="str">
        <f t="shared" si="34"/>
        <v>"https://www.zeldadungeon.net/maps/totk/tiles/sky/6/25_31.jpg",</v>
      </c>
      <c r="H1127" t="str">
        <f t="shared" si="35"/>
        <v>25_31</v>
      </c>
    </row>
    <row r="1128" spans="1:8" x14ac:dyDescent="0.2">
      <c r="A1128" s="9" t="s">
        <v>51</v>
      </c>
      <c r="C1128" t="str">
        <f t="shared" si="34"/>
        <v>"https://www.zeldadungeon.net/maps/totk/tiles/sky/6/25_32.jpg",</v>
      </c>
      <c r="H1128" t="str">
        <f t="shared" si="35"/>
        <v>25_32</v>
      </c>
    </row>
    <row r="1129" spans="1:8" x14ac:dyDescent="0.2">
      <c r="A1129" s="9" t="s">
        <v>51</v>
      </c>
      <c r="C1129" t="str">
        <f t="shared" si="34"/>
        <v>"https://www.zeldadungeon.net/maps/totk/tiles/sky/6/25_33.jpg",</v>
      </c>
      <c r="H1129" t="str">
        <f t="shared" si="35"/>
        <v>25_33</v>
      </c>
    </row>
    <row r="1130" spans="1:8" x14ac:dyDescent="0.2">
      <c r="A1130" s="9" t="s">
        <v>51</v>
      </c>
      <c r="C1130" t="str">
        <f t="shared" si="34"/>
        <v>"https://www.zeldadungeon.net/maps/totk/tiles/sky/6/25_34.jpg",</v>
      </c>
      <c r="H1130" t="str">
        <f t="shared" si="35"/>
        <v>25_34</v>
      </c>
    </row>
    <row r="1131" spans="1:8" x14ac:dyDescent="0.2">
      <c r="A1131" s="9" t="s">
        <v>51</v>
      </c>
      <c r="C1131" t="str">
        <f t="shared" si="34"/>
        <v>"https://www.zeldadungeon.net/maps/totk/tiles/sky/6/25_35.jpg",</v>
      </c>
      <c r="H1131" t="str">
        <f t="shared" si="35"/>
        <v>25_35</v>
      </c>
    </row>
    <row r="1132" spans="1:8" x14ac:dyDescent="0.2">
      <c r="A1132" s="9" t="s">
        <v>51</v>
      </c>
      <c r="C1132" t="str">
        <f t="shared" si="34"/>
        <v>"https://www.zeldadungeon.net/maps/totk/tiles/sky/6/25_36.jpg",</v>
      </c>
      <c r="H1132" t="str">
        <f t="shared" si="35"/>
        <v>25_36</v>
      </c>
    </row>
    <row r="1133" spans="1:8" x14ac:dyDescent="0.2">
      <c r="A1133" s="9" t="s">
        <v>51</v>
      </c>
      <c r="C1133" t="str">
        <f t="shared" si="34"/>
        <v>"https://www.zeldadungeon.net/maps/totk/tiles/sky/6/25_37.jpg",</v>
      </c>
      <c r="H1133" t="str">
        <f t="shared" si="35"/>
        <v>25_37</v>
      </c>
    </row>
    <row r="1134" spans="1:8" x14ac:dyDescent="0.2">
      <c r="A1134" s="9" t="s">
        <v>51</v>
      </c>
      <c r="C1134" t="str">
        <f t="shared" si="34"/>
        <v>"https://www.zeldadungeon.net/maps/totk/tiles/sky/6/25_38.jpg",</v>
      </c>
      <c r="H1134" t="str">
        <f t="shared" si="35"/>
        <v>25_38</v>
      </c>
    </row>
    <row r="1135" spans="1:8" x14ac:dyDescent="0.2">
      <c r="A1135" s="9" t="s">
        <v>51</v>
      </c>
      <c r="C1135" t="str">
        <f t="shared" si="34"/>
        <v>"https://www.zeldadungeon.net/maps/totk/tiles/sky/6/25_39.jpg",</v>
      </c>
      <c r="H1135" t="str">
        <f t="shared" si="35"/>
        <v>25_39</v>
      </c>
    </row>
    <row r="1136" spans="1:8" x14ac:dyDescent="0.2">
      <c r="A1136" s="9" t="s">
        <v>51</v>
      </c>
      <c r="C1136" t="str">
        <f t="shared" si="34"/>
        <v>"https://www.zeldadungeon.net/maps/totk/tiles/sky/6/25_40.jpg",</v>
      </c>
      <c r="H1136" t="str">
        <f t="shared" si="35"/>
        <v>25_40</v>
      </c>
    </row>
    <row r="1137" spans="1:8" x14ac:dyDescent="0.2">
      <c r="A1137" s="9" t="s">
        <v>51</v>
      </c>
      <c r="C1137" t="str">
        <f t="shared" si="34"/>
        <v>"https://www.zeldadungeon.net/maps/totk/tiles/sky/6/25_41.jpg",</v>
      </c>
      <c r="H1137" t="str">
        <f t="shared" si="35"/>
        <v>25_41</v>
      </c>
    </row>
    <row r="1138" spans="1:8" x14ac:dyDescent="0.2">
      <c r="A1138" s="9" t="s">
        <v>51</v>
      </c>
      <c r="C1138" t="str">
        <f t="shared" si="34"/>
        <v>"https://www.zeldadungeon.net/maps/totk/tiles/sky/6/25_42.jpg",</v>
      </c>
      <c r="H1138" t="str">
        <f t="shared" si="35"/>
        <v>25_42</v>
      </c>
    </row>
    <row r="1139" spans="1:8" x14ac:dyDescent="0.2">
      <c r="A1139" s="9" t="s">
        <v>51</v>
      </c>
      <c r="C1139" t="str">
        <f t="shared" si="34"/>
        <v>"https://www.zeldadungeon.net/maps/totk/tiles/sky/6/25_43.jpg",</v>
      </c>
      <c r="H1139" t="str">
        <f t="shared" si="35"/>
        <v>25_43</v>
      </c>
    </row>
    <row r="1140" spans="1:8" x14ac:dyDescent="0.2">
      <c r="A1140" s="9" t="s">
        <v>51</v>
      </c>
      <c r="C1140" t="str">
        <f t="shared" si="34"/>
        <v>"https://www.zeldadungeon.net/maps/totk/tiles/sky/6/25_44.jpg",</v>
      </c>
      <c r="H1140" t="str">
        <f t="shared" si="35"/>
        <v>25_44</v>
      </c>
    </row>
    <row r="1141" spans="1:8" x14ac:dyDescent="0.2">
      <c r="A1141" s="9" t="s">
        <v>51</v>
      </c>
      <c r="C1141" t="str">
        <f t="shared" si="34"/>
        <v>"https://www.zeldadungeon.net/maps/totk/tiles/sky/6/25_45.jpg",</v>
      </c>
      <c r="H1141" t="str">
        <f t="shared" si="35"/>
        <v>25_45</v>
      </c>
    </row>
    <row r="1142" spans="1:8" x14ac:dyDescent="0.2">
      <c r="A1142" s="9" t="s">
        <v>51</v>
      </c>
      <c r="C1142" t="str">
        <f t="shared" si="34"/>
        <v>"https://www.zeldadungeon.net/maps/totk/tiles/sky/6/25_46.jpg",</v>
      </c>
      <c r="H1142" t="str">
        <f t="shared" si="35"/>
        <v>25_46</v>
      </c>
    </row>
    <row r="1143" spans="1:8" x14ac:dyDescent="0.2">
      <c r="A1143" s="9" t="s">
        <v>51</v>
      </c>
      <c r="C1143" t="str">
        <f t="shared" si="34"/>
        <v>"https://www.zeldadungeon.net/maps/totk/tiles/sky/6/25_47.jpg",</v>
      </c>
      <c r="H1143" t="str">
        <f t="shared" si="35"/>
        <v>25_47</v>
      </c>
    </row>
    <row r="1144" spans="1:8" x14ac:dyDescent="0.2">
      <c r="A1144" s="9" t="s">
        <v>51</v>
      </c>
      <c r="C1144" t="str">
        <f t="shared" si="34"/>
        <v>"https://www.zeldadungeon.net/maps/totk/tiles/sky/6/25_48.jpg",</v>
      </c>
      <c r="H1144" t="str">
        <f t="shared" si="35"/>
        <v>25_48</v>
      </c>
    </row>
    <row r="1145" spans="1:8" x14ac:dyDescent="0.2">
      <c r="A1145" s="9" t="s">
        <v>51</v>
      </c>
      <c r="C1145" t="str">
        <f t="shared" si="34"/>
        <v>"https://www.zeldadungeon.net/maps/totk/tiles/sky/6/25_49.jpg",</v>
      </c>
      <c r="H1145" t="str">
        <f t="shared" si="35"/>
        <v>25_49</v>
      </c>
    </row>
    <row r="1146" spans="1:8" x14ac:dyDescent="0.2">
      <c r="A1146" s="9" t="s">
        <v>51</v>
      </c>
      <c r="C1146" t="str">
        <f t="shared" si="34"/>
        <v>"https://www.zeldadungeon.net/maps/totk/tiles/sky/6/25_50.jpg",</v>
      </c>
      <c r="H1146" t="str">
        <f t="shared" si="35"/>
        <v>25_50</v>
      </c>
    </row>
    <row r="1147" spans="1:8" x14ac:dyDescent="0.2">
      <c r="A1147" s="9" t="s">
        <v>51</v>
      </c>
      <c r="C1147" t="str">
        <f t="shared" si="34"/>
        <v>"https://www.zeldadungeon.net/maps/totk/tiles/sky/6/25_51.jpg",</v>
      </c>
      <c r="H1147" t="str">
        <f t="shared" si="35"/>
        <v>25_51</v>
      </c>
    </row>
    <row r="1148" spans="1:8" x14ac:dyDescent="0.2">
      <c r="A1148" s="9" t="s">
        <v>51</v>
      </c>
      <c r="C1148" t="str">
        <f t="shared" si="34"/>
        <v>"https://www.zeldadungeon.net/maps/totk/tiles/sky/6/25_52.jpg",</v>
      </c>
      <c r="H1148" t="str">
        <f t="shared" si="35"/>
        <v>25_52</v>
      </c>
    </row>
    <row r="1149" spans="1:8" x14ac:dyDescent="0.2">
      <c r="A1149" s="9" t="s">
        <v>51</v>
      </c>
      <c r="C1149" t="str">
        <f t="shared" si="34"/>
        <v>"https://www.zeldadungeon.net/maps/totk/tiles/sky/6/25_53.jpg",</v>
      </c>
      <c r="H1149" t="str">
        <f t="shared" si="35"/>
        <v>25_53</v>
      </c>
    </row>
    <row r="1150" spans="1:8" x14ac:dyDescent="0.2">
      <c r="A1150" s="9" t="s">
        <v>51</v>
      </c>
      <c r="C1150" t="str">
        <f t="shared" si="34"/>
        <v>"https://www.zeldadungeon.net/maps/totk/tiles/sky/6/25_54.jpg",</v>
      </c>
      <c r="H1150" t="str">
        <f t="shared" si="35"/>
        <v>25_54</v>
      </c>
    </row>
    <row r="1151" spans="1:8" x14ac:dyDescent="0.2">
      <c r="A1151" s="9" t="s">
        <v>51</v>
      </c>
      <c r="C1151" t="str">
        <f t="shared" si="34"/>
        <v>"https://www.zeldadungeon.net/maps/totk/tiles/sky/6/25_55.jpg",</v>
      </c>
      <c r="H1151" t="str">
        <f t="shared" si="35"/>
        <v>25_55</v>
      </c>
    </row>
    <row r="1152" spans="1:8" x14ac:dyDescent="0.2">
      <c r="A1152" s="9" t="s">
        <v>51</v>
      </c>
      <c r="C1152" t="str">
        <f t="shared" si="34"/>
        <v>"https://www.zeldadungeon.net/maps/totk/tiles/sky/6/26_8.jpg",</v>
      </c>
      <c r="H1152" t="str">
        <f t="shared" si="35"/>
        <v>26_8</v>
      </c>
    </row>
    <row r="1153" spans="1:8" x14ac:dyDescent="0.2">
      <c r="A1153" s="9" t="s">
        <v>51</v>
      </c>
      <c r="C1153" t="str">
        <f t="shared" ref="C1153:C1216" si="36">""""&amp;SUBSTITUTE(A1153,"zzz",H1153)&amp;""""&amp;","</f>
        <v>"https://www.zeldadungeon.net/maps/totk/tiles/sky/6/26_9.jpg",</v>
      </c>
      <c r="H1153" t="str">
        <f t="shared" ref="H1153:H1216" si="37">QUOTIENT(ROW(A1153),48)+2&amp;"_"&amp;MOD(ROW(A1153),48)+8</f>
        <v>26_9</v>
      </c>
    </row>
    <row r="1154" spans="1:8" x14ac:dyDescent="0.2">
      <c r="A1154" s="9" t="s">
        <v>51</v>
      </c>
      <c r="C1154" t="str">
        <f t="shared" si="36"/>
        <v>"https://www.zeldadungeon.net/maps/totk/tiles/sky/6/26_10.jpg",</v>
      </c>
      <c r="H1154" t="str">
        <f t="shared" si="37"/>
        <v>26_10</v>
      </c>
    </row>
    <row r="1155" spans="1:8" x14ac:dyDescent="0.2">
      <c r="A1155" s="9" t="s">
        <v>51</v>
      </c>
      <c r="C1155" t="str">
        <f t="shared" si="36"/>
        <v>"https://www.zeldadungeon.net/maps/totk/tiles/sky/6/26_11.jpg",</v>
      </c>
      <c r="H1155" t="str">
        <f t="shared" si="37"/>
        <v>26_11</v>
      </c>
    </row>
    <row r="1156" spans="1:8" x14ac:dyDescent="0.2">
      <c r="A1156" s="9" t="s">
        <v>51</v>
      </c>
      <c r="C1156" t="str">
        <f t="shared" si="36"/>
        <v>"https://www.zeldadungeon.net/maps/totk/tiles/sky/6/26_12.jpg",</v>
      </c>
      <c r="H1156" t="str">
        <f t="shared" si="37"/>
        <v>26_12</v>
      </c>
    </row>
    <row r="1157" spans="1:8" x14ac:dyDescent="0.2">
      <c r="A1157" s="9" t="s">
        <v>51</v>
      </c>
      <c r="C1157" t="str">
        <f t="shared" si="36"/>
        <v>"https://www.zeldadungeon.net/maps/totk/tiles/sky/6/26_13.jpg",</v>
      </c>
      <c r="H1157" t="str">
        <f t="shared" si="37"/>
        <v>26_13</v>
      </c>
    </row>
    <row r="1158" spans="1:8" x14ac:dyDescent="0.2">
      <c r="A1158" s="9" t="s">
        <v>51</v>
      </c>
      <c r="C1158" t="str">
        <f t="shared" si="36"/>
        <v>"https://www.zeldadungeon.net/maps/totk/tiles/sky/6/26_14.jpg",</v>
      </c>
      <c r="H1158" t="str">
        <f t="shared" si="37"/>
        <v>26_14</v>
      </c>
    </row>
    <row r="1159" spans="1:8" x14ac:dyDescent="0.2">
      <c r="A1159" s="9" t="s">
        <v>51</v>
      </c>
      <c r="C1159" t="str">
        <f t="shared" si="36"/>
        <v>"https://www.zeldadungeon.net/maps/totk/tiles/sky/6/26_15.jpg",</v>
      </c>
      <c r="H1159" t="str">
        <f t="shared" si="37"/>
        <v>26_15</v>
      </c>
    </row>
    <row r="1160" spans="1:8" x14ac:dyDescent="0.2">
      <c r="A1160" s="9" t="s">
        <v>51</v>
      </c>
      <c r="C1160" t="str">
        <f t="shared" si="36"/>
        <v>"https://www.zeldadungeon.net/maps/totk/tiles/sky/6/26_16.jpg",</v>
      </c>
      <c r="H1160" t="str">
        <f t="shared" si="37"/>
        <v>26_16</v>
      </c>
    </row>
    <row r="1161" spans="1:8" x14ac:dyDescent="0.2">
      <c r="A1161" s="9" t="s">
        <v>51</v>
      </c>
      <c r="C1161" t="str">
        <f t="shared" si="36"/>
        <v>"https://www.zeldadungeon.net/maps/totk/tiles/sky/6/26_17.jpg",</v>
      </c>
      <c r="H1161" t="str">
        <f t="shared" si="37"/>
        <v>26_17</v>
      </c>
    </row>
    <row r="1162" spans="1:8" x14ac:dyDescent="0.2">
      <c r="A1162" s="9" t="s">
        <v>51</v>
      </c>
      <c r="C1162" t="str">
        <f t="shared" si="36"/>
        <v>"https://www.zeldadungeon.net/maps/totk/tiles/sky/6/26_18.jpg",</v>
      </c>
      <c r="H1162" t="str">
        <f t="shared" si="37"/>
        <v>26_18</v>
      </c>
    </row>
    <row r="1163" spans="1:8" x14ac:dyDescent="0.2">
      <c r="A1163" s="9" t="s">
        <v>51</v>
      </c>
      <c r="C1163" t="str">
        <f t="shared" si="36"/>
        <v>"https://www.zeldadungeon.net/maps/totk/tiles/sky/6/26_19.jpg",</v>
      </c>
      <c r="H1163" t="str">
        <f t="shared" si="37"/>
        <v>26_19</v>
      </c>
    </row>
    <row r="1164" spans="1:8" x14ac:dyDescent="0.2">
      <c r="A1164" s="9" t="s">
        <v>51</v>
      </c>
      <c r="C1164" t="str">
        <f t="shared" si="36"/>
        <v>"https://www.zeldadungeon.net/maps/totk/tiles/sky/6/26_20.jpg",</v>
      </c>
      <c r="H1164" t="str">
        <f t="shared" si="37"/>
        <v>26_20</v>
      </c>
    </row>
    <row r="1165" spans="1:8" x14ac:dyDescent="0.2">
      <c r="A1165" s="9" t="s">
        <v>51</v>
      </c>
      <c r="C1165" t="str">
        <f t="shared" si="36"/>
        <v>"https://www.zeldadungeon.net/maps/totk/tiles/sky/6/26_21.jpg",</v>
      </c>
      <c r="H1165" t="str">
        <f t="shared" si="37"/>
        <v>26_21</v>
      </c>
    </row>
    <row r="1166" spans="1:8" x14ac:dyDescent="0.2">
      <c r="A1166" s="9" t="s">
        <v>51</v>
      </c>
      <c r="C1166" t="str">
        <f t="shared" si="36"/>
        <v>"https://www.zeldadungeon.net/maps/totk/tiles/sky/6/26_22.jpg",</v>
      </c>
      <c r="H1166" t="str">
        <f t="shared" si="37"/>
        <v>26_22</v>
      </c>
    </row>
    <row r="1167" spans="1:8" x14ac:dyDescent="0.2">
      <c r="A1167" s="9" t="s">
        <v>51</v>
      </c>
      <c r="C1167" t="str">
        <f t="shared" si="36"/>
        <v>"https://www.zeldadungeon.net/maps/totk/tiles/sky/6/26_23.jpg",</v>
      </c>
      <c r="H1167" t="str">
        <f t="shared" si="37"/>
        <v>26_23</v>
      </c>
    </row>
    <row r="1168" spans="1:8" x14ac:dyDescent="0.2">
      <c r="A1168" s="9" t="s">
        <v>51</v>
      </c>
      <c r="C1168" t="str">
        <f t="shared" si="36"/>
        <v>"https://www.zeldadungeon.net/maps/totk/tiles/sky/6/26_24.jpg",</v>
      </c>
      <c r="H1168" t="str">
        <f t="shared" si="37"/>
        <v>26_24</v>
      </c>
    </row>
    <row r="1169" spans="1:8" x14ac:dyDescent="0.2">
      <c r="A1169" s="9" t="s">
        <v>51</v>
      </c>
      <c r="C1169" t="str">
        <f t="shared" si="36"/>
        <v>"https://www.zeldadungeon.net/maps/totk/tiles/sky/6/26_25.jpg",</v>
      </c>
      <c r="H1169" t="str">
        <f t="shared" si="37"/>
        <v>26_25</v>
      </c>
    </row>
    <row r="1170" spans="1:8" x14ac:dyDescent="0.2">
      <c r="A1170" s="9" t="s">
        <v>51</v>
      </c>
      <c r="C1170" t="str">
        <f t="shared" si="36"/>
        <v>"https://www.zeldadungeon.net/maps/totk/tiles/sky/6/26_26.jpg",</v>
      </c>
      <c r="H1170" t="str">
        <f t="shared" si="37"/>
        <v>26_26</v>
      </c>
    </row>
    <row r="1171" spans="1:8" x14ac:dyDescent="0.2">
      <c r="A1171" s="9" t="s">
        <v>51</v>
      </c>
      <c r="C1171" t="str">
        <f t="shared" si="36"/>
        <v>"https://www.zeldadungeon.net/maps/totk/tiles/sky/6/26_27.jpg",</v>
      </c>
      <c r="H1171" t="str">
        <f t="shared" si="37"/>
        <v>26_27</v>
      </c>
    </row>
    <row r="1172" spans="1:8" x14ac:dyDescent="0.2">
      <c r="A1172" s="9" t="s">
        <v>51</v>
      </c>
      <c r="C1172" t="str">
        <f t="shared" si="36"/>
        <v>"https://www.zeldadungeon.net/maps/totk/tiles/sky/6/26_28.jpg",</v>
      </c>
      <c r="H1172" t="str">
        <f t="shared" si="37"/>
        <v>26_28</v>
      </c>
    </row>
    <row r="1173" spans="1:8" x14ac:dyDescent="0.2">
      <c r="A1173" s="9" t="s">
        <v>51</v>
      </c>
      <c r="C1173" t="str">
        <f t="shared" si="36"/>
        <v>"https://www.zeldadungeon.net/maps/totk/tiles/sky/6/26_29.jpg",</v>
      </c>
      <c r="H1173" t="str">
        <f t="shared" si="37"/>
        <v>26_29</v>
      </c>
    </row>
    <row r="1174" spans="1:8" x14ac:dyDescent="0.2">
      <c r="A1174" s="9" t="s">
        <v>51</v>
      </c>
      <c r="C1174" t="str">
        <f t="shared" si="36"/>
        <v>"https://www.zeldadungeon.net/maps/totk/tiles/sky/6/26_30.jpg",</v>
      </c>
      <c r="H1174" t="str">
        <f t="shared" si="37"/>
        <v>26_30</v>
      </c>
    </row>
    <row r="1175" spans="1:8" x14ac:dyDescent="0.2">
      <c r="A1175" s="9" t="s">
        <v>51</v>
      </c>
      <c r="C1175" t="str">
        <f t="shared" si="36"/>
        <v>"https://www.zeldadungeon.net/maps/totk/tiles/sky/6/26_31.jpg",</v>
      </c>
      <c r="H1175" t="str">
        <f t="shared" si="37"/>
        <v>26_31</v>
      </c>
    </row>
    <row r="1176" spans="1:8" x14ac:dyDescent="0.2">
      <c r="A1176" s="9" t="s">
        <v>51</v>
      </c>
      <c r="C1176" t="str">
        <f t="shared" si="36"/>
        <v>"https://www.zeldadungeon.net/maps/totk/tiles/sky/6/26_32.jpg",</v>
      </c>
      <c r="H1176" t="str">
        <f t="shared" si="37"/>
        <v>26_32</v>
      </c>
    </row>
    <row r="1177" spans="1:8" x14ac:dyDescent="0.2">
      <c r="A1177" s="9" t="s">
        <v>51</v>
      </c>
      <c r="C1177" t="str">
        <f t="shared" si="36"/>
        <v>"https://www.zeldadungeon.net/maps/totk/tiles/sky/6/26_33.jpg",</v>
      </c>
      <c r="H1177" t="str">
        <f t="shared" si="37"/>
        <v>26_33</v>
      </c>
    </row>
    <row r="1178" spans="1:8" x14ac:dyDescent="0.2">
      <c r="A1178" s="9" t="s">
        <v>51</v>
      </c>
      <c r="C1178" t="str">
        <f t="shared" si="36"/>
        <v>"https://www.zeldadungeon.net/maps/totk/tiles/sky/6/26_34.jpg",</v>
      </c>
      <c r="H1178" t="str">
        <f t="shared" si="37"/>
        <v>26_34</v>
      </c>
    </row>
    <row r="1179" spans="1:8" x14ac:dyDescent="0.2">
      <c r="A1179" s="9" t="s">
        <v>51</v>
      </c>
      <c r="C1179" t="str">
        <f t="shared" si="36"/>
        <v>"https://www.zeldadungeon.net/maps/totk/tiles/sky/6/26_35.jpg",</v>
      </c>
      <c r="H1179" t="str">
        <f t="shared" si="37"/>
        <v>26_35</v>
      </c>
    </row>
    <row r="1180" spans="1:8" x14ac:dyDescent="0.2">
      <c r="A1180" s="9" t="s">
        <v>51</v>
      </c>
      <c r="C1180" t="str">
        <f t="shared" si="36"/>
        <v>"https://www.zeldadungeon.net/maps/totk/tiles/sky/6/26_36.jpg",</v>
      </c>
      <c r="H1180" t="str">
        <f t="shared" si="37"/>
        <v>26_36</v>
      </c>
    </row>
    <row r="1181" spans="1:8" x14ac:dyDescent="0.2">
      <c r="A1181" s="9" t="s">
        <v>51</v>
      </c>
      <c r="C1181" t="str">
        <f t="shared" si="36"/>
        <v>"https://www.zeldadungeon.net/maps/totk/tiles/sky/6/26_37.jpg",</v>
      </c>
      <c r="H1181" t="str">
        <f t="shared" si="37"/>
        <v>26_37</v>
      </c>
    </row>
    <row r="1182" spans="1:8" x14ac:dyDescent="0.2">
      <c r="A1182" s="9" t="s">
        <v>51</v>
      </c>
      <c r="C1182" t="str">
        <f t="shared" si="36"/>
        <v>"https://www.zeldadungeon.net/maps/totk/tiles/sky/6/26_38.jpg",</v>
      </c>
      <c r="H1182" t="str">
        <f t="shared" si="37"/>
        <v>26_38</v>
      </c>
    </row>
    <row r="1183" spans="1:8" x14ac:dyDescent="0.2">
      <c r="A1183" s="9" t="s">
        <v>51</v>
      </c>
      <c r="C1183" t="str">
        <f t="shared" si="36"/>
        <v>"https://www.zeldadungeon.net/maps/totk/tiles/sky/6/26_39.jpg",</v>
      </c>
      <c r="H1183" t="str">
        <f t="shared" si="37"/>
        <v>26_39</v>
      </c>
    </row>
    <row r="1184" spans="1:8" x14ac:dyDescent="0.2">
      <c r="A1184" s="9" t="s">
        <v>51</v>
      </c>
      <c r="C1184" t="str">
        <f t="shared" si="36"/>
        <v>"https://www.zeldadungeon.net/maps/totk/tiles/sky/6/26_40.jpg",</v>
      </c>
      <c r="H1184" t="str">
        <f t="shared" si="37"/>
        <v>26_40</v>
      </c>
    </row>
    <row r="1185" spans="1:8" x14ac:dyDescent="0.2">
      <c r="A1185" s="9" t="s">
        <v>51</v>
      </c>
      <c r="C1185" t="str">
        <f t="shared" si="36"/>
        <v>"https://www.zeldadungeon.net/maps/totk/tiles/sky/6/26_41.jpg",</v>
      </c>
      <c r="H1185" t="str">
        <f t="shared" si="37"/>
        <v>26_41</v>
      </c>
    </row>
    <row r="1186" spans="1:8" x14ac:dyDescent="0.2">
      <c r="A1186" s="9" t="s">
        <v>51</v>
      </c>
      <c r="C1186" t="str">
        <f t="shared" si="36"/>
        <v>"https://www.zeldadungeon.net/maps/totk/tiles/sky/6/26_42.jpg",</v>
      </c>
      <c r="H1186" t="str">
        <f t="shared" si="37"/>
        <v>26_42</v>
      </c>
    </row>
    <row r="1187" spans="1:8" x14ac:dyDescent="0.2">
      <c r="A1187" s="9" t="s">
        <v>51</v>
      </c>
      <c r="C1187" t="str">
        <f t="shared" si="36"/>
        <v>"https://www.zeldadungeon.net/maps/totk/tiles/sky/6/26_43.jpg",</v>
      </c>
      <c r="H1187" t="str">
        <f t="shared" si="37"/>
        <v>26_43</v>
      </c>
    </row>
    <row r="1188" spans="1:8" x14ac:dyDescent="0.2">
      <c r="A1188" s="9" t="s">
        <v>51</v>
      </c>
      <c r="C1188" t="str">
        <f t="shared" si="36"/>
        <v>"https://www.zeldadungeon.net/maps/totk/tiles/sky/6/26_44.jpg",</v>
      </c>
      <c r="H1188" t="str">
        <f t="shared" si="37"/>
        <v>26_44</v>
      </c>
    </row>
    <row r="1189" spans="1:8" x14ac:dyDescent="0.2">
      <c r="A1189" s="9" t="s">
        <v>51</v>
      </c>
      <c r="C1189" t="str">
        <f t="shared" si="36"/>
        <v>"https://www.zeldadungeon.net/maps/totk/tiles/sky/6/26_45.jpg",</v>
      </c>
      <c r="H1189" t="str">
        <f t="shared" si="37"/>
        <v>26_45</v>
      </c>
    </row>
    <row r="1190" spans="1:8" x14ac:dyDescent="0.2">
      <c r="A1190" s="9" t="s">
        <v>51</v>
      </c>
      <c r="C1190" t="str">
        <f t="shared" si="36"/>
        <v>"https://www.zeldadungeon.net/maps/totk/tiles/sky/6/26_46.jpg",</v>
      </c>
      <c r="H1190" t="str">
        <f t="shared" si="37"/>
        <v>26_46</v>
      </c>
    </row>
    <row r="1191" spans="1:8" x14ac:dyDescent="0.2">
      <c r="A1191" s="9" t="s">
        <v>51</v>
      </c>
      <c r="C1191" t="str">
        <f t="shared" si="36"/>
        <v>"https://www.zeldadungeon.net/maps/totk/tiles/sky/6/26_47.jpg",</v>
      </c>
      <c r="H1191" t="str">
        <f t="shared" si="37"/>
        <v>26_47</v>
      </c>
    </row>
    <row r="1192" spans="1:8" x14ac:dyDescent="0.2">
      <c r="A1192" s="9" t="s">
        <v>51</v>
      </c>
      <c r="C1192" t="str">
        <f t="shared" si="36"/>
        <v>"https://www.zeldadungeon.net/maps/totk/tiles/sky/6/26_48.jpg",</v>
      </c>
      <c r="H1192" t="str">
        <f t="shared" si="37"/>
        <v>26_48</v>
      </c>
    </row>
    <row r="1193" spans="1:8" x14ac:dyDescent="0.2">
      <c r="A1193" s="9" t="s">
        <v>51</v>
      </c>
      <c r="C1193" t="str">
        <f t="shared" si="36"/>
        <v>"https://www.zeldadungeon.net/maps/totk/tiles/sky/6/26_49.jpg",</v>
      </c>
      <c r="H1193" t="str">
        <f t="shared" si="37"/>
        <v>26_49</v>
      </c>
    </row>
    <row r="1194" spans="1:8" x14ac:dyDescent="0.2">
      <c r="A1194" s="9" t="s">
        <v>51</v>
      </c>
      <c r="C1194" t="str">
        <f t="shared" si="36"/>
        <v>"https://www.zeldadungeon.net/maps/totk/tiles/sky/6/26_50.jpg",</v>
      </c>
      <c r="H1194" t="str">
        <f t="shared" si="37"/>
        <v>26_50</v>
      </c>
    </row>
    <row r="1195" spans="1:8" x14ac:dyDescent="0.2">
      <c r="A1195" s="9" t="s">
        <v>51</v>
      </c>
      <c r="C1195" t="str">
        <f t="shared" si="36"/>
        <v>"https://www.zeldadungeon.net/maps/totk/tiles/sky/6/26_51.jpg",</v>
      </c>
      <c r="H1195" t="str">
        <f t="shared" si="37"/>
        <v>26_51</v>
      </c>
    </row>
    <row r="1196" spans="1:8" x14ac:dyDescent="0.2">
      <c r="A1196" s="9" t="s">
        <v>51</v>
      </c>
      <c r="C1196" t="str">
        <f t="shared" si="36"/>
        <v>"https://www.zeldadungeon.net/maps/totk/tiles/sky/6/26_52.jpg",</v>
      </c>
      <c r="H1196" t="str">
        <f t="shared" si="37"/>
        <v>26_52</v>
      </c>
    </row>
    <row r="1197" spans="1:8" x14ac:dyDescent="0.2">
      <c r="A1197" s="9" t="s">
        <v>51</v>
      </c>
      <c r="C1197" t="str">
        <f t="shared" si="36"/>
        <v>"https://www.zeldadungeon.net/maps/totk/tiles/sky/6/26_53.jpg",</v>
      </c>
      <c r="H1197" t="str">
        <f t="shared" si="37"/>
        <v>26_53</v>
      </c>
    </row>
    <row r="1198" spans="1:8" x14ac:dyDescent="0.2">
      <c r="A1198" s="9" t="s">
        <v>51</v>
      </c>
      <c r="C1198" t="str">
        <f t="shared" si="36"/>
        <v>"https://www.zeldadungeon.net/maps/totk/tiles/sky/6/26_54.jpg",</v>
      </c>
      <c r="H1198" t="str">
        <f t="shared" si="37"/>
        <v>26_54</v>
      </c>
    </row>
    <row r="1199" spans="1:8" x14ac:dyDescent="0.2">
      <c r="A1199" s="9" t="s">
        <v>51</v>
      </c>
      <c r="C1199" t="str">
        <f t="shared" si="36"/>
        <v>"https://www.zeldadungeon.net/maps/totk/tiles/sky/6/26_55.jpg",</v>
      </c>
      <c r="H1199" t="str">
        <f t="shared" si="37"/>
        <v>26_55</v>
      </c>
    </row>
    <row r="1200" spans="1:8" x14ac:dyDescent="0.2">
      <c r="A1200" s="9" t="s">
        <v>51</v>
      </c>
      <c r="C1200" t="str">
        <f t="shared" si="36"/>
        <v>"https://www.zeldadungeon.net/maps/totk/tiles/sky/6/27_8.jpg",</v>
      </c>
      <c r="H1200" t="str">
        <f t="shared" si="37"/>
        <v>27_8</v>
      </c>
    </row>
    <row r="1201" spans="1:8" x14ac:dyDescent="0.2">
      <c r="A1201" s="9" t="s">
        <v>51</v>
      </c>
      <c r="C1201" t="str">
        <f t="shared" si="36"/>
        <v>"https://www.zeldadungeon.net/maps/totk/tiles/sky/6/27_9.jpg",</v>
      </c>
      <c r="H1201" t="str">
        <f t="shared" si="37"/>
        <v>27_9</v>
      </c>
    </row>
    <row r="1202" spans="1:8" x14ac:dyDescent="0.2">
      <c r="A1202" s="9" t="s">
        <v>51</v>
      </c>
      <c r="C1202" t="str">
        <f t="shared" si="36"/>
        <v>"https://www.zeldadungeon.net/maps/totk/tiles/sky/6/27_10.jpg",</v>
      </c>
      <c r="H1202" t="str">
        <f t="shared" si="37"/>
        <v>27_10</v>
      </c>
    </row>
    <row r="1203" spans="1:8" x14ac:dyDescent="0.2">
      <c r="A1203" s="9" t="s">
        <v>51</v>
      </c>
      <c r="C1203" t="str">
        <f t="shared" si="36"/>
        <v>"https://www.zeldadungeon.net/maps/totk/tiles/sky/6/27_11.jpg",</v>
      </c>
      <c r="H1203" t="str">
        <f t="shared" si="37"/>
        <v>27_11</v>
      </c>
    </row>
    <row r="1204" spans="1:8" x14ac:dyDescent="0.2">
      <c r="A1204" s="9" t="s">
        <v>51</v>
      </c>
      <c r="C1204" t="str">
        <f t="shared" si="36"/>
        <v>"https://www.zeldadungeon.net/maps/totk/tiles/sky/6/27_12.jpg",</v>
      </c>
      <c r="H1204" t="str">
        <f t="shared" si="37"/>
        <v>27_12</v>
      </c>
    </row>
    <row r="1205" spans="1:8" x14ac:dyDescent="0.2">
      <c r="A1205" s="9" t="s">
        <v>51</v>
      </c>
      <c r="C1205" t="str">
        <f t="shared" si="36"/>
        <v>"https://www.zeldadungeon.net/maps/totk/tiles/sky/6/27_13.jpg",</v>
      </c>
      <c r="H1205" t="str">
        <f t="shared" si="37"/>
        <v>27_13</v>
      </c>
    </row>
    <row r="1206" spans="1:8" x14ac:dyDescent="0.2">
      <c r="A1206" s="9" t="s">
        <v>51</v>
      </c>
      <c r="C1206" t="str">
        <f t="shared" si="36"/>
        <v>"https://www.zeldadungeon.net/maps/totk/tiles/sky/6/27_14.jpg",</v>
      </c>
      <c r="H1206" t="str">
        <f t="shared" si="37"/>
        <v>27_14</v>
      </c>
    </row>
    <row r="1207" spans="1:8" x14ac:dyDescent="0.2">
      <c r="A1207" s="9" t="s">
        <v>51</v>
      </c>
      <c r="C1207" t="str">
        <f t="shared" si="36"/>
        <v>"https://www.zeldadungeon.net/maps/totk/tiles/sky/6/27_15.jpg",</v>
      </c>
      <c r="H1207" t="str">
        <f t="shared" si="37"/>
        <v>27_15</v>
      </c>
    </row>
    <row r="1208" spans="1:8" x14ac:dyDescent="0.2">
      <c r="A1208" s="9" t="s">
        <v>51</v>
      </c>
      <c r="C1208" t="str">
        <f t="shared" si="36"/>
        <v>"https://www.zeldadungeon.net/maps/totk/tiles/sky/6/27_16.jpg",</v>
      </c>
      <c r="H1208" t="str">
        <f t="shared" si="37"/>
        <v>27_16</v>
      </c>
    </row>
    <row r="1209" spans="1:8" x14ac:dyDescent="0.2">
      <c r="A1209" s="9" t="s">
        <v>51</v>
      </c>
      <c r="C1209" t="str">
        <f t="shared" si="36"/>
        <v>"https://www.zeldadungeon.net/maps/totk/tiles/sky/6/27_17.jpg",</v>
      </c>
      <c r="H1209" t="str">
        <f t="shared" si="37"/>
        <v>27_17</v>
      </c>
    </row>
    <row r="1210" spans="1:8" x14ac:dyDescent="0.2">
      <c r="A1210" s="9" t="s">
        <v>51</v>
      </c>
      <c r="C1210" t="str">
        <f t="shared" si="36"/>
        <v>"https://www.zeldadungeon.net/maps/totk/tiles/sky/6/27_18.jpg",</v>
      </c>
      <c r="H1210" t="str">
        <f t="shared" si="37"/>
        <v>27_18</v>
      </c>
    </row>
    <row r="1211" spans="1:8" x14ac:dyDescent="0.2">
      <c r="A1211" s="9" t="s">
        <v>51</v>
      </c>
      <c r="C1211" t="str">
        <f t="shared" si="36"/>
        <v>"https://www.zeldadungeon.net/maps/totk/tiles/sky/6/27_19.jpg",</v>
      </c>
      <c r="H1211" t="str">
        <f t="shared" si="37"/>
        <v>27_19</v>
      </c>
    </row>
    <row r="1212" spans="1:8" x14ac:dyDescent="0.2">
      <c r="A1212" s="9" t="s">
        <v>51</v>
      </c>
      <c r="C1212" t="str">
        <f t="shared" si="36"/>
        <v>"https://www.zeldadungeon.net/maps/totk/tiles/sky/6/27_20.jpg",</v>
      </c>
      <c r="H1212" t="str">
        <f t="shared" si="37"/>
        <v>27_20</v>
      </c>
    </row>
    <row r="1213" spans="1:8" x14ac:dyDescent="0.2">
      <c r="A1213" s="9" t="s">
        <v>51</v>
      </c>
      <c r="C1213" t="str">
        <f t="shared" si="36"/>
        <v>"https://www.zeldadungeon.net/maps/totk/tiles/sky/6/27_21.jpg",</v>
      </c>
      <c r="H1213" t="str">
        <f t="shared" si="37"/>
        <v>27_21</v>
      </c>
    </row>
    <row r="1214" spans="1:8" x14ac:dyDescent="0.2">
      <c r="A1214" s="9" t="s">
        <v>51</v>
      </c>
      <c r="C1214" t="str">
        <f t="shared" si="36"/>
        <v>"https://www.zeldadungeon.net/maps/totk/tiles/sky/6/27_22.jpg",</v>
      </c>
      <c r="H1214" t="str">
        <f t="shared" si="37"/>
        <v>27_22</v>
      </c>
    </row>
    <row r="1215" spans="1:8" x14ac:dyDescent="0.2">
      <c r="A1215" s="9" t="s">
        <v>51</v>
      </c>
      <c r="C1215" t="str">
        <f t="shared" si="36"/>
        <v>"https://www.zeldadungeon.net/maps/totk/tiles/sky/6/27_23.jpg",</v>
      </c>
      <c r="H1215" t="str">
        <f t="shared" si="37"/>
        <v>27_23</v>
      </c>
    </row>
    <row r="1216" spans="1:8" x14ac:dyDescent="0.2">
      <c r="A1216" s="9" t="s">
        <v>51</v>
      </c>
      <c r="C1216" t="str">
        <f t="shared" si="36"/>
        <v>"https://www.zeldadungeon.net/maps/totk/tiles/sky/6/27_24.jpg",</v>
      </c>
      <c r="H1216" t="str">
        <f t="shared" si="37"/>
        <v>27_24</v>
      </c>
    </row>
    <row r="1217" spans="1:8" x14ac:dyDescent="0.2">
      <c r="A1217" s="9" t="s">
        <v>51</v>
      </c>
      <c r="C1217" t="str">
        <f t="shared" ref="C1217:C1280" si="38">""""&amp;SUBSTITUTE(A1217,"zzz",H1217)&amp;""""&amp;","</f>
        <v>"https://www.zeldadungeon.net/maps/totk/tiles/sky/6/27_25.jpg",</v>
      </c>
      <c r="H1217" t="str">
        <f t="shared" ref="H1217:H1280" si="39">QUOTIENT(ROW(A1217),48)+2&amp;"_"&amp;MOD(ROW(A1217),48)+8</f>
        <v>27_25</v>
      </c>
    </row>
    <row r="1218" spans="1:8" x14ac:dyDescent="0.2">
      <c r="A1218" s="9" t="s">
        <v>51</v>
      </c>
      <c r="C1218" t="str">
        <f t="shared" si="38"/>
        <v>"https://www.zeldadungeon.net/maps/totk/tiles/sky/6/27_26.jpg",</v>
      </c>
      <c r="H1218" t="str">
        <f t="shared" si="39"/>
        <v>27_26</v>
      </c>
    </row>
    <row r="1219" spans="1:8" x14ac:dyDescent="0.2">
      <c r="A1219" s="9" t="s">
        <v>51</v>
      </c>
      <c r="C1219" t="str">
        <f t="shared" si="38"/>
        <v>"https://www.zeldadungeon.net/maps/totk/tiles/sky/6/27_27.jpg",</v>
      </c>
      <c r="H1219" t="str">
        <f t="shared" si="39"/>
        <v>27_27</v>
      </c>
    </row>
    <row r="1220" spans="1:8" x14ac:dyDescent="0.2">
      <c r="A1220" s="9" t="s">
        <v>51</v>
      </c>
      <c r="C1220" t="str">
        <f t="shared" si="38"/>
        <v>"https://www.zeldadungeon.net/maps/totk/tiles/sky/6/27_28.jpg",</v>
      </c>
      <c r="H1220" t="str">
        <f t="shared" si="39"/>
        <v>27_28</v>
      </c>
    </row>
    <row r="1221" spans="1:8" x14ac:dyDescent="0.2">
      <c r="A1221" s="9" t="s">
        <v>51</v>
      </c>
      <c r="C1221" t="str">
        <f t="shared" si="38"/>
        <v>"https://www.zeldadungeon.net/maps/totk/tiles/sky/6/27_29.jpg",</v>
      </c>
      <c r="H1221" t="str">
        <f t="shared" si="39"/>
        <v>27_29</v>
      </c>
    </row>
    <row r="1222" spans="1:8" x14ac:dyDescent="0.2">
      <c r="A1222" s="9" t="s">
        <v>51</v>
      </c>
      <c r="C1222" t="str">
        <f t="shared" si="38"/>
        <v>"https://www.zeldadungeon.net/maps/totk/tiles/sky/6/27_30.jpg",</v>
      </c>
      <c r="H1222" t="str">
        <f t="shared" si="39"/>
        <v>27_30</v>
      </c>
    </row>
    <row r="1223" spans="1:8" x14ac:dyDescent="0.2">
      <c r="A1223" s="9" t="s">
        <v>51</v>
      </c>
      <c r="C1223" t="str">
        <f t="shared" si="38"/>
        <v>"https://www.zeldadungeon.net/maps/totk/tiles/sky/6/27_31.jpg",</v>
      </c>
      <c r="H1223" t="str">
        <f t="shared" si="39"/>
        <v>27_31</v>
      </c>
    </row>
    <row r="1224" spans="1:8" x14ac:dyDescent="0.2">
      <c r="A1224" s="9" t="s">
        <v>51</v>
      </c>
      <c r="C1224" t="str">
        <f t="shared" si="38"/>
        <v>"https://www.zeldadungeon.net/maps/totk/tiles/sky/6/27_32.jpg",</v>
      </c>
      <c r="H1224" t="str">
        <f t="shared" si="39"/>
        <v>27_32</v>
      </c>
    </row>
    <row r="1225" spans="1:8" x14ac:dyDescent="0.2">
      <c r="A1225" s="9" t="s">
        <v>51</v>
      </c>
      <c r="C1225" t="str">
        <f t="shared" si="38"/>
        <v>"https://www.zeldadungeon.net/maps/totk/tiles/sky/6/27_33.jpg",</v>
      </c>
      <c r="H1225" t="str">
        <f t="shared" si="39"/>
        <v>27_33</v>
      </c>
    </row>
    <row r="1226" spans="1:8" x14ac:dyDescent="0.2">
      <c r="A1226" s="9" t="s">
        <v>51</v>
      </c>
      <c r="C1226" t="str">
        <f t="shared" si="38"/>
        <v>"https://www.zeldadungeon.net/maps/totk/tiles/sky/6/27_34.jpg",</v>
      </c>
      <c r="H1226" t="str">
        <f t="shared" si="39"/>
        <v>27_34</v>
      </c>
    </row>
    <row r="1227" spans="1:8" x14ac:dyDescent="0.2">
      <c r="A1227" s="9" t="s">
        <v>51</v>
      </c>
      <c r="C1227" t="str">
        <f t="shared" si="38"/>
        <v>"https://www.zeldadungeon.net/maps/totk/tiles/sky/6/27_35.jpg",</v>
      </c>
      <c r="H1227" t="str">
        <f t="shared" si="39"/>
        <v>27_35</v>
      </c>
    </row>
    <row r="1228" spans="1:8" x14ac:dyDescent="0.2">
      <c r="A1228" s="9" t="s">
        <v>51</v>
      </c>
      <c r="C1228" t="str">
        <f t="shared" si="38"/>
        <v>"https://www.zeldadungeon.net/maps/totk/tiles/sky/6/27_36.jpg",</v>
      </c>
      <c r="H1228" t="str">
        <f t="shared" si="39"/>
        <v>27_36</v>
      </c>
    </row>
    <row r="1229" spans="1:8" x14ac:dyDescent="0.2">
      <c r="A1229" s="9" t="s">
        <v>51</v>
      </c>
      <c r="C1229" t="str">
        <f t="shared" si="38"/>
        <v>"https://www.zeldadungeon.net/maps/totk/tiles/sky/6/27_37.jpg",</v>
      </c>
      <c r="H1229" t="str">
        <f t="shared" si="39"/>
        <v>27_37</v>
      </c>
    </row>
    <row r="1230" spans="1:8" x14ac:dyDescent="0.2">
      <c r="A1230" s="9" t="s">
        <v>51</v>
      </c>
      <c r="C1230" t="str">
        <f t="shared" si="38"/>
        <v>"https://www.zeldadungeon.net/maps/totk/tiles/sky/6/27_38.jpg",</v>
      </c>
      <c r="H1230" t="str">
        <f t="shared" si="39"/>
        <v>27_38</v>
      </c>
    </row>
    <row r="1231" spans="1:8" x14ac:dyDescent="0.2">
      <c r="A1231" s="9" t="s">
        <v>51</v>
      </c>
      <c r="C1231" t="str">
        <f t="shared" si="38"/>
        <v>"https://www.zeldadungeon.net/maps/totk/tiles/sky/6/27_39.jpg",</v>
      </c>
      <c r="H1231" t="str">
        <f t="shared" si="39"/>
        <v>27_39</v>
      </c>
    </row>
    <row r="1232" spans="1:8" x14ac:dyDescent="0.2">
      <c r="A1232" s="9" t="s">
        <v>51</v>
      </c>
      <c r="C1232" t="str">
        <f t="shared" si="38"/>
        <v>"https://www.zeldadungeon.net/maps/totk/tiles/sky/6/27_40.jpg",</v>
      </c>
      <c r="H1232" t="str">
        <f t="shared" si="39"/>
        <v>27_40</v>
      </c>
    </row>
    <row r="1233" spans="1:8" x14ac:dyDescent="0.2">
      <c r="A1233" s="9" t="s">
        <v>51</v>
      </c>
      <c r="C1233" t="str">
        <f t="shared" si="38"/>
        <v>"https://www.zeldadungeon.net/maps/totk/tiles/sky/6/27_41.jpg",</v>
      </c>
      <c r="H1233" t="str">
        <f t="shared" si="39"/>
        <v>27_41</v>
      </c>
    </row>
    <row r="1234" spans="1:8" x14ac:dyDescent="0.2">
      <c r="A1234" s="9" t="s">
        <v>51</v>
      </c>
      <c r="C1234" t="str">
        <f t="shared" si="38"/>
        <v>"https://www.zeldadungeon.net/maps/totk/tiles/sky/6/27_42.jpg",</v>
      </c>
      <c r="H1234" t="str">
        <f t="shared" si="39"/>
        <v>27_42</v>
      </c>
    </row>
    <row r="1235" spans="1:8" x14ac:dyDescent="0.2">
      <c r="A1235" s="9" t="s">
        <v>51</v>
      </c>
      <c r="C1235" t="str">
        <f t="shared" si="38"/>
        <v>"https://www.zeldadungeon.net/maps/totk/tiles/sky/6/27_43.jpg",</v>
      </c>
      <c r="H1235" t="str">
        <f t="shared" si="39"/>
        <v>27_43</v>
      </c>
    </row>
    <row r="1236" spans="1:8" x14ac:dyDescent="0.2">
      <c r="A1236" s="9" t="s">
        <v>51</v>
      </c>
      <c r="C1236" t="str">
        <f t="shared" si="38"/>
        <v>"https://www.zeldadungeon.net/maps/totk/tiles/sky/6/27_44.jpg",</v>
      </c>
      <c r="H1236" t="str">
        <f t="shared" si="39"/>
        <v>27_44</v>
      </c>
    </row>
    <row r="1237" spans="1:8" x14ac:dyDescent="0.2">
      <c r="A1237" s="9" t="s">
        <v>51</v>
      </c>
      <c r="C1237" t="str">
        <f t="shared" si="38"/>
        <v>"https://www.zeldadungeon.net/maps/totk/tiles/sky/6/27_45.jpg",</v>
      </c>
      <c r="H1237" t="str">
        <f t="shared" si="39"/>
        <v>27_45</v>
      </c>
    </row>
    <row r="1238" spans="1:8" x14ac:dyDescent="0.2">
      <c r="A1238" s="9" t="s">
        <v>51</v>
      </c>
      <c r="C1238" t="str">
        <f t="shared" si="38"/>
        <v>"https://www.zeldadungeon.net/maps/totk/tiles/sky/6/27_46.jpg",</v>
      </c>
      <c r="H1238" t="str">
        <f t="shared" si="39"/>
        <v>27_46</v>
      </c>
    </row>
    <row r="1239" spans="1:8" x14ac:dyDescent="0.2">
      <c r="A1239" s="9" t="s">
        <v>51</v>
      </c>
      <c r="C1239" t="str">
        <f t="shared" si="38"/>
        <v>"https://www.zeldadungeon.net/maps/totk/tiles/sky/6/27_47.jpg",</v>
      </c>
      <c r="H1239" t="str">
        <f t="shared" si="39"/>
        <v>27_47</v>
      </c>
    </row>
    <row r="1240" spans="1:8" x14ac:dyDescent="0.2">
      <c r="A1240" s="9" t="s">
        <v>51</v>
      </c>
      <c r="C1240" t="str">
        <f t="shared" si="38"/>
        <v>"https://www.zeldadungeon.net/maps/totk/tiles/sky/6/27_48.jpg",</v>
      </c>
      <c r="H1240" t="str">
        <f t="shared" si="39"/>
        <v>27_48</v>
      </c>
    </row>
    <row r="1241" spans="1:8" x14ac:dyDescent="0.2">
      <c r="A1241" s="9" t="s">
        <v>51</v>
      </c>
      <c r="C1241" t="str">
        <f t="shared" si="38"/>
        <v>"https://www.zeldadungeon.net/maps/totk/tiles/sky/6/27_49.jpg",</v>
      </c>
      <c r="H1241" t="str">
        <f t="shared" si="39"/>
        <v>27_49</v>
      </c>
    </row>
    <row r="1242" spans="1:8" x14ac:dyDescent="0.2">
      <c r="A1242" s="9" t="s">
        <v>51</v>
      </c>
      <c r="C1242" t="str">
        <f t="shared" si="38"/>
        <v>"https://www.zeldadungeon.net/maps/totk/tiles/sky/6/27_50.jpg",</v>
      </c>
      <c r="H1242" t="str">
        <f t="shared" si="39"/>
        <v>27_50</v>
      </c>
    </row>
    <row r="1243" spans="1:8" x14ac:dyDescent="0.2">
      <c r="A1243" s="9" t="s">
        <v>51</v>
      </c>
      <c r="C1243" t="str">
        <f t="shared" si="38"/>
        <v>"https://www.zeldadungeon.net/maps/totk/tiles/sky/6/27_51.jpg",</v>
      </c>
      <c r="H1243" t="str">
        <f t="shared" si="39"/>
        <v>27_51</v>
      </c>
    </row>
    <row r="1244" spans="1:8" x14ac:dyDescent="0.2">
      <c r="A1244" s="9" t="s">
        <v>51</v>
      </c>
      <c r="C1244" t="str">
        <f t="shared" si="38"/>
        <v>"https://www.zeldadungeon.net/maps/totk/tiles/sky/6/27_52.jpg",</v>
      </c>
      <c r="H1244" t="str">
        <f t="shared" si="39"/>
        <v>27_52</v>
      </c>
    </row>
    <row r="1245" spans="1:8" x14ac:dyDescent="0.2">
      <c r="A1245" s="9" t="s">
        <v>51</v>
      </c>
      <c r="C1245" t="str">
        <f t="shared" si="38"/>
        <v>"https://www.zeldadungeon.net/maps/totk/tiles/sky/6/27_53.jpg",</v>
      </c>
      <c r="H1245" t="str">
        <f t="shared" si="39"/>
        <v>27_53</v>
      </c>
    </row>
    <row r="1246" spans="1:8" x14ac:dyDescent="0.2">
      <c r="A1246" s="9" t="s">
        <v>51</v>
      </c>
      <c r="C1246" t="str">
        <f t="shared" si="38"/>
        <v>"https://www.zeldadungeon.net/maps/totk/tiles/sky/6/27_54.jpg",</v>
      </c>
      <c r="H1246" t="str">
        <f t="shared" si="39"/>
        <v>27_54</v>
      </c>
    </row>
    <row r="1247" spans="1:8" x14ac:dyDescent="0.2">
      <c r="A1247" s="9" t="s">
        <v>51</v>
      </c>
      <c r="C1247" t="str">
        <f t="shared" si="38"/>
        <v>"https://www.zeldadungeon.net/maps/totk/tiles/sky/6/27_55.jpg",</v>
      </c>
      <c r="H1247" t="str">
        <f t="shared" si="39"/>
        <v>27_55</v>
      </c>
    </row>
    <row r="1248" spans="1:8" x14ac:dyDescent="0.2">
      <c r="A1248" s="9" t="s">
        <v>51</v>
      </c>
      <c r="C1248" t="str">
        <f t="shared" si="38"/>
        <v>"https://www.zeldadungeon.net/maps/totk/tiles/sky/6/28_8.jpg",</v>
      </c>
      <c r="H1248" t="str">
        <f t="shared" si="39"/>
        <v>28_8</v>
      </c>
    </row>
    <row r="1249" spans="1:8" x14ac:dyDescent="0.2">
      <c r="A1249" s="9" t="s">
        <v>51</v>
      </c>
      <c r="C1249" t="str">
        <f t="shared" si="38"/>
        <v>"https://www.zeldadungeon.net/maps/totk/tiles/sky/6/28_9.jpg",</v>
      </c>
      <c r="H1249" t="str">
        <f t="shared" si="39"/>
        <v>28_9</v>
      </c>
    </row>
    <row r="1250" spans="1:8" x14ac:dyDescent="0.2">
      <c r="A1250" s="9" t="s">
        <v>51</v>
      </c>
      <c r="C1250" t="str">
        <f t="shared" si="38"/>
        <v>"https://www.zeldadungeon.net/maps/totk/tiles/sky/6/28_10.jpg",</v>
      </c>
      <c r="H1250" t="str">
        <f t="shared" si="39"/>
        <v>28_10</v>
      </c>
    </row>
    <row r="1251" spans="1:8" x14ac:dyDescent="0.2">
      <c r="A1251" s="9" t="s">
        <v>51</v>
      </c>
      <c r="C1251" t="str">
        <f t="shared" si="38"/>
        <v>"https://www.zeldadungeon.net/maps/totk/tiles/sky/6/28_11.jpg",</v>
      </c>
      <c r="H1251" t="str">
        <f t="shared" si="39"/>
        <v>28_11</v>
      </c>
    </row>
    <row r="1252" spans="1:8" x14ac:dyDescent="0.2">
      <c r="A1252" s="9" t="s">
        <v>51</v>
      </c>
      <c r="C1252" t="str">
        <f t="shared" si="38"/>
        <v>"https://www.zeldadungeon.net/maps/totk/tiles/sky/6/28_12.jpg",</v>
      </c>
      <c r="H1252" t="str">
        <f t="shared" si="39"/>
        <v>28_12</v>
      </c>
    </row>
    <row r="1253" spans="1:8" x14ac:dyDescent="0.2">
      <c r="A1253" s="9" t="s">
        <v>51</v>
      </c>
      <c r="C1253" t="str">
        <f t="shared" si="38"/>
        <v>"https://www.zeldadungeon.net/maps/totk/tiles/sky/6/28_13.jpg",</v>
      </c>
      <c r="H1253" t="str">
        <f t="shared" si="39"/>
        <v>28_13</v>
      </c>
    </row>
    <row r="1254" spans="1:8" x14ac:dyDescent="0.2">
      <c r="A1254" s="9" t="s">
        <v>51</v>
      </c>
      <c r="C1254" t="str">
        <f t="shared" si="38"/>
        <v>"https://www.zeldadungeon.net/maps/totk/tiles/sky/6/28_14.jpg",</v>
      </c>
      <c r="H1254" t="str">
        <f t="shared" si="39"/>
        <v>28_14</v>
      </c>
    </row>
    <row r="1255" spans="1:8" x14ac:dyDescent="0.2">
      <c r="A1255" s="9" t="s">
        <v>51</v>
      </c>
      <c r="C1255" t="str">
        <f t="shared" si="38"/>
        <v>"https://www.zeldadungeon.net/maps/totk/tiles/sky/6/28_15.jpg",</v>
      </c>
      <c r="H1255" t="str">
        <f t="shared" si="39"/>
        <v>28_15</v>
      </c>
    </row>
    <row r="1256" spans="1:8" x14ac:dyDescent="0.2">
      <c r="A1256" s="9" t="s">
        <v>51</v>
      </c>
      <c r="C1256" t="str">
        <f t="shared" si="38"/>
        <v>"https://www.zeldadungeon.net/maps/totk/tiles/sky/6/28_16.jpg",</v>
      </c>
      <c r="H1256" t="str">
        <f t="shared" si="39"/>
        <v>28_16</v>
      </c>
    </row>
    <row r="1257" spans="1:8" x14ac:dyDescent="0.2">
      <c r="A1257" s="9" t="s">
        <v>51</v>
      </c>
      <c r="C1257" t="str">
        <f t="shared" si="38"/>
        <v>"https://www.zeldadungeon.net/maps/totk/tiles/sky/6/28_17.jpg",</v>
      </c>
      <c r="H1257" t="str">
        <f t="shared" si="39"/>
        <v>28_17</v>
      </c>
    </row>
    <row r="1258" spans="1:8" x14ac:dyDescent="0.2">
      <c r="A1258" s="9" t="s">
        <v>51</v>
      </c>
      <c r="C1258" t="str">
        <f t="shared" si="38"/>
        <v>"https://www.zeldadungeon.net/maps/totk/tiles/sky/6/28_18.jpg",</v>
      </c>
      <c r="H1258" t="str">
        <f t="shared" si="39"/>
        <v>28_18</v>
      </c>
    </row>
    <row r="1259" spans="1:8" x14ac:dyDescent="0.2">
      <c r="A1259" s="9" t="s">
        <v>51</v>
      </c>
      <c r="C1259" t="str">
        <f t="shared" si="38"/>
        <v>"https://www.zeldadungeon.net/maps/totk/tiles/sky/6/28_19.jpg",</v>
      </c>
      <c r="H1259" t="str">
        <f t="shared" si="39"/>
        <v>28_19</v>
      </c>
    </row>
    <row r="1260" spans="1:8" x14ac:dyDescent="0.2">
      <c r="A1260" s="9" t="s">
        <v>51</v>
      </c>
      <c r="C1260" t="str">
        <f t="shared" si="38"/>
        <v>"https://www.zeldadungeon.net/maps/totk/tiles/sky/6/28_20.jpg",</v>
      </c>
      <c r="H1260" t="str">
        <f t="shared" si="39"/>
        <v>28_20</v>
      </c>
    </row>
    <row r="1261" spans="1:8" x14ac:dyDescent="0.2">
      <c r="A1261" s="9" t="s">
        <v>51</v>
      </c>
      <c r="C1261" t="str">
        <f t="shared" si="38"/>
        <v>"https://www.zeldadungeon.net/maps/totk/tiles/sky/6/28_21.jpg",</v>
      </c>
      <c r="H1261" t="str">
        <f t="shared" si="39"/>
        <v>28_21</v>
      </c>
    </row>
    <row r="1262" spans="1:8" x14ac:dyDescent="0.2">
      <c r="A1262" s="9" t="s">
        <v>51</v>
      </c>
      <c r="C1262" t="str">
        <f t="shared" si="38"/>
        <v>"https://www.zeldadungeon.net/maps/totk/tiles/sky/6/28_22.jpg",</v>
      </c>
      <c r="H1262" t="str">
        <f t="shared" si="39"/>
        <v>28_22</v>
      </c>
    </row>
    <row r="1263" spans="1:8" x14ac:dyDescent="0.2">
      <c r="A1263" s="9" t="s">
        <v>51</v>
      </c>
      <c r="C1263" t="str">
        <f t="shared" si="38"/>
        <v>"https://www.zeldadungeon.net/maps/totk/tiles/sky/6/28_23.jpg",</v>
      </c>
      <c r="H1263" t="str">
        <f t="shared" si="39"/>
        <v>28_23</v>
      </c>
    </row>
    <row r="1264" spans="1:8" x14ac:dyDescent="0.2">
      <c r="A1264" s="9" t="s">
        <v>51</v>
      </c>
      <c r="C1264" t="str">
        <f t="shared" si="38"/>
        <v>"https://www.zeldadungeon.net/maps/totk/tiles/sky/6/28_24.jpg",</v>
      </c>
      <c r="H1264" t="str">
        <f t="shared" si="39"/>
        <v>28_24</v>
      </c>
    </row>
    <row r="1265" spans="1:8" x14ac:dyDescent="0.2">
      <c r="A1265" s="9" t="s">
        <v>51</v>
      </c>
      <c r="C1265" t="str">
        <f t="shared" si="38"/>
        <v>"https://www.zeldadungeon.net/maps/totk/tiles/sky/6/28_25.jpg",</v>
      </c>
      <c r="H1265" t="str">
        <f t="shared" si="39"/>
        <v>28_25</v>
      </c>
    </row>
    <row r="1266" spans="1:8" x14ac:dyDescent="0.2">
      <c r="A1266" s="9" t="s">
        <v>51</v>
      </c>
      <c r="C1266" t="str">
        <f t="shared" si="38"/>
        <v>"https://www.zeldadungeon.net/maps/totk/tiles/sky/6/28_26.jpg",</v>
      </c>
      <c r="H1266" t="str">
        <f t="shared" si="39"/>
        <v>28_26</v>
      </c>
    </row>
    <row r="1267" spans="1:8" x14ac:dyDescent="0.2">
      <c r="A1267" s="9" t="s">
        <v>51</v>
      </c>
      <c r="C1267" t="str">
        <f t="shared" si="38"/>
        <v>"https://www.zeldadungeon.net/maps/totk/tiles/sky/6/28_27.jpg",</v>
      </c>
      <c r="H1267" t="str">
        <f t="shared" si="39"/>
        <v>28_27</v>
      </c>
    </row>
    <row r="1268" spans="1:8" x14ac:dyDescent="0.2">
      <c r="A1268" s="9" t="s">
        <v>51</v>
      </c>
      <c r="C1268" t="str">
        <f t="shared" si="38"/>
        <v>"https://www.zeldadungeon.net/maps/totk/tiles/sky/6/28_28.jpg",</v>
      </c>
      <c r="H1268" t="str">
        <f t="shared" si="39"/>
        <v>28_28</v>
      </c>
    </row>
    <row r="1269" spans="1:8" x14ac:dyDescent="0.2">
      <c r="A1269" s="9" t="s">
        <v>51</v>
      </c>
      <c r="C1269" t="str">
        <f t="shared" si="38"/>
        <v>"https://www.zeldadungeon.net/maps/totk/tiles/sky/6/28_29.jpg",</v>
      </c>
      <c r="H1269" t="str">
        <f t="shared" si="39"/>
        <v>28_29</v>
      </c>
    </row>
    <row r="1270" spans="1:8" x14ac:dyDescent="0.2">
      <c r="A1270" s="9" t="s">
        <v>51</v>
      </c>
      <c r="C1270" t="str">
        <f t="shared" si="38"/>
        <v>"https://www.zeldadungeon.net/maps/totk/tiles/sky/6/28_30.jpg",</v>
      </c>
      <c r="H1270" t="str">
        <f t="shared" si="39"/>
        <v>28_30</v>
      </c>
    </row>
    <row r="1271" spans="1:8" x14ac:dyDescent="0.2">
      <c r="A1271" s="9" t="s">
        <v>51</v>
      </c>
      <c r="C1271" t="str">
        <f t="shared" si="38"/>
        <v>"https://www.zeldadungeon.net/maps/totk/tiles/sky/6/28_31.jpg",</v>
      </c>
      <c r="H1271" t="str">
        <f t="shared" si="39"/>
        <v>28_31</v>
      </c>
    </row>
    <row r="1272" spans="1:8" x14ac:dyDescent="0.2">
      <c r="A1272" s="9" t="s">
        <v>51</v>
      </c>
      <c r="C1272" t="str">
        <f t="shared" si="38"/>
        <v>"https://www.zeldadungeon.net/maps/totk/tiles/sky/6/28_32.jpg",</v>
      </c>
      <c r="H1272" t="str">
        <f t="shared" si="39"/>
        <v>28_32</v>
      </c>
    </row>
    <row r="1273" spans="1:8" x14ac:dyDescent="0.2">
      <c r="A1273" s="9" t="s">
        <v>51</v>
      </c>
      <c r="C1273" t="str">
        <f t="shared" si="38"/>
        <v>"https://www.zeldadungeon.net/maps/totk/tiles/sky/6/28_33.jpg",</v>
      </c>
      <c r="H1273" t="str">
        <f t="shared" si="39"/>
        <v>28_33</v>
      </c>
    </row>
    <row r="1274" spans="1:8" x14ac:dyDescent="0.2">
      <c r="A1274" s="9" t="s">
        <v>51</v>
      </c>
      <c r="C1274" t="str">
        <f t="shared" si="38"/>
        <v>"https://www.zeldadungeon.net/maps/totk/tiles/sky/6/28_34.jpg",</v>
      </c>
      <c r="H1274" t="str">
        <f t="shared" si="39"/>
        <v>28_34</v>
      </c>
    </row>
    <row r="1275" spans="1:8" x14ac:dyDescent="0.2">
      <c r="A1275" s="9" t="s">
        <v>51</v>
      </c>
      <c r="C1275" t="str">
        <f t="shared" si="38"/>
        <v>"https://www.zeldadungeon.net/maps/totk/tiles/sky/6/28_35.jpg",</v>
      </c>
      <c r="H1275" t="str">
        <f t="shared" si="39"/>
        <v>28_35</v>
      </c>
    </row>
    <row r="1276" spans="1:8" x14ac:dyDescent="0.2">
      <c r="A1276" s="9" t="s">
        <v>51</v>
      </c>
      <c r="C1276" t="str">
        <f t="shared" si="38"/>
        <v>"https://www.zeldadungeon.net/maps/totk/tiles/sky/6/28_36.jpg",</v>
      </c>
      <c r="H1276" t="str">
        <f t="shared" si="39"/>
        <v>28_36</v>
      </c>
    </row>
    <row r="1277" spans="1:8" x14ac:dyDescent="0.2">
      <c r="A1277" s="9" t="s">
        <v>51</v>
      </c>
      <c r="C1277" t="str">
        <f t="shared" si="38"/>
        <v>"https://www.zeldadungeon.net/maps/totk/tiles/sky/6/28_37.jpg",</v>
      </c>
      <c r="H1277" t="str">
        <f t="shared" si="39"/>
        <v>28_37</v>
      </c>
    </row>
    <row r="1278" spans="1:8" x14ac:dyDescent="0.2">
      <c r="A1278" s="9" t="s">
        <v>51</v>
      </c>
      <c r="C1278" t="str">
        <f t="shared" si="38"/>
        <v>"https://www.zeldadungeon.net/maps/totk/tiles/sky/6/28_38.jpg",</v>
      </c>
      <c r="H1278" t="str">
        <f t="shared" si="39"/>
        <v>28_38</v>
      </c>
    </row>
    <row r="1279" spans="1:8" x14ac:dyDescent="0.2">
      <c r="A1279" s="9" t="s">
        <v>51</v>
      </c>
      <c r="C1279" t="str">
        <f t="shared" si="38"/>
        <v>"https://www.zeldadungeon.net/maps/totk/tiles/sky/6/28_39.jpg",</v>
      </c>
      <c r="H1279" t="str">
        <f t="shared" si="39"/>
        <v>28_39</v>
      </c>
    </row>
    <row r="1280" spans="1:8" x14ac:dyDescent="0.2">
      <c r="A1280" s="9" t="s">
        <v>51</v>
      </c>
      <c r="C1280" t="str">
        <f t="shared" si="38"/>
        <v>"https://www.zeldadungeon.net/maps/totk/tiles/sky/6/28_40.jpg",</v>
      </c>
      <c r="H1280" t="str">
        <f t="shared" si="39"/>
        <v>28_40</v>
      </c>
    </row>
    <row r="1281" spans="1:8" x14ac:dyDescent="0.2">
      <c r="A1281" s="9" t="s">
        <v>51</v>
      </c>
      <c r="C1281" t="str">
        <f t="shared" ref="C1281:C1344" si="40">""""&amp;SUBSTITUTE(A1281,"zzz",H1281)&amp;""""&amp;","</f>
        <v>"https://www.zeldadungeon.net/maps/totk/tiles/sky/6/28_41.jpg",</v>
      </c>
      <c r="H1281" t="str">
        <f t="shared" ref="H1281:H1344" si="41">QUOTIENT(ROW(A1281),48)+2&amp;"_"&amp;MOD(ROW(A1281),48)+8</f>
        <v>28_41</v>
      </c>
    </row>
    <row r="1282" spans="1:8" x14ac:dyDescent="0.2">
      <c r="A1282" s="9" t="s">
        <v>51</v>
      </c>
      <c r="C1282" t="str">
        <f t="shared" si="40"/>
        <v>"https://www.zeldadungeon.net/maps/totk/tiles/sky/6/28_42.jpg",</v>
      </c>
      <c r="H1282" t="str">
        <f t="shared" si="41"/>
        <v>28_42</v>
      </c>
    </row>
    <row r="1283" spans="1:8" x14ac:dyDescent="0.2">
      <c r="A1283" s="9" t="s">
        <v>51</v>
      </c>
      <c r="C1283" t="str">
        <f t="shared" si="40"/>
        <v>"https://www.zeldadungeon.net/maps/totk/tiles/sky/6/28_43.jpg",</v>
      </c>
      <c r="H1283" t="str">
        <f t="shared" si="41"/>
        <v>28_43</v>
      </c>
    </row>
    <row r="1284" spans="1:8" x14ac:dyDescent="0.2">
      <c r="A1284" s="9" t="s">
        <v>51</v>
      </c>
      <c r="C1284" t="str">
        <f t="shared" si="40"/>
        <v>"https://www.zeldadungeon.net/maps/totk/tiles/sky/6/28_44.jpg",</v>
      </c>
      <c r="H1284" t="str">
        <f t="shared" si="41"/>
        <v>28_44</v>
      </c>
    </row>
    <row r="1285" spans="1:8" x14ac:dyDescent="0.2">
      <c r="A1285" s="9" t="s">
        <v>51</v>
      </c>
      <c r="C1285" t="str">
        <f t="shared" si="40"/>
        <v>"https://www.zeldadungeon.net/maps/totk/tiles/sky/6/28_45.jpg",</v>
      </c>
      <c r="H1285" t="str">
        <f t="shared" si="41"/>
        <v>28_45</v>
      </c>
    </row>
    <row r="1286" spans="1:8" x14ac:dyDescent="0.2">
      <c r="A1286" s="9" t="s">
        <v>51</v>
      </c>
      <c r="C1286" t="str">
        <f t="shared" si="40"/>
        <v>"https://www.zeldadungeon.net/maps/totk/tiles/sky/6/28_46.jpg",</v>
      </c>
      <c r="H1286" t="str">
        <f t="shared" si="41"/>
        <v>28_46</v>
      </c>
    </row>
    <row r="1287" spans="1:8" x14ac:dyDescent="0.2">
      <c r="A1287" s="9" t="s">
        <v>51</v>
      </c>
      <c r="C1287" t="str">
        <f t="shared" si="40"/>
        <v>"https://www.zeldadungeon.net/maps/totk/tiles/sky/6/28_47.jpg",</v>
      </c>
      <c r="H1287" t="str">
        <f t="shared" si="41"/>
        <v>28_47</v>
      </c>
    </row>
    <row r="1288" spans="1:8" x14ac:dyDescent="0.2">
      <c r="A1288" s="9" t="s">
        <v>51</v>
      </c>
      <c r="C1288" t="str">
        <f t="shared" si="40"/>
        <v>"https://www.zeldadungeon.net/maps/totk/tiles/sky/6/28_48.jpg",</v>
      </c>
      <c r="H1288" t="str">
        <f t="shared" si="41"/>
        <v>28_48</v>
      </c>
    </row>
    <row r="1289" spans="1:8" x14ac:dyDescent="0.2">
      <c r="A1289" s="9" t="s">
        <v>51</v>
      </c>
      <c r="C1289" t="str">
        <f t="shared" si="40"/>
        <v>"https://www.zeldadungeon.net/maps/totk/tiles/sky/6/28_49.jpg",</v>
      </c>
      <c r="H1289" t="str">
        <f t="shared" si="41"/>
        <v>28_49</v>
      </c>
    </row>
    <row r="1290" spans="1:8" x14ac:dyDescent="0.2">
      <c r="A1290" s="9" t="s">
        <v>51</v>
      </c>
      <c r="C1290" t="str">
        <f t="shared" si="40"/>
        <v>"https://www.zeldadungeon.net/maps/totk/tiles/sky/6/28_50.jpg",</v>
      </c>
      <c r="H1290" t="str">
        <f t="shared" si="41"/>
        <v>28_50</v>
      </c>
    </row>
    <row r="1291" spans="1:8" x14ac:dyDescent="0.2">
      <c r="A1291" s="9" t="s">
        <v>51</v>
      </c>
      <c r="C1291" t="str">
        <f t="shared" si="40"/>
        <v>"https://www.zeldadungeon.net/maps/totk/tiles/sky/6/28_51.jpg",</v>
      </c>
      <c r="H1291" t="str">
        <f t="shared" si="41"/>
        <v>28_51</v>
      </c>
    </row>
    <row r="1292" spans="1:8" x14ac:dyDescent="0.2">
      <c r="A1292" s="9" t="s">
        <v>51</v>
      </c>
      <c r="C1292" t="str">
        <f t="shared" si="40"/>
        <v>"https://www.zeldadungeon.net/maps/totk/tiles/sky/6/28_52.jpg",</v>
      </c>
      <c r="H1292" t="str">
        <f t="shared" si="41"/>
        <v>28_52</v>
      </c>
    </row>
    <row r="1293" spans="1:8" x14ac:dyDescent="0.2">
      <c r="A1293" s="9" t="s">
        <v>51</v>
      </c>
      <c r="C1293" t="str">
        <f t="shared" si="40"/>
        <v>"https://www.zeldadungeon.net/maps/totk/tiles/sky/6/28_53.jpg",</v>
      </c>
      <c r="H1293" t="str">
        <f t="shared" si="41"/>
        <v>28_53</v>
      </c>
    </row>
    <row r="1294" spans="1:8" x14ac:dyDescent="0.2">
      <c r="A1294" s="9" t="s">
        <v>51</v>
      </c>
      <c r="C1294" t="str">
        <f t="shared" si="40"/>
        <v>"https://www.zeldadungeon.net/maps/totk/tiles/sky/6/28_54.jpg",</v>
      </c>
      <c r="H1294" t="str">
        <f t="shared" si="41"/>
        <v>28_54</v>
      </c>
    </row>
    <row r="1295" spans="1:8" x14ac:dyDescent="0.2">
      <c r="A1295" s="9" t="s">
        <v>51</v>
      </c>
      <c r="C1295" t="str">
        <f t="shared" si="40"/>
        <v>"https://www.zeldadungeon.net/maps/totk/tiles/sky/6/28_55.jpg",</v>
      </c>
      <c r="H1295" t="str">
        <f t="shared" si="41"/>
        <v>28_55</v>
      </c>
    </row>
    <row r="1296" spans="1:8" x14ac:dyDescent="0.2">
      <c r="A1296" s="9" t="s">
        <v>51</v>
      </c>
      <c r="C1296" t="str">
        <f t="shared" si="40"/>
        <v>"https://www.zeldadungeon.net/maps/totk/tiles/sky/6/29_8.jpg",</v>
      </c>
      <c r="H1296" t="str">
        <f t="shared" si="41"/>
        <v>29_8</v>
      </c>
    </row>
    <row r="1297" spans="1:8" x14ac:dyDescent="0.2">
      <c r="A1297" s="9" t="s">
        <v>51</v>
      </c>
      <c r="C1297" t="str">
        <f t="shared" si="40"/>
        <v>"https://www.zeldadungeon.net/maps/totk/tiles/sky/6/29_9.jpg",</v>
      </c>
      <c r="H1297" t="str">
        <f t="shared" si="41"/>
        <v>29_9</v>
      </c>
    </row>
    <row r="1298" spans="1:8" x14ac:dyDescent="0.2">
      <c r="A1298" s="9" t="s">
        <v>51</v>
      </c>
      <c r="C1298" t="str">
        <f t="shared" si="40"/>
        <v>"https://www.zeldadungeon.net/maps/totk/tiles/sky/6/29_10.jpg",</v>
      </c>
      <c r="H1298" t="str">
        <f t="shared" si="41"/>
        <v>29_10</v>
      </c>
    </row>
    <row r="1299" spans="1:8" x14ac:dyDescent="0.2">
      <c r="A1299" s="9" t="s">
        <v>51</v>
      </c>
      <c r="C1299" t="str">
        <f t="shared" si="40"/>
        <v>"https://www.zeldadungeon.net/maps/totk/tiles/sky/6/29_11.jpg",</v>
      </c>
      <c r="H1299" t="str">
        <f t="shared" si="41"/>
        <v>29_11</v>
      </c>
    </row>
    <row r="1300" spans="1:8" x14ac:dyDescent="0.2">
      <c r="A1300" s="9" t="s">
        <v>51</v>
      </c>
      <c r="C1300" t="str">
        <f t="shared" si="40"/>
        <v>"https://www.zeldadungeon.net/maps/totk/tiles/sky/6/29_12.jpg",</v>
      </c>
      <c r="H1300" t="str">
        <f t="shared" si="41"/>
        <v>29_12</v>
      </c>
    </row>
    <row r="1301" spans="1:8" x14ac:dyDescent="0.2">
      <c r="A1301" s="9" t="s">
        <v>51</v>
      </c>
      <c r="C1301" t="str">
        <f t="shared" si="40"/>
        <v>"https://www.zeldadungeon.net/maps/totk/tiles/sky/6/29_13.jpg",</v>
      </c>
      <c r="H1301" t="str">
        <f t="shared" si="41"/>
        <v>29_13</v>
      </c>
    </row>
    <row r="1302" spans="1:8" x14ac:dyDescent="0.2">
      <c r="A1302" s="9" t="s">
        <v>51</v>
      </c>
      <c r="C1302" t="str">
        <f t="shared" si="40"/>
        <v>"https://www.zeldadungeon.net/maps/totk/tiles/sky/6/29_14.jpg",</v>
      </c>
      <c r="H1302" t="str">
        <f t="shared" si="41"/>
        <v>29_14</v>
      </c>
    </row>
    <row r="1303" spans="1:8" x14ac:dyDescent="0.2">
      <c r="A1303" s="9" t="s">
        <v>51</v>
      </c>
      <c r="C1303" t="str">
        <f t="shared" si="40"/>
        <v>"https://www.zeldadungeon.net/maps/totk/tiles/sky/6/29_15.jpg",</v>
      </c>
      <c r="H1303" t="str">
        <f t="shared" si="41"/>
        <v>29_15</v>
      </c>
    </row>
    <row r="1304" spans="1:8" x14ac:dyDescent="0.2">
      <c r="A1304" s="9" t="s">
        <v>51</v>
      </c>
      <c r="C1304" t="str">
        <f t="shared" si="40"/>
        <v>"https://www.zeldadungeon.net/maps/totk/tiles/sky/6/29_16.jpg",</v>
      </c>
      <c r="H1304" t="str">
        <f t="shared" si="41"/>
        <v>29_16</v>
      </c>
    </row>
    <row r="1305" spans="1:8" x14ac:dyDescent="0.2">
      <c r="A1305" s="9" t="s">
        <v>51</v>
      </c>
      <c r="C1305" t="str">
        <f t="shared" si="40"/>
        <v>"https://www.zeldadungeon.net/maps/totk/tiles/sky/6/29_17.jpg",</v>
      </c>
      <c r="H1305" t="str">
        <f t="shared" si="41"/>
        <v>29_17</v>
      </c>
    </row>
    <row r="1306" spans="1:8" x14ac:dyDescent="0.2">
      <c r="A1306" s="9" t="s">
        <v>51</v>
      </c>
      <c r="C1306" t="str">
        <f t="shared" si="40"/>
        <v>"https://www.zeldadungeon.net/maps/totk/tiles/sky/6/29_18.jpg",</v>
      </c>
      <c r="H1306" t="str">
        <f t="shared" si="41"/>
        <v>29_18</v>
      </c>
    </row>
    <row r="1307" spans="1:8" x14ac:dyDescent="0.2">
      <c r="A1307" s="9" t="s">
        <v>51</v>
      </c>
      <c r="C1307" t="str">
        <f t="shared" si="40"/>
        <v>"https://www.zeldadungeon.net/maps/totk/tiles/sky/6/29_19.jpg",</v>
      </c>
      <c r="H1307" t="str">
        <f t="shared" si="41"/>
        <v>29_19</v>
      </c>
    </row>
    <row r="1308" spans="1:8" x14ac:dyDescent="0.2">
      <c r="A1308" s="9" t="s">
        <v>51</v>
      </c>
      <c r="C1308" t="str">
        <f t="shared" si="40"/>
        <v>"https://www.zeldadungeon.net/maps/totk/tiles/sky/6/29_20.jpg",</v>
      </c>
      <c r="H1308" t="str">
        <f t="shared" si="41"/>
        <v>29_20</v>
      </c>
    </row>
    <row r="1309" spans="1:8" x14ac:dyDescent="0.2">
      <c r="A1309" s="9" t="s">
        <v>51</v>
      </c>
      <c r="C1309" t="str">
        <f t="shared" si="40"/>
        <v>"https://www.zeldadungeon.net/maps/totk/tiles/sky/6/29_21.jpg",</v>
      </c>
      <c r="H1309" t="str">
        <f t="shared" si="41"/>
        <v>29_21</v>
      </c>
    </row>
    <row r="1310" spans="1:8" x14ac:dyDescent="0.2">
      <c r="A1310" s="9" t="s">
        <v>51</v>
      </c>
      <c r="C1310" t="str">
        <f t="shared" si="40"/>
        <v>"https://www.zeldadungeon.net/maps/totk/tiles/sky/6/29_22.jpg",</v>
      </c>
      <c r="H1310" t="str">
        <f t="shared" si="41"/>
        <v>29_22</v>
      </c>
    </row>
    <row r="1311" spans="1:8" x14ac:dyDescent="0.2">
      <c r="A1311" s="9" t="s">
        <v>51</v>
      </c>
      <c r="C1311" t="str">
        <f t="shared" si="40"/>
        <v>"https://www.zeldadungeon.net/maps/totk/tiles/sky/6/29_23.jpg",</v>
      </c>
      <c r="H1311" t="str">
        <f t="shared" si="41"/>
        <v>29_23</v>
      </c>
    </row>
    <row r="1312" spans="1:8" x14ac:dyDescent="0.2">
      <c r="A1312" s="9" t="s">
        <v>51</v>
      </c>
      <c r="C1312" t="str">
        <f t="shared" si="40"/>
        <v>"https://www.zeldadungeon.net/maps/totk/tiles/sky/6/29_24.jpg",</v>
      </c>
      <c r="H1312" t="str">
        <f t="shared" si="41"/>
        <v>29_24</v>
      </c>
    </row>
    <row r="1313" spans="1:8" x14ac:dyDescent="0.2">
      <c r="A1313" s="9" t="s">
        <v>51</v>
      </c>
      <c r="C1313" t="str">
        <f t="shared" si="40"/>
        <v>"https://www.zeldadungeon.net/maps/totk/tiles/sky/6/29_25.jpg",</v>
      </c>
      <c r="H1313" t="str">
        <f t="shared" si="41"/>
        <v>29_25</v>
      </c>
    </row>
    <row r="1314" spans="1:8" x14ac:dyDescent="0.2">
      <c r="A1314" s="9" t="s">
        <v>51</v>
      </c>
      <c r="C1314" t="str">
        <f t="shared" si="40"/>
        <v>"https://www.zeldadungeon.net/maps/totk/tiles/sky/6/29_26.jpg",</v>
      </c>
      <c r="H1314" t="str">
        <f t="shared" si="41"/>
        <v>29_26</v>
      </c>
    </row>
    <row r="1315" spans="1:8" x14ac:dyDescent="0.2">
      <c r="A1315" s="9" t="s">
        <v>51</v>
      </c>
      <c r="C1315" t="str">
        <f t="shared" si="40"/>
        <v>"https://www.zeldadungeon.net/maps/totk/tiles/sky/6/29_27.jpg",</v>
      </c>
      <c r="H1315" t="str">
        <f t="shared" si="41"/>
        <v>29_27</v>
      </c>
    </row>
    <row r="1316" spans="1:8" x14ac:dyDescent="0.2">
      <c r="A1316" s="9" t="s">
        <v>51</v>
      </c>
      <c r="C1316" t="str">
        <f t="shared" si="40"/>
        <v>"https://www.zeldadungeon.net/maps/totk/tiles/sky/6/29_28.jpg",</v>
      </c>
      <c r="H1316" t="str">
        <f t="shared" si="41"/>
        <v>29_28</v>
      </c>
    </row>
    <row r="1317" spans="1:8" x14ac:dyDescent="0.2">
      <c r="A1317" s="9" t="s">
        <v>51</v>
      </c>
      <c r="C1317" t="str">
        <f t="shared" si="40"/>
        <v>"https://www.zeldadungeon.net/maps/totk/tiles/sky/6/29_29.jpg",</v>
      </c>
      <c r="H1317" t="str">
        <f t="shared" si="41"/>
        <v>29_29</v>
      </c>
    </row>
    <row r="1318" spans="1:8" x14ac:dyDescent="0.2">
      <c r="A1318" s="9" t="s">
        <v>51</v>
      </c>
      <c r="C1318" t="str">
        <f t="shared" si="40"/>
        <v>"https://www.zeldadungeon.net/maps/totk/tiles/sky/6/29_30.jpg",</v>
      </c>
      <c r="H1318" t="str">
        <f t="shared" si="41"/>
        <v>29_30</v>
      </c>
    </row>
    <row r="1319" spans="1:8" x14ac:dyDescent="0.2">
      <c r="A1319" s="9" t="s">
        <v>51</v>
      </c>
      <c r="C1319" t="str">
        <f t="shared" si="40"/>
        <v>"https://www.zeldadungeon.net/maps/totk/tiles/sky/6/29_31.jpg",</v>
      </c>
      <c r="H1319" t="str">
        <f t="shared" si="41"/>
        <v>29_31</v>
      </c>
    </row>
    <row r="1320" spans="1:8" x14ac:dyDescent="0.2">
      <c r="A1320" s="9" t="s">
        <v>51</v>
      </c>
      <c r="C1320" t="str">
        <f t="shared" si="40"/>
        <v>"https://www.zeldadungeon.net/maps/totk/tiles/sky/6/29_32.jpg",</v>
      </c>
      <c r="H1320" t="str">
        <f t="shared" si="41"/>
        <v>29_32</v>
      </c>
    </row>
    <row r="1321" spans="1:8" x14ac:dyDescent="0.2">
      <c r="A1321" s="9" t="s">
        <v>51</v>
      </c>
      <c r="C1321" t="str">
        <f t="shared" si="40"/>
        <v>"https://www.zeldadungeon.net/maps/totk/tiles/sky/6/29_33.jpg",</v>
      </c>
      <c r="H1321" t="str">
        <f t="shared" si="41"/>
        <v>29_33</v>
      </c>
    </row>
    <row r="1322" spans="1:8" x14ac:dyDescent="0.2">
      <c r="A1322" s="9" t="s">
        <v>51</v>
      </c>
      <c r="C1322" t="str">
        <f t="shared" si="40"/>
        <v>"https://www.zeldadungeon.net/maps/totk/tiles/sky/6/29_34.jpg",</v>
      </c>
      <c r="H1322" t="str">
        <f t="shared" si="41"/>
        <v>29_34</v>
      </c>
    </row>
    <row r="1323" spans="1:8" x14ac:dyDescent="0.2">
      <c r="A1323" s="9" t="s">
        <v>51</v>
      </c>
      <c r="C1323" t="str">
        <f t="shared" si="40"/>
        <v>"https://www.zeldadungeon.net/maps/totk/tiles/sky/6/29_35.jpg",</v>
      </c>
      <c r="H1323" t="str">
        <f t="shared" si="41"/>
        <v>29_35</v>
      </c>
    </row>
    <row r="1324" spans="1:8" x14ac:dyDescent="0.2">
      <c r="A1324" s="9" t="s">
        <v>51</v>
      </c>
      <c r="C1324" t="str">
        <f t="shared" si="40"/>
        <v>"https://www.zeldadungeon.net/maps/totk/tiles/sky/6/29_36.jpg",</v>
      </c>
      <c r="H1324" t="str">
        <f t="shared" si="41"/>
        <v>29_36</v>
      </c>
    </row>
    <row r="1325" spans="1:8" x14ac:dyDescent="0.2">
      <c r="A1325" s="9" t="s">
        <v>51</v>
      </c>
      <c r="C1325" t="str">
        <f t="shared" si="40"/>
        <v>"https://www.zeldadungeon.net/maps/totk/tiles/sky/6/29_37.jpg",</v>
      </c>
      <c r="H1325" t="str">
        <f t="shared" si="41"/>
        <v>29_37</v>
      </c>
    </row>
    <row r="1326" spans="1:8" x14ac:dyDescent="0.2">
      <c r="A1326" s="9" t="s">
        <v>51</v>
      </c>
      <c r="C1326" t="str">
        <f t="shared" si="40"/>
        <v>"https://www.zeldadungeon.net/maps/totk/tiles/sky/6/29_38.jpg",</v>
      </c>
      <c r="H1326" t="str">
        <f t="shared" si="41"/>
        <v>29_38</v>
      </c>
    </row>
    <row r="1327" spans="1:8" x14ac:dyDescent="0.2">
      <c r="A1327" s="9" t="s">
        <v>51</v>
      </c>
      <c r="C1327" t="str">
        <f t="shared" si="40"/>
        <v>"https://www.zeldadungeon.net/maps/totk/tiles/sky/6/29_39.jpg",</v>
      </c>
      <c r="H1327" t="str">
        <f t="shared" si="41"/>
        <v>29_39</v>
      </c>
    </row>
    <row r="1328" spans="1:8" x14ac:dyDescent="0.2">
      <c r="A1328" s="9" t="s">
        <v>51</v>
      </c>
      <c r="C1328" t="str">
        <f t="shared" si="40"/>
        <v>"https://www.zeldadungeon.net/maps/totk/tiles/sky/6/29_40.jpg",</v>
      </c>
      <c r="H1328" t="str">
        <f t="shared" si="41"/>
        <v>29_40</v>
      </c>
    </row>
    <row r="1329" spans="1:8" x14ac:dyDescent="0.2">
      <c r="A1329" s="9" t="s">
        <v>51</v>
      </c>
      <c r="C1329" t="str">
        <f t="shared" si="40"/>
        <v>"https://www.zeldadungeon.net/maps/totk/tiles/sky/6/29_41.jpg",</v>
      </c>
      <c r="H1329" t="str">
        <f t="shared" si="41"/>
        <v>29_41</v>
      </c>
    </row>
    <row r="1330" spans="1:8" x14ac:dyDescent="0.2">
      <c r="A1330" s="9" t="s">
        <v>51</v>
      </c>
      <c r="C1330" t="str">
        <f t="shared" si="40"/>
        <v>"https://www.zeldadungeon.net/maps/totk/tiles/sky/6/29_42.jpg",</v>
      </c>
      <c r="H1330" t="str">
        <f t="shared" si="41"/>
        <v>29_42</v>
      </c>
    </row>
    <row r="1331" spans="1:8" x14ac:dyDescent="0.2">
      <c r="A1331" s="9" t="s">
        <v>51</v>
      </c>
      <c r="C1331" t="str">
        <f t="shared" si="40"/>
        <v>"https://www.zeldadungeon.net/maps/totk/tiles/sky/6/29_43.jpg",</v>
      </c>
      <c r="H1331" t="str">
        <f t="shared" si="41"/>
        <v>29_43</v>
      </c>
    </row>
    <row r="1332" spans="1:8" x14ac:dyDescent="0.2">
      <c r="A1332" s="9" t="s">
        <v>51</v>
      </c>
      <c r="C1332" t="str">
        <f t="shared" si="40"/>
        <v>"https://www.zeldadungeon.net/maps/totk/tiles/sky/6/29_44.jpg",</v>
      </c>
      <c r="H1332" t="str">
        <f t="shared" si="41"/>
        <v>29_44</v>
      </c>
    </row>
    <row r="1333" spans="1:8" x14ac:dyDescent="0.2">
      <c r="A1333" s="9" t="s">
        <v>51</v>
      </c>
      <c r="C1333" t="str">
        <f t="shared" si="40"/>
        <v>"https://www.zeldadungeon.net/maps/totk/tiles/sky/6/29_45.jpg",</v>
      </c>
      <c r="H1333" t="str">
        <f t="shared" si="41"/>
        <v>29_45</v>
      </c>
    </row>
    <row r="1334" spans="1:8" x14ac:dyDescent="0.2">
      <c r="A1334" s="9" t="s">
        <v>51</v>
      </c>
      <c r="C1334" t="str">
        <f t="shared" si="40"/>
        <v>"https://www.zeldadungeon.net/maps/totk/tiles/sky/6/29_46.jpg",</v>
      </c>
      <c r="H1334" t="str">
        <f t="shared" si="41"/>
        <v>29_46</v>
      </c>
    </row>
    <row r="1335" spans="1:8" x14ac:dyDescent="0.2">
      <c r="A1335" s="9" t="s">
        <v>51</v>
      </c>
      <c r="C1335" t="str">
        <f t="shared" si="40"/>
        <v>"https://www.zeldadungeon.net/maps/totk/tiles/sky/6/29_47.jpg",</v>
      </c>
      <c r="H1335" t="str">
        <f t="shared" si="41"/>
        <v>29_47</v>
      </c>
    </row>
    <row r="1336" spans="1:8" x14ac:dyDescent="0.2">
      <c r="A1336" s="9" t="s">
        <v>51</v>
      </c>
      <c r="C1336" t="str">
        <f t="shared" si="40"/>
        <v>"https://www.zeldadungeon.net/maps/totk/tiles/sky/6/29_48.jpg",</v>
      </c>
      <c r="H1336" t="str">
        <f t="shared" si="41"/>
        <v>29_48</v>
      </c>
    </row>
    <row r="1337" spans="1:8" x14ac:dyDescent="0.2">
      <c r="A1337" s="9" t="s">
        <v>51</v>
      </c>
      <c r="C1337" t="str">
        <f t="shared" si="40"/>
        <v>"https://www.zeldadungeon.net/maps/totk/tiles/sky/6/29_49.jpg",</v>
      </c>
      <c r="H1337" t="str">
        <f t="shared" si="41"/>
        <v>29_49</v>
      </c>
    </row>
    <row r="1338" spans="1:8" x14ac:dyDescent="0.2">
      <c r="A1338" s="9" t="s">
        <v>51</v>
      </c>
      <c r="C1338" t="str">
        <f t="shared" si="40"/>
        <v>"https://www.zeldadungeon.net/maps/totk/tiles/sky/6/29_50.jpg",</v>
      </c>
      <c r="H1338" t="str">
        <f t="shared" si="41"/>
        <v>29_50</v>
      </c>
    </row>
    <row r="1339" spans="1:8" x14ac:dyDescent="0.2">
      <c r="A1339" s="9" t="s">
        <v>51</v>
      </c>
      <c r="C1339" t="str">
        <f t="shared" si="40"/>
        <v>"https://www.zeldadungeon.net/maps/totk/tiles/sky/6/29_51.jpg",</v>
      </c>
      <c r="H1339" t="str">
        <f t="shared" si="41"/>
        <v>29_51</v>
      </c>
    </row>
    <row r="1340" spans="1:8" x14ac:dyDescent="0.2">
      <c r="A1340" s="9" t="s">
        <v>51</v>
      </c>
      <c r="C1340" t="str">
        <f t="shared" si="40"/>
        <v>"https://www.zeldadungeon.net/maps/totk/tiles/sky/6/29_52.jpg",</v>
      </c>
      <c r="H1340" t="str">
        <f t="shared" si="41"/>
        <v>29_52</v>
      </c>
    </row>
    <row r="1341" spans="1:8" x14ac:dyDescent="0.2">
      <c r="A1341" s="9" t="s">
        <v>51</v>
      </c>
      <c r="C1341" t="str">
        <f t="shared" si="40"/>
        <v>"https://www.zeldadungeon.net/maps/totk/tiles/sky/6/29_53.jpg",</v>
      </c>
      <c r="H1341" t="str">
        <f t="shared" si="41"/>
        <v>29_53</v>
      </c>
    </row>
    <row r="1342" spans="1:8" x14ac:dyDescent="0.2">
      <c r="A1342" s="9" t="s">
        <v>51</v>
      </c>
      <c r="C1342" t="str">
        <f t="shared" si="40"/>
        <v>"https://www.zeldadungeon.net/maps/totk/tiles/sky/6/29_54.jpg",</v>
      </c>
      <c r="H1342" t="str">
        <f t="shared" si="41"/>
        <v>29_54</v>
      </c>
    </row>
    <row r="1343" spans="1:8" x14ac:dyDescent="0.2">
      <c r="A1343" s="9" t="s">
        <v>51</v>
      </c>
      <c r="C1343" t="str">
        <f t="shared" si="40"/>
        <v>"https://www.zeldadungeon.net/maps/totk/tiles/sky/6/29_55.jpg",</v>
      </c>
      <c r="H1343" t="str">
        <f t="shared" si="41"/>
        <v>29_55</v>
      </c>
    </row>
    <row r="1344" spans="1:8" x14ac:dyDescent="0.2">
      <c r="A1344" s="9" t="s">
        <v>51</v>
      </c>
      <c r="C1344" t="str">
        <f t="shared" si="40"/>
        <v>"https://www.zeldadungeon.net/maps/totk/tiles/sky/6/30_8.jpg",</v>
      </c>
      <c r="H1344" t="str">
        <f t="shared" si="41"/>
        <v>30_8</v>
      </c>
    </row>
    <row r="1345" spans="1:8" x14ac:dyDescent="0.2">
      <c r="A1345" s="9" t="s">
        <v>51</v>
      </c>
      <c r="C1345" t="str">
        <f t="shared" ref="C1345:C1408" si="42">""""&amp;SUBSTITUTE(A1345,"zzz",H1345)&amp;""""&amp;","</f>
        <v>"https://www.zeldadungeon.net/maps/totk/tiles/sky/6/30_9.jpg",</v>
      </c>
      <c r="H1345" t="str">
        <f t="shared" ref="H1345:H1408" si="43">QUOTIENT(ROW(A1345),48)+2&amp;"_"&amp;MOD(ROW(A1345),48)+8</f>
        <v>30_9</v>
      </c>
    </row>
    <row r="1346" spans="1:8" x14ac:dyDescent="0.2">
      <c r="A1346" s="9" t="s">
        <v>51</v>
      </c>
      <c r="C1346" t="str">
        <f t="shared" si="42"/>
        <v>"https://www.zeldadungeon.net/maps/totk/tiles/sky/6/30_10.jpg",</v>
      </c>
      <c r="H1346" t="str">
        <f t="shared" si="43"/>
        <v>30_10</v>
      </c>
    </row>
    <row r="1347" spans="1:8" x14ac:dyDescent="0.2">
      <c r="A1347" s="9" t="s">
        <v>51</v>
      </c>
      <c r="C1347" t="str">
        <f t="shared" si="42"/>
        <v>"https://www.zeldadungeon.net/maps/totk/tiles/sky/6/30_11.jpg",</v>
      </c>
      <c r="H1347" t="str">
        <f t="shared" si="43"/>
        <v>30_11</v>
      </c>
    </row>
    <row r="1348" spans="1:8" x14ac:dyDescent="0.2">
      <c r="A1348" s="9" t="s">
        <v>51</v>
      </c>
      <c r="C1348" t="str">
        <f t="shared" si="42"/>
        <v>"https://www.zeldadungeon.net/maps/totk/tiles/sky/6/30_12.jpg",</v>
      </c>
      <c r="H1348" t="str">
        <f t="shared" si="43"/>
        <v>30_12</v>
      </c>
    </row>
    <row r="1349" spans="1:8" x14ac:dyDescent="0.2">
      <c r="A1349" s="9" t="s">
        <v>51</v>
      </c>
      <c r="C1349" t="str">
        <f t="shared" si="42"/>
        <v>"https://www.zeldadungeon.net/maps/totk/tiles/sky/6/30_13.jpg",</v>
      </c>
      <c r="H1349" t="str">
        <f t="shared" si="43"/>
        <v>30_13</v>
      </c>
    </row>
    <row r="1350" spans="1:8" x14ac:dyDescent="0.2">
      <c r="A1350" s="9" t="s">
        <v>51</v>
      </c>
      <c r="C1350" t="str">
        <f t="shared" si="42"/>
        <v>"https://www.zeldadungeon.net/maps/totk/tiles/sky/6/30_14.jpg",</v>
      </c>
      <c r="H1350" t="str">
        <f t="shared" si="43"/>
        <v>30_14</v>
      </c>
    </row>
    <row r="1351" spans="1:8" x14ac:dyDescent="0.2">
      <c r="A1351" s="9" t="s">
        <v>51</v>
      </c>
      <c r="C1351" t="str">
        <f t="shared" si="42"/>
        <v>"https://www.zeldadungeon.net/maps/totk/tiles/sky/6/30_15.jpg",</v>
      </c>
      <c r="H1351" t="str">
        <f t="shared" si="43"/>
        <v>30_15</v>
      </c>
    </row>
    <row r="1352" spans="1:8" x14ac:dyDescent="0.2">
      <c r="A1352" s="9" t="s">
        <v>51</v>
      </c>
      <c r="C1352" t="str">
        <f t="shared" si="42"/>
        <v>"https://www.zeldadungeon.net/maps/totk/tiles/sky/6/30_16.jpg",</v>
      </c>
      <c r="H1352" t="str">
        <f t="shared" si="43"/>
        <v>30_16</v>
      </c>
    </row>
    <row r="1353" spans="1:8" x14ac:dyDescent="0.2">
      <c r="A1353" s="9" t="s">
        <v>51</v>
      </c>
      <c r="C1353" t="str">
        <f t="shared" si="42"/>
        <v>"https://www.zeldadungeon.net/maps/totk/tiles/sky/6/30_17.jpg",</v>
      </c>
      <c r="H1353" t="str">
        <f t="shared" si="43"/>
        <v>30_17</v>
      </c>
    </row>
    <row r="1354" spans="1:8" x14ac:dyDescent="0.2">
      <c r="A1354" s="9" t="s">
        <v>51</v>
      </c>
      <c r="C1354" t="str">
        <f t="shared" si="42"/>
        <v>"https://www.zeldadungeon.net/maps/totk/tiles/sky/6/30_18.jpg",</v>
      </c>
      <c r="H1354" t="str">
        <f t="shared" si="43"/>
        <v>30_18</v>
      </c>
    </row>
    <row r="1355" spans="1:8" x14ac:dyDescent="0.2">
      <c r="A1355" s="9" t="s">
        <v>51</v>
      </c>
      <c r="C1355" t="str">
        <f t="shared" si="42"/>
        <v>"https://www.zeldadungeon.net/maps/totk/tiles/sky/6/30_19.jpg",</v>
      </c>
      <c r="H1355" t="str">
        <f t="shared" si="43"/>
        <v>30_19</v>
      </c>
    </row>
    <row r="1356" spans="1:8" x14ac:dyDescent="0.2">
      <c r="A1356" s="9" t="s">
        <v>51</v>
      </c>
      <c r="C1356" t="str">
        <f t="shared" si="42"/>
        <v>"https://www.zeldadungeon.net/maps/totk/tiles/sky/6/30_20.jpg",</v>
      </c>
      <c r="H1356" t="str">
        <f t="shared" si="43"/>
        <v>30_20</v>
      </c>
    </row>
    <row r="1357" spans="1:8" x14ac:dyDescent="0.2">
      <c r="A1357" s="9" t="s">
        <v>51</v>
      </c>
      <c r="C1357" t="str">
        <f t="shared" si="42"/>
        <v>"https://www.zeldadungeon.net/maps/totk/tiles/sky/6/30_21.jpg",</v>
      </c>
      <c r="H1357" t="str">
        <f t="shared" si="43"/>
        <v>30_21</v>
      </c>
    </row>
    <row r="1358" spans="1:8" x14ac:dyDescent="0.2">
      <c r="A1358" s="9" t="s">
        <v>51</v>
      </c>
      <c r="C1358" t="str">
        <f t="shared" si="42"/>
        <v>"https://www.zeldadungeon.net/maps/totk/tiles/sky/6/30_22.jpg",</v>
      </c>
      <c r="H1358" t="str">
        <f t="shared" si="43"/>
        <v>30_22</v>
      </c>
    </row>
    <row r="1359" spans="1:8" x14ac:dyDescent="0.2">
      <c r="A1359" s="9" t="s">
        <v>51</v>
      </c>
      <c r="C1359" t="str">
        <f t="shared" si="42"/>
        <v>"https://www.zeldadungeon.net/maps/totk/tiles/sky/6/30_23.jpg",</v>
      </c>
      <c r="H1359" t="str">
        <f t="shared" si="43"/>
        <v>30_23</v>
      </c>
    </row>
    <row r="1360" spans="1:8" x14ac:dyDescent="0.2">
      <c r="A1360" s="9" t="s">
        <v>51</v>
      </c>
      <c r="C1360" t="str">
        <f t="shared" si="42"/>
        <v>"https://www.zeldadungeon.net/maps/totk/tiles/sky/6/30_24.jpg",</v>
      </c>
      <c r="H1360" t="str">
        <f t="shared" si="43"/>
        <v>30_24</v>
      </c>
    </row>
    <row r="1361" spans="1:8" x14ac:dyDescent="0.2">
      <c r="A1361" s="9" t="s">
        <v>51</v>
      </c>
      <c r="C1361" t="str">
        <f t="shared" si="42"/>
        <v>"https://www.zeldadungeon.net/maps/totk/tiles/sky/6/30_25.jpg",</v>
      </c>
      <c r="H1361" t="str">
        <f t="shared" si="43"/>
        <v>30_25</v>
      </c>
    </row>
    <row r="1362" spans="1:8" x14ac:dyDescent="0.2">
      <c r="A1362" s="9" t="s">
        <v>51</v>
      </c>
      <c r="C1362" t="str">
        <f t="shared" si="42"/>
        <v>"https://www.zeldadungeon.net/maps/totk/tiles/sky/6/30_26.jpg",</v>
      </c>
      <c r="H1362" t="str">
        <f t="shared" si="43"/>
        <v>30_26</v>
      </c>
    </row>
    <row r="1363" spans="1:8" x14ac:dyDescent="0.2">
      <c r="A1363" s="9" t="s">
        <v>51</v>
      </c>
      <c r="C1363" t="str">
        <f t="shared" si="42"/>
        <v>"https://www.zeldadungeon.net/maps/totk/tiles/sky/6/30_27.jpg",</v>
      </c>
      <c r="H1363" t="str">
        <f t="shared" si="43"/>
        <v>30_27</v>
      </c>
    </row>
    <row r="1364" spans="1:8" x14ac:dyDescent="0.2">
      <c r="A1364" s="9" t="s">
        <v>51</v>
      </c>
      <c r="C1364" t="str">
        <f t="shared" si="42"/>
        <v>"https://www.zeldadungeon.net/maps/totk/tiles/sky/6/30_28.jpg",</v>
      </c>
      <c r="H1364" t="str">
        <f t="shared" si="43"/>
        <v>30_28</v>
      </c>
    </row>
    <row r="1365" spans="1:8" x14ac:dyDescent="0.2">
      <c r="A1365" s="9" t="s">
        <v>51</v>
      </c>
      <c r="C1365" t="str">
        <f t="shared" si="42"/>
        <v>"https://www.zeldadungeon.net/maps/totk/tiles/sky/6/30_29.jpg",</v>
      </c>
      <c r="H1365" t="str">
        <f t="shared" si="43"/>
        <v>30_29</v>
      </c>
    </row>
    <row r="1366" spans="1:8" x14ac:dyDescent="0.2">
      <c r="A1366" s="9" t="s">
        <v>51</v>
      </c>
      <c r="C1366" t="str">
        <f t="shared" si="42"/>
        <v>"https://www.zeldadungeon.net/maps/totk/tiles/sky/6/30_30.jpg",</v>
      </c>
      <c r="H1366" t="str">
        <f t="shared" si="43"/>
        <v>30_30</v>
      </c>
    </row>
    <row r="1367" spans="1:8" x14ac:dyDescent="0.2">
      <c r="A1367" s="9" t="s">
        <v>51</v>
      </c>
      <c r="C1367" t="str">
        <f t="shared" si="42"/>
        <v>"https://www.zeldadungeon.net/maps/totk/tiles/sky/6/30_31.jpg",</v>
      </c>
      <c r="H1367" t="str">
        <f t="shared" si="43"/>
        <v>30_31</v>
      </c>
    </row>
    <row r="1368" spans="1:8" x14ac:dyDescent="0.2">
      <c r="A1368" s="9" t="s">
        <v>51</v>
      </c>
      <c r="C1368" t="str">
        <f t="shared" si="42"/>
        <v>"https://www.zeldadungeon.net/maps/totk/tiles/sky/6/30_32.jpg",</v>
      </c>
      <c r="H1368" t="str">
        <f t="shared" si="43"/>
        <v>30_32</v>
      </c>
    </row>
    <row r="1369" spans="1:8" x14ac:dyDescent="0.2">
      <c r="A1369" s="9" t="s">
        <v>51</v>
      </c>
      <c r="C1369" t="str">
        <f t="shared" si="42"/>
        <v>"https://www.zeldadungeon.net/maps/totk/tiles/sky/6/30_33.jpg",</v>
      </c>
      <c r="H1369" t="str">
        <f t="shared" si="43"/>
        <v>30_33</v>
      </c>
    </row>
    <row r="1370" spans="1:8" x14ac:dyDescent="0.2">
      <c r="A1370" s="9" t="s">
        <v>51</v>
      </c>
      <c r="C1370" t="str">
        <f t="shared" si="42"/>
        <v>"https://www.zeldadungeon.net/maps/totk/tiles/sky/6/30_34.jpg",</v>
      </c>
      <c r="H1370" t="str">
        <f t="shared" si="43"/>
        <v>30_34</v>
      </c>
    </row>
    <row r="1371" spans="1:8" x14ac:dyDescent="0.2">
      <c r="A1371" s="9" t="s">
        <v>51</v>
      </c>
      <c r="C1371" t="str">
        <f t="shared" si="42"/>
        <v>"https://www.zeldadungeon.net/maps/totk/tiles/sky/6/30_35.jpg",</v>
      </c>
      <c r="H1371" t="str">
        <f t="shared" si="43"/>
        <v>30_35</v>
      </c>
    </row>
    <row r="1372" spans="1:8" x14ac:dyDescent="0.2">
      <c r="A1372" s="9" t="s">
        <v>51</v>
      </c>
      <c r="C1372" t="str">
        <f t="shared" si="42"/>
        <v>"https://www.zeldadungeon.net/maps/totk/tiles/sky/6/30_36.jpg",</v>
      </c>
      <c r="H1372" t="str">
        <f t="shared" si="43"/>
        <v>30_36</v>
      </c>
    </row>
    <row r="1373" spans="1:8" x14ac:dyDescent="0.2">
      <c r="A1373" s="9" t="s">
        <v>51</v>
      </c>
      <c r="C1373" t="str">
        <f t="shared" si="42"/>
        <v>"https://www.zeldadungeon.net/maps/totk/tiles/sky/6/30_37.jpg",</v>
      </c>
      <c r="H1373" t="str">
        <f t="shared" si="43"/>
        <v>30_37</v>
      </c>
    </row>
    <row r="1374" spans="1:8" x14ac:dyDescent="0.2">
      <c r="A1374" s="9" t="s">
        <v>51</v>
      </c>
      <c r="C1374" t="str">
        <f t="shared" si="42"/>
        <v>"https://www.zeldadungeon.net/maps/totk/tiles/sky/6/30_38.jpg",</v>
      </c>
      <c r="H1374" t="str">
        <f t="shared" si="43"/>
        <v>30_38</v>
      </c>
    </row>
    <row r="1375" spans="1:8" x14ac:dyDescent="0.2">
      <c r="A1375" s="9" t="s">
        <v>51</v>
      </c>
      <c r="C1375" t="str">
        <f t="shared" si="42"/>
        <v>"https://www.zeldadungeon.net/maps/totk/tiles/sky/6/30_39.jpg",</v>
      </c>
      <c r="H1375" t="str">
        <f t="shared" si="43"/>
        <v>30_39</v>
      </c>
    </row>
    <row r="1376" spans="1:8" x14ac:dyDescent="0.2">
      <c r="A1376" s="9" t="s">
        <v>51</v>
      </c>
      <c r="C1376" t="str">
        <f t="shared" si="42"/>
        <v>"https://www.zeldadungeon.net/maps/totk/tiles/sky/6/30_40.jpg",</v>
      </c>
      <c r="H1376" t="str">
        <f t="shared" si="43"/>
        <v>30_40</v>
      </c>
    </row>
    <row r="1377" spans="1:8" x14ac:dyDescent="0.2">
      <c r="A1377" s="9" t="s">
        <v>51</v>
      </c>
      <c r="C1377" t="str">
        <f t="shared" si="42"/>
        <v>"https://www.zeldadungeon.net/maps/totk/tiles/sky/6/30_41.jpg",</v>
      </c>
      <c r="H1377" t="str">
        <f t="shared" si="43"/>
        <v>30_41</v>
      </c>
    </row>
    <row r="1378" spans="1:8" x14ac:dyDescent="0.2">
      <c r="A1378" s="9" t="s">
        <v>51</v>
      </c>
      <c r="C1378" t="str">
        <f t="shared" si="42"/>
        <v>"https://www.zeldadungeon.net/maps/totk/tiles/sky/6/30_42.jpg",</v>
      </c>
      <c r="H1378" t="str">
        <f t="shared" si="43"/>
        <v>30_42</v>
      </c>
    </row>
    <row r="1379" spans="1:8" x14ac:dyDescent="0.2">
      <c r="A1379" s="9" t="s">
        <v>51</v>
      </c>
      <c r="C1379" t="str">
        <f t="shared" si="42"/>
        <v>"https://www.zeldadungeon.net/maps/totk/tiles/sky/6/30_43.jpg",</v>
      </c>
      <c r="H1379" t="str">
        <f t="shared" si="43"/>
        <v>30_43</v>
      </c>
    </row>
    <row r="1380" spans="1:8" x14ac:dyDescent="0.2">
      <c r="A1380" s="9" t="s">
        <v>51</v>
      </c>
      <c r="C1380" t="str">
        <f t="shared" si="42"/>
        <v>"https://www.zeldadungeon.net/maps/totk/tiles/sky/6/30_44.jpg",</v>
      </c>
      <c r="H1380" t="str">
        <f t="shared" si="43"/>
        <v>30_44</v>
      </c>
    </row>
    <row r="1381" spans="1:8" x14ac:dyDescent="0.2">
      <c r="A1381" s="9" t="s">
        <v>51</v>
      </c>
      <c r="C1381" t="str">
        <f t="shared" si="42"/>
        <v>"https://www.zeldadungeon.net/maps/totk/tiles/sky/6/30_45.jpg",</v>
      </c>
      <c r="H1381" t="str">
        <f t="shared" si="43"/>
        <v>30_45</v>
      </c>
    </row>
    <row r="1382" spans="1:8" x14ac:dyDescent="0.2">
      <c r="A1382" s="9" t="s">
        <v>51</v>
      </c>
      <c r="C1382" t="str">
        <f t="shared" si="42"/>
        <v>"https://www.zeldadungeon.net/maps/totk/tiles/sky/6/30_46.jpg",</v>
      </c>
      <c r="H1382" t="str">
        <f t="shared" si="43"/>
        <v>30_46</v>
      </c>
    </row>
    <row r="1383" spans="1:8" x14ac:dyDescent="0.2">
      <c r="A1383" s="9" t="s">
        <v>51</v>
      </c>
      <c r="C1383" t="str">
        <f t="shared" si="42"/>
        <v>"https://www.zeldadungeon.net/maps/totk/tiles/sky/6/30_47.jpg",</v>
      </c>
      <c r="H1383" t="str">
        <f t="shared" si="43"/>
        <v>30_47</v>
      </c>
    </row>
    <row r="1384" spans="1:8" x14ac:dyDescent="0.2">
      <c r="A1384" s="9" t="s">
        <v>51</v>
      </c>
      <c r="C1384" t="str">
        <f t="shared" si="42"/>
        <v>"https://www.zeldadungeon.net/maps/totk/tiles/sky/6/30_48.jpg",</v>
      </c>
      <c r="H1384" t="str">
        <f t="shared" si="43"/>
        <v>30_48</v>
      </c>
    </row>
    <row r="1385" spans="1:8" x14ac:dyDescent="0.2">
      <c r="A1385" s="9" t="s">
        <v>51</v>
      </c>
      <c r="C1385" t="str">
        <f t="shared" si="42"/>
        <v>"https://www.zeldadungeon.net/maps/totk/tiles/sky/6/30_49.jpg",</v>
      </c>
      <c r="H1385" t="str">
        <f t="shared" si="43"/>
        <v>30_49</v>
      </c>
    </row>
    <row r="1386" spans="1:8" x14ac:dyDescent="0.2">
      <c r="A1386" s="9" t="s">
        <v>51</v>
      </c>
      <c r="C1386" t="str">
        <f t="shared" si="42"/>
        <v>"https://www.zeldadungeon.net/maps/totk/tiles/sky/6/30_50.jpg",</v>
      </c>
      <c r="H1386" t="str">
        <f t="shared" si="43"/>
        <v>30_50</v>
      </c>
    </row>
    <row r="1387" spans="1:8" x14ac:dyDescent="0.2">
      <c r="A1387" s="9" t="s">
        <v>51</v>
      </c>
      <c r="C1387" t="str">
        <f t="shared" si="42"/>
        <v>"https://www.zeldadungeon.net/maps/totk/tiles/sky/6/30_51.jpg",</v>
      </c>
      <c r="H1387" t="str">
        <f t="shared" si="43"/>
        <v>30_51</v>
      </c>
    </row>
    <row r="1388" spans="1:8" x14ac:dyDescent="0.2">
      <c r="A1388" s="9" t="s">
        <v>51</v>
      </c>
      <c r="C1388" t="str">
        <f t="shared" si="42"/>
        <v>"https://www.zeldadungeon.net/maps/totk/tiles/sky/6/30_52.jpg",</v>
      </c>
      <c r="H1388" t="str">
        <f t="shared" si="43"/>
        <v>30_52</v>
      </c>
    </row>
    <row r="1389" spans="1:8" x14ac:dyDescent="0.2">
      <c r="A1389" s="9" t="s">
        <v>51</v>
      </c>
      <c r="C1389" t="str">
        <f t="shared" si="42"/>
        <v>"https://www.zeldadungeon.net/maps/totk/tiles/sky/6/30_53.jpg",</v>
      </c>
      <c r="H1389" t="str">
        <f t="shared" si="43"/>
        <v>30_53</v>
      </c>
    </row>
    <row r="1390" spans="1:8" x14ac:dyDescent="0.2">
      <c r="A1390" s="9" t="s">
        <v>51</v>
      </c>
      <c r="C1390" t="str">
        <f t="shared" si="42"/>
        <v>"https://www.zeldadungeon.net/maps/totk/tiles/sky/6/30_54.jpg",</v>
      </c>
      <c r="H1390" t="str">
        <f t="shared" si="43"/>
        <v>30_54</v>
      </c>
    </row>
    <row r="1391" spans="1:8" x14ac:dyDescent="0.2">
      <c r="A1391" s="9" t="s">
        <v>51</v>
      </c>
      <c r="C1391" t="str">
        <f t="shared" si="42"/>
        <v>"https://www.zeldadungeon.net/maps/totk/tiles/sky/6/30_55.jpg",</v>
      </c>
      <c r="H1391" t="str">
        <f t="shared" si="43"/>
        <v>30_55</v>
      </c>
    </row>
    <row r="1392" spans="1:8" x14ac:dyDescent="0.2">
      <c r="A1392" s="9" t="s">
        <v>51</v>
      </c>
      <c r="C1392" t="str">
        <f t="shared" si="42"/>
        <v>"https://www.zeldadungeon.net/maps/totk/tiles/sky/6/31_8.jpg",</v>
      </c>
      <c r="H1392" t="str">
        <f t="shared" si="43"/>
        <v>31_8</v>
      </c>
    </row>
    <row r="1393" spans="1:8" x14ac:dyDescent="0.2">
      <c r="A1393" s="9" t="s">
        <v>51</v>
      </c>
      <c r="C1393" t="str">
        <f t="shared" si="42"/>
        <v>"https://www.zeldadungeon.net/maps/totk/tiles/sky/6/31_9.jpg",</v>
      </c>
      <c r="H1393" t="str">
        <f t="shared" si="43"/>
        <v>31_9</v>
      </c>
    </row>
    <row r="1394" spans="1:8" x14ac:dyDescent="0.2">
      <c r="A1394" s="9" t="s">
        <v>51</v>
      </c>
      <c r="C1394" t="str">
        <f t="shared" si="42"/>
        <v>"https://www.zeldadungeon.net/maps/totk/tiles/sky/6/31_10.jpg",</v>
      </c>
      <c r="H1394" t="str">
        <f t="shared" si="43"/>
        <v>31_10</v>
      </c>
    </row>
    <row r="1395" spans="1:8" x14ac:dyDescent="0.2">
      <c r="A1395" s="9" t="s">
        <v>51</v>
      </c>
      <c r="C1395" t="str">
        <f t="shared" si="42"/>
        <v>"https://www.zeldadungeon.net/maps/totk/tiles/sky/6/31_11.jpg",</v>
      </c>
      <c r="H1395" t="str">
        <f t="shared" si="43"/>
        <v>31_11</v>
      </c>
    </row>
    <row r="1396" spans="1:8" x14ac:dyDescent="0.2">
      <c r="A1396" s="9" t="s">
        <v>51</v>
      </c>
      <c r="C1396" t="str">
        <f t="shared" si="42"/>
        <v>"https://www.zeldadungeon.net/maps/totk/tiles/sky/6/31_12.jpg",</v>
      </c>
      <c r="H1396" t="str">
        <f t="shared" si="43"/>
        <v>31_12</v>
      </c>
    </row>
    <row r="1397" spans="1:8" x14ac:dyDescent="0.2">
      <c r="A1397" s="9" t="s">
        <v>51</v>
      </c>
      <c r="C1397" t="str">
        <f t="shared" si="42"/>
        <v>"https://www.zeldadungeon.net/maps/totk/tiles/sky/6/31_13.jpg",</v>
      </c>
      <c r="H1397" t="str">
        <f t="shared" si="43"/>
        <v>31_13</v>
      </c>
    </row>
    <row r="1398" spans="1:8" x14ac:dyDescent="0.2">
      <c r="A1398" s="9" t="s">
        <v>51</v>
      </c>
      <c r="C1398" t="str">
        <f t="shared" si="42"/>
        <v>"https://www.zeldadungeon.net/maps/totk/tiles/sky/6/31_14.jpg",</v>
      </c>
      <c r="H1398" t="str">
        <f t="shared" si="43"/>
        <v>31_14</v>
      </c>
    </row>
    <row r="1399" spans="1:8" x14ac:dyDescent="0.2">
      <c r="A1399" s="9" t="s">
        <v>51</v>
      </c>
      <c r="C1399" t="str">
        <f t="shared" si="42"/>
        <v>"https://www.zeldadungeon.net/maps/totk/tiles/sky/6/31_15.jpg",</v>
      </c>
      <c r="H1399" t="str">
        <f t="shared" si="43"/>
        <v>31_15</v>
      </c>
    </row>
    <row r="1400" spans="1:8" x14ac:dyDescent="0.2">
      <c r="A1400" s="9" t="s">
        <v>51</v>
      </c>
      <c r="C1400" t="str">
        <f t="shared" si="42"/>
        <v>"https://www.zeldadungeon.net/maps/totk/tiles/sky/6/31_16.jpg",</v>
      </c>
      <c r="H1400" t="str">
        <f t="shared" si="43"/>
        <v>31_16</v>
      </c>
    </row>
    <row r="1401" spans="1:8" x14ac:dyDescent="0.2">
      <c r="A1401" s="9" t="s">
        <v>51</v>
      </c>
      <c r="C1401" t="str">
        <f t="shared" si="42"/>
        <v>"https://www.zeldadungeon.net/maps/totk/tiles/sky/6/31_17.jpg",</v>
      </c>
      <c r="H1401" t="str">
        <f t="shared" si="43"/>
        <v>31_17</v>
      </c>
    </row>
    <row r="1402" spans="1:8" x14ac:dyDescent="0.2">
      <c r="A1402" s="9" t="s">
        <v>51</v>
      </c>
      <c r="C1402" t="str">
        <f t="shared" si="42"/>
        <v>"https://www.zeldadungeon.net/maps/totk/tiles/sky/6/31_18.jpg",</v>
      </c>
      <c r="H1402" t="str">
        <f t="shared" si="43"/>
        <v>31_18</v>
      </c>
    </row>
    <row r="1403" spans="1:8" x14ac:dyDescent="0.2">
      <c r="A1403" s="9" t="s">
        <v>51</v>
      </c>
      <c r="C1403" t="str">
        <f t="shared" si="42"/>
        <v>"https://www.zeldadungeon.net/maps/totk/tiles/sky/6/31_19.jpg",</v>
      </c>
      <c r="H1403" t="str">
        <f t="shared" si="43"/>
        <v>31_19</v>
      </c>
    </row>
    <row r="1404" spans="1:8" x14ac:dyDescent="0.2">
      <c r="A1404" s="9" t="s">
        <v>51</v>
      </c>
      <c r="C1404" t="str">
        <f t="shared" si="42"/>
        <v>"https://www.zeldadungeon.net/maps/totk/tiles/sky/6/31_20.jpg",</v>
      </c>
      <c r="H1404" t="str">
        <f t="shared" si="43"/>
        <v>31_20</v>
      </c>
    </row>
    <row r="1405" spans="1:8" x14ac:dyDescent="0.2">
      <c r="A1405" s="9" t="s">
        <v>51</v>
      </c>
      <c r="C1405" t="str">
        <f t="shared" si="42"/>
        <v>"https://www.zeldadungeon.net/maps/totk/tiles/sky/6/31_21.jpg",</v>
      </c>
      <c r="H1405" t="str">
        <f t="shared" si="43"/>
        <v>31_21</v>
      </c>
    </row>
    <row r="1406" spans="1:8" x14ac:dyDescent="0.2">
      <c r="A1406" s="9" t="s">
        <v>51</v>
      </c>
      <c r="C1406" t="str">
        <f t="shared" si="42"/>
        <v>"https://www.zeldadungeon.net/maps/totk/tiles/sky/6/31_22.jpg",</v>
      </c>
      <c r="H1406" t="str">
        <f t="shared" si="43"/>
        <v>31_22</v>
      </c>
    </row>
    <row r="1407" spans="1:8" x14ac:dyDescent="0.2">
      <c r="A1407" s="9" t="s">
        <v>51</v>
      </c>
      <c r="C1407" t="str">
        <f t="shared" si="42"/>
        <v>"https://www.zeldadungeon.net/maps/totk/tiles/sky/6/31_23.jpg",</v>
      </c>
      <c r="H1407" t="str">
        <f t="shared" si="43"/>
        <v>31_23</v>
      </c>
    </row>
    <row r="1408" spans="1:8" x14ac:dyDescent="0.2">
      <c r="A1408" s="9" t="s">
        <v>51</v>
      </c>
      <c r="C1408" t="str">
        <f t="shared" si="42"/>
        <v>"https://www.zeldadungeon.net/maps/totk/tiles/sky/6/31_24.jpg",</v>
      </c>
      <c r="H1408" t="str">
        <f t="shared" si="43"/>
        <v>31_24</v>
      </c>
    </row>
    <row r="1409" spans="1:8" x14ac:dyDescent="0.2">
      <c r="A1409" s="9" t="s">
        <v>51</v>
      </c>
      <c r="C1409" t="str">
        <f t="shared" ref="C1409:C1472" si="44">""""&amp;SUBSTITUTE(A1409,"zzz",H1409)&amp;""""&amp;","</f>
        <v>"https://www.zeldadungeon.net/maps/totk/tiles/sky/6/31_25.jpg",</v>
      </c>
      <c r="H1409" t="str">
        <f t="shared" ref="H1409:H1472" si="45">QUOTIENT(ROW(A1409),48)+2&amp;"_"&amp;MOD(ROW(A1409),48)+8</f>
        <v>31_25</v>
      </c>
    </row>
    <row r="1410" spans="1:8" x14ac:dyDescent="0.2">
      <c r="A1410" s="9" t="s">
        <v>51</v>
      </c>
      <c r="C1410" t="str">
        <f t="shared" si="44"/>
        <v>"https://www.zeldadungeon.net/maps/totk/tiles/sky/6/31_26.jpg",</v>
      </c>
      <c r="H1410" t="str">
        <f t="shared" si="45"/>
        <v>31_26</v>
      </c>
    </row>
    <row r="1411" spans="1:8" x14ac:dyDescent="0.2">
      <c r="A1411" s="9" t="s">
        <v>51</v>
      </c>
      <c r="C1411" t="str">
        <f t="shared" si="44"/>
        <v>"https://www.zeldadungeon.net/maps/totk/tiles/sky/6/31_27.jpg",</v>
      </c>
      <c r="H1411" t="str">
        <f t="shared" si="45"/>
        <v>31_27</v>
      </c>
    </row>
    <row r="1412" spans="1:8" x14ac:dyDescent="0.2">
      <c r="A1412" s="9" t="s">
        <v>51</v>
      </c>
      <c r="C1412" t="str">
        <f t="shared" si="44"/>
        <v>"https://www.zeldadungeon.net/maps/totk/tiles/sky/6/31_28.jpg",</v>
      </c>
      <c r="H1412" t="str">
        <f t="shared" si="45"/>
        <v>31_28</v>
      </c>
    </row>
    <row r="1413" spans="1:8" x14ac:dyDescent="0.2">
      <c r="A1413" s="9" t="s">
        <v>51</v>
      </c>
      <c r="C1413" t="str">
        <f t="shared" si="44"/>
        <v>"https://www.zeldadungeon.net/maps/totk/tiles/sky/6/31_29.jpg",</v>
      </c>
      <c r="H1413" t="str">
        <f t="shared" si="45"/>
        <v>31_29</v>
      </c>
    </row>
    <row r="1414" spans="1:8" x14ac:dyDescent="0.2">
      <c r="A1414" s="9" t="s">
        <v>51</v>
      </c>
      <c r="C1414" t="str">
        <f t="shared" si="44"/>
        <v>"https://www.zeldadungeon.net/maps/totk/tiles/sky/6/31_30.jpg",</v>
      </c>
      <c r="H1414" t="str">
        <f t="shared" si="45"/>
        <v>31_30</v>
      </c>
    </row>
    <row r="1415" spans="1:8" x14ac:dyDescent="0.2">
      <c r="A1415" s="9" t="s">
        <v>51</v>
      </c>
      <c r="C1415" t="str">
        <f t="shared" si="44"/>
        <v>"https://www.zeldadungeon.net/maps/totk/tiles/sky/6/31_31.jpg",</v>
      </c>
      <c r="H1415" t="str">
        <f t="shared" si="45"/>
        <v>31_31</v>
      </c>
    </row>
    <row r="1416" spans="1:8" x14ac:dyDescent="0.2">
      <c r="A1416" s="9" t="s">
        <v>51</v>
      </c>
      <c r="C1416" t="str">
        <f t="shared" si="44"/>
        <v>"https://www.zeldadungeon.net/maps/totk/tiles/sky/6/31_32.jpg",</v>
      </c>
      <c r="H1416" t="str">
        <f t="shared" si="45"/>
        <v>31_32</v>
      </c>
    </row>
    <row r="1417" spans="1:8" x14ac:dyDescent="0.2">
      <c r="A1417" s="9" t="s">
        <v>51</v>
      </c>
      <c r="C1417" t="str">
        <f t="shared" si="44"/>
        <v>"https://www.zeldadungeon.net/maps/totk/tiles/sky/6/31_33.jpg",</v>
      </c>
      <c r="H1417" t="str">
        <f t="shared" si="45"/>
        <v>31_33</v>
      </c>
    </row>
    <row r="1418" spans="1:8" x14ac:dyDescent="0.2">
      <c r="A1418" s="9" t="s">
        <v>51</v>
      </c>
      <c r="C1418" t="str">
        <f t="shared" si="44"/>
        <v>"https://www.zeldadungeon.net/maps/totk/tiles/sky/6/31_34.jpg",</v>
      </c>
      <c r="H1418" t="str">
        <f t="shared" si="45"/>
        <v>31_34</v>
      </c>
    </row>
    <row r="1419" spans="1:8" x14ac:dyDescent="0.2">
      <c r="A1419" s="9" t="s">
        <v>51</v>
      </c>
      <c r="C1419" t="str">
        <f t="shared" si="44"/>
        <v>"https://www.zeldadungeon.net/maps/totk/tiles/sky/6/31_35.jpg",</v>
      </c>
      <c r="H1419" t="str">
        <f t="shared" si="45"/>
        <v>31_35</v>
      </c>
    </row>
    <row r="1420" spans="1:8" x14ac:dyDescent="0.2">
      <c r="A1420" s="9" t="s">
        <v>51</v>
      </c>
      <c r="C1420" t="str">
        <f t="shared" si="44"/>
        <v>"https://www.zeldadungeon.net/maps/totk/tiles/sky/6/31_36.jpg",</v>
      </c>
      <c r="H1420" t="str">
        <f t="shared" si="45"/>
        <v>31_36</v>
      </c>
    </row>
    <row r="1421" spans="1:8" x14ac:dyDescent="0.2">
      <c r="A1421" s="9" t="s">
        <v>51</v>
      </c>
      <c r="C1421" t="str">
        <f t="shared" si="44"/>
        <v>"https://www.zeldadungeon.net/maps/totk/tiles/sky/6/31_37.jpg",</v>
      </c>
      <c r="H1421" t="str">
        <f t="shared" si="45"/>
        <v>31_37</v>
      </c>
    </row>
    <row r="1422" spans="1:8" x14ac:dyDescent="0.2">
      <c r="A1422" s="9" t="s">
        <v>51</v>
      </c>
      <c r="C1422" t="str">
        <f t="shared" si="44"/>
        <v>"https://www.zeldadungeon.net/maps/totk/tiles/sky/6/31_38.jpg",</v>
      </c>
      <c r="H1422" t="str">
        <f t="shared" si="45"/>
        <v>31_38</v>
      </c>
    </row>
    <row r="1423" spans="1:8" x14ac:dyDescent="0.2">
      <c r="A1423" s="9" t="s">
        <v>51</v>
      </c>
      <c r="C1423" t="str">
        <f t="shared" si="44"/>
        <v>"https://www.zeldadungeon.net/maps/totk/tiles/sky/6/31_39.jpg",</v>
      </c>
      <c r="H1423" t="str">
        <f t="shared" si="45"/>
        <v>31_39</v>
      </c>
    </row>
    <row r="1424" spans="1:8" x14ac:dyDescent="0.2">
      <c r="A1424" s="9" t="s">
        <v>51</v>
      </c>
      <c r="C1424" t="str">
        <f t="shared" si="44"/>
        <v>"https://www.zeldadungeon.net/maps/totk/tiles/sky/6/31_40.jpg",</v>
      </c>
      <c r="H1424" t="str">
        <f t="shared" si="45"/>
        <v>31_40</v>
      </c>
    </row>
    <row r="1425" spans="1:8" x14ac:dyDescent="0.2">
      <c r="A1425" s="9" t="s">
        <v>51</v>
      </c>
      <c r="C1425" t="str">
        <f t="shared" si="44"/>
        <v>"https://www.zeldadungeon.net/maps/totk/tiles/sky/6/31_41.jpg",</v>
      </c>
      <c r="H1425" t="str">
        <f t="shared" si="45"/>
        <v>31_41</v>
      </c>
    </row>
    <row r="1426" spans="1:8" x14ac:dyDescent="0.2">
      <c r="A1426" s="9" t="s">
        <v>51</v>
      </c>
      <c r="C1426" t="str">
        <f t="shared" si="44"/>
        <v>"https://www.zeldadungeon.net/maps/totk/tiles/sky/6/31_42.jpg",</v>
      </c>
      <c r="H1426" t="str">
        <f t="shared" si="45"/>
        <v>31_42</v>
      </c>
    </row>
    <row r="1427" spans="1:8" x14ac:dyDescent="0.2">
      <c r="A1427" s="9" t="s">
        <v>51</v>
      </c>
      <c r="C1427" t="str">
        <f t="shared" si="44"/>
        <v>"https://www.zeldadungeon.net/maps/totk/tiles/sky/6/31_43.jpg",</v>
      </c>
      <c r="H1427" t="str">
        <f t="shared" si="45"/>
        <v>31_43</v>
      </c>
    </row>
    <row r="1428" spans="1:8" x14ac:dyDescent="0.2">
      <c r="A1428" s="9" t="s">
        <v>51</v>
      </c>
      <c r="C1428" t="str">
        <f t="shared" si="44"/>
        <v>"https://www.zeldadungeon.net/maps/totk/tiles/sky/6/31_44.jpg",</v>
      </c>
      <c r="H1428" t="str">
        <f t="shared" si="45"/>
        <v>31_44</v>
      </c>
    </row>
    <row r="1429" spans="1:8" x14ac:dyDescent="0.2">
      <c r="A1429" s="9" t="s">
        <v>51</v>
      </c>
      <c r="C1429" t="str">
        <f t="shared" si="44"/>
        <v>"https://www.zeldadungeon.net/maps/totk/tiles/sky/6/31_45.jpg",</v>
      </c>
      <c r="H1429" t="str">
        <f t="shared" si="45"/>
        <v>31_45</v>
      </c>
    </row>
    <row r="1430" spans="1:8" x14ac:dyDescent="0.2">
      <c r="A1430" s="9" t="s">
        <v>51</v>
      </c>
      <c r="C1430" t="str">
        <f t="shared" si="44"/>
        <v>"https://www.zeldadungeon.net/maps/totk/tiles/sky/6/31_46.jpg",</v>
      </c>
      <c r="H1430" t="str">
        <f t="shared" si="45"/>
        <v>31_46</v>
      </c>
    </row>
    <row r="1431" spans="1:8" x14ac:dyDescent="0.2">
      <c r="A1431" s="9" t="s">
        <v>51</v>
      </c>
      <c r="C1431" t="str">
        <f t="shared" si="44"/>
        <v>"https://www.zeldadungeon.net/maps/totk/tiles/sky/6/31_47.jpg",</v>
      </c>
      <c r="H1431" t="str">
        <f t="shared" si="45"/>
        <v>31_47</v>
      </c>
    </row>
    <row r="1432" spans="1:8" x14ac:dyDescent="0.2">
      <c r="A1432" s="9" t="s">
        <v>51</v>
      </c>
      <c r="C1432" t="str">
        <f t="shared" si="44"/>
        <v>"https://www.zeldadungeon.net/maps/totk/tiles/sky/6/31_48.jpg",</v>
      </c>
      <c r="H1432" t="str">
        <f t="shared" si="45"/>
        <v>31_48</v>
      </c>
    </row>
    <row r="1433" spans="1:8" x14ac:dyDescent="0.2">
      <c r="A1433" s="9" t="s">
        <v>51</v>
      </c>
      <c r="C1433" t="str">
        <f t="shared" si="44"/>
        <v>"https://www.zeldadungeon.net/maps/totk/tiles/sky/6/31_49.jpg",</v>
      </c>
      <c r="H1433" t="str">
        <f t="shared" si="45"/>
        <v>31_49</v>
      </c>
    </row>
    <row r="1434" spans="1:8" x14ac:dyDescent="0.2">
      <c r="A1434" s="9" t="s">
        <v>51</v>
      </c>
      <c r="C1434" t="str">
        <f t="shared" si="44"/>
        <v>"https://www.zeldadungeon.net/maps/totk/tiles/sky/6/31_50.jpg",</v>
      </c>
      <c r="H1434" t="str">
        <f t="shared" si="45"/>
        <v>31_50</v>
      </c>
    </row>
    <row r="1435" spans="1:8" x14ac:dyDescent="0.2">
      <c r="A1435" s="9" t="s">
        <v>51</v>
      </c>
      <c r="C1435" t="str">
        <f t="shared" si="44"/>
        <v>"https://www.zeldadungeon.net/maps/totk/tiles/sky/6/31_51.jpg",</v>
      </c>
      <c r="H1435" t="str">
        <f t="shared" si="45"/>
        <v>31_51</v>
      </c>
    </row>
    <row r="1436" spans="1:8" x14ac:dyDescent="0.2">
      <c r="A1436" s="9" t="s">
        <v>51</v>
      </c>
      <c r="C1436" t="str">
        <f t="shared" si="44"/>
        <v>"https://www.zeldadungeon.net/maps/totk/tiles/sky/6/31_52.jpg",</v>
      </c>
      <c r="H1436" t="str">
        <f t="shared" si="45"/>
        <v>31_52</v>
      </c>
    </row>
    <row r="1437" spans="1:8" x14ac:dyDescent="0.2">
      <c r="A1437" s="9" t="s">
        <v>51</v>
      </c>
      <c r="C1437" t="str">
        <f t="shared" si="44"/>
        <v>"https://www.zeldadungeon.net/maps/totk/tiles/sky/6/31_53.jpg",</v>
      </c>
      <c r="H1437" t="str">
        <f t="shared" si="45"/>
        <v>31_53</v>
      </c>
    </row>
    <row r="1438" spans="1:8" x14ac:dyDescent="0.2">
      <c r="A1438" s="9" t="s">
        <v>51</v>
      </c>
      <c r="C1438" t="str">
        <f t="shared" si="44"/>
        <v>"https://www.zeldadungeon.net/maps/totk/tiles/sky/6/31_54.jpg",</v>
      </c>
      <c r="H1438" t="str">
        <f t="shared" si="45"/>
        <v>31_54</v>
      </c>
    </row>
    <row r="1439" spans="1:8" x14ac:dyDescent="0.2">
      <c r="A1439" s="9" t="s">
        <v>51</v>
      </c>
      <c r="C1439" t="str">
        <f t="shared" si="44"/>
        <v>"https://www.zeldadungeon.net/maps/totk/tiles/sky/6/31_55.jpg",</v>
      </c>
      <c r="H1439" t="str">
        <f t="shared" si="45"/>
        <v>31_55</v>
      </c>
    </row>
    <row r="1440" spans="1:8" x14ac:dyDescent="0.2">
      <c r="A1440" s="9" t="s">
        <v>51</v>
      </c>
      <c r="C1440" t="str">
        <f t="shared" si="44"/>
        <v>"https://www.zeldadungeon.net/maps/totk/tiles/sky/6/32_8.jpg",</v>
      </c>
      <c r="H1440" t="str">
        <f t="shared" si="45"/>
        <v>32_8</v>
      </c>
    </row>
    <row r="1441" spans="1:8" x14ac:dyDescent="0.2">
      <c r="A1441" s="9" t="s">
        <v>51</v>
      </c>
      <c r="C1441" t="str">
        <f t="shared" si="44"/>
        <v>"https://www.zeldadungeon.net/maps/totk/tiles/sky/6/32_9.jpg",</v>
      </c>
      <c r="H1441" t="str">
        <f t="shared" si="45"/>
        <v>32_9</v>
      </c>
    </row>
    <row r="1442" spans="1:8" x14ac:dyDescent="0.2">
      <c r="A1442" s="9" t="s">
        <v>51</v>
      </c>
      <c r="C1442" t="str">
        <f t="shared" si="44"/>
        <v>"https://www.zeldadungeon.net/maps/totk/tiles/sky/6/32_10.jpg",</v>
      </c>
      <c r="H1442" t="str">
        <f t="shared" si="45"/>
        <v>32_10</v>
      </c>
    </row>
    <row r="1443" spans="1:8" x14ac:dyDescent="0.2">
      <c r="A1443" s="9" t="s">
        <v>51</v>
      </c>
      <c r="C1443" t="str">
        <f t="shared" si="44"/>
        <v>"https://www.zeldadungeon.net/maps/totk/tiles/sky/6/32_11.jpg",</v>
      </c>
      <c r="H1443" t="str">
        <f t="shared" si="45"/>
        <v>32_11</v>
      </c>
    </row>
    <row r="1444" spans="1:8" x14ac:dyDescent="0.2">
      <c r="A1444" s="9" t="s">
        <v>51</v>
      </c>
      <c r="C1444" t="str">
        <f t="shared" si="44"/>
        <v>"https://www.zeldadungeon.net/maps/totk/tiles/sky/6/32_12.jpg",</v>
      </c>
      <c r="H1444" t="str">
        <f t="shared" si="45"/>
        <v>32_12</v>
      </c>
    </row>
    <row r="1445" spans="1:8" x14ac:dyDescent="0.2">
      <c r="A1445" s="9" t="s">
        <v>51</v>
      </c>
      <c r="C1445" t="str">
        <f t="shared" si="44"/>
        <v>"https://www.zeldadungeon.net/maps/totk/tiles/sky/6/32_13.jpg",</v>
      </c>
      <c r="H1445" t="str">
        <f t="shared" si="45"/>
        <v>32_13</v>
      </c>
    </row>
    <row r="1446" spans="1:8" x14ac:dyDescent="0.2">
      <c r="A1446" s="9" t="s">
        <v>51</v>
      </c>
      <c r="C1446" t="str">
        <f t="shared" si="44"/>
        <v>"https://www.zeldadungeon.net/maps/totk/tiles/sky/6/32_14.jpg",</v>
      </c>
      <c r="H1446" t="str">
        <f t="shared" si="45"/>
        <v>32_14</v>
      </c>
    </row>
    <row r="1447" spans="1:8" x14ac:dyDescent="0.2">
      <c r="A1447" s="9" t="s">
        <v>51</v>
      </c>
      <c r="C1447" t="str">
        <f t="shared" si="44"/>
        <v>"https://www.zeldadungeon.net/maps/totk/tiles/sky/6/32_15.jpg",</v>
      </c>
      <c r="H1447" t="str">
        <f t="shared" si="45"/>
        <v>32_15</v>
      </c>
    </row>
    <row r="1448" spans="1:8" x14ac:dyDescent="0.2">
      <c r="A1448" s="9" t="s">
        <v>51</v>
      </c>
      <c r="C1448" t="str">
        <f t="shared" si="44"/>
        <v>"https://www.zeldadungeon.net/maps/totk/tiles/sky/6/32_16.jpg",</v>
      </c>
      <c r="H1448" t="str">
        <f t="shared" si="45"/>
        <v>32_16</v>
      </c>
    </row>
    <row r="1449" spans="1:8" x14ac:dyDescent="0.2">
      <c r="A1449" s="9" t="s">
        <v>51</v>
      </c>
      <c r="C1449" t="str">
        <f t="shared" si="44"/>
        <v>"https://www.zeldadungeon.net/maps/totk/tiles/sky/6/32_17.jpg",</v>
      </c>
      <c r="H1449" t="str">
        <f t="shared" si="45"/>
        <v>32_17</v>
      </c>
    </row>
    <row r="1450" spans="1:8" x14ac:dyDescent="0.2">
      <c r="A1450" s="9" t="s">
        <v>51</v>
      </c>
      <c r="C1450" t="str">
        <f t="shared" si="44"/>
        <v>"https://www.zeldadungeon.net/maps/totk/tiles/sky/6/32_18.jpg",</v>
      </c>
      <c r="H1450" t="str">
        <f t="shared" si="45"/>
        <v>32_18</v>
      </c>
    </row>
    <row r="1451" spans="1:8" x14ac:dyDescent="0.2">
      <c r="A1451" s="9" t="s">
        <v>51</v>
      </c>
      <c r="C1451" t="str">
        <f t="shared" si="44"/>
        <v>"https://www.zeldadungeon.net/maps/totk/tiles/sky/6/32_19.jpg",</v>
      </c>
      <c r="H1451" t="str">
        <f t="shared" si="45"/>
        <v>32_19</v>
      </c>
    </row>
    <row r="1452" spans="1:8" x14ac:dyDescent="0.2">
      <c r="A1452" s="9" t="s">
        <v>51</v>
      </c>
      <c r="C1452" t="str">
        <f t="shared" si="44"/>
        <v>"https://www.zeldadungeon.net/maps/totk/tiles/sky/6/32_20.jpg",</v>
      </c>
      <c r="H1452" t="str">
        <f t="shared" si="45"/>
        <v>32_20</v>
      </c>
    </row>
    <row r="1453" spans="1:8" x14ac:dyDescent="0.2">
      <c r="A1453" s="9" t="s">
        <v>51</v>
      </c>
      <c r="C1453" t="str">
        <f t="shared" si="44"/>
        <v>"https://www.zeldadungeon.net/maps/totk/tiles/sky/6/32_21.jpg",</v>
      </c>
      <c r="H1453" t="str">
        <f t="shared" si="45"/>
        <v>32_21</v>
      </c>
    </row>
    <row r="1454" spans="1:8" x14ac:dyDescent="0.2">
      <c r="A1454" s="9" t="s">
        <v>51</v>
      </c>
      <c r="C1454" t="str">
        <f t="shared" si="44"/>
        <v>"https://www.zeldadungeon.net/maps/totk/tiles/sky/6/32_22.jpg",</v>
      </c>
      <c r="H1454" t="str">
        <f t="shared" si="45"/>
        <v>32_22</v>
      </c>
    </row>
    <row r="1455" spans="1:8" x14ac:dyDescent="0.2">
      <c r="A1455" s="9" t="s">
        <v>51</v>
      </c>
      <c r="C1455" t="str">
        <f t="shared" si="44"/>
        <v>"https://www.zeldadungeon.net/maps/totk/tiles/sky/6/32_23.jpg",</v>
      </c>
      <c r="H1455" t="str">
        <f t="shared" si="45"/>
        <v>32_23</v>
      </c>
    </row>
    <row r="1456" spans="1:8" x14ac:dyDescent="0.2">
      <c r="A1456" s="9" t="s">
        <v>51</v>
      </c>
      <c r="C1456" t="str">
        <f t="shared" si="44"/>
        <v>"https://www.zeldadungeon.net/maps/totk/tiles/sky/6/32_24.jpg",</v>
      </c>
      <c r="H1456" t="str">
        <f t="shared" si="45"/>
        <v>32_24</v>
      </c>
    </row>
    <row r="1457" spans="1:8" x14ac:dyDescent="0.2">
      <c r="A1457" s="9" t="s">
        <v>51</v>
      </c>
      <c r="C1457" t="str">
        <f t="shared" si="44"/>
        <v>"https://www.zeldadungeon.net/maps/totk/tiles/sky/6/32_25.jpg",</v>
      </c>
      <c r="H1457" t="str">
        <f t="shared" si="45"/>
        <v>32_25</v>
      </c>
    </row>
    <row r="1458" spans="1:8" x14ac:dyDescent="0.2">
      <c r="A1458" s="9" t="s">
        <v>51</v>
      </c>
      <c r="C1458" t="str">
        <f t="shared" si="44"/>
        <v>"https://www.zeldadungeon.net/maps/totk/tiles/sky/6/32_26.jpg",</v>
      </c>
      <c r="H1458" t="str">
        <f t="shared" si="45"/>
        <v>32_26</v>
      </c>
    </row>
    <row r="1459" spans="1:8" x14ac:dyDescent="0.2">
      <c r="A1459" s="9" t="s">
        <v>51</v>
      </c>
      <c r="C1459" t="str">
        <f t="shared" si="44"/>
        <v>"https://www.zeldadungeon.net/maps/totk/tiles/sky/6/32_27.jpg",</v>
      </c>
      <c r="H1459" t="str">
        <f t="shared" si="45"/>
        <v>32_27</v>
      </c>
    </row>
    <row r="1460" spans="1:8" x14ac:dyDescent="0.2">
      <c r="A1460" s="9" t="s">
        <v>51</v>
      </c>
      <c r="C1460" t="str">
        <f t="shared" si="44"/>
        <v>"https://www.zeldadungeon.net/maps/totk/tiles/sky/6/32_28.jpg",</v>
      </c>
      <c r="H1460" t="str">
        <f t="shared" si="45"/>
        <v>32_28</v>
      </c>
    </row>
    <row r="1461" spans="1:8" x14ac:dyDescent="0.2">
      <c r="A1461" s="9" t="s">
        <v>51</v>
      </c>
      <c r="C1461" t="str">
        <f t="shared" si="44"/>
        <v>"https://www.zeldadungeon.net/maps/totk/tiles/sky/6/32_29.jpg",</v>
      </c>
      <c r="H1461" t="str">
        <f t="shared" si="45"/>
        <v>32_29</v>
      </c>
    </row>
    <row r="1462" spans="1:8" x14ac:dyDescent="0.2">
      <c r="A1462" s="9" t="s">
        <v>51</v>
      </c>
      <c r="C1462" t="str">
        <f t="shared" si="44"/>
        <v>"https://www.zeldadungeon.net/maps/totk/tiles/sky/6/32_30.jpg",</v>
      </c>
      <c r="H1462" t="str">
        <f t="shared" si="45"/>
        <v>32_30</v>
      </c>
    </row>
    <row r="1463" spans="1:8" x14ac:dyDescent="0.2">
      <c r="A1463" s="9" t="s">
        <v>51</v>
      </c>
      <c r="C1463" t="str">
        <f t="shared" si="44"/>
        <v>"https://www.zeldadungeon.net/maps/totk/tiles/sky/6/32_31.jpg",</v>
      </c>
      <c r="H1463" t="str">
        <f t="shared" si="45"/>
        <v>32_31</v>
      </c>
    </row>
    <row r="1464" spans="1:8" x14ac:dyDescent="0.2">
      <c r="A1464" s="9" t="s">
        <v>51</v>
      </c>
      <c r="C1464" t="str">
        <f t="shared" si="44"/>
        <v>"https://www.zeldadungeon.net/maps/totk/tiles/sky/6/32_32.jpg",</v>
      </c>
      <c r="H1464" t="str">
        <f t="shared" si="45"/>
        <v>32_32</v>
      </c>
    </row>
    <row r="1465" spans="1:8" x14ac:dyDescent="0.2">
      <c r="A1465" s="9" t="s">
        <v>51</v>
      </c>
      <c r="C1465" t="str">
        <f t="shared" si="44"/>
        <v>"https://www.zeldadungeon.net/maps/totk/tiles/sky/6/32_33.jpg",</v>
      </c>
      <c r="H1465" t="str">
        <f t="shared" si="45"/>
        <v>32_33</v>
      </c>
    </row>
    <row r="1466" spans="1:8" x14ac:dyDescent="0.2">
      <c r="A1466" s="9" t="s">
        <v>51</v>
      </c>
      <c r="C1466" t="str">
        <f t="shared" si="44"/>
        <v>"https://www.zeldadungeon.net/maps/totk/tiles/sky/6/32_34.jpg",</v>
      </c>
      <c r="H1466" t="str">
        <f t="shared" si="45"/>
        <v>32_34</v>
      </c>
    </row>
    <row r="1467" spans="1:8" x14ac:dyDescent="0.2">
      <c r="A1467" s="9" t="s">
        <v>51</v>
      </c>
      <c r="C1467" t="str">
        <f t="shared" si="44"/>
        <v>"https://www.zeldadungeon.net/maps/totk/tiles/sky/6/32_35.jpg",</v>
      </c>
      <c r="H1467" t="str">
        <f t="shared" si="45"/>
        <v>32_35</v>
      </c>
    </row>
    <row r="1468" spans="1:8" x14ac:dyDescent="0.2">
      <c r="A1468" s="9" t="s">
        <v>51</v>
      </c>
      <c r="C1468" t="str">
        <f t="shared" si="44"/>
        <v>"https://www.zeldadungeon.net/maps/totk/tiles/sky/6/32_36.jpg",</v>
      </c>
      <c r="H1468" t="str">
        <f t="shared" si="45"/>
        <v>32_36</v>
      </c>
    </row>
    <row r="1469" spans="1:8" x14ac:dyDescent="0.2">
      <c r="A1469" s="9" t="s">
        <v>51</v>
      </c>
      <c r="C1469" t="str">
        <f t="shared" si="44"/>
        <v>"https://www.zeldadungeon.net/maps/totk/tiles/sky/6/32_37.jpg",</v>
      </c>
      <c r="H1469" t="str">
        <f t="shared" si="45"/>
        <v>32_37</v>
      </c>
    </row>
    <row r="1470" spans="1:8" x14ac:dyDescent="0.2">
      <c r="A1470" s="9" t="s">
        <v>51</v>
      </c>
      <c r="C1470" t="str">
        <f t="shared" si="44"/>
        <v>"https://www.zeldadungeon.net/maps/totk/tiles/sky/6/32_38.jpg",</v>
      </c>
      <c r="H1470" t="str">
        <f t="shared" si="45"/>
        <v>32_38</v>
      </c>
    </row>
    <row r="1471" spans="1:8" x14ac:dyDescent="0.2">
      <c r="A1471" s="9" t="s">
        <v>51</v>
      </c>
      <c r="C1471" t="str">
        <f t="shared" si="44"/>
        <v>"https://www.zeldadungeon.net/maps/totk/tiles/sky/6/32_39.jpg",</v>
      </c>
      <c r="H1471" t="str">
        <f t="shared" si="45"/>
        <v>32_39</v>
      </c>
    </row>
    <row r="1472" spans="1:8" x14ac:dyDescent="0.2">
      <c r="A1472" s="9" t="s">
        <v>51</v>
      </c>
      <c r="C1472" t="str">
        <f t="shared" si="44"/>
        <v>"https://www.zeldadungeon.net/maps/totk/tiles/sky/6/32_40.jpg",</v>
      </c>
      <c r="H1472" t="str">
        <f t="shared" si="45"/>
        <v>32_40</v>
      </c>
    </row>
    <row r="1473" spans="1:8" x14ac:dyDescent="0.2">
      <c r="A1473" s="9" t="s">
        <v>51</v>
      </c>
      <c r="C1473" t="str">
        <f t="shared" ref="C1473:C1536" si="46">""""&amp;SUBSTITUTE(A1473,"zzz",H1473)&amp;""""&amp;","</f>
        <v>"https://www.zeldadungeon.net/maps/totk/tiles/sky/6/32_41.jpg",</v>
      </c>
      <c r="H1473" t="str">
        <f t="shared" ref="H1473:H1536" si="47">QUOTIENT(ROW(A1473),48)+2&amp;"_"&amp;MOD(ROW(A1473),48)+8</f>
        <v>32_41</v>
      </c>
    </row>
    <row r="1474" spans="1:8" x14ac:dyDescent="0.2">
      <c r="A1474" s="9" t="s">
        <v>51</v>
      </c>
      <c r="C1474" t="str">
        <f t="shared" si="46"/>
        <v>"https://www.zeldadungeon.net/maps/totk/tiles/sky/6/32_42.jpg",</v>
      </c>
      <c r="H1474" t="str">
        <f t="shared" si="47"/>
        <v>32_42</v>
      </c>
    </row>
    <row r="1475" spans="1:8" x14ac:dyDescent="0.2">
      <c r="A1475" s="9" t="s">
        <v>51</v>
      </c>
      <c r="C1475" t="str">
        <f t="shared" si="46"/>
        <v>"https://www.zeldadungeon.net/maps/totk/tiles/sky/6/32_43.jpg",</v>
      </c>
      <c r="H1475" t="str">
        <f t="shared" si="47"/>
        <v>32_43</v>
      </c>
    </row>
    <row r="1476" spans="1:8" x14ac:dyDescent="0.2">
      <c r="A1476" s="9" t="s">
        <v>51</v>
      </c>
      <c r="C1476" t="str">
        <f t="shared" si="46"/>
        <v>"https://www.zeldadungeon.net/maps/totk/tiles/sky/6/32_44.jpg",</v>
      </c>
      <c r="H1476" t="str">
        <f t="shared" si="47"/>
        <v>32_44</v>
      </c>
    </row>
    <row r="1477" spans="1:8" x14ac:dyDescent="0.2">
      <c r="A1477" s="9" t="s">
        <v>51</v>
      </c>
      <c r="C1477" t="str">
        <f t="shared" si="46"/>
        <v>"https://www.zeldadungeon.net/maps/totk/tiles/sky/6/32_45.jpg",</v>
      </c>
      <c r="H1477" t="str">
        <f t="shared" si="47"/>
        <v>32_45</v>
      </c>
    </row>
    <row r="1478" spans="1:8" x14ac:dyDescent="0.2">
      <c r="A1478" s="9" t="s">
        <v>51</v>
      </c>
      <c r="C1478" t="str">
        <f t="shared" si="46"/>
        <v>"https://www.zeldadungeon.net/maps/totk/tiles/sky/6/32_46.jpg",</v>
      </c>
      <c r="H1478" t="str">
        <f t="shared" si="47"/>
        <v>32_46</v>
      </c>
    </row>
    <row r="1479" spans="1:8" x14ac:dyDescent="0.2">
      <c r="A1479" s="9" t="s">
        <v>51</v>
      </c>
      <c r="C1479" t="str">
        <f t="shared" si="46"/>
        <v>"https://www.zeldadungeon.net/maps/totk/tiles/sky/6/32_47.jpg",</v>
      </c>
      <c r="H1479" t="str">
        <f t="shared" si="47"/>
        <v>32_47</v>
      </c>
    </row>
    <row r="1480" spans="1:8" x14ac:dyDescent="0.2">
      <c r="A1480" s="9" t="s">
        <v>51</v>
      </c>
      <c r="C1480" t="str">
        <f t="shared" si="46"/>
        <v>"https://www.zeldadungeon.net/maps/totk/tiles/sky/6/32_48.jpg",</v>
      </c>
      <c r="H1480" t="str">
        <f t="shared" si="47"/>
        <v>32_48</v>
      </c>
    </row>
    <row r="1481" spans="1:8" x14ac:dyDescent="0.2">
      <c r="A1481" s="9" t="s">
        <v>51</v>
      </c>
      <c r="C1481" t="str">
        <f t="shared" si="46"/>
        <v>"https://www.zeldadungeon.net/maps/totk/tiles/sky/6/32_49.jpg",</v>
      </c>
      <c r="H1481" t="str">
        <f t="shared" si="47"/>
        <v>32_49</v>
      </c>
    </row>
    <row r="1482" spans="1:8" x14ac:dyDescent="0.2">
      <c r="A1482" s="9" t="s">
        <v>51</v>
      </c>
      <c r="C1482" t="str">
        <f t="shared" si="46"/>
        <v>"https://www.zeldadungeon.net/maps/totk/tiles/sky/6/32_50.jpg",</v>
      </c>
      <c r="H1482" t="str">
        <f t="shared" si="47"/>
        <v>32_50</v>
      </c>
    </row>
    <row r="1483" spans="1:8" x14ac:dyDescent="0.2">
      <c r="A1483" s="9" t="s">
        <v>51</v>
      </c>
      <c r="C1483" t="str">
        <f t="shared" si="46"/>
        <v>"https://www.zeldadungeon.net/maps/totk/tiles/sky/6/32_51.jpg",</v>
      </c>
      <c r="H1483" t="str">
        <f t="shared" si="47"/>
        <v>32_51</v>
      </c>
    </row>
    <row r="1484" spans="1:8" x14ac:dyDescent="0.2">
      <c r="A1484" s="9" t="s">
        <v>51</v>
      </c>
      <c r="C1484" t="str">
        <f t="shared" si="46"/>
        <v>"https://www.zeldadungeon.net/maps/totk/tiles/sky/6/32_52.jpg",</v>
      </c>
      <c r="H1484" t="str">
        <f t="shared" si="47"/>
        <v>32_52</v>
      </c>
    </row>
    <row r="1485" spans="1:8" x14ac:dyDescent="0.2">
      <c r="A1485" s="9" t="s">
        <v>51</v>
      </c>
      <c r="C1485" t="str">
        <f t="shared" si="46"/>
        <v>"https://www.zeldadungeon.net/maps/totk/tiles/sky/6/32_53.jpg",</v>
      </c>
      <c r="H1485" t="str">
        <f t="shared" si="47"/>
        <v>32_53</v>
      </c>
    </row>
    <row r="1486" spans="1:8" x14ac:dyDescent="0.2">
      <c r="A1486" s="9" t="s">
        <v>51</v>
      </c>
      <c r="C1486" t="str">
        <f t="shared" si="46"/>
        <v>"https://www.zeldadungeon.net/maps/totk/tiles/sky/6/32_54.jpg",</v>
      </c>
      <c r="H1486" t="str">
        <f t="shared" si="47"/>
        <v>32_54</v>
      </c>
    </row>
    <row r="1487" spans="1:8" x14ac:dyDescent="0.2">
      <c r="A1487" s="9" t="s">
        <v>51</v>
      </c>
      <c r="C1487" t="str">
        <f t="shared" si="46"/>
        <v>"https://www.zeldadungeon.net/maps/totk/tiles/sky/6/32_55.jpg",</v>
      </c>
      <c r="H1487" t="str">
        <f t="shared" si="47"/>
        <v>32_55</v>
      </c>
    </row>
    <row r="1488" spans="1:8" x14ac:dyDescent="0.2">
      <c r="A1488" s="9" t="s">
        <v>51</v>
      </c>
      <c r="C1488" t="str">
        <f t="shared" si="46"/>
        <v>"https://www.zeldadungeon.net/maps/totk/tiles/sky/6/33_8.jpg",</v>
      </c>
      <c r="H1488" t="str">
        <f t="shared" si="47"/>
        <v>33_8</v>
      </c>
    </row>
    <row r="1489" spans="1:8" x14ac:dyDescent="0.2">
      <c r="A1489" s="9" t="s">
        <v>51</v>
      </c>
      <c r="C1489" t="str">
        <f t="shared" si="46"/>
        <v>"https://www.zeldadungeon.net/maps/totk/tiles/sky/6/33_9.jpg",</v>
      </c>
      <c r="H1489" t="str">
        <f t="shared" si="47"/>
        <v>33_9</v>
      </c>
    </row>
    <row r="1490" spans="1:8" x14ac:dyDescent="0.2">
      <c r="A1490" s="9" t="s">
        <v>51</v>
      </c>
      <c r="C1490" t="str">
        <f t="shared" si="46"/>
        <v>"https://www.zeldadungeon.net/maps/totk/tiles/sky/6/33_10.jpg",</v>
      </c>
      <c r="H1490" t="str">
        <f t="shared" si="47"/>
        <v>33_10</v>
      </c>
    </row>
    <row r="1491" spans="1:8" x14ac:dyDescent="0.2">
      <c r="A1491" s="9" t="s">
        <v>51</v>
      </c>
      <c r="C1491" t="str">
        <f t="shared" si="46"/>
        <v>"https://www.zeldadungeon.net/maps/totk/tiles/sky/6/33_11.jpg",</v>
      </c>
      <c r="H1491" t="str">
        <f t="shared" si="47"/>
        <v>33_11</v>
      </c>
    </row>
    <row r="1492" spans="1:8" x14ac:dyDescent="0.2">
      <c r="A1492" s="9" t="s">
        <v>51</v>
      </c>
      <c r="C1492" t="str">
        <f t="shared" si="46"/>
        <v>"https://www.zeldadungeon.net/maps/totk/tiles/sky/6/33_12.jpg",</v>
      </c>
      <c r="H1492" t="str">
        <f t="shared" si="47"/>
        <v>33_12</v>
      </c>
    </row>
    <row r="1493" spans="1:8" x14ac:dyDescent="0.2">
      <c r="A1493" s="9" t="s">
        <v>51</v>
      </c>
      <c r="C1493" t="str">
        <f t="shared" si="46"/>
        <v>"https://www.zeldadungeon.net/maps/totk/tiles/sky/6/33_13.jpg",</v>
      </c>
      <c r="H1493" t="str">
        <f t="shared" si="47"/>
        <v>33_13</v>
      </c>
    </row>
    <row r="1494" spans="1:8" x14ac:dyDescent="0.2">
      <c r="A1494" s="9" t="s">
        <v>51</v>
      </c>
      <c r="C1494" t="str">
        <f t="shared" si="46"/>
        <v>"https://www.zeldadungeon.net/maps/totk/tiles/sky/6/33_14.jpg",</v>
      </c>
      <c r="H1494" t="str">
        <f t="shared" si="47"/>
        <v>33_14</v>
      </c>
    </row>
    <row r="1495" spans="1:8" x14ac:dyDescent="0.2">
      <c r="A1495" s="9" t="s">
        <v>51</v>
      </c>
      <c r="C1495" t="str">
        <f t="shared" si="46"/>
        <v>"https://www.zeldadungeon.net/maps/totk/tiles/sky/6/33_15.jpg",</v>
      </c>
      <c r="H1495" t="str">
        <f t="shared" si="47"/>
        <v>33_15</v>
      </c>
    </row>
    <row r="1496" spans="1:8" x14ac:dyDescent="0.2">
      <c r="A1496" s="9" t="s">
        <v>51</v>
      </c>
      <c r="C1496" t="str">
        <f t="shared" si="46"/>
        <v>"https://www.zeldadungeon.net/maps/totk/tiles/sky/6/33_16.jpg",</v>
      </c>
      <c r="H1496" t="str">
        <f t="shared" si="47"/>
        <v>33_16</v>
      </c>
    </row>
    <row r="1497" spans="1:8" x14ac:dyDescent="0.2">
      <c r="A1497" s="9" t="s">
        <v>51</v>
      </c>
      <c r="C1497" t="str">
        <f t="shared" si="46"/>
        <v>"https://www.zeldadungeon.net/maps/totk/tiles/sky/6/33_17.jpg",</v>
      </c>
      <c r="H1497" t="str">
        <f t="shared" si="47"/>
        <v>33_17</v>
      </c>
    </row>
    <row r="1498" spans="1:8" x14ac:dyDescent="0.2">
      <c r="A1498" s="9" t="s">
        <v>51</v>
      </c>
      <c r="C1498" t="str">
        <f t="shared" si="46"/>
        <v>"https://www.zeldadungeon.net/maps/totk/tiles/sky/6/33_18.jpg",</v>
      </c>
      <c r="H1498" t="str">
        <f t="shared" si="47"/>
        <v>33_18</v>
      </c>
    </row>
    <row r="1499" spans="1:8" x14ac:dyDescent="0.2">
      <c r="A1499" s="9" t="s">
        <v>51</v>
      </c>
      <c r="C1499" t="str">
        <f t="shared" si="46"/>
        <v>"https://www.zeldadungeon.net/maps/totk/tiles/sky/6/33_19.jpg",</v>
      </c>
      <c r="H1499" t="str">
        <f t="shared" si="47"/>
        <v>33_19</v>
      </c>
    </row>
    <row r="1500" spans="1:8" x14ac:dyDescent="0.2">
      <c r="A1500" s="9" t="s">
        <v>51</v>
      </c>
      <c r="C1500" t="str">
        <f t="shared" si="46"/>
        <v>"https://www.zeldadungeon.net/maps/totk/tiles/sky/6/33_20.jpg",</v>
      </c>
      <c r="H1500" t="str">
        <f t="shared" si="47"/>
        <v>33_20</v>
      </c>
    </row>
    <row r="1501" spans="1:8" x14ac:dyDescent="0.2">
      <c r="A1501" s="9" t="s">
        <v>51</v>
      </c>
      <c r="C1501" t="str">
        <f t="shared" si="46"/>
        <v>"https://www.zeldadungeon.net/maps/totk/tiles/sky/6/33_21.jpg",</v>
      </c>
      <c r="H1501" t="str">
        <f t="shared" si="47"/>
        <v>33_21</v>
      </c>
    </row>
    <row r="1502" spans="1:8" x14ac:dyDescent="0.2">
      <c r="A1502" s="9" t="s">
        <v>51</v>
      </c>
      <c r="C1502" t="str">
        <f t="shared" si="46"/>
        <v>"https://www.zeldadungeon.net/maps/totk/tiles/sky/6/33_22.jpg",</v>
      </c>
      <c r="H1502" t="str">
        <f t="shared" si="47"/>
        <v>33_22</v>
      </c>
    </row>
    <row r="1503" spans="1:8" x14ac:dyDescent="0.2">
      <c r="A1503" s="9" t="s">
        <v>51</v>
      </c>
      <c r="C1503" t="str">
        <f t="shared" si="46"/>
        <v>"https://www.zeldadungeon.net/maps/totk/tiles/sky/6/33_23.jpg",</v>
      </c>
      <c r="H1503" t="str">
        <f t="shared" si="47"/>
        <v>33_23</v>
      </c>
    </row>
    <row r="1504" spans="1:8" x14ac:dyDescent="0.2">
      <c r="A1504" s="9" t="s">
        <v>51</v>
      </c>
      <c r="C1504" t="str">
        <f t="shared" si="46"/>
        <v>"https://www.zeldadungeon.net/maps/totk/tiles/sky/6/33_24.jpg",</v>
      </c>
      <c r="H1504" t="str">
        <f t="shared" si="47"/>
        <v>33_24</v>
      </c>
    </row>
    <row r="1505" spans="1:8" x14ac:dyDescent="0.2">
      <c r="A1505" s="9" t="s">
        <v>51</v>
      </c>
      <c r="C1505" t="str">
        <f t="shared" si="46"/>
        <v>"https://www.zeldadungeon.net/maps/totk/tiles/sky/6/33_25.jpg",</v>
      </c>
      <c r="H1505" t="str">
        <f t="shared" si="47"/>
        <v>33_25</v>
      </c>
    </row>
    <row r="1506" spans="1:8" x14ac:dyDescent="0.2">
      <c r="A1506" s="9" t="s">
        <v>51</v>
      </c>
      <c r="C1506" t="str">
        <f t="shared" si="46"/>
        <v>"https://www.zeldadungeon.net/maps/totk/tiles/sky/6/33_26.jpg",</v>
      </c>
      <c r="H1506" t="str">
        <f t="shared" si="47"/>
        <v>33_26</v>
      </c>
    </row>
    <row r="1507" spans="1:8" x14ac:dyDescent="0.2">
      <c r="A1507" s="9" t="s">
        <v>51</v>
      </c>
      <c r="C1507" t="str">
        <f t="shared" si="46"/>
        <v>"https://www.zeldadungeon.net/maps/totk/tiles/sky/6/33_27.jpg",</v>
      </c>
      <c r="H1507" t="str">
        <f t="shared" si="47"/>
        <v>33_27</v>
      </c>
    </row>
    <row r="1508" spans="1:8" x14ac:dyDescent="0.2">
      <c r="A1508" s="9" t="s">
        <v>51</v>
      </c>
      <c r="C1508" t="str">
        <f t="shared" si="46"/>
        <v>"https://www.zeldadungeon.net/maps/totk/tiles/sky/6/33_28.jpg",</v>
      </c>
      <c r="H1508" t="str">
        <f t="shared" si="47"/>
        <v>33_28</v>
      </c>
    </row>
    <row r="1509" spans="1:8" x14ac:dyDescent="0.2">
      <c r="A1509" s="9" t="s">
        <v>51</v>
      </c>
      <c r="C1509" t="str">
        <f t="shared" si="46"/>
        <v>"https://www.zeldadungeon.net/maps/totk/tiles/sky/6/33_29.jpg",</v>
      </c>
      <c r="H1509" t="str">
        <f t="shared" si="47"/>
        <v>33_29</v>
      </c>
    </row>
    <row r="1510" spans="1:8" x14ac:dyDescent="0.2">
      <c r="A1510" s="9" t="s">
        <v>51</v>
      </c>
      <c r="C1510" t="str">
        <f t="shared" si="46"/>
        <v>"https://www.zeldadungeon.net/maps/totk/tiles/sky/6/33_30.jpg",</v>
      </c>
      <c r="H1510" t="str">
        <f t="shared" si="47"/>
        <v>33_30</v>
      </c>
    </row>
    <row r="1511" spans="1:8" x14ac:dyDescent="0.2">
      <c r="A1511" s="9" t="s">
        <v>51</v>
      </c>
      <c r="C1511" t="str">
        <f t="shared" si="46"/>
        <v>"https://www.zeldadungeon.net/maps/totk/tiles/sky/6/33_31.jpg",</v>
      </c>
      <c r="H1511" t="str">
        <f t="shared" si="47"/>
        <v>33_31</v>
      </c>
    </row>
    <row r="1512" spans="1:8" x14ac:dyDescent="0.2">
      <c r="A1512" s="9" t="s">
        <v>51</v>
      </c>
      <c r="C1512" t="str">
        <f t="shared" si="46"/>
        <v>"https://www.zeldadungeon.net/maps/totk/tiles/sky/6/33_32.jpg",</v>
      </c>
      <c r="H1512" t="str">
        <f t="shared" si="47"/>
        <v>33_32</v>
      </c>
    </row>
    <row r="1513" spans="1:8" x14ac:dyDescent="0.2">
      <c r="A1513" s="9" t="s">
        <v>51</v>
      </c>
      <c r="C1513" t="str">
        <f t="shared" si="46"/>
        <v>"https://www.zeldadungeon.net/maps/totk/tiles/sky/6/33_33.jpg",</v>
      </c>
      <c r="H1513" t="str">
        <f t="shared" si="47"/>
        <v>33_33</v>
      </c>
    </row>
    <row r="1514" spans="1:8" x14ac:dyDescent="0.2">
      <c r="A1514" s="9" t="s">
        <v>51</v>
      </c>
      <c r="C1514" t="str">
        <f t="shared" si="46"/>
        <v>"https://www.zeldadungeon.net/maps/totk/tiles/sky/6/33_34.jpg",</v>
      </c>
      <c r="H1514" t="str">
        <f t="shared" si="47"/>
        <v>33_34</v>
      </c>
    </row>
    <row r="1515" spans="1:8" x14ac:dyDescent="0.2">
      <c r="A1515" s="9" t="s">
        <v>51</v>
      </c>
      <c r="C1515" t="str">
        <f t="shared" si="46"/>
        <v>"https://www.zeldadungeon.net/maps/totk/tiles/sky/6/33_35.jpg",</v>
      </c>
      <c r="H1515" t="str">
        <f t="shared" si="47"/>
        <v>33_35</v>
      </c>
    </row>
    <row r="1516" spans="1:8" x14ac:dyDescent="0.2">
      <c r="A1516" s="9" t="s">
        <v>51</v>
      </c>
      <c r="C1516" t="str">
        <f t="shared" si="46"/>
        <v>"https://www.zeldadungeon.net/maps/totk/tiles/sky/6/33_36.jpg",</v>
      </c>
      <c r="H1516" t="str">
        <f t="shared" si="47"/>
        <v>33_36</v>
      </c>
    </row>
    <row r="1517" spans="1:8" x14ac:dyDescent="0.2">
      <c r="A1517" s="9" t="s">
        <v>51</v>
      </c>
      <c r="C1517" t="str">
        <f t="shared" si="46"/>
        <v>"https://www.zeldadungeon.net/maps/totk/tiles/sky/6/33_37.jpg",</v>
      </c>
      <c r="H1517" t="str">
        <f t="shared" si="47"/>
        <v>33_37</v>
      </c>
    </row>
    <row r="1518" spans="1:8" x14ac:dyDescent="0.2">
      <c r="A1518" s="9" t="s">
        <v>51</v>
      </c>
      <c r="C1518" t="str">
        <f t="shared" si="46"/>
        <v>"https://www.zeldadungeon.net/maps/totk/tiles/sky/6/33_38.jpg",</v>
      </c>
      <c r="H1518" t="str">
        <f t="shared" si="47"/>
        <v>33_38</v>
      </c>
    </row>
    <row r="1519" spans="1:8" x14ac:dyDescent="0.2">
      <c r="A1519" s="9" t="s">
        <v>51</v>
      </c>
      <c r="C1519" t="str">
        <f t="shared" si="46"/>
        <v>"https://www.zeldadungeon.net/maps/totk/tiles/sky/6/33_39.jpg",</v>
      </c>
      <c r="H1519" t="str">
        <f t="shared" si="47"/>
        <v>33_39</v>
      </c>
    </row>
    <row r="1520" spans="1:8" x14ac:dyDescent="0.2">
      <c r="A1520" s="9" t="s">
        <v>51</v>
      </c>
      <c r="C1520" t="str">
        <f t="shared" si="46"/>
        <v>"https://www.zeldadungeon.net/maps/totk/tiles/sky/6/33_40.jpg",</v>
      </c>
      <c r="H1520" t="str">
        <f t="shared" si="47"/>
        <v>33_40</v>
      </c>
    </row>
    <row r="1521" spans="1:8" x14ac:dyDescent="0.2">
      <c r="A1521" s="9" t="s">
        <v>51</v>
      </c>
      <c r="C1521" t="str">
        <f t="shared" si="46"/>
        <v>"https://www.zeldadungeon.net/maps/totk/tiles/sky/6/33_41.jpg",</v>
      </c>
      <c r="H1521" t="str">
        <f t="shared" si="47"/>
        <v>33_41</v>
      </c>
    </row>
    <row r="1522" spans="1:8" x14ac:dyDescent="0.2">
      <c r="A1522" s="9" t="s">
        <v>51</v>
      </c>
      <c r="C1522" t="str">
        <f t="shared" si="46"/>
        <v>"https://www.zeldadungeon.net/maps/totk/tiles/sky/6/33_42.jpg",</v>
      </c>
      <c r="H1522" t="str">
        <f t="shared" si="47"/>
        <v>33_42</v>
      </c>
    </row>
    <row r="1523" spans="1:8" x14ac:dyDescent="0.2">
      <c r="A1523" s="9" t="s">
        <v>51</v>
      </c>
      <c r="C1523" t="str">
        <f t="shared" si="46"/>
        <v>"https://www.zeldadungeon.net/maps/totk/tiles/sky/6/33_43.jpg",</v>
      </c>
      <c r="H1523" t="str">
        <f t="shared" si="47"/>
        <v>33_43</v>
      </c>
    </row>
    <row r="1524" spans="1:8" x14ac:dyDescent="0.2">
      <c r="A1524" s="9" t="s">
        <v>51</v>
      </c>
      <c r="C1524" t="str">
        <f t="shared" si="46"/>
        <v>"https://www.zeldadungeon.net/maps/totk/tiles/sky/6/33_44.jpg",</v>
      </c>
      <c r="H1524" t="str">
        <f t="shared" si="47"/>
        <v>33_44</v>
      </c>
    </row>
    <row r="1525" spans="1:8" x14ac:dyDescent="0.2">
      <c r="A1525" s="9" t="s">
        <v>51</v>
      </c>
      <c r="C1525" t="str">
        <f t="shared" si="46"/>
        <v>"https://www.zeldadungeon.net/maps/totk/tiles/sky/6/33_45.jpg",</v>
      </c>
      <c r="H1525" t="str">
        <f t="shared" si="47"/>
        <v>33_45</v>
      </c>
    </row>
    <row r="1526" spans="1:8" x14ac:dyDescent="0.2">
      <c r="A1526" s="9" t="s">
        <v>51</v>
      </c>
      <c r="C1526" t="str">
        <f t="shared" si="46"/>
        <v>"https://www.zeldadungeon.net/maps/totk/tiles/sky/6/33_46.jpg",</v>
      </c>
      <c r="H1526" t="str">
        <f t="shared" si="47"/>
        <v>33_46</v>
      </c>
    </row>
    <row r="1527" spans="1:8" x14ac:dyDescent="0.2">
      <c r="A1527" s="9" t="s">
        <v>51</v>
      </c>
      <c r="C1527" t="str">
        <f t="shared" si="46"/>
        <v>"https://www.zeldadungeon.net/maps/totk/tiles/sky/6/33_47.jpg",</v>
      </c>
      <c r="H1527" t="str">
        <f t="shared" si="47"/>
        <v>33_47</v>
      </c>
    </row>
    <row r="1528" spans="1:8" x14ac:dyDescent="0.2">
      <c r="A1528" s="9" t="s">
        <v>51</v>
      </c>
      <c r="C1528" t="str">
        <f t="shared" si="46"/>
        <v>"https://www.zeldadungeon.net/maps/totk/tiles/sky/6/33_48.jpg",</v>
      </c>
      <c r="H1528" t="str">
        <f t="shared" si="47"/>
        <v>33_48</v>
      </c>
    </row>
    <row r="1529" spans="1:8" x14ac:dyDescent="0.2">
      <c r="A1529" s="9" t="s">
        <v>51</v>
      </c>
      <c r="C1529" t="str">
        <f t="shared" si="46"/>
        <v>"https://www.zeldadungeon.net/maps/totk/tiles/sky/6/33_49.jpg",</v>
      </c>
      <c r="H1529" t="str">
        <f t="shared" si="47"/>
        <v>33_49</v>
      </c>
    </row>
    <row r="1530" spans="1:8" x14ac:dyDescent="0.2">
      <c r="A1530" s="9" t="s">
        <v>51</v>
      </c>
      <c r="C1530" t="str">
        <f t="shared" si="46"/>
        <v>"https://www.zeldadungeon.net/maps/totk/tiles/sky/6/33_50.jpg",</v>
      </c>
      <c r="H1530" t="str">
        <f t="shared" si="47"/>
        <v>33_50</v>
      </c>
    </row>
    <row r="1531" spans="1:8" x14ac:dyDescent="0.2">
      <c r="A1531" s="9" t="s">
        <v>51</v>
      </c>
      <c r="C1531" t="str">
        <f t="shared" si="46"/>
        <v>"https://www.zeldadungeon.net/maps/totk/tiles/sky/6/33_51.jpg",</v>
      </c>
      <c r="H1531" t="str">
        <f t="shared" si="47"/>
        <v>33_51</v>
      </c>
    </row>
    <row r="1532" spans="1:8" x14ac:dyDescent="0.2">
      <c r="A1532" s="9" t="s">
        <v>51</v>
      </c>
      <c r="C1532" t="str">
        <f t="shared" si="46"/>
        <v>"https://www.zeldadungeon.net/maps/totk/tiles/sky/6/33_52.jpg",</v>
      </c>
      <c r="H1532" t="str">
        <f t="shared" si="47"/>
        <v>33_52</v>
      </c>
    </row>
    <row r="1533" spans="1:8" x14ac:dyDescent="0.2">
      <c r="A1533" s="9" t="s">
        <v>51</v>
      </c>
      <c r="C1533" t="str">
        <f t="shared" si="46"/>
        <v>"https://www.zeldadungeon.net/maps/totk/tiles/sky/6/33_53.jpg",</v>
      </c>
      <c r="H1533" t="str">
        <f t="shared" si="47"/>
        <v>33_53</v>
      </c>
    </row>
    <row r="1534" spans="1:8" x14ac:dyDescent="0.2">
      <c r="A1534" s="9" t="s">
        <v>51</v>
      </c>
      <c r="C1534" t="str">
        <f t="shared" si="46"/>
        <v>"https://www.zeldadungeon.net/maps/totk/tiles/sky/6/33_54.jpg",</v>
      </c>
      <c r="H1534" t="str">
        <f t="shared" si="47"/>
        <v>33_54</v>
      </c>
    </row>
    <row r="1535" spans="1:8" x14ac:dyDescent="0.2">
      <c r="A1535" s="9" t="s">
        <v>51</v>
      </c>
      <c r="C1535" t="str">
        <f t="shared" si="46"/>
        <v>"https://www.zeldadungeon.net/maps/totk/tiles/sky/6/33_55.jpg",</v>
      </c>
      <c r="H1535" t="str">
        <f t="shared" si="47"/>
        <v>33_55</v>
      </c>
    </row>
    <row r="1536" spans="1:8" x14ac:dyDescent="0.2">
      <c r="A1536" s="9" t="s">
        <v>51</v>
      </c>
      <c r="C1536" t="str">
        <f t="shared" si="46"/>
        <v>"https://www.zeldadungeon.net/maps/totk/tiles/sky/6/34_8.jpg",</v>
      </c>
      <c r="H1536" t="str">
        <f t="shared" si="47"/>
        <v>34_8</v>
      </c>
    </row>
    <row r="1537" spans="1:8" x14ac:dyDescent="0.2">
      <c r="A1537" s="9" t="s">
        <v>51</v>
      </c>
      <c r="C1537" t="str">
        <f t="shared" ref="C1537:C1600" si="48">""""&amp;SUBSTITUTE(A1537,"zzz",H1537)&amp;""""&amp;","</f>
        <v>"https://www.zeldadungeon.net/maps/totk/tiles/sky/6/34_9.jpg",</v>
      </c>
      <c r="H1537" t="str">
        <f t="shared" ref="H1537:H1600" si="49">QUOTIENT(ROW(A1537),48)+2&amp;"_"&amp;MOD(ROW(A1537),48)+8</f>
        <v>34_9</v>
      </c>
    </row>
    <row r="1538" spans="1:8" x14ac:dyDescent="0.2">
      <c r="A1538" s="9" t="s">
        <v>51</v>
      </c>
      <c r="C1538" t="str">
        <f t="shared" si="48"/>
        <v>"https://www.zeldadungeon.net/maps/totk/tiles/sky/6/34_10.jpg",</v>
      </c>
      <c r="H1538" t="str">
        <f t="shared" si="49"/>
        <v>34_10</v>
      </c>
    </row>
    <row r="1539" spans="1:8" x14ac:dyDescent="0.2">
      <c r="A1539" s="9" t="s">
        <v>51</v>
      </c>
      <c r="C1539" t="str">
        <f t="shared" si="48"/>
        <v>"https://www.zeldadungeon.net/maps/totk/tiles/sky/6/34_11.jpg",</v>
      </c>
      <c r="H1539" t="str">
        <f t="shared" si="49"/>
        <v>34_11</v>
      </c>
    </row>
    <row r="1540" spans="1:8" x14ac:dyDescent="0.2">
      <c r="A1540" s="9" t="s">
        <v>51</v>
      </c>
      <c r="C1540" t="str">
        <f t="shared" si="48"/>
        <v>"https://www.zeldadungeon.net/maps/totk/tiles/sky/6/34_12.jpg",</v>
      </c>
      <c r="H1540" t="str">
        <f t="shared" si="49"/>
        <v>34_12</v>
      </c>
    </row>
    <row r="1541" spans="1:8" x14ac:dyDescent="0.2">
      <c r="A1541" s="9" t="s">
        <v>51</v>
      </c>
      <c r="C1541" t="str">
        <f t="shared" si="48"/>
        <v>"https://www.zeldadungeon.net/maps/totk/tiles/sky/6/34_13.jpg",</v>
      </c>
      <c r="H1541" t="str">
        <f t="shared" si="49"/>
        <v>34_13</v>
      </c>
    </row>
    <row r="1542" spans="1:8" x14ac:dyDescent="0.2">
      <c r="A1542" s="9" t="s">
        <v>51</v>
      </c>
      <c r="C1542" t="str">
        <f t="shared" si="48"/>
        <v>"https://www.zeldadungeon.net/maps/totk/tiles/sky/6/34_14.jpg",</v>
      </c>
      <c r="H1542" t="str">
        <f t="shared" si="49"/>
        <v>34_14</v>
      </c>
    </row>
    <row r="1543" spans="1:8" x14ac:dyDescent="0.2">
      <c r="A1543" s="9" t="s">
        <v>51</v>
      </c>
      <c r="C1543" t="str">
        <f t="shared" si="48"/>
        <v>"https://www.zeldadungeon.net/maps/totk/tiles/sky/6/34_15.jpg",</v>
      </c>
      <c r="H1543" t="str">
        <f t="shared" si="49"/>
        <v>34_15</v>
      </c>
    </row>
    <row r="1544" spans="1:8" x14ac:dyDescent="0.2">
      <c r="A1544" s="9" t="s">
        <v>51</v>
      </c>
      <c r="C1544" t="str">
        <f t="shared" si="48"/>
        <v>"https://www.zeldadungeon.net/maps/totk/tiles/sky/6/34_16.jpg",</v>
      </c>
      <c r="H1544" t="str">
        <f t="shared" si="49"/>
        <v>34_16</v>
      </c>
    </row>
    <row r="1545" spans="1:8" x14ac:dyDescent="0.2">
      <c r="A1545" s="9" t="s">
        <v>51</v>
      </c>
      <c r="C1545" t="str">
        <f t="shared" si="48"/>
        <v>"https://www.zeldadungeon.net/maps/totk/tiles/sky/6/34_17.jpg",</v>
      </c>
      <c r="H1545" t="str">
        <f t="shared" si="49"/>
        <v>34_17</v>
      </c>
    </row>
    <row r="1546" spans="1:8" x14ac:dyDescent="0.2">
      <c r="A1546" s="9" t="s">
        <v>51</v>
      </c>
      <c r="C1546" t="str">
        <f t="shared" si="48"/>
        <v>"https://www.zeldadungeon.net/maps/totk/tiles/sky/6/34_18.jpg",</v>
      </c>
      <c r="H1546" t="str">
        <f t="shared" si="49"/>
        <v>34_18</v>
      </c>
    </row>
    <row r="1547" spans="1:8" x14ac:dyDescent="0.2">
      <c r="A1547" s="9" t="s">
        <v>51</v>
      </c>
      <c r="C1547" t="str">
        <f t="shared" si="48"/>
        <v>"https://www.zeldadungeon.net/maps/totk/tiles/sky/6/34_19.jpg",</v>
      </c>
      <c r="H1547" t="str">
        <f t="shared" si="49"/>
        <v>34_19</v>
      </c>
    </row>
    <row r="1548" spans="1:8" x14ac:dyDescent="0.2">
      <c r="A1548" s="9" t="s">
        <v>51</v>
      </c>
      <c r="C1548" t="str">
        <f t="shared" si="48"/>
        <v>"https://www.zeldadungeon.net/maps/totk/tiles/sky/6/34_20.jpg",</v>
      </c>
      <c r="H1548" t="str">
        <f t="shared" si="49"/>
        <v>34_20</v>
      </c>
    </row>
    <row r="1549" spans="1:8" x14ac:dyDescent="0.2">
      <c r="A1549" s="9" t="s">
        <v>51</v>
      </c>
      <c r="C1549" t="str">
        <f t="shared" si="48"/>
        <v>"https://www.zeldadungeon.net/maps/totk/tiles/sky/6/34_21.jpg",</v>
      </c>
      <c r="H1549" t="str">
        <f t="shared" si="49"/>
        <v>34_21</v>
      </c>
    </row>
    <row r="1550" spans="1:8" x14ac:dyDescent="0.2">
      <c r="A1550" s="9" t="s">
        <v>51</v>
      </c>
      <c r="C1550" t="str">
        <f t="shared" si="48"/>
        <v>"https://www.zeldadungeon.net/maps/totk/tiles/sky/6/34_22.jpg",</v>
      </c>
      <c r="H1550" t="str">
        <f t="shared" si="49"/>
        <v>34_22</v>
      </c>
    </row>
    <row r="1551" spans="1:8" x14ac:dyDescent="0.2">
      <c r="A1551" s="9" t="s">
        <v>51</v>
      </c>
      <c r="C1551" t="str">
        <f t="shared" si="48"/>
        <v>"https://www.zeldadungeon.net/maps/totk/tiles/sky/6/34_23.jpg",</v>
      </c>
      <c r="H1551" t="str">
        <f t="shared" si="49"/>
        <v>34_23</v>
      </c>
    </row>
    <row r="1552" spans="1:8" x14ac:dyDescent="0.2">
      <c r="A1552" s="9" t="s">
        <v>51</v>
      </c>
      <c r="C1552" t="str">
        <f t="shared" si="48"/>
        <v>"https://www.zeldadungeon.net/maps/totk/tiles/sky/6/34_24.jpg",</v>
      </c>
      <c r="H1552" t="str">
        <f t="shared" si="49"/>
        <v>34_24</v>
      </c>
    </row>
    <row r="1553" spans="1:8" x14ac:dyDescent="0.2">
      <c r="A1553" s="9" t="s">
        <v>51</v>
      </c>
      <c r="C1553" t="str">
        <f t="shared" si="48"/>
        <v>"https://www.zeldadungeon.net/maps/totk/tiles/sky/6/34_25.jpg",</v>
      </c>
      <c r="H1553" t="str">
        <f t="shared" si="49"/>
        <v>34_25</v>
      </c>
    </row>
    <row r="1554" spans="1:8" x14ac:dyDescent="0.2">
      <c r="A1554" s="9" t="s">
        <v>51</v>
      </c>
      <c r="C1554" t="str">
        <f t="shared" si="48"/>
        <v>"https://www.zeldadungeon.net/maps/totk/tiles/sky/6/34_26.jpg",</v>
      </c>
      <c r="H1554" t="str">
        <f t="shared" si="49"/>
        <v>34_26</v>
      </c>
    </row>
    <row r="1555" spans="1:8" x14ac:dyDescent="0.2">
      <c r="A1555" s="9" t="s">
        <v>51</v>
      </c>
      <c r="C1555" t="str">
        <f t="shared" si="48"/>
        <v>"https://www.zeldadungeon.net/maps/totk/tiles/sky/6/34_27.jpg",</v>
      </c>
      <c r="H1555" t="str">
        <f t="shared" si="49"/>
        <v>34_27</v>
      </c>
    </row>
    <row r="1556" spans="1:8" x14ac:dyDescent="0.2">
      <c r="A1556" s="9" t="s">
        <v>51</v>
      </c>
      <c r="C1556" t="str">
        <f t="shared" si="48"/>
        <v>"https://www.zeldadungeon.net/maps/totk/tiles/sky/6/34_28.jpg",</v>
      </c>
      <c r="H1556" t="str">
        <f t="shared" si="49"/>
        <v>34_28</v>
      </c>
    </row>
    <row r="1557" spans="1:8" x14ac:dyDescent="0.2">
      <c r="A1557" s="9" t="s">
        <v>51</v>
      </c>
      <c r="C1557" t="str">
        <f t="shared" si="48"/>
        <v>"https://www.zeldadungeon.net/maps/totk/tiles/sky/6/34_29.jpg",</v>
      </c>
      <c r="H1557" t="str">
        <f t="shared" si="49"/>
        <v>34_29</v>
      </c>
    </row>
    <row r="1558" spans="1:8" x14ac:dyDescent="0.2">
      <c r="A1558" s="9" t="s">
        <v>51</v>
      </c>
      <c r="C1558" t="str">
        <f t="shared" si="48"/>
        <v>"https://www.zeldadungeon.net/maps/totk/tiles/sky/6/34_30.jpg",</v>
      </c>
      <c r="H1558" t="str">
        <f t="shared" si="49"/>
        <v>34_30</v>
      </c>
    </row>
    <row r="1559" spans="1:8" x14ac:dyDescent="0.2">
      <c r="A1559" s="9" t="s">
        <v>51</v>
      </c>
      <c r="C1559" t="str">
        <f t="shared" si="48"/>
        <v>"https://www.zeldadungeon.net/maps/totk/tiles/sky/6/34_31.jpg",</v>
      </c>
      <c r="H1559" t="str">
        <f t="shared" si="49"/>
        <v>34_31</v>
      </c>
    </row>
    <row r="1560" spans="1:8" x14ac:dyDescent="0.2">
      <c r="A1560" s="9" t="s">
        <v>51</v>
      </c>
      <c r="C1560" t="str">
        <f t="shared" si="48"/>
        <v>"https://www.zeldadungeon.net/maps/totk/tiles/sky/6/34_32.jpg",</v>
      </c>
      <c r="H1560" t="str">
        <f t="shared" si="49"/>
        <v>34_32</v>
      </c>
    </row>
    <row r="1561" spans="1:8" x14ac:dyDescent="0.2">
      <c r="A1561" s="9" t="s">
        <v>51</v>
      </c>
      <c r="C1561" t="str">
        <f t="shared" si="48"/>
        <v>"https://www.zeldadungeon.net/maps/totk/tiles/sky/6/34_33.jpg",</v>
      </c>
      <c r="H1561" t="str">
        <f t="shared" si="49"/>
        <v>34_33</v>
      </c>
    </row>
    <row r="1562" spans="1:8" x14ac:dyDescent="0.2">
      <c r="A1562" s="9" t="s">
        <v>51</v>
      </c>
      <c r="C1562" t="str">
        <f t="shared" si="48"/>
        <v>"https://www.zeldadungeon.net/maps/totk/tiles/sky/6/34_34.jpg",</v>
      </c>
      <c r="H1562" t="str">
        <f t="shared" si="49"/>
        <v>34_34</v>
      </c>
    </row>
    <row r="1563" spans="1:8" x14ac:dyDescent="0.2">
      <c r="A1563" s="9" t="s">
        <v>51</v>
      </c>
      <c r="C1563" t="str">
        <f t="shared" si="48"/>
        <v>"https://www.zeldadungeon.net/maps/totk/tiles/sky/6/34_35.jpg",</v>
      </c>
      <c r="H1563" t="str">
        <f t="shared" si="49"/>
        <v>34_35</v>
      </c>
    </row>
    <row r="1564" spans="1:8" x14ac:dyDescent="0.2">
      <c r="A1564" s="9" t="s">
        <v>51</v>
      </c>
      <c r="C1564" t="str">
        <f t="shared" si="48"/>
        <v>"https://www.zeldadungeon.net/maps/totk/tiles/sky/6/34_36.jpg",</v>
      </c>
      <c r="H1564" t="str">
        <f t="shared" si="49"/>
        <v>34_36</v>
      </c>
    </row>
    <row r="1565" spans="1:8" x14ac:dyDescent="0.2">
      <c r="A1565" s="9" t="s">
        <v>51</v>
      </c>
      <c r="C1565" t="str">
        <f t="shared" si="48"/>
        <v>"https://www.zeldadungeon.net/maps/totk/tiles/sky/6/34_37.jpg",</v>
      </c>
      <c r="H1565" t="str">
        <f t="shared" si="49"/>
        <v>34_37</v>
      </c>
    </row>
    <row r="1566" spans="1:8" x14ac:dyDescent="0.2">
      <c r="A1566" s="9" t="s">
        <v>51</v>
      </c>
      <c r="C1566" t="str">
        <f t="shared" si="48"/>
        <v>"https://www.zeldadungeon.net/maps/totk/tiles/sky/6/34_38.jpg",</v>
      </c>
      <c r="H1566" t="str">
        <f t="shared" si="49"/>
        <v>34_38</v>
      </c>
    </row>
    <row r="1567" spans="1:8" x14ac:dyDescent="0.2">
      <c r="A1567" s="9" t="s">
        <v>51</v>
      </c>
      <c r="C1567" t="str">
        <f t="shared" si="48"/>
        <v>"https://www.zeldadungeon.net/maps/totk/tiles/sky/6/34_39.jpg",</v>
      </c>
      <c r="H1567" t="str">
        <f t="shared" si="49"/>
        <v>34_39</v>
      </c>
    </row>
    <row r="1568" spans="1:8" x14ac:dyDescent="0.2">
      <c r="A1568" s="9" t="s">
        <v>51</v>
      </c>
      <c r="C1568" t="str">
        <f t="shared" si="48"/>
        <v>"https://www.zeldadungeon.net/maps/totk/tiles/sky/6/34_40.jpg",</v>
      </c>
      <c r="H1568" t="str">
        <f t="shared" si="49"/>
        <v>34_40</v>
      </c>
    </row>
    <row r="1569" spans="1:8" x14ac:dyDescent="0.2">
      <c r="A1569" s="9" t="s">
        <v>51</v>
      </c>
      <c r="C1569" t="str">
        <f t="shared" si="48"/>
        <v>"https://www.zeldadungeon.net/maps/totk/tiles/sky/6/34_41.jpg",</v>
      </c>
      <c r="H1569" t="str">
        <f t="shared" si="49"/>
        <v>34_41</v>
      </c>
    </row>
    <row r="1570" spans="1:8" x14ac:dyDescent="0.2">
      <c r="A1570" s="9" t="s">
        <v>51</v>
      </c>
      <c r="C1570" t="str">
        <f t="shared" si="48"/>
        <v>"https://www.zeldadungeon.net/maps/totk/tiles/sky/6/34_42.jpg",</v>
      </c>
      <c r="H1570" t="str">
        <f t="shared" si="49"/>
        <v>34_42</v>
      </c>
    </row>
    <row r="1571" spans="1:8" x14ac:dyDescent="0.2">
      <c r="A1571" s="9" t="s">
        <v>51</v>
      </c>
      <c r="C1571" t="str">
        <f t="shared" si="48"/>
        <v>"https://www.zeldadungeon.net/maps/totk/tiles/sky/6/34_43.jpg",</v>
      </c>
      <c r="H1571" t="str">
        <f t="shared" si="49"/>
        <v>34_43</v>
      </c>
    </row>
    <row r="1572" spans="1:8" x14ac:dyDescent="0.2">
      <c r="A1572" s="9" t="s">
        <v>51</v>
      </c>
      <c r="C1572" t="str">
        <f t="shared" si="48"/>
        <v>"https://www.zeldadungeon.net/maps/totk/tiles/sky/6/34_44.jpg",</v>
      </c>
      <c r="H1572" t="str">
        <f t="shared" si="49"/>
        <v>34_44</v>
      </c>
    </row>
    <row r="1573" spans="1:8" x14ac:dyDescent="0.2">
      <c r="A1573" s="9" t="s">
        <v>51</v>
      </c>
      <c r="C1573" t="str">
        <f t="shared" si="48"/>
        <v>"https://www.zeldadungeon.net/maps/totk/tiles/sky/6/34_45.jpg",</v>
      </c>
      <c r="H1573" t="str">
        <f t="shared" si="49"/>
        <v>34_45</v>
      </c>
    </row>
    <row r="1574" spans="1:8" x14ac:dyDescent="0.2">
      <c r="A1574" s="9" t="s">
        <v>51</v>
      </c>
      <c r="C1574" t="str">
        <f t="shared" si="48"/>
        <v>"https://www.zeldadungeon.net/maps/totk/tiles/sky/6/34_46.jpg",</v>
      </c>
      <c r="H1574" t="str">
        <f t="shared" si="49"/>
        <v>34_46</v>
      </c>
    </row>
    <row r="1575" spans="1:8" x14ac:dyDescent="0.2">
      <c r="A1575" s="9" t="s">
        <v>51</v>
      </c>
      <c r="C1575" t="str">
        <f t="shared" si="48"/>
        <v>"https://www.zeldadungeon.net/maps/totk/tiles/sky/6/34_47.jpg",</v>
      </c>
      <c r="H1575" t="str">
        <f t="shared" si="49"/>
        <v>34_47</v>
      </c>
    </row>
    <row r="1576" spans="1:8" x14ac:dyDescent="0.2">
      <c r="A1576" s="9" t="s">
        <v>51</v>
      </c>
      <c r="C1576" t="str">
        <f t="shared" si="48"/>
        <v>"https://www.zeldadungeon.net/maps/totk/tiles/sky/6/34_48.jpg",</v>
      </c>
      <c r="H1576" t="str">
        <f t="shared" si="49"/>
        <v>34_48</v>
      </c>
    </row>
    <row r="1577" spans="1:8" x14ac:dyDescent="0.2">
      <c r="A1577" s="9" t="s">
        <v>51</v>
      </c>
      <c r="C1577" t="str">
        <f t="shared" si="48"/>
        <v>"https://www.zeldadungeon.net/maps/totk/tiles/sky/6/34_49.jpg",</v>
      </c>
      <c r="H1577" t="str">
        <f t="shared" si="49"/>
        <v>34_49</v>
      </c>
    </row>
    <row r="1578" spans="1:8" x14ac:dyDescent="0.2">
      <c r="A1578" s="9" t="s">
        <v>51</v>
      </c>
      <c r="C1578" t="str">
        <f t="shared" si="48"/>
        <v>"https://www.zeldadungeon.net/maps/totk/tiles/sky/6/34_50.jpg",</v>
      </c>
      <c r="H1578" t="str">
        <f t="shared" si="49"/>
        <v>34_50</v>
      </c>
    </row>
    <row r="1579" spans="1:8" x14ac:dyDescent="0.2">
      <c r="A1579" s="9" t="s">
        <v>51</v>
      </c>
      <c r="C1579" t="str">
        <f t="shared" si="48"/>
        <v>"https://www.zeldadungeon.net/maps/totk/tiles/sky/6/34_51.jpg",</v>
      </c>
      <c r="H1579" t="str">
        <f t="shared" si="49"/>
        <v>34_51</v>
      </c>
    </row>
    <row r="1580" spans="1:8" x14ac:dyDescent="0.2">
      <c r="A1580" s="9" t="s">
        <v>51</v>
      </c>
      <c r="C1580" t="str">
        <f t="shared" si="48"/>
        <v>"https://www.zeldadungeon.net/maps/totk/tiles/sky/6/34_52.jpg",</v>
      </c>
      <c r="H1580" t="str">
        <f t="shared" si="49"/>
        <v>34_52</v>
      </c>
    </row>
    <row r="1581" spans="1:8" x14ac:dyDescent="0.2">
      <c r="A1581" s="9" t="s">
        <v>51</v>
      </c>
      <c r="C1581" t="str">
        <f t="shared" si="48"/>
        <v>"https://www.zeldadungeon.net/maps/totk/tiles/sky/6/34_53.jpg",</v>
      </c>
      <c r="H1581" t="str">
        <f t="shared" si="49"/>
        <v>34_53</v>
      </c>
    </row>
    <row r="1582" spans="1:8" x14ac:dyDescent="0.2">
      <c r="A1582" s="9" t="s">
        <v>51</v>
      </c>
      <c r="C1582" t="str">
        <f t="shared" si="48"/>
        <v>"https://www.zeldadungeon.net/maps/totk/tiles/sky/6/34_54.jpg",</v>
      </c>
      <c r="H1582" t="str">
        <f t="shared" si="49"/>
        <v>34_54</v>
      </c>
    </row>
    <row r="1583" spans="1:8" x14ac:dyDescent="0.2">
      <c r="A1583" s="9" t="s">
        <v>51</v>
      </c>
      <c r="C1583" t="str">
        <f t="shared" si="48"/>
        <v>"https://www.zeldadungeon.net/maps/totk/tiles/sky/6/34_55.jpg",</v>
      </c>
      <c r="H1583" t="str">
        <f t="shared" si="49"/>
        <v>34_55</v>
      </c>
    </row>
    <row r="1584" spans="1:8" x14ac:dyDescent="0.2">
      <c r="A1584" s="9" t="s">
        <v>51</v>
      </c>
      <c r="C1584" t="str">
        <f t="shared" si="48"/>
        <v>"https://www.zeldadungeon.net/maps/totk/tiles/sky/6/35_8.jpg",</v>
      </c>
      <c r="H1584" t="str">
        <f t="shared" si="49"/>
        <v>35_8</v>
      </c>
    </row>
    <row r="1585" spans="1:8" x14ac:dyDescent="0.2">
      <c r="A1585" s="9" t="s">
        <v>51</v>
      </c>
      <c r="C1585" t="str">
        <f t="shared" si="48"/>
        <v>"https://www.zeldadungeon.net/maps/totk/tiles/sky/6/35_9.jpg",</v>
      </c>
      <c r="H1585" t="str">
        <f t="shared" si="49"/>
        <v>35_9</v>
      </c>
    </row>
    <row r="1586" spans="1:8" x14ac:dyDescent="0.2">
      <c r="A1586" s="9" t="s">
        <v>51</v>
      </c>
      <c r="C1586" t="str">
        <f t="shared" si="48"/>
        <v>"https://www.zeldadungeon.net/maps/totk/tiles/sky/6/35_10.jpg",</v>
      </c>
      <c r="H1586" t="str">
        <f t="shared" si="49"/>
        <v>35_10</v>
      </c>
    </row>
    <row r="1587" spans="1:8" x14ac:dyDescent="0.2">
      <c r="A1587" s="9" t="s">
        <v>51</v>
      </c>
      <c r="C1587" t="str">
        <f t="shared" si="48"/>
        <v>"https://www.zeldadungeon.net/maps/totk/tiles/sky/6/35_11.jpg",</v>
      </c>
      <c r="H1587" t="str">
        <f t="shared" si="49"/>
        <v>35_11</v>
      </c>
    </row>
    <row r="1588" spans="1:8" x14ac:dyDescent="0.2">
      <c r="A1588" s="9" t="s">
        <v>51</v>
      </c>
      <c r="C1588" t="str">
        <f t="shared" si="48"/>
        <v>"https://www.zeldadungeon.net/maps/totk/tiles/sky/6/35_12.jpg",</v>
      </c>
      <c r="H1588" t="str">
        <f t="shared" si="49"/>
        <v>35_12</v>
      </c>
    </row>
    <row r="1589" spans="1:8" x14ac:dyDescent="0.2">
      <c r="A1589" s="9" t="s">
        <v>51</v>
      </c>
      <c r="C1589" t="str">
        <f t="shared" si="48"/>
        <v>"https://www.zeldadungeon.net/maps/totk/tiles/sky/6/35_13.jpg",</v>
      </c>
      <c r="H1589" t="str">
        <f t="shared" si="49"/>
        <v>35_13</v>
      </c>
    </row>
    <row r="1590" spans="1:8" x14ac:dyDescent="0.2">
      <c r="A1590" s="9" t="s">
        <v>51</v>
      </c>
      <c r="C1590" t="str">
        <f t="shared" si="48"/>
        <v>"https://www.zeldadungeon.net/maps/totk/tiles/sky/6/35_14.jpg",</v>
      </c>
      <c r="H1590" t="str">
        <f t="shared" si="49"/>
        <v>35_14</v>
      </c>
    </row>
    <row r="1591" spans="1:8" x14ac:dyDescent="0.2">
      <c r="A1591" s="9" t="s">
        <v>51</v>
      </c>
      <c r="C1591" t="str">
        <f t="shared" si="48"/>
        <v>"https://www.zeldadungeon.net/maps/totk/tiles/sky/6/35_15.jpg",</v>
      </c>
      <c r="H1591" t="str">
        <f t="shared" si="49"/>
        <v>35_15</v>
      </c>
    </row>
    <row r="1592" spans="1:8" x14ac:dyDescent="0.2">
      <c r="A1592" s="9" t="s">
        <v>51</v>
      </c>
      <c r="C1592" t="str">
        <f t="shared" si="48"/>
        <v>"https://www.zeldadungeon.net/maps/totk/tiles/sky/6/35_16.jpg",</v>
      </c>
      <c r="H1592" t="str">
        <f t="shared" si="49"/>
        <v>35_16</v>
      </c>
    </row>
    <row r="1593" spans="1:8" x14ac:dyDescent="0.2">
      <c r="A1593" s="9" t="s">
        <v>51</v>
      </c>
      <c r="C1593" t="str">
        <f t="shared" si="48"/>
        <v>"https://www.zeldadungeon.net/maps/totk/tiles/sky/6/35_17.jpg",</v>
      </c>
      <c r="H1593" t="str">
        <f t="shared" si="49"/>
        <v>35_17</v>
      </c>
    </row>
    <row r="1594" spans="1:8" x14ac:dyDescent="0.2">
      <c r="A1594" s="9" t="s">
        <v>51</v>
      </c>
      <c r="C1594" t="str">
        <f t="shared" si="48"/>
        <v>"https://www.zeldadungeon.net/maps/totk/tiles/sky/6/35_18.jpg",</v>
      </c>
      <c r="H1594" t="str">
        <f t="shared" si="49"/>
        <v>35_18</v>
      </c>
    </row>
    <row r="1595" spans="1:8" x14ac:dyDescent="0.2">
      <c r="A1595" s="9" t="s">
        <v>51</v>
      </c>
      <c r="C1595" t="str">
        <f t="shared" si="48"/>
        <v>"https://www.zeldadungeon.net/maps/totk/tiles/sky/6/35_19.jpg",</v>
      </c>
      <c r="H1595" t="str">
        <f t="shared" si="49"/>
        <v>35_19</v>
      </c>
    </row>
    <row r="1596" spans="1:8" x14ac:dyDescent="0.2">
      <c r="A1596" s="9" t="s">
        <v>51</v>
      </c>
      <c r="C1596" t="str">
        <f t="shared" si="48"/>
        <v>"https://www.zeldadungeon.net/maps/totk/tiles/sky/6/35_20.jpg",</v>
      </c>
      <c r="H1596" t="str">
        <f t="shared" si="49"/>
        <v>35_20</v>
      </c>
    </row>
    <row r="1597" spans="1:8" x14ac:dyDescent="0.2">
      <c r="A1597" s="9" t="s">
        <v>51</v>
      </c>
      <c r="C1597" t="str">
        <f t="shared" si="48"/>
        <v>"https://www.zeldadungeon.net/maps/totk/tiles/sky/6/35_21.jpg",</v>
      </c>
      <c r="H1597" t="str">
        <f t="shared" si="49"/>
        <v>35_21</v>
      </c>
    </row>
    <row r="1598" spans="1:8" x14ac:dyDescent="0.2">
      <c r="A1598" s="9" t="s">
        <v>51</v>
      </c>
      <c r="C1598" t="str">
        <f t="shared" si="48"/>
        <v>"https://www.zeldadungeon.net/maps/totk/tiles/sky/6/35_22.jpg",</v>
      </c>
      <c r="H1598" t="str">
        <f t="shared" si="49"/>
        <v>35_22</v>
      </c>
    </row>
    <row r="1599" spans="1:8" x14ac:dyDescent="0.2">
      <c r="A1599" s="9" t="s">
        <v>51</v>
      </c>
      <c r="C1599" t="str">
        <f t="shared" si="48"/>
        <v>"https://www.zeldadungeon.net/maps/totk/tiles/sky/6/35_23.jpg",</v>
      </c>
      <c r="H1599" t="str">
        <f t="shared" si="49"/>
        <v>35_23</v>
      </c>
    </row>
    <row r="1600" spans="1:8" x14ac:dyDescent="0.2">
      <c r="A1600" s="9" t="s">
        <v>51</v>
      </c>
      <c r="C1600" t="str">
        <f t="shared" si="48"/>
        <v>"https://www.zeldadungeon.net/maps/totk/tiles/sky/6/35_24.jpg",</v>
      </c>
      <c r="H1600" t="str">
        <f t="shared" si="49"/>
        <v>35_24</v>
      </c>
    </row>
    <row r="1601" spans="1:8" x14ac:dyDescent="0.2">
      <c r="A1601" s="9" t="s">
        <v>51</v>
      </c>
      <c r="C1601" t="str">
        <f t="shared" ref="C1601:C1664" si="50">""""&amp;SUBSTITUTE(A1601,"zzz",H1601)&amp;""""&amp;","</f>
        <v>"https://www.zeldadungeon.net/maps/totk/tiles/sky/6/35_25.jpg",</v>
      </c>
      <c r="H1601" t="str">
        <f t="shared" ref="H1601:H1664" si="51">QUOTIENT(ROW(A1601),48)+2&amp;"_"&amp;MOD(ROW(A1601),48)+8</f>
        <v>35_25</v>
      </c>
    </row>
    <row r="1602" spans="1:8" x14ac:dyDescent="0.2">
      <c r="A1602" s="9" t="s">
        <v>51</v>
      </c>
      <c r="C1602" t="str">
        <f t="shared" si="50"/>
        <v>"https://www.zeldadungeon.net/maps/totk/tiles/sky/6/35_26.jpg",</v>
      </c>
      <c r="H1602" t="str">
        <f t="shared" si="51"/>
        <v>35_26</v>
      </c>
    </row>
    <row r="1603" spans="1:8" x14ac:dyDescent="0.2">
      <c r="A1603" s="9" t="s">
        <v>51</v>
      </c>
      <c r="C1603" t="str">
        <f t="shared" si="50"/>
        <v>"https://www.zeldadungeon.net/maps/totk/tiles/sky/6/35_27.jpg",</v>
      </c>
      <c r="H1603" t="str">
        <f t="shared" si="51"/>
        <v>35_27</v>
      </c>
    </row>
    <row r="1604" spans="1:8" x14ac:dyDescent="0.2">
      <c r="A1604" s="9" t="s">
        <v>51</v>
      </c>
      <c r="C1604" t="str">
        <f t="shared" si="50"/>
        <v>"https://www.zeldadungeon.net/maps/totk/tiles/sky/6/35_28.jpg",</v>
      </c>
      <c r="H1604" t="str">
        <f t="shared" si="51"/>
        <v>35_28</v>
      </c>
    </row>
    <row r="1605" spans="1:8" x14ac:dyDescent="0.2">
      <c r="A1605" s="9" t="s">
        <v>51</v>
      </c>
      <c r="C1605" t="str">
        <f t="shared" si="50"/>
        <v>"https://www.zeldadungeon.net/maps/totk/tiles/sky/6/35_29.jpg",</v>
      </c>
      <c r="H1605" t="str">
        <f t="shared" si="51"/>
        <v>35_29</v>
      </c>
    </row>
    <row r="1606" spans="1:8" x14ac:dyDescent="0.2">
      <c r="A1606" s="9" t="s">
        <v>51</v>
      </c>
      <c r="C1606" t="str">
        <f t="shared" si="50"/>
        <v>"https://www.zeldadungeon.net/maps/totk/tiles/sky/6/35_30.jpg",</v>
      </c>
      <c r="H1606" t="str">
        <f t="shared" si="51"/>
        <v>35_30</v>
      </c>
    </row>
    <row r="1607" spans="1:8" x14ac:dyDescent="0.2">
      <c r="A1607" s="9" t="s">
        <v>51</v>
      </c>
      <c r="C1607" t="str">
        <f t="shared" si="50"/>
        <v>"https://www.zeldadungeon.net/maps/totk/tiles/sky/6/35_31.jpg",</v>
      </c>
      <c r="H1607" t="str">
        <f t="shared" si="51"/>
        <v>35_31</v>
      </c>
    </row>
    <row r="1608" spans="1:8" x14ac:dyDescent="0.2">
      <c r="A1608" s="9" t="s">
        <v>51</v>
      </c>
      <c r="C1608" t="str">
        <f t="shared" si="50"/>
        <v>"https://www.zeldadungeon.net/maps/totk/tiles/sky/6/35_32.jpg",</v>
      </c>
      <c r="H1608" t="str">
        <f t="shared" si="51"/>
        <v>35_32</v>
      </c>
    </row>
    <row r="1609" spans="1:8" x14ac:dyDescent="0.2">
      <c r="A1609" s="9" t="s">
        <v>51</v>
      </c>
      <c r="C1609" t="str">
        <f t="shared" si="50"/>
        <v>"https://www.zeldadungeon.net/maps/totk/tiles/sky/6/35_33.jpg",</v>
      </c>
      <c r="H1609" t="str">
        <f t="shared" si="51"/>
        <v>35_33</v>
      </c>
    </row>
    <row r="1610" spans="1:8" x14ac:dyDescent="0.2">
      <c r="A1610" s="9" t="s">
        <v>51</v>
      </c>
      <c r="C1610" t="str">
        <f t="shared" si="50"/>
        <v>"https://www.zeldadungeon.net/maps/totk/tiles/sky/6/35_34.jpg",</v>
      </c>
      <c r="H1610" t="str">
        <f t="shared" si="51"/>
        <v>35_34</v>
      </c>
    </row>
    <row r="1611" spans="1:8" x14ac:dyDescent="0.2">
      <c r="A1611" s="9" t="s">
        <v>51</v>
      </c>
      <c r="C1611" t="str">
        <f t="shared" si="50"/>
        <v>"https://www.zeldadungeon.net/maps/totk/tiles/sky/6/35_35.jpg",</v>
      </c>
      <c r="H1611" t="str">
        <f t="shared" si="51"/>
        <v>35_35</v>
      </c>
    </row>
    <row r="1612" spans="1:8" x14ac:dyDescent="0.2">
      <c r="A1612" s="9" t="s">
        <v>51</v>
      </c>
      <c r="C1612" t="str">
        <f t="shared" si="50"/>
        <v>"https://www.zeldadungeon.net/maps/totk/tiles/sky/6/35_36.jpg",</v>
      </c>
      <c r="H1612" t="str">
        <f t="shared" si="51"/>
        <v>35_36</v>
      </c>
    </row>
    <row r="1613" spans="1:8" x14ac:dyDescent="0.2">
      <c r="A1613" s="9" t="s">
        <v>51</v>
      </c>
      <c r="C1613" t="str">
        <f t="shared" si="50"/>
        <v>"https://www.zeldadungeon.net/maps/totk/tiles/sky/6/35_37.jpg",</v>
      </c>
      <c r="H1613" t="str">
        <f t="shared" si="51"/>
        <v>35_37</v>
      </c>
    </row>
    <row r="1614" spans="1:8" x14ac:dyDescent="0.2">
      <c r="A1614" s="9" t="s">
        <v>51</v>
      </c>
      <c r="C1614" t="str">
        <f t="shared" si="50"/>
        <v>"https://www.zeldadungeon.net/maps/totk/tiles/sky/6/35_38.jpg",</v>
      </c>
      <c r="H1614" t="str">
        <f t="shared" si="51"/>
        <v>35_38</v>
      </c>
    </row>
    <row r="1615" spans="1:8" x14ac:dyDescent="0.2">
      <c r="A1615" s="9" t="s">
        <v>51</v>
      </c>
      <c r="C1615" t="str">
        <f t="shared" si="50"/>
        <v>"https://www.zeldadungeon.net/maps/totk/tiles/sky/6/35_39.jpg",</v>
      </c>
      <c r="H1615" t="str">
        <f t="shared" si="51"/>
        <v>35_39</v>
      </c>
    </row>
    <row r="1616" spans="1:8" x14ac:dyDescent="0.2">
      <c r="A1616" s="9" t="s">
        <v>51</v>
      </c>
      <c r="C1616" t="str">
        <f t="shared" si="50"/>
        <v>"https://www.zeldadungeon.net/maps/totk/tiles/sky/6/35_40.jpg",</v>
      </c>
      <c r="H1616" t="str">
        <f t="shared" si="51"/>
        <v>35_40</v>
      </c>
    </row>
    <row r="1617" spans="1:8" x14ac:dyDescent="0.2">
      <c r="A1617" s="9" t="s">
        <v>51</v>
      </c>
      <c r="C1617" t="str">
        <f t="shared" si="50"/>
        <v>"https://www.zeldadungeon.net/maps/totk/tiles/sky/6/35_41.jpg",</v>
      </c>
      <c r="H1617" t="str">
        <f t="shared" si="51"/>
        <v>35_41</v>
      </c>
    </row>
    <row r="1618" spans="1:8" x14ac:dyDescent="0.2">
      <c r="A1618" s="9" t="s">
        <v>51</v>
      </c>
      <c r="C1618" t="str">
        <f t="shared" si="50"/>
        <v>"https://www.zeldadungeon.net/maps/totk/tiles/sky/6/35_42.jpg",</v>
      </c>
      <c r="H1618" t="str">
        <f t="shared" si="51"/>
        <v>35_42</v>
      </c>
    </row>
    <row r="1619" spans="1:8" x14ac:dyDescent="0.2">
      <c r="A1619" s="9" t="s">
        <v>51</v>
      </c>
      <c r="C1619" t="str">
        <f t="shared" si="50"/>
        <v>"https://www.zeldadungeon.net/maps/totk/tiles/sky/6/35_43.jpg",</v>
      </c>
      <c r="H1619" t="str">
        <f t="shared" si="51"/>
        <v>35_43</v>
      </c>
    </row>
    <row r="1620" spans="1:8" x14ac:dyDescent="0.2">
      <c r="A1620" s="9" t="s">
        <v>51</v>
      </c>
      <c r="C1620" t="str">
        <f t="shared" si="50"/>
        <v>"https://www.zeldadungeon.net/maps/totk/tiles/sky/6/35_44.jpg",</v>
      </c>
      <c r="H1620" t="str">
        <f t="shared" si="51"/>
        <v>35_44</v>
      </c>
    </row>
    <row r="1621" spans="1:8" x14ac:dyDescent="0.2">
      <c r="A1621" s="9" t="s">
        <v>51</v>
      </c>
      <c r="C1621" t="str">
        <f t="shared" si="50"/>
        <v>"https://www.zeldadungeon.net/maps/totk/tiles/sky/6/35_45.jpg",</v>
      </c>
      <c r="H1621" t="str">
        <f t="shared" si="51"/>
        <v>35_45</v>
      </c>
    </row>
    <row r="1622" spans="1:8" x14ac:dyDescent="0.2">
      <c r="A1622" s="9" t="s">
        <v>51</v>
      </c>
      <c r="C1622" t="str">
        <f t="shared" si="50"/>
        <v>"https://www.zeldadungeon.net/maps/totk/tiles/sky/6/35_46.jpg",</v>
      </c>
      <c r="H1622" t="str">
        <f t="shared" si="51"/>
        <v>35_46</v>
      </c>
    </row>
    <row r="1623" spans="1:8" x14ac:dyDescent="0.2">
      <c r="A1623" s="9" t="s">
        <v>51</v>
      </c>
      <c r="C1623" t="str">
        <f t="shared" si="50"/>
        <v>"https://www.zeldadungeon.net/maps/totk/tiles/sky/6/35_47.jpg",</v>
      </c>
      <c r="H1623" t="str">
        <f t="shared" si="51"/>
        <v>35_47</v>
      </c>
    </row>
    <row r="1624" spans="1:8" x14ac:dyDescent="0.2">
      <c r="A1624" s="9" t="s">
        <v>51</v>
      </c>
      <c r="C1624" t="str">
        <f t="shared" si="50"/>
        <v>"https://www.zeldadungeon.net/maps/totk/tiles/sky/6/35_48.jpg",</v>
      </c>
      <c r="H1624" t="str">
        <f t="shared" si="51"/>
        <v>35_48</v>
      </c>
    </row>
    <row r="1625" spans="1:8" x14ac:dyDescent="0.2">
      <c r="A1625" s="9" t="s">
        <v>51</v>
      </c>
      <c r="C1625" t="str">
        <f t="shared" si="50"/>
        <v>"https://www.zeldadungeon.net/maps/totk/tiles/sky/6/35_49.jpg",</v>
      </c>
      <c r="H1625" t="str">
        <f t="shared" si="51"/>
        <v>35_49</v>
      </c>
    </row>
    <row r="1626" spans="1:8" x14ac:dyDescent="0.2">
      <c r="A1626" s="9" t="s">
        <v>51</v>
      </c>
      <c r="C1626" t="str">
        <f t="shared" si="50"/>
        <v>"https://www.zeldadungeon.net/maps/totk/tiles/sky/6/35_50.jpg",</v>
      </c>
      <c r="H1626" t="str">
        <f t="shared" si="51"/>
        <v>35_50</v>
      </c>
    </row>
    <row r="1627" spans="1:8" x14ac:dyDescent="0.2">
      <c r="A1627" s="9" t="s">
        <v>51</v>
      </c>
      <c r="C1627" t="str">
        <f t="shared" si="50"/>
        <v>"https://www.zeldadungeon.net/maps/totk/tiles/sky/6/35_51.jpg",</v>
      </c>
      <c r="H1627" t="str">
        <f t="shared" si="51"/>
        <v>35_51</v>
      </c>
    </row>
    <row r="1628" spans="1:8" x14ac:dyDescent="0.2">
      <c r="A1628" s="9" t="s">
        <v>51</v>
      </c>
      <c r="C1628" t="str">
        <f t="shared" si="50"/>
        <v>"https://www.zeldadungeon.net/maps/totk/tiles/sky/6/35_52.jpg",</v>
      </c>
      <c r="H1628" t="str">
        <f t="shared" si="51"/>
        <v>35_52</v>
      </c>
    </row>
    <row r="1629" spans="1:8" x14ac:dyDescent="0.2">
      <c r="A1629" s="9" t="s">
        <v>51</v>
      </c>
      <c r="C1629" t="str">
        <f t="shared" si="50"/>
        <v>"https://www.zeldadungeon.net/maps/totk/tiles/sky/6/35_53.jpg",</v>
      </c>
      <c r="H1629" t="str">
        <f t="shared" si="51"/>
        <v>35_53</v>
      </c>
    </row>
    <row r="1630" spans="1:8" x14ac:dyDescent="0.2">
      <c r="A1630" s="9" t="s">
        <v>51</v>
      </c>
      <c r="C1630" t="str">
        <f t="shared" si="50"/>
        <v>"https://www.zeldadungeon.net/maps/totk/tiles/sky/6/35_54.jpg",</v>
      </c>
      <c r="H1630" t="str">
        <f t="shared" si="51"/>
        <v>35_54</v>
      </c>
    </row>
    <row r="1631" spans="1:8" x14ac:dyDescent="0.2">
      <c r="A1631" s="9" t="s">
        <v>51</v>
      </c>
      <c r="C1631" t="str">
        <f t="shared" si="50"/>
        <v>"https://www.zeldadungeon.net/maps/totk/tiles/sky/6/35_55.jpg",</v>
      </c>
      <c r="H1631" t="str">
        <f t="shared" si="51"/>
        <v>35_55</v>
      </c>
    </row>
    <row r="1632" spans="1:8" x14ac:dyDescent="0.2">
      <c r="A1632" s="9" t="s">
        <v>51</v>
      </c>
      <c r="C1632" t="str">
        <f t="shared" si="50"/>
        <v>"https://www.zeldadungeon.net/maps/totk/tiles/sky/6/36_8.jpg",</v>
      </c>
      <c r="H1632" t="str">
        <f t="shared" si="51"/>
        <v>36_8</v>
      </c>
    </row>
    <row r="1633" spans="1:8" x14ac:dyDescent="0.2">
      <c r="A1633" s="9" t="s">
        <v>51</v>
      </c>
      <c r="C1633" t="str">
        <f t="shared" si="50"/>
        <v>"https://www.zeldadungeon.net/maps/totk/tiles/sky/6/36_9.jpg",</v>
      </c>
      <c r="H1633" t="str">
        <f t="shared" si="51"/>
        <v>36_9</v>
      </c>
    </row>
    <row r="1634" spans="1:8" x14ac:dyDescent="0.2">
      <c r="A1634" s="9" t="s">
        <v>51</v>
      </c>
      <c r="C1634" t="str">
        <f t="shared" si="50"/>
        <v>"https://www.zeldadungeon.net/maps/totk/tiles/sky/6/36_10.jpg",</v>
      </c>
      <c r="H1634" t="str">
        <f t="shared" si="51"/>
        <v>36_10</v>
      </c>
    </row>
    <row r="1635" spans="1:8" x14ac:dyDescent="0.2">
      <c r="A1635" s="9" t="s">
        <v>51</v>
      </c>
      <c r="C1635" t="str">
        <f t="shared" si="50"/>
        <v>"https://www.zeldadungeon.net/maps/totk/tiles/sky/6/36_11.jpg",</v>
      </c>
      <c r="H1635" t="str">
        <f t="shared" si="51"/>
        <v>36_11</v>
      </c>
    </row>
    <row r="1636" spans="1:8" x14ac:dyDescent="0.2">
      <c r="A1636" s="9" t="s">
        <v>51</v>
      </c>
      <c r="C1636" t="str">
        <f t="shared" si="50"/>
        <v>"https://www.zeldadungeon.net/maps/totk/tiles/sky/6/36_12.jpg",</v>
      </c>
      <c r="H1636" t="str">
        <f t="shared" si="51"/>
        <v>36_12</v>
      </c>
    </row>
    <row r="1637" spans="1:8" x14ac:dyDescent="0.2">
      <c r="A1637" s="9" t="s">
        <v>51</v>
      </c>
      <c r="C1637" t="str">
        <f t="shared" si="50"/>
        <v>"https://www.zeldadungeon.net/maps/totk/tiles/sky/6/36_13.jpg",</v>
      </c>
      <c r="H1637" t="str">
        <f t="shared" si="51"/>
        <v>36_13</v>
      </c>
    </row>
    <row r="1638" spans="1:8" x14ac:dyDescent="0.2">
      <c r="A1638" s="9" t="s">
        <v>51</v>
      </c>
      <c r="C1638" t="str">
        <f t="shared" si="50"/>
        <v>"https://www.zeldadungeon.net/maps/totk/tiles/sky/6/36_14.jpg",</v>
      </c>
      <c r="H1638" t="str">
        <f t="shared" si="51"/>
        <v>36_14</v>
      </c>
    </row>
    <row r="1639" spans="1:8" x14ac:dyDescent="0.2">
      <c r="A1639" s="9" t="s">
        <v>51</v>
      </c>
      <c r="C1639" t="str">
        <f t="shared" si="50"/>
        <v>"https://www.zeldadungeon.net/maps/totk/tiles/sky/6/36_15.jpg",</v>
      </c>
      <c r="H1639" t="str">
        <f t="shared" si="51"/>
        <v>36_15</v>
      </c>
    </row>
    <row r="1640" spans="1:8" x14ac:dyDescent="0.2">
      <c r="A1640" s="9" t="s">
        <v>51</v>
      </c>
      <c r="C1640" t="str">
        <f t="shared" si="50"/>
        <v>"https://www.zeldadungeon.net/maps/totk/tiles/sky/6/36_16.jpg",</v>
      </c>
      <c r="H1640" t="str">
        <f t="shared" si="51"/>
        <v>36_16</v>
      </c>
    </row>
    <row r="1641" spans="1:8" x14ac:dyDescent="0.2">
      <c r="A1641" s="9" t="s">
        <v>51</v>
      </c>
      <c r="C1641" t="str">
        <f t="shared" si="50"/>
        <v>"https://www.zeldadungeon.net/maps/totk/tiles/sky/6/36_17.jpg",</v>
      </c>
      <c r="H1641" t="str">
        <f t="shared" si="51"/>
        <v>36_17</v>
      </c>
    </row>
    <row r="1642" spans="1:8" x14ac:dyDescent="0.2">
      <c r="A1642" s="9" t="s">
        <v>51</v>
      </c>
      <c r="C1642" t="str">
        <f t="shared" si="50"/>
        <v>"https://www.zeldadungeon.net/maps/totk/tiles/sky/6/36_18.jpg",</v>
      </c>
      <c r="H1642" t="str">
        <f t="shared" si="51"/>
        <v>36_18</v>
      </c>
    </row>
    <row r="1643" spans="1:8" x14ac:dyDescent="0.2">
      <c r="A1643" s="9" t="s">
        <v>51</v>
      </c>
      <c r="C1643" t="str">
        <f t="shared" si="50"/>
        <v>"https://www.zeldadungeon.net/maps/totk/tiles/sky/6/36_19.jpg",</v>
      </c>
      <c r="H1643" t="str">
        <f t="shared" si="51"/>
        <v>36_19</v>
      </c>
    </row>
    <row r="1644" spans="1:8" x14ac:dyDescent="0.2">
      <c r="A1644" s="9" t="s">
        <v>51</v>
      </c>
      <c r="C1644" t="str">
        <f t="shared" si="50"/>
        <v>"https://www.zeldadungeon.net/maps/totk/tiles/sky/6/36_20.jpg",</v>
      </c>
      <c r="H1644" t="str">
        <f t="shared" si="51"/>
        <v>36_20</v>
      </c>
    </row>
    <row r="1645" spans="1:8" x14ac:dyDescent="0.2">
      <c r="A1645" s="9" t="s">
        <v>51</v>
      </c>
      <c r="C1645" t="str">
        <f t="shared" si="50"/>
        <v>"https://www.zeldadungeon.net/maps/totk/tiles/sky/6/36_21.jpg",</v>
      </c>
      <c r="H1645" t="str">
        <f t="shared" si="51"/>
        <v>36_21</v>
      </c>
    </row>
    <row r="1646" spans="1:8" x14ac:dyDescent="0.2">
      <c r="A1646" s="9" t="s">
        <v>51</v>
      </c>
      <c r="C1646" t="str">
        <f t="shared" si="50"/>
        <v>"https://www.zeldadungeon.net/maps/totk/tiles/sky/6/36_22.jpg",</v>
      </c>
      <c r="H1646" t="str">
        <f t="shared" si="51"/>
        <v>36_22</v>
      </c>
    </row>
    <row r="1647" spans="1:8" x14ac:dyDescent="0.2">
      <c r="A1647" s="9" t="s">
        <v>51</v>
      </c>
      <c r="C1647" t="str">
        <f t="shared" si="50"/>
        <v>"https://www.zeldadungeon.net/maps/totk/tiles/sky/6/36_23.jpg",</v>
      </c>
      <c r="H1647" t="str">
        <f t="shared" si="51"/>
        <v>36_23</v>
      </c>
    </row>
    <row r="1648" spans="1:8" x14ac:dyDescent="0.2">
      <c r="A1648" s="9" t="s">
        <v>51</v>
      </c>
      <c r="C1648" t="str">
        <f t="shared" si="50"/>
        <v>"https://www.zeldadungeon.net/maps/totk/tiles/sky/6/36_24.jpg",</v>
      </c>
      <c r="H1648" t="str">
        <f t="shared" si="51"/>
        <v>36_24</v>
      </c>
    </row>
    <row r="1649" spans="1:8" x14ac:dyDescent="0.2">
      <c r="A1649" s="9" t="s">
        <v>51</v>
      </c>
      <c r="C1649" t="str">
        <f t="shared" si="50"/>
        <v>"https://www.zeldadungeon.net/maps/totk/tiles/sky/6/36_25.jpg",</v>
      </c>
      <c r="H1649" t="str">
        <f t="shared" si="51"/>
        <v>36_25</v>
      </c>
    </row>
    <row r="1650" spans="1:8" x14ac:dyDescent="0.2">
      <c r="A1650" s="9" t="s">
        <v>51</v>
      </c>
      <c r="C1650" t="str">
        <f t="shared" si="50"/>
        <v>"https://www.zeldadungeon.net/maps/totk/tiles/sky/6/36_26.jpg",</v>
      </c>
      <c r="H1650" t="str">
        <f t="shared" si="51"/>
        <v>36_26</v>
      </c>
    </row>
    <row r="1651" spans="1:8" x14ac:dyDescent="0.2">
      <c r="A1651" s="9" t="s">
        <v>51</v>
      </c>
      <c r="C1651" t="str">
        <f t="shared" si="50"/>
        <v>"https://www.zeldadungeon.net/maps/totk/tiles/sky/6/36_27.jpg",</v>
      </c>
      <c r="H1651" t="str">
        <f t="shared" si="51"/>
        <v>36_27</v>
      </c>
    </row>
    <row r="1652" spans="1:8" x14ac:dyDescent="0.2">
      <c r="A1652" s="9" t="s">
        <v>51</v>
      </c>
      <c r="C1652" t="str">
        <f t="shared" si="50"/>
        <v>"https://www.zeldadungeon.net/maps/totk/tiles/sky/6/36_28.jpg",</v>
      </c>
      <c r="H1652" t="str">
        <f t="shared" si="51"/>
        <v>36_28</v>
      </c>
    </row>
    <row r="1653" spans="1:8" x14ac:dyDescent="0.2">
      <c r="A1653" s="9" t="s">
        <v>51</v>
      </c>
      <c r="C1653" t="str">
        <f t="shared" si="50"/>
        <v>"https://www.zeldadungeon.net/maps/totk/tiles/sky/6/36_29.jpg",</v>
      </c>
      <c r="H1653" t="str">
        <f t="shared" si="51"/>
        <v>36_29</v>
      </c>
    </row>
    <row r="1654" spans="1:8" x14ac:dyDescent="0.2">
      <c r="A1654" s="9" t="s">
        <v>51</v>
      </c>
      <c r="C1654" t="str">
        <f t="shared" si="50"/>
        <v>"https://www.zeldadungeon.net/maps/totk/tiles/sky/6/36_30.jpg",</v>
      </c>
      <c r="H1654" t="str">
        <f t="shared" si="51"/>
        <v>36_30</v>
      </c>
    </row>
    <row r="1655" spans="1:8" x14ac:dyDescent="0.2">
      <c r="A1655" s="9" t="s">
        <v>51</v>
      </c>
      <c r="C1655" t="str">
        <f t="shared" si="50"/>
        <v>"https://www.zeldadungeon.net/maps/totk/tiles/sky/6/36_31.jpg",</v>
      </c>
      <c r="H1655" t="str">
        <f t="shared" si="51"/>
        <v>36_31</v>
      </c>
    </row>
    <row r="1656" spans="1:8" x14ac:dyDescent="0.2">
      <c r="A1656" s="9" t="s">
        <v>51</v>
      </c>
      <c r="C1656" t="str">
        <f t="shared" si="50"/>
        <v>"https://www.zeldadungeon.net/maps/totk/tiles/sky/6/36_32.jpg",</v>
      </c>
      <c r="H1656" t="str">
        <f t="shared" si="51"/>
        <v>36_32</v>
      </c>
    </row>
    <row r="1657" spans="1:8" x14ac:dyDescent="0.2">
      <c r="A1657" s="9" t="s">
        <v>51</v>
      </c>
      <c r="C1657" t="str">
        <f t="shared" si="50"/>
        <v>"https://www.zeldadungeon.net/maps/totk/tiles/sky/6/36_33.jpg",</v>
      </c>
      <c r="H1657" t="str">
        <f t="shared" si="51"/>
        <v>36_33</v>
      </c>
    </row>
    <row r="1658" spans="1:8" x14ac:dyDescent="0.2">
      <c r="A1658" s="9" t="s">
        <v>51</v>
      </c>
      <c r="C1658" t="str">
        <f t="shared" si="50"/>
        <v>"https://www.zeldadungeon.net/maps/totk/tiles/sky/6/36_34.jpg",</v>
      </c>
      <c r="H1658" t="str">
        <f t="shared" si="51"/>
        <v>36_34</v>
      </c>
    </row>
    <row r="1659" spans="1:8" x14ac:dyDescent="0.2">
      <c r="A1659" s="9" t="s">
        <v>51</v>
      </c>
      <c r="C1659" t="str">
        <f t="shared" si="50"/>
        <v>"https://www.zeldadungeon.net/maps/totk/tiles/sky/6/36_35.jpg",</v>
      </c>
      <c r="H1659" t="str">
        <f t="shared" si="51"/>
        <v>36_35</v>
      </c>
    </row>
    <row r="1660" spans="1:8" x14ac:dyDescent="0.2">
      <c r="A1660" s="9" t="s">
        <v>51</v>
      </c>
      <c r="C1660" t="str">
        <f t="shared" si="50"/>
        <v>"https://www.zeldadungeon.net/maps/totk/tiles/sky/6/36_36.jpg",</v>
      </c>
      <c r="H1660" t="str">
        <f t="shared" si="51"/>
        <v>36_36</v>
      </c>
    </row>
    <row r="1661" spans="1:8" x14ac:dyDescent="0.2">
      <c r="A1661" s="9" t="s">
        <v>51</v>
      </c>
      <c r="C1661" t="str">
        <f t="shared" si="50"/>
        <v>"https://www.zeldadungeon.net/maps/totk/tiles/sky/6/36_37.jpg",</v>
      </c>
      <c r="H1661" t="str">
        <f t="shared" si="51"/>
        <v>36_37</v>
      </c>
    </row>
    <row r="1662" spans="1:8" x14ac:dyDescent="0.2">
      <c r="A1662" s="9" t="s">
        <v>51</v>
      </c>
      <c r="C1662" t="str">
        <f t="shared" si="50"/>
        <v>"https://www.zeldadungeon.net/maps/totk/tiles/sky/6/36_38.jpg",</v>
      </c>
      <c r="H1662" t="str">
        <f t="shared" si="51"/>
        <v>36_38</v>
      </c>
    </row>
    <row r="1663" spans="1:8" x14ac:dyDescent="0.2">
      <c r="A1663" s="9" t="s">
        <v>51</v>
      </c>
      <c r="C1663" t="str">
        <f t="shared" si="50"/>
        <v>"https://www.zeldadungeon.net/maps/totk/tiles/sky/6/36_39.jpg",</v>
      </c>
      <c r="H1663" t="str">
        <f t="shared" si="51"/>
        <v>36_39</v>
      </c>
    </row>
    <row r="1664" spans="1:8" x14ac:dyDescent="0.2">
      <c r="A1664" s="9" t="s">
        <v>51</v>
      </c>
      <c r="C1664" t="str">
        <f t="shared" si="50"/>
        <v>"https://www.zeldadungeon.net/maps/totk/tiles/sky/6/36_40.jpg",</v>
      </c>
      <c r="H1664" t="str">
        <f t="shared" si="51"/>
        <v>36_40</v>
      </c>
    </row>
    <row r="1665" spans="1:8" x14ac:dyDescent="0.2">
      <c r="A1665" s="9" t="s">
        <v>51</v>
      </c>
      <c r="C1665" t="str">
        <f t="shared" ref="C1665:C1728" si="52">""""&amp;SUBSTITUTE(A1665,"zzz",H1665)&amp;""""&amp;","</f>
        <v>"https://www.zeldadungeon.net/maps/totk/tiles/sky/6/36_41.jpg",</v>
      </c>
      <c r="H1665" t="str">
        <f t="shared" ref="H1665:H1728" si="53">QUOTIENT(ROW(A1665),48)+2&amp;"_"&amp;MOD(ROW(A1665),48)+8</f>
        <v>36_41</v>
      </c>
    </row>
    <row r="1666" spans="1:8" x14ac:dyDescent="0.2">
      <c r="A1666" s="9" t="s">
        <v>51</v>
      </c>
      <c r="C1666" t="str">
        <f t="shared" si="52"/>
        <v>"https://www.zeldadungeon.net/maps/totk/tiles/sky/6/36_42.jpg",</v>
      </c>
      <c r="H1666" t="str">
        <f t="shared" si="53"/>
        <v>36_42</v>
      </c>
    </row>
    <row r="1667" spans="1:8" x14ac:dyDescent="0.2">
      <c r="A1667" s="9" t="s">
        <v>51</v>
      </c>
      <c r="C1667" t="str">
        <f t="shared" si="52"/>
        <v>"https://www.zeldadungeon.net/maps/totk/tiles/sky/6/36_43.jpg",</v>
      </c>
      <c r="H1667" t="str">
        <f t="shared" si="53"/>
        <v>36_43</v>
      </c>
    </row>
    <row r="1668" spans="1:8" x14ac:dyDescent="0.2">
      <c r="A1668" s="9" t="s">
        <v>51</v>
      </c>
      <c r="C1668" t="str">
        <f t="shared" si="52"/>
        <v>"https://www.zeldadungeon.net/maps/totk/tiles/sky/6/36_44.jpg",</v>
      </c>
      <c r="H1668" t="str">
        <f t="shared" si="53"/>
        <v>36_44</v>
      </c>
    </row>
    <row r="1669" spans="1:8" x14ac:dyDescent="0.2">
      <c r="A1669" s="9" t="s">
        <v>51</v>
      </c>
      <c r="C1669" t="str">
        <f t="shared" si="52"/>
        <v>"https://www.zeldadungeon.net/maps/totk/tiles/sky/6/36_45.jpg",</v>
      </c>
      <c r="H1669" t="str">
        <f t="shared" si="53"/>
        <v>36_45</v>
      </c>
    </row>
    <row r="1670" spans="1:8" x14ac:dyDescent="0.2">
      <c r="A1670" s="9" t="s">
        <v>51</v>
      </c>
      <c r="C1670" t="str">
        <f t="shared" si="52"/>
        <v>"https://www.zeldadungeon.net/maps/totk/tiles/sky/6/36_46.jpg",</v>
      </c>
      <c r="H1670" t="str">
        <f t="shared" si="53"/>
        <v>36_46</v>
      </c>
    </row>
    <row r="1671" spans="1:8" x14ac:dyDescent="0.2">
      <c r="A1671" s="9" t="s">
        <v>51</v>
      </c>
      <c r="C1671" t="str">
        <f t="shared" si="52"/>
        <v>"https://www.zeldadungeon.net/maps/totk/tiles/sky/6/36_47.jpg",</v>
      </c>
      <c r="H1671" t="str">
        <f t="shared" si="53"/>
        <v>36_47</v>
      </c>
    </row>
    <row r="1672" spans="1:8" x14ac:dyDescent="0.2">
      <c r="A1672" s="9" t="s">
        <v>51</v>
      </c>
      <c r="C1672" t="str">
        <f t="shared" si="52"/>
        <v>"https://www.zeldadungeon.net/maps/totk/tiles/sky/6/36_48.jpg",</v>
      </c>
      <c r="H1672" t="str">
        <f t="shared" si="53"/>
        <v>36_48</v>
      </c>
    </row>
    <row r="1673" spans="1:8" x14ac:dyDescent="0.2">
      <c r="A1673" s="9" t="s">
        <v>51</v>
      </c>
      <c r="C1673" t="str">
        <f t="shared" si="52"/>
        <v>"https://www.zeldadungeon.net/maps/totk/tiles/sky/6/36_49.jpg",</v>
      </c>
      <c r="H1673" t="str">
        <f t="shared" si="53"/>
        <v>36_49</v>
      </c>
    </row>
    <row r="1674" spans="1:8" x14ac:dyDescent="0.2">
      <c r="A1674" s="9" t="s">
        <v>51</v>
      </c>
      <c r="C1674" t="str">
        <f t="shared" si="52"/>
        <v>"https://www.zeldadungeon.net/maps/totk/tiles/sky/6/36_50.jpg",</v>
      </c>
      <c r="H1674" t="str">
        <f t="shared" si="53"/>
        <v>36_50</v>
      </c>
    </row>
    <row r="1675" spans="1:8" x14ac:dyDescent="0.2">
      <c r="A1675" s="9" t="s">
        <v>51</v>
      </c>
      <c r="C1675" t="str">
        <f t="shared" si="52"/>
        <v>"https://www.zeldadungeon.net/maps/totk/tiles/sky/6/36_51.jpg",</v>
      </c>
      <c r="H1675" t="str">
        <f t="shared" si="53"/>
        <v>36_51</v>
      </c>
    </row>
    <row r="1676" spans="1:8" x14ac:dyDescent="0.2">
      <c r="A1676" s="9" t="s">
        <v>51</v>
      </c>
      <c r="C1676" t="str">
        <f t="shared" si="52"/>
        <v>"https://www.zeldadungeon.net/maps/totk/tiles/sky/6/36_52.jpg",</v>
      </c>
      <c r="H1676" t="str">
        <f t="shared" si="53"/>
        <v>36_52</v>
      </c>
    </row>
    <row r="1677" spans="1:8" x14ac:dyDescent="0.2">
      <c r="A1677" s="9" t="s">
        <v>51</v>
      </c>
      <c r="C1677" t="str">
        <f t="shared" si="52"/>
        <v>"https://www.zeldadungeon.net/maps/totk/tiles/sky/6/36_53.jpg",</v>
      </c>
      <c r="H1677" t="str">
        <f t="shared" si="53"/>
        <v>36_53</v>
      </c>
    </row>
    <row r="1678" spans="1:8" x14ac:dyDescent="0.2">
      <c r="A1678" s="9" t="s">
        <v>51</v>
      </c>
      <c r="C1678" t="str">
        <f t="shared" si="52"/>
        <v>"https://www.zeldadungeon.net/maps/totk/tiles/sky/6/36_54.jpg",</v>
      </c>
      <c r="H1678" t="str">
        <f t="shared" si="53"/>
        <v>36_54</v>
      </c>
    </row>
    <row r="1679" spans="1:8" x14ac:dyDescent="0.2">
      <c r="A1679" s="9" t="s">
        <v>51</v>
      </c>
      <c r="C1679" t="str">
        <f t="shared" si="52"/>
        <v>"https://www.zeldadungeon.net/maps/totk/tiles/sky/6/36_55.jpg",</v>
      </c>
      <c r="H1679" t="str">
        <f t="shared" si="53"/>
        <v>36_55</v>
      </c>
    </row>
    <row r="1680" spans="1:8" x14ac:dyDescent="0.2">
      <c r="A1680" s="9" t="s">
        <v>51</v>
      </c>
      <c r="C1680" t="str">
        <f t="shared" si="52"/>
        <v>"https://www.zeldadungeon.net/maps/totk/tiles/sky/6/37_8.jpg",</v>
      </c>
      <c r="H1680" t="str">
        <f t="shared" si="53"/>
        <v>37_8</v>
      </c>
    </row>
    <row r="1681" spans="1:8" x14ac:dyDescent="0.2">
      <c r="A1681" s="9" t="s">
        <v>51</v>
      </c>
      <c r="C1681" t="str">
        <f t="shared" si="52"/>
        <v>"https://www.zeldadungeon.net/maps/totk/tiles/sky/6/37_9.jpg",</v>
      </c>
      <c r="H1681" t="str">
        <f t="shared" si="53"/>
        <v>37_9</v>
      </c>
    </row>
    <row r="1682" spans="1:8" x14ac:dyDescent="0.2">
      <c r="A1682" s="9" t="s">
        <v>51</v>
      </c>
      <c r="C1682" t="str">
        <f t="shared" si="52"/>
        <v>"https://www.zeldadungeon.net/maps/totk/tiles/sky/6/37_10.jpg",</v>
      </c>
      <c r="H1682" t="str">
        <f t="shared" si="53"/>
        <v>37_10</v>
      </c>
    </row>
    <row r="1683" spans="1:8" x14ac:dyDescent="0.2">
      <c r="A1683" s="9" t="s">
        <v>51</v>
      </c>
      <c r="C1683" t="str">
        <f t="shared" si="52"/>
        <v>"https://www.zeldadungeon.net/maps/totk/tiles/sky/6/37_11.jpg",</v>
      </c>
      <c r="H1683" t="str">
        <f t="shared" si="53"/>
        <v>37_11</v>
      </c>
    </row>
    <row r="1684" spans="1:8" x14ac:dyDescent="0.2">
      <c r="A1684" s="9" t="s">
        <v>51</v>
      </c>
      <c r="C1684" t="str">
        <f t="shared" si="52"/>
        <v>"https://www.zeldadungeon.net/maps/totk/tiles/sky/6/37_12.jpg",</v>
      </c>
      <c r="H1684" t="str">
        <f t="shared" si="53"/>
        <v>37_12</v>
      </c>
    </row>
    <row r="1685" spans="1:8" x14ac:dyDescent="0.2">
      <c r="A1685" s="9" t="s">
        <v>51</v>
      </c>
      <c r="C1685" t="str">
        <f t="shared" si="52"/>
        <v>"https://www.zeldadungeon.net/maps/totk/tiles/sky/6/37_13.jpg",</v>
      </c>
      <c r="H1685" t="str">
        <f t="shared" si="53"/>
        <v>37_13</v>
      </c>
    </row>
    <row r="1686" spans="1:8" x14ac:dyDescent="0.2">
      <c r="A1686" s="9" t="s">
        <v>51</v>
      </c>
      <c r="C1686" t="str">
        <f t="shared" si="52"/>
        <v>"https://www.zeldadungeon.net/maps/totk/tiles/sky/6/37_14.jpg",</v>
      </c>
      <c r="H1686" t="str">
        <f t="shared" si="53"/>
        <v>37_14</v>
      </c>
    </row>
    <row r="1687" spans="1:8" x14ac:dyDescent="0.2">
      <c r="A1687" s="9" t="s">
        <v>51</v>
      </c>
      <c r="C1687" t="str">
        <f t="shared" si="52"/>
        <v>"https://www.zeldadungeon.net/maps/totk/tiles/sky/6/37_15.jpg",</v>
      </c>
      <c r="H1687" t="str">
        <f t="shared" si="53"/>
        <v>37_15</v>
      </c>
    </row>
    <row r="1688" spans="1:8" x14ac:dyDescent="0.2">
      <c r="A1688" s="9" t="s">
        <v>51</v>
      </c>
      <c r="C1688" t="str">
        <f t="shared" si="52"/>
        <v>"https://www.zeldadungeon.net/maps/totk/tiles/sky/6/37_16.jpg",</v>
      </c>
      <c r="H1688" t="str">
        <f t="shared" si="53"/>
        <v>37_16</v>
      </c>
    </row>
    <row r="1689" spans="1:8" x14ac:dyDescent="0.2">
      <c r="A1689" s="9" t="s">
        <v>51</v>
      </c>
      <c r="C1689" t="str">
        <f t="shared" si="52"/>
        <v>"https://www.zeldadungeon.net/maps/totk/tiles/sky/6/37_17.jpg",</v>
      </c>
      <c r="H1689" t="str">
        <f t="shared" si="53"/>
        <v>37_17</v>
      </c>
    </row>
    <row r="1690" spans="1:8" x14ac:dyDescent="0.2">
      <c r="A1690" s="9" t="s">
        <v>51</v>
      </c>
      <c r="C1690" t="str">
        <f t="shared" si="52"/>
        <v>"https://www.zeldadungeon.net/maps/totk/tiles/sky/6/37_18.jpg",</v>
      </c>
      <c r="H1690" t="str">
        <f t="shared" si="53"/>
        <v>37_18</v>
      </c>
    </row>
    <row r="1691" spans="1:8" x14ac:dyDescent="0.2">
      <c r="A1691" s="9" t="s">
        <v>51</v>
      </c>
      <c r="C1691" t="str">
        <f t="shared" si="52"/>
        <v>"https://www.zeldadungeon.net/maps/totk/tiles/sky/6/37_19.jpg",</v>
      </c>
      <c r="H1691" t="str">
        <f t="shared" si="53"/>
        <v>37_19</v>
      </c>
    </row>
    <row r="1692" spans="1:8" x14ac:dyDescent="0.2">
      <c r="A1692" s="9" t="s">
        <v>51</v>
      </c>
      <c r="C1692" t="str">
        <f t="shared" si="52"/>
        <v>"https://www.zeldadungeon.net/maps/totk/tiles/sky/6/37_20.jpg",</v>
      </c>
      <c r="H1692" t="str">
        <f t="shared" si="53"/>
        <v>37_20</v>
      </c>
    </row>
    <row r="1693" spans="1:8" x14ac:dyDescent="0.2">
      <c r="A1693" s="9" t="s">
        <v>51</v>
      </c>
      <c r="C1693" t="str">
        <f t="shared" si="52"/>
        <v>"https://www.zeldadungeon.net/maps/totk/tiles/sky/6/37_21.jpg",</v>
      </c>
      <c r="H1693" t="str">
        <f t="shared" si="53"/>
        <v>37_21</v>
      </c>
    </row>
    <row r="1694" spans="1:8" x14ac:dyDescent="0.2">
      <c r="A1694" s="9" t="s">
        <v>51</v>
      </c>
      <c r="C1694" t="str">
        <f t="shared" si="52"/>
        <v>"https://www.zeldadungeon.net/maps/totk/tiles/sky/6/37_22.jpg",</v>
      </c>
      <c r="H1694" t="str">
        <f t="shared" si="53"/>
        <v>37_22</v>
      </c>
    </row>
    <row r="1695" spans="1:8" x14ac:dyDescent="0.2">
      <c r="A1695" s="9" t="s">
        <v>51</v>
      </c>
      <c r="C1695" t="str">
        <f t="shared" si="52"/>
        <v>"https://www.zeldadungeon.net/maps/totk/tiles/sky/6/37_23.jpg",</v>
      </c>
      <c r="H1695" t="str">
        <f t="shared" si="53"/>
        <v>37_23</v>
      </c>
    </row>
    <row r="1696" spans="1:8" x14ac:dyDescent="0.2">
      <c r="A1696" s="9" t="s">
        <v>51</v>
      </c>
      <c r="C1696" t="str">
        <f t="shared" si="52"/>
        <v>"https://www.zeldadungeon.net/maps/totk/tiles/sky/6/37_24.jpg",</v>
      </c>
      <c r="H1696" t="str">
        <f t="shared" si="53"/>
        <v>37_24</v>
      </c>
    </row>
    <row r="1697" spans="1:8" x14ac:dyDescent="0.2">
      <c r="A1697" s="9" t="s">
        <v>51</v>
      </c>
      <c r="C1697" t="str">
        <f t="shared" si="52"/>
        <v>"https://www.zeldadungeon.net/maps/totk/tiles/sky/6/37_25.jpg",</v>
      </c>
      <c r="H1697" t="str">
        <f t="shared" si="53"/>
        <v>37_25</v>
      </c>
    </row>
    <row r="1698" spans="1:8" x14ac:dyDescent="0.2">
      <c r="A1698" s="9" t="s">
        <v>51</v>
      </c>
      <c r="C1698" t="str">
        <f t="shared" si="52"/>
        <v>"https://www.zeldadungeon.net/maps/totk/tiles/sky/6/37_26.jpg",</v>
      </c>
      <c r="H1698" t="str">
        <f t="shared" si="53"/>
        <v>37_26</v>
      </c>
    </row>
    <row r="1699" spans="1:8" x14ac:dyDescent="0.2">
      <c r="A1699" s="9" t="s">
        <v>51</v>
      </c>
      <c r="C1699" t="str">
        <f t="shared" si="52"/>
        <v>"https://www.zeldadungeon.net/maps/totk/tiles/sky/6/37_27.jpg",</v>
      </c>
      <c r="H1699" t="str">
        <f t="shared" si="53"/>
        <v>37_27</v>
      </c>
    </row>
    <row r="1700" spans="1:8" x14ac:dyDescent="0.2">
      <c r="A1700" s="9" t="s">
        <v>51</v>
      </c>
      <c r="C1700" t="str">
        <f t="shared" si="52"/>
        <v>"https://www.zeldadungeon.net/maps/totk/tiles/sky/6/37_28.jpg",</v>
      </c>
      <c r="H1700" t="str">
        <f t="shared" si="53"/>
        <v>37_28</v>
      </c>
    </row>
    <row r="1701" spans="1:8" x14ac:dyDescent="0.2">
      <c r="A1701" s="9" t="s">
        <v>51</v>
      </c>
      <c r="C1701" t="str">
        <f t="shared" si="52"/>
        <v>"https://www.zeldadungeon.net/maps/totk/tiles/sky/6/37_29.jpg",</v>
      </c>
      <c r="H1701" t="str">
        <f t="shared" si="53"/>
        <v>37_29</v>
      </c>
    </row>
    <row r="1702" spans="1:8" x14ac:dyDescent="0.2">
      <c r="A1702" s="9" t="s">
        <v>51</v>
      </c>
      <c r="C1702" t="str">
        <f t="shared" si="52"/>
        <v>"https://www.zeldadungeon.net/maps/totk/tiles/sky/6/37_30.jpg",</v>
      </c>
      <c r="H1702" t="str">
        <f t="shared" si="53"/>
        <v>37_30</v>
      </c>
    </row>
    <row r="1703" spans="1:8" x14ac:dyDescent="0.2">
      <c r="A1703" s="9" t="s">
        <v>51</v>
      </c>
      <c r="C1703" t="str">
        <f t="shared" si="52"/>
        <v>"https://www.zeldadungeon.net/maps/totk/tiles/sky/6/37_31.jpg",</v>
      </c>
      <c r="H1703" t="str">
        <f t="shared" si="53"/>
        <v>37_31</v>
      </c>
    </row>
    <row r="1704" spans="1:8" x14ac:dyDescent="0.2">
      <c r="A1704" s="9" t="s">
        <v>51</v>
      </c>
      <c r="C1704" t="str">
        <f t="shared" si="52"/>
        <v>"https://www.zeldadungeon.net/maps/totk/tiles/sky/6/37_32.jpg",</v>
      </c>
      <c r="H1704" t="str">
        <f t="shared" si="53"/>
        <v>37_32</v>
      </c>
    </row>
    <row r="1705" spans="1:8" x14ac:dyDescent="0.2">
      <c r="A1705" s="9" t="s">
        <v>51</v>
      </c>
      <c r="C1705" t="str">
        <f t="shared" si="52"/>
        <v>"https://www.zeldadungeon.net/maps/totk/tiles/sky/6/37_33.jpg",</v>
      </c>
      <c r="H1705" t="str">
        <f t="shared" si="53"/>
        <v>37_33</v>
      </c>
    </row>
    <row r="1706" spans="1:8" x14ac:dyDescent="0.2">
      <c r="A1706" s="9" t="s">
        <v>51</v>
      </c>
      <c r="C1706" t="str">
        <f t="shared" si="52"/>
        <v>"https://www.zeldadungeon.net/maps/totk/tiles/sky/6/37_34.jpg",</v>
      </c>
      <c r="H1706" t="str">
        <f t="shared" si="53"/>
        <v>37_34</v>
      </c>
    </row>
    <row r="1707" spans="1:8" x14ac:dyDescent="0.2">
      <c r="A1707" s="9" t="s">
        <v>51</v>
      </c>
      <c r="C1707" t="str">
        <f t="shared" si="52"/>
        <v>"https://www.zeldadungeon.net/maps/totk/tiles/sky/6/37_35.jpg",</v>
      </c>
      <c r="H1707" t="str">
        <f t="shared" si="53"/>
        <v>37_35</v>
      </c>
    </row>
    <row r="1708" spans="1:8" x14ac:dyDescent="0.2">
      <c r="A1708" s="9" t="s">
        <v>51</v>
      </c>
      <c r="C1708" t="str">
        <f t="shared" si="52"/>
        <v>"https://www.zeldadungeon.net/maps/totk/tiles/sky/6/37_36.jpg",</v>
      </c>
      <c r="H1708" t="str">
        <f t="shared" si="53"/>
        <v>37_36</v>
      </c>
    </row>
    <row r="1709" spans="1:8" x14ac:dyDescent="0.2">
      <c r="A1709" s="9" t="s">
        <v>51</v>
      </c>
      <c r="C1709" t="str">
        <f t="shared" si="52"/>
        <v>"https://www.zeldadungeon.net/maps/totk/tiles/sky/6/37_37.jpg",</v>
      </c>
      <c r="H1709" t="str">
        <f t="shared" si="53"/>
        <v>37_37</v>
      </c>
    </row>
    <row r="1710" spans="1:8" x14ac:dyDescent="0.2">
      <c r="A1710" s="9" t="s">
        <v>51</v>
      </c>
      <c r="C1710" t="str">
        <f t="shared" si="52"/>
        <v>"https://www.zeldadungeon.net/maps/totk/tiles/sky/6/37_38.jpg",</v>
      </c>
      <c r="H1710" t="str">
        <f t="shared" si="53"/>
        <v>37_38</v>
      </c>
    </row>
    <row r="1711" spans="1:8" x14ac:dyDescent="0.2">
      <c r="A1711" s="9" t="s">
        <v>51</v>
      </c>
      <c r="C1711" t="str">
        <f t="shared" si="52"/>
        <v>"https://www.zeldadungeon.net/maps/totk/tiles/sky/6/37_39.jpg",</v>
      </c>
      <c r="H1711" t="str">
        <f t="shared" si="53"/>
        <v>37_39</v>
      </c>
    </row>
    <row r="1712" spans="1:8" x14ac:dyDescent="0.2">
      <c r="A1712" s="9" t="s">
        <v>51</v>
      </c>
      <c r="C1712" t="str">
        <f t="shared" si="52"/>
        <v>"https://www.zeldadungeon.net/maps/totk/tiles/sky/6/37_40.jpg",</v>
      </c>
      <c r="H1712" t="str">
        <f t="shared" si="53"/>
        <v>37_40</v>
      </c>
    </row>
    <row r="1713" spans="1:8" x14ac:dyDescent="0.2">
      <c r="A1713" s="9" t="s">
        <v>51</v>
      </c>
      <c r="C1713" t="str">
        <f t="shared" si="52"/>
        <v>"https://www.zeldadungeon.net/maps/totk/tiles/sky/6/37_41.jpg",</v>
      </c>
      <c r="H1713" t="str">
        <f t="shared" si="53"/>
        <v>37_41</v>
      </c>
    </row>
    <row r="1714" spans="1:8" x14ac:dyDescent="0.2">
      <c r="A1714" s="9" t="s">
        <v>51</v>
      </c>
      <c r="C1714" t="str">
        <f t="shared" si="52"/>
        <v>"https://www.zeldadungeon.net/maps/totk/tiles/sky/6/37_42.jpg",</v>
      </c>
      <c r="H1714" t="str">
        <f t="shared" si="53"/>
        <v>37_42</v>
      </c>
    </row>
    <row r="1715" spans="1:8" x14ac:dyDescent="0.2">
      <c r="A1715" s="9" t="s">
        <v>51</v>
      </c>
      <c r="C1715" t="str">
        <f t="shared" si="52"/>
        <v>"https://www.zeldadungeon.net/maps/totk/tiles/sky/6/37_43.jpg",</v>
      </c>
      <c r="H1715" t="str">
        <f t="shared" si="53"/>
        <v>37_43</v>
      </c>
    </row>
    <row r="1716" spans="1:8" x14ac:dyDescent="0.2">
      <c r="A1716" s="9" t="s">
        <v>51</v>
      </c>
      <c r="C1716" t="str">
        <f t="shared" si="52"/>
        <v>"https://www.zeldadungeon.net/maps/totk/tiles/sky/6/37_44.jpg",</v>
      </c>
      <c r="H1716" t="str">
        <f t="shared" si="53"/>
        <v>37_44</v>
      </c>
    </row>
    <row r="1717" spans="1:8" x14ac:dyDescent="0.2">
      <c r="A1717" s="9" t="s">
        <v>51</v>
      </c>
      <c r="C1717" t="str">
        <f t="shared" si="52"/>
        <v>"https://www.zeldadungeon.net/maps/totk/tiles/sky/6/37_45.jpg",</v>
      </c>
      <c r="H1717" t="str">
        <f t="shared" si="53"/>
        <v>37_45</v>
      </c>
    </row>
    <row r="1718" spans="1:8" x14ac:dyDescent="0.2">
      <c r="A1718" s="9" t="s">
        <v>51</v>
      </c>
      <c r="C1718" t="str">
        <f t="shared" si="52"/>
        <v>"https://www.zeldadungeon.net/maps/totk/tiles/sky/6/37_46.jpg",</v>
      </c>
      <c r="H1718" t="str">
        <f t="shared" si="53"/>
        <v>37_46</v>
      </c>
    </row>
    <row r="1719" spans="1:8" x14ac:dyDescent="0.2">
      <c r="A1719" s="9" t="s">
        <v>51</v>
      </c>
      <c r="C1719" t="str">
        <f t="shared" si="52"/>
        <v>"https://www.zeldadungeon.net/maps/totk/tiles/sky/6/37_47.jpg",</v>
      </c>
      <c r="H1719" t="str">
        <f t="shared" si="53"/>
        <v>37_47</v>
      </c>
    </row>
    <row r="1720" spans="1:8" x14ac:dyDescent="0.2">
      <c r="A1720" s="9" t="s">
        <v>51</v>
      </c>
      <c r="C1720" t="str">
        <f t="shared" si="52"/>
        <v>"https://www.zeldadungeon.net/maps/totk/tiles/sky/6/37_48.jpg",</v>
      </c>
      <c r="H1720" t="str">
        <f t="shared" si="53"/>
        <v>37_48</v>
      </c>
    </row>
    <row r="1721" spans="1:8" x14ac:dyDescent="0.2">
      <c r="A1721" s="9" t="s">
        <v>51</v>
      </c>
      <c r="C1721" t="str">
        <f t="shared" si="52"/>
        <v>"https://www.zeldadungeon.net/maps/totk/tiles/sky/6/37_49.jpg",</v>
      </c>
      <c r="H1721" t="str">
        <f t="shared" si="53"/>
        <v>37_49</v>
      </c>
    </row>
    <row r="1722" spans="1:8" x14ac:dyDescent="0.2">
      <c r="A1722" s="9" t="s">
        <v>51</v>
      </c>
      <c r="C1722" t="str">
        <f t="shared" si="52"/>
        <v>"https://www.zeldadungeon.net/maps/totk/tiles/sky/6/37_50.jpg",</v>
      </c>
      <c r="H1722" t="str">
        <f t="shared" si="53"/>
        <v>37_50</v>
      </c>
    </row>
    <row r="1723" spans="1:8" x14ac:dyDescent="0.2">
      <c r="A1723" s="9" t="s">
        <v>51</v>
      </c>
      <c r="C1723" t="str">
        <f t="shared" si="52"/>
        <v>"https://www.zeldadungeon.net/maps/totk/tiles/sky/6/37_51.jpg",</v>
      </c>
      <c r="H1723" t="str">
        <f t="shared" si="53"/>
        <v>37_51</v>
      </c>
    </row>
    <row r="1724" spans="1:8" x14ac:dyDescent="0.2">
      <c r="A1724" s="9" t="s">
        <v>51</v>
      </c>
      <c r="C1724" t="str">
        <f t="shared" si="52"/>
        <v>"https://www.zeldadungeon.net/maps/totk/tiles/sky/6/37_52.jpg",</v>
      </c>
      <c r="H1724" t="str">
        <f t="shared" si="53"/>
        <v>37_52</v>
      </c>
    </row>
    <row r="1725" spans="1:8" x14ac:dyDescent="0.2">
      <c r="A1725" s="9" t="s">
        <v>51</v>
      </c>
      <c r="C1725" t="str">
        <f t="shared" si="52"/>
        <v>"https://www.zeldadungeon.net/maps/totk/tiles/sky/6/37_53.jpg",</v>
      </c>
      <c r="H1725" t="str">
        <f t="shared" si="53"/>
        <v>37_53</v>
      </c>
    </row>
    <row r="1726" spans="1:8" x14ac:dyDescent="0.2">
      <c r="A1726" s="9" t="s">
        <v>51</v>
      </c>
      <c r="C1726" t="str">
        <f t="shared" si="52"/>
        <v>"https://www.zeldadungeon.net/maps/totk/tiles/sky/6/37_54.jpg",</v>
      </c>
      <c r="H1726" t="str">
        <f t="shared" si="53"/>
        <v>37_54</v>
      </c>
    </row>
    <row r="1727" spans="1:8" x14ac:dyDescent="0.2">
      <c r="A1727" s="9" t="s">
        <v>51</v>
      </c>
      <c r="C1727" t="str">
        <f t="shared" si="52"/>
        <v>"https://www.zeldadungeon.net/maps/totk/tiles/sky/6/37_55.jpg",</v>
      </c>
      <c r="H1727" t="str">
        <f t="shared" si="53"/>
        <v>37_55</v>
      </c>
    </row>
    <row r="1728" spans="1:8" x14ac:dyDescent="0.2">
      <c r="A1728" s="9" t="s">
        <v>51</v>
      </c>
      <c r="C1728" t="str">
        <f t="shared" si="52"/>
        <v>"https://www.zeldadungeon.net/maps/totk/tiles/sky/6/38_8.jpg",</v>
      </c>
      <c r="H1728" t="str">
        <f t="shared" si="53"/>
        <v>38_8</v>
      </c>
    </row>
    <row r="1729" spans="1:8" x14ac:dyDescent="0.2">
      <c r="A1729" s="9" t="s">
        <v>51</v>
      </c>
      <c r="C1729" t="str">
        <f t="shared" ref="C1729:C1792" si="54">""""&amp;SUBSTITUTE(A1729,"zzz",H1729)&amp;""""&amp;","</f>
        <v>"https://www.zeldadungeon.net/maps/totk/tiles/sky/6/38_9.jpg",</v>
      </c>
      <c r="H1729" t="str">
        <f t="shared" ref="H1729:H1792" si="55">QUOTIENT(ROW(A1729),48)+2&amp;"_"&amp;MOD(ROW(A1729),48)+8</f>
        <v>38_9</v>
      </c>
    </row>
    <row r="1730" spans="1:8" x14ac:dyDescent="0.2">
      <c r="A1730" s="9" t="s">
        <v>51</v>
      </c>
      <c r="C1730" t="str">
        <f t="shared" si="54"/>
        <v>"https://www.zeldadungeon.net/maps/totk/tiles/sky/6/38_10.jpg",</v>
      </c>
      <c r="H1730" t="str">
        <f t="shared" si="55"/>
        <v>38_10</v>
      </c>
    </row>
    <row r="1731" spans="1:8" x14ac:dyDescent="0.2">
      <c r="A1731" s="9" t="s">
        <v>51</v>
      </c>
      <c r="C1731" t="str">
        <f t="shared" si="54"/>
        <v>"https://www.zeldadungeon.net/maps/totk/tiles/sky/6/38_11.jpg",</v>
      </c>
      <c r="H1731" t="str">
        <f t="shared" si="55"/>
        <v>38_11</v>
      </c>
    </row>
    <row r="1732" spans="1:8" x14ac:dyDescent="0.2">
      <c r="A1732" s="9" t="s">
        <v>51</v>
      </c>
      <c r="C1732" t="str">
        <f t="shared" si="54"/>
        <v>"https://www.zeldadungeon.net/maps/totk/tiles/sky/6/38_12.jpg",</v>
      </c>
      <c r="H1732" t="str">
        <f t="shared" si="55"/>
        <v>38_12</v>
      </c>
    </row>
    <row r="1733" spans="1:8" x14ac:dyDescent="0.2">
      <c r="A1733" s="9" t="s">
        <v>51</v>
      </c>
      <c r="C1733" t="str">
        <f t="shared" si="54"/>
        <v>"https://www.zeldadungeon.net/maps/totk/tiles/sky/6/38_13.jpg",</v>
      </c>
      <c r="H1733" t="str">
        <f t="shared" si="55"/>
        <v>38_13</v>
      </c>
    </row>
    <row r="1734" spans="1:8" x14ac:dyDescent="0.2">
      <c r="A1734" s="9" t="s">
        <v>51</v>
      </c>
      <c r="C1734" t="str">
        <f t="shared" si="54"/>
        <v>"https://www.zeldadungeon.net/maps/totk/tiles/sky/6/38_14.jpg",</v>
      </c>
      <c r="H1734" t="str">
        <f t="shared" si="55"/>
        <v>38_14</v>
      </c>
    </row>
    <row r="1735" spans="1:8" x14ac:dyDescent="0.2">
      <c r="A1735" s="9" t="s">
        <v>51</v>
      </c>
      <c r="C1735" t="str">
        <f t="shared" si="54"/>
        <v>"https://www.zeldadungeon.net/maps/totk/tiles/sky/6/38_15.jpg",</v>
      </c>
      <c r="H1735" t="str">
        <f t="shared" si="55"/>
        <v>38_15</v>
      </c>
    </row>
    <row r="1736" spans="1:8" x14ac:dyDescent="0.2">
      <c r="A1736" s="9" t="s">
        <v>51</v>
      </c>
      <c r="C1736" t="str">
        <f t="shared" si="54"/>
        <v>"https://www.zeldadungeon.net/maps/totk/tiles/sky/6/38_16.jpg",</v>
      </c>
      <c r="H1736" t="str">
        <f t="shared" si="55"/>
        <v>38_16</v>
      </c>
    </row>
    <row r="1737" spans="1:8" x14ac:dyDescent="0.2">
      <c r="A1737" s="9" t="s">
        <v>51</v>
      </c>
      <c r="C1737" t="str">
        <f t="shared" si="54"/>
        <v>"https://www.zeldadungeon.net/maps/totk/tiles/sky/6/38_17.jpg",</v>
      </c>
      <c r="H1737" t="str">
        <f t="shared" si="55"/>
        <v>38_17</v>
      </c>
    </row>
    <row r="1738" spans="1:8" x14ac:dyDescent="0.2">
      <c r="A1738" s="9" t="s">
        <v>51</v>
      </c>
      <c r="C1738" t="str">
        <f t="shared" si="54"/>
        <v>"https://www.zeldadungeon.net/maps/totk/tiles/sky/6/38_18.jpg",</v>
      </c>
      <c r="H1738" t="str">
        <f t="shared" si="55"/>
        <v>38_18</v>
      </c>
    </row>
    <row r="1739" spans="1:8" x14ac:dyDescent="0.2">
      <c r="A1739" s="9" t="s">
        <v>51</v>
      </c>
      <c r="C1739" t="str">
        <f t="shared" si="54"/>
        <v>"https://www.zeldadungeon.net/maps/totk/tiles/sky/6/38_19.jpg",</v>
      </c>
      <c r="H1739" t="str">
        <f t="shared" si="55"/>
        <v>38_19</v>
      </c>
    </row>
    <row r="1740" spans="1:8" x14ac:dyDescent="0.2">
      <c r="A1740" s="9" t="s">
        <v>51</v>
      </c>
      <c r="C1740" t="str">
        <f t="shared" si="54"/>
        <v>"https://www.zeldadungeon.net/maps/totk/tiles/sky/6/38_20.jpg",</v>
      </c>
      <c r="H1740" t="str">
        <f t="shared" si="55"/>
        <v>38_20</v>
      </c>
    </row>
    <row r="1741" spans="1:8" x14ac:dyDescent="0.2">
      <c r="A1741" s="9" t="s">
        <v>51</v>
      </c>
      <c r="C1741" t="str">
        <f t="shared" si="54"/>
        <v>"https://www.zeldadungeon.net/maps/totk/tiles/sky/6/38_21.jpg",</v>
      </c>
      <c r="H1741" t="str">
        <f t="shared" si="55"/>
        <v>38_21</v>
      </c>
    </row>
    <row r="1742" spans="1:8" x14ac:dyDescent="0.2">
      <c r="A1742" s="9" t="s">
        <v>51</v>
      </c>
      <c r="C1742" t="str">
        <f t="shared" si="54"/>
        <v>"https://www.zeldadungeon.net/maps/totk/tiles/sky/6/38_22.jpg",</v>
      </c>
      <c r="H1742" t="str">
        <f t="shared" si="55"/>
        <v>38_22</v>
      </c>
    </row>
    <row r="1743" spans="1:8" x14ac:dyDescent="0.2">
      <c r="A1743" s="9" t="s">
        <v>51</v>
      </c>
      <c r="C1743" t="str">
        <f t="shared" si="54"/>
        <v>"https://www.zeldadungeon.net/maps/totk/tiles/sky/6/38_23.jpg",</v>
      </c>
      <c r="H1743" t="str">
        <f t="shared" si="55"/>
        <v>38_23</v>
      </c>
    </row>
    <row r="1744" spans="1:8" x14ac:dyDescent="0.2">
      <c r="A1744" s="9" t="s">
        <v>51</v>
      </c>
      <c r="C1744" t="str">
        <f t="shared" si="54"/>
        <v>"https://www.zeldadungeon.net/maps/totk/tiles/sky/6/38_24.jpg",</v>
      </c>
      <c r="H1744" t="str">
        <f t="shared" si="55"/>
        <v>38_24</v>
      </c>
    </row>
    <row r="1745" spans="1:8" x14ac:dyDescent="0.2">
      <c r="A1745" s="9" t="s">
        <v>51</v>
      </c>
      <c r="C1745" t="str">
        <f t="shared" si="54"/>
        <v>"https://www.zeldadungeon.net/maps/totk/tiles/sky/6/38_25.jpg",</v>
      </c>
      <c r="H1745" t="str">
        <f t="shared" si="55"/>
        <v>38_25</v>
      </c>
    </row>
    <row r="1746" spans="1:8" x14ac:dyDescent="0.2">
      <c r="A1746" s="9" t="s">
        <v>51</v>
      </c>
      <c r="C1746" t="str">
        <f t="shared" si="54"/>
        <v>"https://www.zeldadungeon.net/maps/totk/tiles/sky/6/38_26.jpg",</v>
      </c>
      <c r="H1746" t="str">
        <f t="shared" si="55"/>
        <v>38_26</v>
      </c>
    </row>
    <row r="1747" spans="1:8" x14ac:dyDescent="0.2">
      <c r="A1747" s="9" t="s">
        <v>51</v>
      </c>
      <c r="C1747" t="str">
        <f t="shared" si="54"/>
        <v>"https://www.zeldadungeon.net/maps/totk/tiles/sky/6/38_27.jpg",</v>
      </c>
      <c r="H1747" t="str">
        <f t="shared" si="55"/>
        <v>38_27</v>
      </c>
    </row>
    <row r="1748" spans="1:8" x14ac:dyDescent="0.2">
      <c r="A1748" s="9" t="s">
        <v>51</v>
      </c>
      <c r="C1748" t="str">
        <f t="shared" si="54"/>
        <v>"https://www.zeldadungeon.net/maps/totk/tiles/sky/6/38_28.jpg",</v>
      </c>
      <c r="H1748" t="str">
        <f t="shared" si="55"/>
        <v>38_28</v>
      </c>
    </row>
    <row r="1749" spans="1:8" x14ac:dyDescent="0.2">
      <c r="A1749" s="9" t="s">
        <v>51</v>
      </c>
      <c r="C1749" t="str">
        <f t="shared" si="54"/>
        <v>"https://www.zeldadungeon.net/maps/totk/tiles/sky/6/38_29.jpg",</v>
      </c>
      <c r="H1749" t="str">
        <f t="shared" si="55"/>
        <v>38_29</v>
      </c>
    </row>
    <row r="1750" spans="1:8" x14ac:dyDescent="0.2">
      <c r="A1750" s="9" t="s">
        <v>51</v>
      </c>
      <c r="C1750" t="str">
        <f t="shared" si="54"/>
        <v>"https://www.zeldadungeon.net/maps/totk/tiles/sky/6/38_30.jpg",</v>
      </c>
      <c r="H1750" t="str">
        <f t="shared" si="55"/>
        <v>38_30</v>
      </c>
    </row>
    <row r="1751" spans="1:8" x14ac:dyDescent="0.2">
      <c r="A1751" s="9" t="s">
        <v>51</v>
      </c>
      <c r="C1751" t="str">
        <f t="shared" si="54"/>
        <v>"https://www.zeldadungeon.net/maps/totk/tiles/sky/6/38_31.jpg",</v>
      </c>
      <c r="H1751" t="str">
        <f t="shared" si="55"/>
        <v>38_31</v>
      </c>
    </row>
    <row r="1752" spans="1:8" x14ac:dyDescent="0.2">
      <c r="A1752" s="9" t="s">
        <v>51</v>
      </c>
      <c r="C1752" t="str">
        <f t="shared" si="54"/>
        <v>"https://www.zeldadungeon.net/maps/totk/tiles/sky/6/38_32.jpg",</v>
      </c>
      <c r="H1752" t="str">
        <f t="shared" si="55"/>
        <v>38_32</v>
      </c>
    </row>
    <row r="1753" spans="1:8" x14ac:dyDescent="0.2">
      <c r="A1753" s="9" t="s">
        <v>51</v>
      </c>
      <c r="C1753" t="str">
        <f t="shared" si="54"/>
        <v>"https://www.zeldadungeon.net/maps/totk/tiles/sky/6/38_33.jpg",</v>
      </c>
      <c r="H1753" t="str">
        <f t="shared" si="55"/>
        <v>38_33</v>
      </c>
    </row>
    <row r="1754" spans="1:8" x14ac:dyDescent="0.2">
      <c r="A1754" s="9" t="s">
        <v>51</v>
      </c>
      <c r="C1754" t="str">
        <f t="shared" si="54"/>
        <v>"https://www.zeldadungeon.net/maps/totk/tiles/sky/6/38_34.jpg",</v>
      </c>
      <c r="H1754" t="str">
        <f t="shared" si="55"/>
        <v>38_34</v>
      </c>
    </row>
    <row r="1755" spans="1:8" x14ac:dyDescent="0.2">
      <c r="A1755" s="9" t="s">
        <v>51</v>
      </c>
      <c r="C1755" t="str">
        <f t="shared" si="54"/>
        <v>"https://www.zeldadungeon.net/maps/totk/tiles/sky/6/38_35.jpg",</v>
      </c>
      <c r="H1755" t="str">
        <f t="shared" si="55"/>
        <v>38_35</v>
      </c>
    </row>
    <row r="1756" spans="1:8" x14ac:dyDescent="0.2">
      <c r="A1756" s="9" t="s">
        <v>51</v>
      </c>
      <c r="C1756" t="str">
        <f t="shared" si="54"/>
        <v>"https://www.zeldadungeon.net/maps/totk/tiles/sky/6/38_36.jpg",</v>
      </c>
      <c r="H1756" t="str">
        <f t="shared" si="55"/>
        <v>38_36</v>
      </c>
    </row>
    <row r="1757" spans="1:8" x14ac:dyDescent="0.2">
      <c r="A1757" s="9" t="s">
        <v>51</v>
      </c>
      <c r="C1757" t="str">
        <f t="shared" si="54"/>
        <v>"https://www.zeldadungeon.net/maps/totk/tiles/sky/6/38_37.jpg",</v>
      </c>
      <c r="H1757" t="str">
        <f t="shared" si="55"/>
        <v>38_37</v>
      </c>
    </row>
    <row r="1758" spans="1:8" x14ac:dyDescent="0.2">
      <c r="A1758" s="9" t="s">
        <v>51</v>
      </c>
      <c r="C1758" t="str">
        <f t="shared" si="54"/>
        <v>"https://www.zeldadungeon.net/maps/totk/tiles/sky/6/38_38.jpg",</v>
      </c>
      <c r="H1758" t="str">
        <f t="shared" si="55"/>
        <v>38_38</v>
      </c>
    </row>
    <row r="1759" spans="1:8" x14ac:dyDescent="0.2">
      <c r="A1759" s="9" t="s">
        <v>51</v>
      </c>
      <c r="C1759" t="str">
        <f t="shared" si="54"/>
        <v>"https://www.zeldadungeon.net/maps/totk/tiles/sky/6/38_39.jpg",</v>
      </c>
      <c r="H1759" t="str">
        <f t="shared" si="55"/>
        <v>38_39</v>
      </c>
    </row>
    <row r="1760" spans="1:8" x14ac:dyDescent="0.2">
      <c r="A1760" s="9" t="s">
        <v>51</v>
      </c>
      <c r="C1760" t="str">
        <f t="shared" si="54"/>
        <v>"https://www.zeldadungeon.net/maps/totk/tiles/sky/6/38_40.jpg",</v>
      </c>
      <c r="H1760" t="str">
        <f t="shared" si="55"/>
        <v>38_40</v>
      </c>
    </row>
    <row r="1761" spans="1:8" x14ac:dyDescent="0.2">
      <c r="A1761" s="9" t="s">
        <v>51</v>
      </c>
      <c r="C1761" t="str">
        <f t="shared" si="54"/>
        <v>"https://www.zeldadungeon.net/maps/totk/tiles/sky/6/38_41.jpg",</v>
      </c>
      <c r="H1761" t="str">
        <f t="shared" si="55"/>
        <v>38_41</v>
      </c>
    </row>
    <row r="1762" spans="1:8" x14ac:dyDescent="0.2">
      <c r="A1762" s="9" t="s">
        <v>51</v>
      </c>
      <c r="C1762" t="str">
        <f t="shared" si="54"/>
        <v>"https://www.zeldadungeon.net/maps/totk/tiles/sky/6/38_42.jpg",</v>
      </c>
      <c r="H1762" t="str">
        <f t="shared" si="55"/>
        <v>38_42</v>
      </c>
    </row>
    <row r="1763" spans="1:8" x14ac:dyDescent="0.2">
      <c r="A1763" s="9" t="s">
        <v>51</v>
      </c>
      <c r="C1763" t="str">
        <f t="shared" si="54"/>
        <v>"https://www.zeldadungeon.net/maps/totk/tiles/sky/6/38_43.jpg",</v>
      </c>
      <c r="H1763" t="str">
        <f t="shared" si="55"/>
        <v>38_43</v>
      </c>
    </row>
    <row r="1764" spans="1:8" x14ac:dyDescent="0.2">
      <c r="A1764" s="9" t="s">
        <v>51</v>
      </c>
      <c r="C1764" t="str">
        <f t="shared" si="54"/>
        <v>"https://www.zeldadungeon.net/maps/totk/tiles/sky/6/38_44.jpg",</v>
      </c>
      <c r="H1764" t="str">
        <f t="shared" si="55"/>
        <v>38_44</v>
      </c>
    </row>
    <row r="1765" spans="1:8" x14ac:dyDescent="0.2">
      <c r="A1765" s="9" t="s">
        <v>51</v>
      </c>
      <c r="C1765" t="str">
        <f t="shared" si="54"/>
        <v>"https://www.zeldadungeon.net/maps/totk/tiles/sky/6/38_45.jpg",</v>
      </c>
      <c r="H1765" t="str">
        <f t="shared" si="55"/>
        <v>38_45</v>
      </c>
    </row>
    <row r="1766" spans="1:8" x14ac:dyDescent="0.2">
      <c r="A1766" s="9" t="s">
        <v>51</v>
      </c>
      <c r="C1766" t="str">
        <f t="shared" si="54"/>
        <v>"https://www.zeldadungeon.net/maps/totk/tiles/sky/6/38_46.jpg",</v>
      </c>
      <c r="H1766" t="str">
        <f t="shared" si="55"/>
        <v>38_46</v>
      </c>
    </row>
    <row r="1767" spans="1:8" x14ac:dyDescent="0.2">
      <c r="A1767" s="9" t="s">
        <v>51</v>
      </c>
      <c r="C1767" t="str">
        <f t="shared" si="54"/>
        <v>"https://www.zeldadungeon.net/maps/totk/tiles/sky/6/38_47.jpg",</v>
      </c>
      <c r="H1767" t="str">
        <f t="shared" si="55"/>
        <v>38_47</v>
      </c>
    </row>
    <row r="1768" spans="1:8" x14ac:dyDescent="0.2">
      <c r="A1768" s="9" t="s">
        <v>51</v>
      </c>
      <c r="C1768" t="str">
        <f t="shared" si="54"/>
        <v>"https://www.zeldadungeon.net/maps/totk/tiles/sky/6/38_48.jpg",</v>
      </c>
      <c r="H1768" t="str">
        <f t="shared" si="55"/>
        <v>38_48</v>
      </c>
    </row>
    <row r="1769" spans="1:8" x14ac:dyDescent="0.2">
      <c r="A1769" s="9" t="s">
        <v>51</v>
      </c>
      <c r="C1769" t="str">
        <f t="shared" si="54"/>
        <v>"https://www.zeldadungeon.net/maps/totk/tiles/sky/6/38_49.jpg",</v>
      </c>
      <c r="H1769" t="str">
        <f t="shared" si="55"/>
        <v>38_49</v>
      </c>
    </row>
    <row r="1770" spans="1:8" x14ac:dyDescent="0.2">
      <c r="A1770" s="9" t="s">
        <v>51</v>
      </c>
      <c r="C1770" t="str">
        <f t="shared" si="54"/>
        <v>"https://www.zeldadungeon.net/maps/totk/tiles/sky/6/38_50.jpg",</v>
      </c>
      <c r="H1770" t="str">
        <f t="shared" si="55"/>
        <v>38_50</v>
      </c>
    </row>
    <row r="1771" spans="1:8" x14ac:dyDescent="0.2">
      <c r="A1771" s="9" t="s">
        <v>51</v>
      </c>
      <c r="C1771" t="str">
        <f t="shared" si="54"/>
        <v>"https://www.zeldadungeon.net/maps/totk/tiles/sky/6/38_51.jpg",</v>
      </c>
      <c r="H1771" t="str">
        <f t="shared" si="55"/>
        <v>38_51</v>
      </c>
    </row>
    <row r="1772" spans="1:8" x14ac:dyDescent="0.2">
      <c r="A1772" s="9" t="s">
        <v>51</v>
      </c>
      <c r="C1772" t="str">
        <f t="shared" si="54"/>
        <v>"https://www.zeldadungeon.net/maps/totk/tiles/sky/6/38_52.jpg",</v>
      </c>
      <c r="H1772" t="str">
        <f t="shared" si="55"/>
        <v>38_52</v>
      </c>
    </row>
    <row r="1773" spans="1:8" x14ac:dyDescent="0.2">
      <c r="A1773" s="9" t="s">
        <v>51</v>
      </c>
      <c r="C1773" t="str">
        <f t="shared" si="54"/>
        <v>"https://www.zeldadungeon.net/maps/totk/tiles/sky/6/38_53.jpg",</v>
      </c>
      <c r="H1773" t="str">
        <f t="shared" si="55"/>
        <v>38_53</v>
      </c>
    </row>
    <row r="1774" spans="1:8" x14ac:dyDescent="0.2">
      <c r="A1774" s="9" t="s">
        <v>51</v>
      </c>
      <c r="C1774" t="str">
        <f t="shared" si="54"/>
        <v>"https://www.zeldadungeon.net/maps/totk/tiles/sky/6/38_54.jpg",</v>
      </c>
      <c r="H1774" t="str">
        <f t="shared" si="55"/>
        <v>38_54</v>
      </c>
    </row>
    <row r="1775" spans="1:8" x14ac:dyDescent="0.2">
      <c r="A1775" s="9" t="s">
        <v>51</v>
      </c>
      <c r="C1775" t="str">
        <f t="shared" si="54"/>
        <v>"https://www.zeldadungeon.net/maps/totk/tiles/sky/6/38_55.jpg",</v>
      </c>
      <c r="H1775" t="str">
        <f t="shared" si="55"/>
        <v>38_55</v>
      </c>
    </row>
    <row r="1776" spans="1:8" x14ac:dyDescent="0.2">
      <c r="A1776" s="9" t="s">
        <v>51</v>
      </c>
      <c r="C1776" t="str">
        <f t="shared" si="54"/>
        <v>"https://www.zeldadungeon.net/maps/totk/tiles/sky/6/39_8.jpg",</v>
      </c>
      <c r="H1776" t="str">
        <f t="shared" si="55"/>
        <v>39_8</v>
      </c>
    </row>
    <row r="1777" spans="1:8" x14ac:dyDescent="0.2">
      <c r="A1777" s="9" t="s">
        <v>51</v>
      </c>
      <c r="C1777" t="str">
        <f t="shared" si="54"/>
        <v>"https://www.zeldadungeon.net/maps/totk/tiles/sky/6/39_9.jpg",</v>
      </c>
      <c r="H1777" t="str">
        <f t="shared" si="55"/>
        <v>39_9</v>
      </c>
    </row>
    <row r="1778" spans="1:8" x14ac:dyDescent="0.2">
      <c r="A1778" s="9" t="s">
        <v>51</v>
      </c>
      <c r="C1778" t="str">
        <f t="shared" si="54"/>
        <v>"https://www.zeldadungeon.net/maps/totk/tiles/sky/6/39_10.jpg",</v>
      </c>
      <c r="H1778" t="str">
        <f t="shared" si="55"/>
        <v>39_10</v>
      </c>
    </row>
    <row r="1779" spans="1:8" x14ac:dyDescent="0.2">
      <c r="A1779" s="9" t="s">
        <v>51</v>
      </c>
      <c r="C1779" t="str">
        <f t="shared" si="54"/>
        <v>"https://www.zeldadungeon.net/maps/totk/tiles/sky/6/39_11.jpg",</v>
      </c>
      <c r="H1779" t="str">
        <f t="shared" si="55"/>
        <v>39_11</v>
      </c>
    </row>
    <row r="1780" spans="1:8" x14ac:dyDescent="0.2">
      <c r="A1780" s="9" t="s">
        <v>51</v>
      </c>
      <c r="C1780" t="str">
        <f t="shared" si="54"/>
        <v>"https://www.zeldadungeon.net/maps/totk/tiles/sky/6/39_12.jpg",</v>
      </c>
      <c r="H1780" t="str">
        <f t="shared" si="55"/>
        <v>39_12</v>
      </c>
    </row>
    <row r="1781" spans="1:8" x14ac:dyDescent="0.2">
      <c r="A1781" s="9" t="s">
        <v>51</v>
      </c>
      <c r="C1781" t="str">
        <f t="shared" si="54"/>
        <v>"https://www.zeldadungeon.net/maps/totk/tiles/sky/6/39_13.jpg",</v>
      </c>
      <c r="H1781" t="str">
        <f t="shared" si="55"/>
        <v>39_13</v>
      </c>
    </row>
    <row r="1782" spans="1:8" x14ac:dyDescent="0.2">
      <c r="A1782" s="9" t="s">
        <v>51</v>
      </c>
      <c r="C1782" t="str">
        <f t="shared" si="54"/>
        <v>"https://www.zeldadungeon.net/maps/totk/tiles/sky/6/39_14.jpg",</v>
      </c>
      <c r="H1782" t="str">
        <f t="shared" si="55"/>
        <v>39_14</v>
      </c>
    </row>
    <row r="1783" spans="1:8" x14ac:dyDescent="0.2">
      <c r="A1783" s="9" t="s">
        <v>51</v>
      </c>
      <c r="C1783" t="str">
        <f t="shared" si="54"/>
        <v>"https://www.zeldadungeon.net/maps/totk/tiles/sky/6/39_15.jpg",</v>
      </c>
      <c r="H1783" t="str">
        <f t="shared" si="55"/>
        <v>39_15</v>
      </c>
    </row>
    <row r="1784" spans="1:8" x14ac:dyDescent="0.2">
      <c r="A1784" s="9" t="s">
        <v>51</v>
      </c>
      <c r="C1784" t="str">
        <f t="shared" si="54"/>
        <v>"https://www.zeldadungeon.net/maps/totk/tiles/sky/6/39_16.jpg",</v>
      </c>
      <c r="H1784" t="str">
        <f t="shared" si="55"/>
        <v>39_16</v>
      </c>
    </row>
    <row r="1785" spans="1:8" x14ac:dyDescent="0.2">
      <c r="A1785" s="9" t="s">
        <v>51</v>
      </c>
      <c r="C1785" t="str">
        <f t="shared" si="54"/>
        <v>"https://www.zeldadungeon.net/maps/totk/tiles/sky/6/39_17.jpg",</v>
      </c>
      <c r="H1785" t="str">
        <f t="shared" si="55"/>
        <v>39_17</v>
      </c>
    </row>
    <row r="1786" spans="1:8" x14ac:dyDescent="0.2">
      <c r="A1786" s="9" t="s">
        <v>51</v>
      </c>
      <c r="C1786" t="str">
        <f t="shared" si="54"/>
        <v>"https://www.zeldadungeon.net/maps/totk/tiles/sky/6/39_18.jpg",</v>
      </c>
      <c r="H1786" t="str">
        <f t="shared" si="55"/>
        <v>39_18</v>
      </c>
    </row>
    <row r="1787" spans="1:8" x14ac:dyDescent="0.2">
      <c r="A1787" s="9" t="s">
        <v>51</v>
      </c>
      <c r="C1787" t="str">
        <f t="shared" si="54"/>
        <v>"https://www.zeldadungeon.net/maps/totk/tiles/sky/6/39_19.jpg",</v>
      </c>
      <c r="H1787" t="str">
        <f t="shared" si="55"/>
        <v>39_19</v>
      </c>
    </row>
    <row r="1788" spans="1:8" x14ac:dyDescent="0.2">
      <c r="A1788" s="9" t="s">
        <v>51</v>
      </c>
      <c r="C1788" t="str">
        <f t="shared" si="54"/>
        <v>"https://www.zeldadungeon.net/maps/totk/tiles/sky/6/39_20.jpg",</v>
      </c>
      <c r="H1788" t="str">
        <f t="shared" si="55"/>
        <v>39_20</v>
      </c>
    </row>
    <row r="1789" spans="1:8" x14ac:dyDescent="0.2">
      <c r="A1789" s="9" t="s">
        <v>51</v>
      </c>
      <c r="C1789" t="str">
        <f t="shared" si="54"/>
        <v>"https://www.zeldadungeon.net/maps/totk/tiles/sky/6/39_21.jpg",</v>
      </c>
      <c r="H1789" t="str">
        <f t="shared" si="55"/>
        <v>39_21</v>
      </c>
    </row>
    <row r="1790" spans="1:8" x14ac:dyDescent="0.2">
      <c r="A1790" s="9" t="s">
        <v>51</v>
      </c>
      <c r="C1790" t="str">
        <f t="shared" si="54"/>
        <v>"https://www.zeldadungeon.net/maps/totk/tiles/sky/6/39_22.jpg",</v>
      </c>
      <c r="H1790" t="str">
        <f t="shared" si="55"/>
        <v>39_22</v>
      </c>
    </row>
    <row r="1791" spans="1:8" x14ac:dyDescent="0.2">
      <c r="A1791" s="9" t="s">
        <v>51</v>
      </c>
      <c r="C1791" t="str">
        <f t="shared" si="54"/>
        <v>"https://www.zeldadungeon.net/maps/totk/tiles/sky/6/39_23.jpg",</v>
      </c>
      <c r="H1791" t="str">
        <f t="shared" si="55"/>
        <v>39_23</v>
      </c>
    </row>
    <row r="1792" spans="1:8" x14ac:dyDescent="0.2">
      <c r="A1792" s="9" t="s">
        <v>51</v>
      </c>
      <c r="C1792" t="str">
        <f t="shared" si="54"/>
        <v>"https://www.zeldadungeon.net/maps/totk/tiles/sky/6/39_24.jpg",</v>
      </c>
      <c r="H1792" t="str">
        <f t="shared" si="55"/>
        <v>39_24</v>
      </c>
    </row>
    <row r="1793" spans="1:8" x14ac:dyDescent="0.2">
      <c r="A1793" s="9" t="s">
        <v>51</v>
      </c>
      <c r="C1793" t="str">
        <f t="shared" ref="C1793:C1856" si="56">""""&amp;SUBSTITUTE(A1793,"zzz",H1793)&amp;""""&amp;","</f>
        <v>"https://www.zeldadungeon.net/maps/totk/tiles/sky/6/39_25.jpg",</v>
      </c>
      <c r="H1793" t="str">
        <f t="shared" ref="H1793:H1856" si="57">QUOTIENT(ROW(A1793),48)+2&amp;"_"&amp;MOD(ROW(A1793),48)+8</f>
        <v>39_25</v>
      </c>
    </row>
    <row r="1794" spans="1:8" x14ac:dyDescent="0.2">
      <c r="A1794" s="9" t="s">
        <v>51</v>
      </c>
      <c r="C1794" t="str">
        <f t="shared" si="56"/>
        <v>"https://www.zeldadungeon.net/maps/totk/tiles/sky/6/39_26.jpg",</v>
      </c>
      <c r="H1794" t="str">
        <f t="shared" si="57"/>
        <v>39_26</v>
      </c>
    </row>
    <row r="1795" spans="1:8" x14ac:dyDescent="0.2">
      <c r="A1795" s="9" t="s">
        <v>51</v>
      </c>
      <c r="C1795" t="str">
        <f t="shared" si="56"/>
        <v>"https://www.zeldadungeon.net/maps/totk/tiles/sky/6/39_27.jpg",</v>
      </c>
      <c r="H1795" t="str">
        <f t="shared" si="57"/>
        <v>39_27</v>
      </c>
    </row>
    <row r="1796" spans="1:8" x14ac:dyDescent="0.2">
      <c r="A1796" s="9" t="s">
        <v>51</v>
      </c>
      <c r="C1796" t="str">
        <f t="shared" si="56"/>
        <v>"https://www.zeldadungeon.net/maps/totk/tiles/sky/6/39_28.jpg",</v>
      </c>
      <c r="H1796" t="str">
        <f t="shared" si="57"/>
        <v>39_28</v>
      </c>
    </row>
    <row r="1797" spans="1:8" x14ac:dyDescent="0.2">
      <c r="A1797" s="9" t="s">
        <v>51</v>
      </c>
      <c r="C1797" t="str">
        <f t="shared" si="56"/>
        <v>"https://www.zeldadungeon.net/maps/totk/tiles/sky/6/39_29.jpg",</v>
      </c>
      <c r="H1797" t="str">
        <f t="shared" si="57"/>
        <v>39_29</v>
      </c>
    </row>
    <row r="1798" spans="1:8" x14ac:dyDescent="0.2">
      <c r="A1798" s="9" t="s">
        <v>51</v>
      </c>
      <c r="C1798" t="str">
        <f t="shared" si="56"/>
        <v>"https://www.zeldadungeon.net/maps/totk/tiles/sky/6/39_30.jpg",</v>
      </c>
      <c r="H1798" t="str">
        <f t="shared" si="57"/>
        <v>39_30</v>
      </c>
    </row>
    <row r="1799" spans="1:8" x14ac:dyDescent="0.2">
      <c r="A1799" s="9" t="s">
        <v>51</v>
      </c>
      <c r="C1799" t="str">
        <f t="shared" si="56"/>
        <v>"https://www.zeldadungeon.net/maps/totk/tiles/sky/6/39_31.jpg",</v>
      </c>
      <c r="H1799" t="str">
        <f t="shared" si="57"/>
        <v>39_31</v>
      </c>
    </row>
    <row r="1800" spans="1:8" x14ac:dyDescent="0.2">
      <c r="A1800" s="9" t="s">
        <v>51</v>
      </c>
      <c r="C1800" t="str">
        <f t="shared" si="56"/>
        <v>"https://www.zeldadungeon.net/maps/totk/tiles/sky/6/39_32.jpg",</v>
      </c>
      <c r="H1800" t="str">
        <f t="shared" si="57"/>
        <v>39_32</v>
      </c>
    </row>
    <row r="1801" spans="1:8" x14ac:dyDescent="0.2">
      <c r="A1801" s="9" t="s">
        <v>51</v>
      </c>
      <c r="C1801" t="str">
        <f t="shared" si="56"/>
        <v>"https://www.zeldadungeon.net/maps/totk/tiles/sky/6/39_33.jpg",</v>
      </c>
      <c r="H1801" t="str">
        <f t="shared" si="57"/>
        <v>39_33</v>
      </c>
    </row>
    <row r="1802" spans="1:8" x14ac:dyDescent="0.2">
      <c r="A1802" s="9" t="s">
        <v>51</v>
      </c>
      <c r="C1802" t="str">
        <f t="shared" si="56"/>
        <v>"https://www.zeldadungeon.net/maps/totk/tiles/sky/6/39_34.jpg",</v>
      </c>
      <c r="H1802" t="str">
        <f t="shared" si="57"/>
        <v>39_34</v>
      </c>
    </row>
    <row r="1803" spans="1:8" x14ac:dyDescent="0.2">
      <c r="A1803" s="9" t="s">
        <v>51</v>
      </c>
      <c r="C1803" t="str">
        <f t="shared" si="56"/>
        <v>"https://www.zeldadungeon.net/maps/totk/tiles/sky/6/39_35.jpg",</v>
      </c>
      <c r="H1803" t="str">
        <f t="shared" si="57"/>
        <v>39_35</v>
      </c>
    </row>
    <row r="1804" spans="1:8" x14ac:dyDescent="0.2">
      <c r="A1804" s="9" t="s">
        <v>51</v>
      </c>
      <c r="C1804" t="str">
        <f t="shared" si="56"/>
        <v>"https://www.zeldadungeon.net/maps/totk/tiles/sky/6/39_36.jpg",</v>
      </c>
      <c r="H1804" t="str">
        <f t="shared" si="57"/>
        <v>39_36</v>
      </c>
    </row>
    <row r="1805" spans="1:8" x14ac:dyDescent="0.2">
      <c r="A1805" s="9" t="s">
        <v>51</v>
      </c>
      <c r="C1805" t="str">
        <f t="shared" si="56"/>
        <v>"https://www.zeldadungeon.net/maps/totk/tiles/sky/6/39_37.jpg",</v>
      </c>
      <c r="H1805" t="str">
        <f t="shared" si="57"/>
        <v>39_37</v>
      </c>
    </row>
    <row r="1806" spans="1:8" x14ac:dyDescent="0.2">
      <c r="A1806" s="9" t="s">
        <v>51</v>
      </c>
      <c r="C1806" t="str">
        <f t="shared" si="56"/>
        <v>"https://www.zeldadungeon.net/maps/totk/tiles/sky/6/39_38.jpg",</v>
      </c>
      <c r="H1806" t="str">
        <f t="shared" si="57"/>
        <v>39_38</v>
      </c>
    </row>
    <row r="1807" spans="1:8" x14ac:dyDescent="0.2">
      <c r="A1807" s="9" t="s">
        <v>51</v>
      </c>
      <c r="C1807" t="str">
        <f t="shared" si="56"/>
        <v>"https://www.zeldadungeon.net/maps/totk/tiles/sky/6/39_39.jpg",</v>
      </c>
      <c r="H1807" t="str">
        <f t="shared" si="57"/>
        <v>39_39</v>
      </c>
    </row>
    <row r="1808" spans="1:8" x14ac:dyDescent="0.2">
      <c r="A1808" s="9" t="s">
        <v>51</v>
      </c>
      <c r="C1808" t="str">
        <f t="shared" si="56"/>
        <v>"https://www.zeldadungeon.net/maps/totk/tiles/sky/6/39_40.jpg",</v>
      </c>
      <c r="H1808" t="str">
        <f t="shared" si="57"/>
        <v>39_40</v>
      </c>
    </row>
    <row r="1809" spans="1:8" x14ac:dyDescent="0.2">
      <c r="A1809" s="9" t="s">
        <v>51</v>
      </c>
      <c r="C1809" t="str">
        <f t="shared" si="56"/>
        <v>"https://www.zeldadungeon.net/maps/totk/tiles/sky/6/39_41.jpg",</v>
      </c>
      <c r="H1809" t="str">
        <f t="shared" si="57"/>
        <v>39_41</v>
      </c>
    </row>
    <row r="1810" spans="1:8" x14ac:dyDescent="0.2">
      <c r="A1810" s="9" t="s">
        <v>51</v>
      </c>
      <c r="C1810" t="str">
        <f t="shared" si="56"/>
        <v>"https://www.zeldadungeon.net/maps/totk/tiles/sky/6/39_42.jpg",</v>
      </c>
      <c r="H1810" t="str">
        <f t="shared" si="57"/>
        <v>39_42</v>
      </c>
    </row>
    <row r="1811" spans="1:8" x14ac:dyDescent="0.2">
      <c r="A1811" s="9" t="s">
        <v>51</v>
      </c>
      <c r="C1811" t="str">
        <f t="shared" si="56"/>
        <v>"https://www.zeldadungeon.net/maps/totk/tiles/sky/6/39_43.jpg",</v>
      </c>
      <c r="H1811" t="str">
        <f t="shared" si="57"/>
        <v>39_43</v>
      </c>
    </row>
    <row r="1812" spans="1:8" x14ac:dyDescent="0.2">
      <c r="A1812" s="9" t="s">
        <v>51</v>
      </c>
      <c r="C1812" t="str">
        <f t="shared" si="56"/>
        <v>"https://www.zeldadungeon.net/maps/totk/tiles/sky/6/39_44.jpg",</v>
      </c>
      <c r="H1812" t="str">
        <f t="shared" si="57"/>
        <v>39_44</v>
      </c>
    </row>
    <row r="1813" spans="1:8" x14ac:dyDescent="0.2">
      <c r="A1813" s="9" t="s">
        <v>51</v>
      </c>
      <c r="C1813" t="str">
        <f t="shared" si="56"/>
        <v>"https://www.zeldadungeon.net/maps/totk/tiles/sky/6/39_45.jpg",</v>
      </c>
      <c r="H1813" t="str">
        <f t="shared" si="57"/>
        <v>39_45</v>
      </c>
    </row>
    <row r="1814" spans="1:8" x14ac:dyDescent="0.2">
      <c r="A1814" s="9" t="s">
        <v>51</v>
      </c>
      <c r="C1814" t="str">
        <f t="shared" si="56"/>
        <v>"https://www.zeldadungeon.net/maps/totk/tiles/sky/6/39_46.jpg",</v>
      </c>
      <c r="H1814" t="str">
        <f t="shared" si="57"/>
        <v>39_46</v>
      </c>
    </row>
    <row r="1815" spans="1:8" x14ac:dyDescent="0.2">
      <c r="A1815" s="9" t="s">
        <v>51</v>
      </c>
      <c r="C1815" t="str">
        <f t="shared" si="56"/>
        <v>"https://www.zeldadungeon.net/maps/totk/tiles/sky/6/39_47.jpg",</v>
      </c>
      <c r="H1815" t="str">
        <f t="shared" si="57"/>
        <v>39_47</v>
      </c>
    </row>
    <row r="1816" spans="1:8" x14ac:dyDescent="0.2">
      <c r="A1816" s="9" t="s">
        <v>51</v>
      </c>
      <c r="C1816" t="str">
        <f t="shared" si="56"/>
        <v>"https://www.zeldadungeon.net/maps/totk/tiles/sky/6/39_48.jpg",</v>
      </c>
      <c r="H1816" t="str">
        <f t="shared" si="57"/>
        <v>39_48</v>
      </c>
    </row>
    <row r="1817" spans="1:8" x14ac:dyDescent="0.2">
      <c r="A1817" s="9" t="s">
        <v>51</v>
      </c>
      <c r="C1817" t="str">
        <f t="shared" si="56"/>
        <v>"https://www.zeldadungeon.net/maps/totk/tiles/sky/6/39_49.jpg",</v>
      </c>
      <c r="H1817" t="str">
        <f t="shared" si="57"/>
        <v>39_49</v>
      </c>
    </row>
    <row r="1818" spans="1:8" x14ac:dyDescent="0.2">
      <c r="A1818" s="9" t="s">
        <v>51</v>
      </c>
      <c r="C1818" t="str">
        <f t="shared" si="56"/>
        <v>"https://www.zeldadungeon.net/maps/totk/tiles/sky/6/39_50.jpg",</v>
      </c>
      <c r="H1818" t="str">
        <f t="shared" si="57"/>
        <v>39_50</v>
      </c>
    </row>
    <row r="1819" spans="1:8" x14ac:dyDescent="0.2">
      <c r="A1819" s="9" t="s">
        <v>51</v>
      </c>
      <c r="C1819" t="str">
        <f t="shared" si="56"/>
        <v>"https://www.zeldadungeon.net/maps/totk/tiles/sky/6/39_51.jpg",</v>
      </c>
      <c r="H1819" t="str">
        <f t="shared" si="57"/>
        <v>39_51</v>
      </c>
    </row>
    <row r="1820" spans="1:8" x14ac:dyDescent="0.2">
      <c r="A1820" s="9" t="s">
        <v>51</v>
      </c>
      <c r="C1820" t="str">
        <f t="shared" si="56"/>
        <v>"https://www.zeldadungeon.net/maps/totk/tiles/sky/6/39_52.jpg",</v>
      </c>
      <c r="H1820" t="str">
        <f t="shared" si="57"/>
        <v>39_52</v>
      </c>
    </row>
    <row r="1821" spans="1:8" x14ac:dyDescent="0.2">
      <c r="A1821" s="9" t="s">
        <v>51</v>
      </c>
      <c r="C1821" t="str">
        <f t="shared" si="56"/>
        <v>"https://www.zeldadungeon.net/maps/totk/tiles/sky/6/39_53.jpg",</v>
      </c>
      <c r="H1821" t="str">
        <f t="shared" si="57"/>
        <v>39_53</v>
      </c>
    </row>
    <row r="1822" spans="1:8" x14ac:dyDescent="0.2">
      <c r="A1822" s="9" t="s">
        <v>51</v>
      </c>
      <c r="C1822" t="str">
        <f t="shared" si="56"/>
        <v>"https://www.zeldadungeon.net/maps/totk/tiles/sky/6/39_54.jpg",</v>
      </c>
      <c r="H1822" t="str">
        <f t="shared" si="57"/>
        <v>39_54</v>
      </c>
    </row>
    <row r="1823" spans="1:8" x14ac:dyDescent="0.2">
      <c r="A1823" s="9" t="s">
        <v>51</v>
      </c>
      <c r="C1823" t="str">
        <f t="shared" si="56"/>
        <v>"https://www.zeldadungeon.net/maps/totk/tiles/sky/6/39_55.jpg",</v>
      </c>
      <c r="H1823" t="str">
        <f t="shared" si="57"/>
        <v>39_55</v>
      </c>
    </row>
    <row r="1824" spans="1:8" x14ac:dyDescent="0.2">
      <c r="A1824" s="9" t="s">
        <v>51</v>
      </c>
      <c r="C1824" t="str">
        <f t="shared" si="56"/>
        <v>"https://www.zeldadungeon.net/maps/totk/tiles/sky/6/40_8.jpg",</v>
      </c>
      <c r="H1824" t="str">
        <f t="shared" si="57"/>
        <v>40_8</v>
      </c>
    </row>
    <row r="1825" spans="1:8" x14ac:dyDescent="0.2">
      <c r="A1825" s="9" t="s">
        <v>51</v>
      </c>
      <c r="C1825" t="str">
        <f t="shared" si="56"/>
        <v>"https://www.zeldadungeon.net/maps/totk/tiles/sky/6/40_9.jpg",</v>
      </c>
      <c r="H1825" t="str">
        <f t="shared" si="57"/>
        <v>40_9</v>
      </c>
    </row>
    <row r="1826" spans="1:8" x14ac:dyDescent="0.2">
      <c r="A1826" s="9" t="s">
        <v>51</v>
      </c>
      <c r="C1826" t="str">
        <f t="shared" si="56"/>
        <v>"https://www.zeldadungeon.net/maps/totk/tiles/sky/6/40_10.jpg",</v>
      </c>
      <c r="H1826" t="str">
        <f t="shared" si="57"/>
        <v>40_10</v>
      </c>
    </row>
    <row r="1827" spans="1:8" x14ac:dyDescent="0.2">
      <c r="A1827" s="9" t="s">
        <v>51</v>
      </c>
      <c r="C1827" t="str">
        <f t="shared" si="56"/>
        <v>"https://www.zeldadungeon.net/maps/totk/tiles/sky/6/40_11.jpg",</v>
      </c>
      <c r="H1827" t="str">
        <f t="shared" si="57"/>
        <v>40_11</v>
      </c>
    </row>
    <row r="1828" spans="1:8" x14ac:dyDescent="0.2">
      <c r="A1828" s="9" t="s">
        <v>51</v>
      </c>
      <c r="C1828" t="str">
        <f t="shared" si="56"/>
        <v>"https://www.zeldadungeon.net/maps/totk/tiles/sky/6/40_12.jpg",</v>
      </c>
      <c r="H1828" t="str">
        <f t="shared" si="57"/>
        <v>40_12</v>
      </c>
    </row>
    <row r="1829" spans="1:8" x14ac:dyDescent="0.2">
      <c r="A1829" s="9" t="s">
        <v>51</v>
      </c>
      <c r="C1829" t="str">
        <f t="shared" si="56"/>
        <v>"https://www.zeldadungeon.net/maps/totk/tiles/sky/6/40_13.jpg",</v>
      </c>
      <c r="H1829" t="str">
        <f t="shared" si="57"/>
        <v>40_13</v>
      </c>
    </row>
    <row r="1830" spans="1:8" x14ac:dyDescent="0.2">
      <c r="A1830" s="9" t="s">
        <v>51</v>
      </c>
      <c r="C1830" t="str">
        <f t="shared" si="56"/>
        <v>"https://www.zeldadungeon.net/maps/totk/tiles/sky/6/40_14.jpg",</v>
      </c>
      <c r="H1830" t="str">
        <f t="shared" si="57"/>
        <v>40_14</v>
      </c>
    </row>
    <row r="1831" spans="1:8" x14ac:dyDescent="0.2">
      <c r="A1831" s="9" t="s">
        <v>51</v>
      </c>
      <c r="C1831" t="str">
        <f t="shared" si="56"/>
        <v>"https://www.zeldadungeon.net/maps/totk/tiles/sky/6/40_15.jpg",</v>
      </c>
      <c r="H1831" t="str">
        <f t="shared" si="57"/>
        <v>40_15</v>
      </c>
    </row>
    <row r="1832" spans="1:8" x14ac:dyDescent="0.2">
      <c r="A1832" s="9" t="s">
        <v>51</v>
      </c>
      <c r="C1832" t="str">
        <f t="shared" si="56"/>
        <v>"https://www.zeldadungeon.net/maps/totk/tiles/sky/6/40_16.jpg",</v>
      </c>
      <c r="H1832" t="str">
        <f t="shared" si="57"/>
        <v>40_16</v>
      </c>
    </row>
    <row r="1833" spans="1:8" x14ac:dyDescent="0.2">
      <c r="A1833" s="9" t="s">
        <v>51</v>
      </c>
      <c r="C1833" t="str">
        <f t="shared" si="56"/>
        <v>"https://www.zeldadungeon.net/maps/totk/tiles/sky/6/40_17.jpg",</v>
      </c>
      <c r="H1833" t="str">
        <f t="shared" si="57"/>
        <v>40_17</v>
      </c>
    </row>
    <row r="1834" spans="1:8" x14ac:dyDescent="0.2">
      <c r="A1834" s="9" t="s">
        <v>51</v>
      </c>
      <c r="C1834" t="str">
        <f t="shared" si="56"/>
        <v>"https://www.zeldadungeon.net/maps/totk/tiles/sky/6/40_18.jpg",</v>
      </c>
      <c r="H1834" t="str">
        <f t="shared" si="57"/>
        <v>40_18</v>
      </c>
    </row>
    <row r="1835" spans="1:8" x14ac:dyDescent="0.2">
      <c r="A1835" s="9" t="s">
        <v>51</v>
      </c>
      <c r="C1835" t="str">
        <f t="shared" si="56"/>
        <v>"https://www.zeldadungeon.net/maps/totk/tiles/sky/6/40_19.jpg",</v>
      </c>
      <c r="H1835" t="str">
        <f t="shared" si="57"/>
        <v>40_19</v>
      </c>
    </row>
    <row r="1836" spans="1:8" x14ac:dyDescent="0.2">
      <c r="A1836" s="9" t="s">
        <v>51</v>
      </c>
      <c r="C1836" t="str">
        <f t="shared" si="56"/>
        <v>"https://www.zeldadungeon.net/maps/totk/tiles/sky/6/40_20.jpg",</v>
      </c>
      <c r="H1836" t="str">
        <f t="shared" si="57"/>
        <v>40_20</v>
      </c>
    </row>
    <row r="1837" spans="1:8" x14ac:dyDescent="0.2">
      <c r="A1837" s="9" t="s">
        <v>51</v>
      </c>
      <c r="C1837" t="str">
        <f t="shared" si="56"/>
        <v>"https://www.zeldadungeon.net/maps/totk/tiles/sky/6/40_21.jpg",</v>
      </c>
      <c r="H1837" t="str">
        <f t="shared" si="57"/>
        <v>40_21</v>
      </c>
    </row>
    <row r="1838" spans="1:8" x14ac:dyDescent="0.2">
      <c r="A1838" s="9" t="s">
        <v>51</v>
      </c>
      <c r="C1838" t="str">
        <f t="shared" si="56"/>
        <v>"https://www.zeldadungeon.net/maps/totk/tiles/sky/6/40_22.jpg",</v>
      </c>
      <c r="H1838" t="str">
        <f t="shared" si="57"/>
        <v>40_22</v>
      </c>
    </row>
    <row r="1839" spans="1:8" x14ac:dyDescent="0.2">
      <c r="A1839" s="9" t="s">
        <v>51</v>
      </c>
      <c r="C1839" t="str">
        <f t="shared" si="56"/>
        <v>"https://www.zeldadungeon.net/maps/totk/tiles/sky/6/40_23.jpg",</v>
      </c>
      <c r="H1839" t="str">
        <f t="shared" si="57"/>
        <v>40_23</v>
      </c>
    </row>
    <row r="1840" spans="1:8" x14ac:dyDescent="0.2">
      <c r="A1840" s="9" t="s">
        <v>51</v>
      </c>
      <c r="C1840" t="str">
        <f t="shared" si="56"/>
        <v>"https://www.zeldadungeon.net/maps/totk/tiles/sky/6/40_24.jpg",</v>
      </c>
      <c r="H1840" t="str">
        <f t="shared" si="57"/>
        <v>40_24</v>
      </c>
    </row>
    <row r="1841" spans="1:8" x14ac:dyDescent="0.2">
      <c r="A1841" s="9" t="s">
        <v>51</v>
      </c>
      <c r="C1841" t="str">
        <f t="shared" si="56"/>
        <v>"https://www.zeldadungeon.net/maps/totk/tiles/sky/6/40_25.jpg",</v>
      </c>
      <c r="H1841" t="str">
        <f t="shared" si="57"/>
        <v>40_25</v>
      </c>
    </row>
    <row r="1842" spans="1:8" x14ac:dyDescent="0.2">
      <c r="A1842" s="9" t="s">
        <v>51</v>
      </c>
      <c r="C1842" t="str">
        <f t="shared" si="56"/>
        <v>"https://www.zeldadungeon.net/maps/totk/tiles/sky/6/40_26.jpg",</v>
      </c>
      <c r="H1842" t="str">
        <f t="shared" si="57"/>
        <v>40_26</v>
      </c>
    </row>
    <row r="1843" spans="1:8" x14ac:dyDescent="0.2">
      <c r="A1843" s="9" t="s">
        <v>51</v>
      </c>
      <c r="C1843" t="str">
        <f t="shared" si="56"/>
        <v>"https://www.zeldadungeon.net/maps/totk/tiles/sky/6/40_27.jpg",</v>
      </c>
      <c r="H1843" t="str">
        <f t="shared" si="57"/>
        <v>40_27</v>
      </c>
    </row>
    <row r="1844" spans="1:8" x14ac:dyDescent="0.2">
      <c r="A1844" s="9" t="s">
        <v>51</v>
      </c>
      <c r="C1844" t="str">
        <f t="shared" si="56"/>
        <v>"https://www.zeldadungeon.net/maps/totk/tiles/sky/6/40_28.jpg",</v>
      </c>
      <c r="H1844" t="str">
        <f t="shared" si="57"/>
        <v>40_28</v>
      </c>
    </row>
    <row r="1845" spans="1:8" x14ac:dyDescent="0.2">
      <c r="A1845" s="9" t="s">
        <v>51</v>
      </c>
      <c r="C1845" t="str">
        <f t="shared" si="56"/>
        <v>"https://www.zeldadungeon.net/maps/totk/tiles/sky/6/40_29.jpg",</v>
      </c>
      <c r="H1845" t="str">
        <f t="shared" si="57"/>
        <v>40_29</v>
      </c>
    </row>
    <row r="1846" spans="1:8" x14ac:dyDescent="0.2">
      <c r="A1846" s="9" t="s">
        <v>51</v>
      </c>
      <c r="C1846" t="str">
        <f t="shared" si="56"/>
        <v>"https://www.zeldadungeon.net/maps/totk/tiles/sky/6/40_30.jpg",</v>
      </c>
      <c r="H1846" t="str">
        <f t="shared" si="57"/>
        <v>40_30</v>
      </c>
    </row>
    <row r="1847" spans="1:8" x14ac:dyDescent="0.2">
      <c r="A1847" s="9" t="s">
        <v>51</v>
      </c>
      <c r="C1847" t="str">
        <f t="shared" si="56"/>
        <v>"https://www.zeldadungeon.net/maps/totk/tiles/sky/6/40_31.jpg",</v>
      </c>
      <c r="H1847" t="str">
        <f t="shared" si="57"/>
        <v>40_31</v>
      </c>
    </row>
    <row r="1848" spans="1:8" x14ac:dyDescent="0.2">
      <c r="A1848" s="9" t="s">
        <v>51</v>
      </c>
      <c r="C1848" t="str">
        <f t="shared" si="56"/>
        <v>"https://www.zeldadungeon.net/maps/totk/tiles/sky/6/40_32.jpg",</v>
      </c>
      <c r="H1848" t="str">
        <f t="shared" si="57"/>
        <v>40_32</v>
      </c>
    </row>
    <row r="1849" spans="1:8" x14ac:dyDescent="0.2">
      <c r="A1849" s="9" t="s">
        <v>51</v>
      </c>
      <c r="C1849" t="str">
        <f t="shared" si="56"/>
        <v>"https://www.zeldadungeon.net/maps/totk/tiles/sky/6/40_33.jpg",</v>
      </c>
      <c r="H1849" t="str">
        <f t="shared" si="57"/>
        <v>40_33</v>
      </c>
    </row>
    <row r="1850" spans="1:8" x14ac:dyDescent="0.2">
      <c r="A1850" s="9" t="s">
        <v>51</v>
      </c>
      <c r="C1850" t="str">
        <f t="shared" si="56"/>
        <v>"https://www.zeldadungeon.net/maps/totk/tiles/sky/6/40_34.jpg",</v>
      </c>
      <c r="H1850" t="str">
        <f t="shared" si="57"/>
        <v>40_34</v>
      </c>
    </row>
    <row r="1851" spans="1:8" x14ac:dyDescent="0.2">
      <c r="A1851" s="9" t="s">
        <v>51</v>
      </c>
      <c r="C1851" t="str">
        <f t="shared" si="56"/>
        <v>"https://www.zeldadungeon.net/maps/totk/tiles/sky/6/40_35.jpg",</v>
      </c>
      <c r="H1851" t="str">
        <f t="shared" si="57"/>
        <v>40_35</v>
      </c>
    </row>
    <row r="1852" spans="1:8" x14ac:dyDescent="0.2">
      <c r="A1852" s="9" t="s">
        <v>51</v>
      </c>
      <c r="C1852" t="str">
        <f t="shared" si="56"/>
        <v>"https://www.zeldadungeon.net/maps/totk/tiles/sky/6/40_36.jpg",</v>
      </c>
      <c r="H1852" t="str">
        <f t="shared" si="57"/>
        <v>40_36</v>
      </c>
    </row>
    <row r="1853" spans="1:8" x14ac:dyDescent="0.2">
      <c r="A1853" s="9" t="s">
        <v>51</v>
      </c>
      <c r="C1853" t="str">
        <f t="shared" si="56"/>
        <v>"https://www.zeldadungeon.net/maps/totk/tiles/sky/6/40_37.jpg",</v>
      </c>
      <c r="H1853" t="str">
        <f t="shared" si="57"/>
        <v>40_37</v>
      </c>
    </row>
    <row r="1854" spans="1:8" x14ac:dyDescent="0.2">
      <c r="A1854" s="9" t="s">
        <v>51</v>
      </c>
      <c r="C1854" t="str">
        <f t="shared" si="56"/>
        <v>"https://www.zeldadungeon.net/maps/totk/tiles/sky/6/40_38.jpg",</v>
      </c>
      <c r="H1854" t="str">
        <f t="shared" si="57"/>
        <v>40_38</v>
      </c>
    </row>
    <row r="1855" spans="1:8" x14ac:dyDescent="0.2">
      <c r="A1855" s="9" t="s">
        <v>51</v>
      </c>
      <c r="C1855" t="str">
        <f t="shared" si="56"/>
        <v>"https://www.zeldadungeon.net/maps/totk/tiles/sky/6/40_39.jpg",</v>
      </c>
      <c r="H1855" t="str">
        <f t="shared" si="57"/>
        <v>40_39</v>
      </c>
    </row>
    <row r="1856" spans="1:8" x14ac:dyDescent="0.2">
      <c r="A1856" s="9" t="s">
        <v>51</v>
      </c>
      <c r="C1856" t="str">
        <f t="shared" si="56"/>
        <v>"https://www.zeldadungeon.net/maps/totk/tiles/sky/6/40_40.jpg",</v>
      </c>
      <c r="H1856" t="str">
        <f t="shared" si="57"/>
        <v>40_40</v>
      </c>
    </row>
    <row r="1857" spans="1:8" x14ac:dyDescent="0.2">
      <c r="A1857" s="9" t="s">
        <v>51</v>
      </c>
      <c r="C1857" t="str">
        <f t="shared" ref="C1857:C1920" si="58">""""&amp;SUBSTITUTE(A1857,"zzz",H1857)&amp;""""&amp;","</f>
        <v>"https://www.zeldadungeon.net/maps/totk/tiles/sky/6/40_41.jpg",</v>
      </c>
      <c r="H1857" t="str">
        <f t="shared" ref="H1857:H1920" si="59">QUOTIENT(ROW(A1857),48)+2&amp;"_"&amp;MOD(ROW(A1857),48)+8</f>
        <v>40_41</v>
      </c>
    </row>
    <row r="1858" spans="1:8" x14ac:dyDescent="0.2">
      <c r="A1858" s="9" t="s">
        <v>51</v>
      </c>
      <c r="C1858" t="str">
        <f t="shared" si="58"/>
        <v>"https://www.zeldadungeon.net/maps/totk/tiles/sky/6/40_42.jpg",</v>
      </c>
      <c r="H1858" t="str">
        <f t="shared" si="59"/>
        <v>40_42</v>
      </c>
    </row>
    <row r="1859" spans="1:8" x14ac:dyDescent="0.2">
      <c r="A1859" s="9" t="s">
        <v>51</v>
      </c>
      <c r="C1859" t="str">
        <f t="shared" si="58"/>
        <v>"https://www.zeldadungeon.net/maps/totk/tiles/sky/6/40_43.jpg",</v>
      </c>
      <c r="H1859" t="str">
        <f t="shared" si="59"/>
        <v>40_43</v>
      </c>
    </row>
    <row r="1860" spans="1:8" x14ac:dyDescent="0.2">
      <c r="A1860" s="9" t="s">
        <v>51</v>
      </c>
      <c r="C1860" t="str">
        <f t="shared" si="58"/>
        <v>"https://www.zeldadungeon.net/maps/totk/tiles/sky/6/40_44.jpg",</v>
      </c>
      <c r="H1860" t="str">
        <f t="shared" si="59"/>
        <v>40_44</v>
      </c>
    </row>
    <row r="1861" spans="1:8" x14ac:dyDescent="0.2">
      <c r="A1861" s="9" t="s">
        <v>51</v>
      </c>
      <c r="C1861" t="str">
        <f t="shared" si="58"/>
        <v>"https://www.zeldadungeon.net/maps/totk/tiles/sky/6/40_45.jpg",</v>
      </c>
      <c r="H1861" t="str">
        <f t="shared" si="59"/>
        <v>40_45</v>
      </c>
    </row>
    <row r="1862" spans="1:8" x14ac:dyDescent="0.2">
      <c r="A1862" s="9" t="s">
        <v>51</v>
      </c>
      <c r="C1862" t="str">
        <f t="shared" si="58"/>
        <v>"https://www.zeldadungeon.net/maps/totk/tiles/sky/6/40_46.jpg",</v>
      </c>
      <c r="H1862" t="str">
        <f t="shared" si="59"/>
        <v>40_46</v>
      </c>
    </row>
    <row r="1863" spans="1:8" x14ac:dyDescent="0.2">
      <c r="A1863" s="9" t="s">
        <v>51</v>
      </c>
      <c r="C1863" t="str">
        <f t="shared" si="58"/>
        <v>"https://www.zeldadungeon.net/maps/totk/tiles/sky/6/40_47.jpg",</v>
      </c>
      <c r="H1863" t="str">
        <f t="shared" si="59"/>
        <v>40_47</v>
      </c>
    </row>
    <row r="1864" spans="1:8" x14ac:dyDescent="0.2">
      <c r="A1864" s="9" t="s">
        <v>51</v>
      </c>
      <c r="C1864" t="str">
        <f t="shared" si="58"/>
        <v>"https://www.zeldadungeon.net/maps/totk/tiles/sky/6/40_48.jpg",</v>
      </c>
      <c r="H1864" t="str">
        <f t="shared" si="59"/>
        <v>40_48</v>
      </c>
    </row>
    <row r="1865" spans="1:8" x14ac:dyDescent="0.2">
      <c r="A1865" s="9" t="s">
        <v>51</v>
      </c>
      <c r="C1865" t="str">
        <f t="shared" si="58"/>
        <v>"https://www.zeldadungeon.net/maps/totk/tiles/sky/6/40_49.jpg",</v>
      </c>
      <c r="H1865" t="str">
        <f t="shared" si="59"/>
        <v>40_49</v>
      </c>
    </row>
    <row r="1866" spans="1:8" x14ac:dyDescent="0.2">
      <c r="A1866" s="9" t="s">
        <v>51</v>
      </c>
      <c r="C1866" t="str">
        <f t="shared" si="58"/>
        <v>"https://www.zeldadungeon.net/maps/totk/tiles/sky/6/40_50.jpg",</v>
      </c>
      <c r="H1866" t="str">
        <f t="shared" si="59"/>
        <v>40_50</v>
      </c>
    </row>
    <row r="1867" spans="1:8" x14ac:dyDescent="0.2">
      <c r="A1867" s="9" t="s">
        <v>51</v>
      </c>
      <c r="C1867" t="str">
        <f t="shared" si="58"/>
        <v>"https://www.zeldadungeon.net/maps/totk/tiles/sky/6/40_51.jpg",</v>
      </c>
      <c r="H1867" t="str">
        <f t="shared" si="59"/>
        <v>40_51</v>
      </c>
    </row>
    <row r="1868" spans="1:8" x14ac:dyDescent="0.2">
      <c r="A1868" s="9" t="s">
        <v>51</v>
      </c>
      <c r="C1868" t="str">
        <f t="shared" si="58"/>
        <v>"https://www.zeldadungeon.net/maps/totk/tiles/sky/6/40_52.jpg",</v>
      </c>
      <c r="H1868" t="str">
        <f t="shared" si="59"/>
        <v>40_52</v>
      </c>
    </row>
    <row r="1869" spans="1:8" x14ac:dyDescent="0.2">
      <c r="A1869" s="9" t="s">
        <v>51</v>
      </c>
      <c r="C1869" t="str">
        <f t="shared" si="58"/>
        <v>"https://www.zeldadungeon.net/maps/totk/tiles/sky/6/40_53.jpg",</v>
      </c>
      <c r="H1869" t="str">
        <f t="shared" si="59"/>
        <v>40_53</v>
      </c>
    </row>
    <row r="1870" spans="1:8" x14ac:dyDescent="0.2">
      <c r="A1870" s="9" t="s">
        <v>51</v>
      </c>
      <c r="C1870" t="str">
        <f t="shared" si="58"/>
        <v>"https://www.zeldadungeon.net/maps/totk/tiles/sky/6/40_54.jpg",</v>
      </c>
      <c r="H1870" t="str">
        <f t="shared" si="59"/>
        <v>40_54</v>
      </c>
    </row>
    <row r="1871" spans="1:8" x14ac:dyDescent="0.2">
      <c r="A1871" s="9" t="s">
        <v>51</v>
      </c>
      <c r="C1871" t="str">
        <f t="shared" si="58"/>
        <v>"https://www.zeldadungeon.net/maps/totk/tiles/sky/6/40_55.jpg",</v>
      </c>
      <c r="H1871" t="str">
        <f t="shared" si="59"/>
        <v>40_55</v>
      </c>
    </row>
    <row r="1872" spans="1:8" x14ac:dyDescent="0.2">
      <c r="A1872" s="9" t="s">
        <v>51</v>
      </c>
      <c r="C1872" t="str">
        <f t="shared" si="58"/>
        <v>"https://www.zeldadungeon.net/maps/totk/tiles/sky/6/41_8.jpg",</v>
      </c>
      <c r="H1872" t="str">
        <f t="shared" si="59"/>
        <v>41_8</v>
      </c>
    </row>
    <row r="1873" spans="1:8" x14ac:dyDescent="0.2">
      <c r="A1873" s="9" t="s">
        <v>51</v>
      </c>
      <c r="C1873" t="str">
        <f t="shared" si="58"/>
        <v>"https://www.zeldadungeon.net/maps/totk/tiles/sky/6/41_9.jpg",</v>
      </c>
      <c r="H1873" t="str">
        <f t="shared" si="59"/>
        <v>41_9</v>
      </c>
    </row>
    <row r="1874" spans="1:8" x14ac:dyDescent="0.2">
      <c r="A1874" s="9" t="s">
        <v>51</v>
      </c>
      <c r="C1874" t="str">
        <f t="shared" si="58"/>
        <v>"https://www.zeldadungeon.net/maps/totk/tiles/sky/6/41_10.jpg",</v>
      </c>
      <c r="H1874" t="str">
        <f t="shared" si="59"/>
        <v>41_10</v>
      </c>
    </row>
    <row r="1875" spans="1:8" x14ac:dyDescent="0.2">
      <c r="A1875" s="9" t="s">
        <v>51</v>
      </c>
      <c r="C1875" t="str">
        <f t="shared" si="58"/>
        <v>"https://www.zeldadungeon.net/maps/totk/tiles/sky/6/41_11.jpg",</v>
      </c>
      <c r="H1875" t="str">
        <f t="shared" si="59"/>
        <v>41_11</v>
      </c>
    </row>
    <row r="1876" spans="1:8" x14ac:dyDescent="0.2">
      <c r="A1876" s="9" t="s">
        <v>51</v>
      </c>
      <c r="C1876" t="str">
        <f t="shared" si="58"/>
        <v>"https://www.zeldadungeon.net/maps/totk/tiles/sky/6/41_12.jpg",</v>
      </c>
      <c r="H1876" t="str">
        <f t="shared" si="59"/>
        <v>41_12</v>
      </c>
    </row>
    <row r="1877" spans="1:8" x14ac:dyDescent="0.2">
      <c r="A1877" s="9" t="s">
        <v>51</v>
      </c>
      <c r="C1877" t="str">
        <f t="shared" si="58"/>
        <v>"https://www.zeldadungeon.net/maps/totk/tiles/sky/6/41_13.jpg",</v>
      </c>
      <c r="H1877" t="str">
        <f t="shared" si="59"/>
        <v>41_13</v>
      </c>
    </row>
    <row r="1878" spans="1:8" x14ac:dyDescent="0.2">
      <c r="A1878" s="9" t="s">
        <v>51</v>
      </c>
      <c r="C1878" t="str">
        <f t="shared" si="58"/>
        <v>"https://www.zeldadungeon.net/maps/totk/tiles/sky/6/41_14.jpg",</v>
      </c>
      <c r="H1878" t="str">
        <f t="shared" si="59"/>
        <v>41_14</v>
      </c>
    </row>
    <row r="1879" spans="1:8" x14ac:dyDescent="0.2">
      <c r="A1879" s="9" t="s">
        <v>51</v>
      </c>
      <c r="C1879" t="str">
        <f t="shared" si="58"/>
        <v>"https://www.zeldadungeon.net/maps/totk/tiles/sky/6/41_15.jpg",</v>
      </c>
      <c r="H1879" t="str">
        <f t="shared" si="59"/>
        <v>41_15</v>
      </c>
    </row>
    <row r="1880" spans="1:8" x14ac:dyDescent="0.2">
      <c r="A1880" s="9" t="s">
        <v>51</v>
      </c>
      <c r="C1880" t="str">
        <f t="shared" si="58"/>
        <v>"https://www.zeldadungeon.net/maps/totk/tiles/sky/6/41_16.jpg",</v>
      </c>
      <c r="H1880" t="str">
        <f t="shared" si="59"/>
        <v>41_16</v>
      </c>
    </row>
    <row r="1881" spans="1:8" x14ac:dyDescent="0.2">
      <c r="A1881" s="9" t="s">
        <v>51</v>
      </c>
      <c r="C1881" t="str">
        <f t="shared" si="58"/>
        <v>"https://www.zeldadungeon.net/maps/totk/tiles/sky/6/41_17.jpg",</v>
      </c>
      <c r="H1881" t="str">
        <f t="shared" si="59"/>
        <v>41_17</v>
      </c>
    </row>
    <row r="1882" spans="1:8" x14ac:dyDescent="0.2">
      <c r="A1882" s="9" t="s">
        <v>51</v>
      </c>
      <c r="C1882" t="str">
        <f t="shared" si="58"/>
        <v>"https://www.zeldadungeon.net/maps/totk/tiles/sky/6/41_18.jpg",</v>
      </c>
      <c r="H1882" t="str">
        <f t="shared" si="59"/>
        <v>41_18</v>
      </c>
    </row>
    <row r="1883" spans="1:8" x14ac:dyDescent="0.2">
      <c r="A1883" s="9" t="s">
        <v>51</v>
      </c>
      <c r="C1883" t="str">
        <f t="shared" si="58"/>
        <v>"https://www.zeldadungeon.net/maps/totk/tiles/sky/6/41_19.jpg",</v>
      </c>
      <c r="H1883" t="str">
        <f t="shared" si="59"/>
        <v>41_19</v>
      </c>
    </row>
    <row r="1884" spans="1:8" x14ac:dyDescent="0.2">
      <c r="A1884" s="9" t="s">
        <v>51</v>
      </c>
      <c r="C1884" t="str">
        <f t="shared" si="58"/>
        <v>"https://www.zeldadungeon.net/maps/totk/tiles/sky/6/41_20.jpg",</v>
      </c>
      <c r="H1884" t="str">
        <f t="shared" si="59"/>
        <v>41_20</v>
      </c>
    </row>
    <row r="1885" spans="1:8" x14ac:dyDescent="0.2">
      <c r="A1885" s="9" t="s">
        <v>51</v>
      </c>
      <c r="C1885" t="str">
        <f t="shared" si="58"/>
        <v>"https://www.zeldadungeon.net/maps/totk/tiles/sky/6/41_21.jpg",</v>
      </c>
      <c r="H1885" t="str">
        <f t="shared" si="59"/>
        <v>41_21</v>
      </c>
    </row>
    <row r="1886" spans="1:8" x14ac:dyDescent="0.2">
      <c r="A1886" s="9" t="s">
        <v>51</v>
      </c>
      <c r="C1886" t="str">
        <f t="shared" si="58"/>
        <v>"https://www.zeldadungeon.net/maps/totk/tiles/sky/6/41_22.jpg",</v>
      </c>
      <c r="H1886" t="str">
        <f t="shared" si="59"/>
        <v>41_22</v>
      </c>
    </row>
    <row r="1887" spans="1:8" x14ac:dyDescent="0.2">
      <c r="A1887" s="9" t="s">
        <v>51</v>
      </c>
      <c r="C1887" t="str">
        <f t="shared" si="58"/>
        <v>"https://www.zeldadungeon.net/maps/totk/tiles/sky/6/41_23.jpg",</v>
      </c>
      <c r="H1887" t="str">
        <f t="shared" si="59"/>
        <v>41_23</v>
      </c>
    </row>
    <row r="1888" spans="1:8" x14ac:dyDescent="0.2">
      <c r="A1888" s="9" t="s">
        <v>51</v>
      </c>
      <c r="C1888" t="str">
        <f t="shared" si="58"/>
        <v>"https://www.zeldadungeon.net/maps/totk/tiles/sky/6/41_24.jpg",</v>
      </c>
      <c r="H1888" t="str">
        <f t="shared" si="59"/>
        <v>41_24</v>
      </c>
    </row>
    <row r="1889" spans="1:8" x14ac:dyDescent="0.2">
      <c r="A1889" s="9" t="s">
        <v>51</v>
      </c>
      <c r="C1889" t="str">
        <f t="shared" si="58"/>
        <v>"https://www.zeldadungeon.net/maps/totk/tiles/sky/6/41_25.jpg",</v>
      </c>
      <c r="H1889" t="str">
        <f t="shared" si="59"/>
        <v>41_25</v>
      </c>
    </row>
    <row r="1890" spans="1:8" x14ac:dyDescent="0.2">
      <c r="A1890" s="9" t="s">
        <v>51</v>
      </c>
      <c r="C1890" t="str">
        <f t="shared" si="58"/>
        <v>"https://www.zeldadungeon.net/maps/totk/tiles/sky/6/41_26.jpg",</v>
      </c>
      <c r="H1890" t="str">
        <f t="shared" si="59"/>
        <v>41_26</v>
      </c>
    </row>
    <row r="1891" spans="1:8" x14ac:dyDescent="0.2">
      <c r="A1891" s="9" t="s">
        <v>51</v>
      </c>
      <c r="C1891" t="str">
        <f t="shared" si="58"/>
        <v>"https://www.zeldadungeon.net/maps/totk/tiles/sky/6/41_27.jpg",</v>
      </c>
      <c r="H1891" t="str">
        <f t="shared" si="59"/>
        <v>41_27</v>
      </c>
    </row>
    <row r="1892" spans="1:8" x14ac:dyDescent="0.2">
      <c r="A1892" s="9" t="s">
        <v>51</v>
      </c>
      <c r="C1892" t="str">
        <f t="shared" si="58"/>
        <v>"https://www.zeldadungeon.net/maps/totk/tiles/sky/6/41_28.jpg",</v>
      </c>
      <c r="H1892" t="str">
        <f t="shared" si="59"/>
        <v>41_28</v>
      </c>
    </row>
    <row r="1893" spans="1:8" x14ac:dyDescent="0.2">
      <c r="A1893" s="9" t="s">
        <v>51</v>
      </c>
      <c r="C1893" t="str">
        <f t="shared" si="58"/>
        <v>"https://www.zeldadungeon.net/maps/totk/tiles/sky/6/41_29.jpg",</v>
      </c>
      <c r="H1893" t="str">
        <f t="shared" si="59"/>
        <v>41_29</v>
      </c>
    </row>
    <row r="1894" spans="1:8" x14ac:dyDescent="0.2">
      <c r="A1894" s="9" t="s">
        <v>51</v>
      </c>
      <c r="C1894" t="str">
        <f t="shared" si="58"/>
        <v>"https://www.zeldadungeon.net/maps/totk/tiles/sky/6/41_30.jpg",</v>
      </c>
      <c r="H1894" t="str">
        <f t="shared" si="59"/>
        <v>41_30</v>
      </c>
    </row>
    <row r="1895" spans="1:8" x14ac:dyDescent="0.2">
      <c r="A1895" s="9" t="s">
        <v>51</v>
      </c>
      <c r="C1895" t="str">
        <f t="shared" si="58"/>
        <v>"https://www.zeldadungeon.net/maps/totk/tiles/sky/6/41_31.jpg",</v>
      </c>
      <c r="H1895" t="str">
        <f t="shared" si="59"/>
        <v>41_31</v>
      </c>
    </row>
    <row r="1896" spans="1:8" x14ac:dyDescent="0.2">
      <c r="A1896" s="9" t="s">
        <v>51</v>
      </c>
      <c r="C1896" t="str">
        <f t="shared" si="58"/>
        <v>"https://www.zeldadungeon.net/maps/totk/tiles/sky/6/41_32.jpg",</v>
      </c>
      <c r="H1896" t="str">
        <f t="shared" si="59"/>
        <v>41_32</v>
      </c>
    </row>
    <row r="1897" spans="1:8" x14ac:dyDescent="0.2">
      <c r="A1897" s="9" t="s">
        <v>51</v>
      </c>
      <c r="C1897" t="str">
        <f t="shared" si="58"/>
        <v>"https://www.zeldadungeon.net/maps/totk/tiles/sky/6/41_33.jpg",</v>
      </c>
      <c r="H1897" t="str">
        <f t="shared" si="59"/>
        <v>41_33</v>
      </c>
    </row>
    <row r="1898" spans="1:8" x14ac:dyDescent="0.2">
      <c r="A1898" s="9" t="s">
        <v>51</v>
      </c>
      <c r="C1898" t="str">
        <f t="shared" si="58"/>
        <v>"https://www.zeldadungeon.net/maps/totk/tiles/sky/6/41_34.jpg",</v>
      </c>
      <c r="H1898" t="str">
        <f t="shared" si="59"/>
        <v>41_34</v>
      </c>
    </row>
    <row r="1899" spans="1:8" x14ac:dyDescent="0.2">
      <c r="A1899" s="9" t="s">
        <v>51</v>
      </c>
      <c r="C1899" t="str">
        <f t="shared" si="58"/>
        <v>"https://www.zeldadungeon.net/maps/totk/tiles/sky/6/41_35.jpg",</v>
      </c>
      <c r="H1899" t="str">
        <f t="shared" si="59"/>
        <v>41_35</v>
      </c>
    </row>
    <row r="1900" spans="1:8" x14ac:dyDescent="0.2">
      <c r="A1900" s="9" t="s">
        <v>51</v>
      </c>
      <c r="C1900" t="str">
        <f t="shared" si="58"/>
        <v>"https://www.zeldadungeon.net/maps/totk/tiles/sky/6/41_36.jpg",</v>
      </c>
      <c r="H1900" t="str">
        <f t="shared" si="59"/>
        <v>41_36</v>
      </c>
    </row>
    <row r="1901" spans="1:8" x14ac:dyDescent="0.2">
      <c r="A1901" s="9" t="s">
        <v>51</v>
      </c>
      <c r="C1901" t="str">
        <f t="shared" si="58"/>
        <v>"https://www.zeldadungeon.net/maps/totk/tiles/sky/6/41_37.jpg",</v>
      </c>
      <c r="H1901" t="str">
        <f t="shared" si="59"/>
        <v>41_37</v>
      </c>
    </row>
    <row r="1902" spans="1:8" x14ac:dyDescent="0.2">
      <c r="A1902" s="9" t="s">
        <v>51</v>
      </c>
      <c r="C1902" t="str">
        <f t="shared" si="58"/>
        <v>"https://www.zeldadungeon.net/maps/totk/tiles/sky/6/41_38.jpg",</v>
      </c>
      <c r="H1902" t="str">
        <f t="shared" si="59"/>
        <v>41_38</v>
      </c>
    </row>
    <row r="1903" spans="1:8" x14ac:dyDescent="0.2">
      <c r="A1903" s="9" t="s">
        <v>51</v>
      </c>
      <c r="C1903" t="str">
        <f t="shared" si="58"/>
        <v>"https://www.zeldadungeon.net/maps/totk/tiles/sky/6/41_39.jpg",</v>
      </c>
      <c r="H1903" t="str">
        <f t="shared" si="59"/>
        <v>41_39</v>
      </c>
    </row>
    <row r="1904" spans="1:8" x14ac:dyDescent="0.2">
      <c r="A1904" s="9" t="s">
        <v>51</v>
      </c>
      <c r="C1904" t="str">
        <f t="shared" si="58"/>
        <v>"https://www.zeldadungeon.net/maps/totk/tiles/sky/6/41_40.jpg",</v>
      </c>
      <c r="H1904" t="str">
        <f t="shared" si="59"/>
        <v>41_40</v>
      </c>
    </row>
    <row r="1905" spans="1:8" x14ac:dyDescent="0.2">
      <c r="A1905" s="9" t="s">
        <v>51</v>
      </c>
      <c r="C1905" t="str">
        <f t="shared" si="58"/>
        <v>"https://www.zeldadungeon.net/maps/totk/tiles/sky/6/41_41.jpg",</v>
      </c>
      <c r="H1905" t="str">
        <f t="shared" si="59"/>
        <v>41_41</v>
      </c>
    </row>
    <row r="1906" spans="1:8" x14ac:dyDescent="0.2">
      <c r="A1906" s="9" t="s">
        <v>51</v>
      </c>
      <c r="C1906" t="str">
        <f t="shared" si="58"/>
        <v>"https://www.zeldadungeon.net/maps/totk/tiles/sky/6/41_42.jpg",</v>
      </c>
      <c r="H1906" t="str">
        <f t="shared" si="59"/>
        <v>41_42</v>
      </c>
    </row>
    <row r="1907" spans="1:8" x14ac:dyDescent="0.2">
      <c r="A1907" s="9" t="s">
        <v>51</v>
      </c>
      <c r="C1907" t="str">
        <f t="shared" si="58"/>
        <v>"https://www.zeldadungeon.net/maps/totk/tiles/sky/6/41_43.jpg",</v>
      </c>
      <c r="H1907" t="str">
        <f t="shared" si="59"/>
        <v>41_43</v>
      </c>
    </row>
    <row r="1908" spans="1:8" x14ac:dyDescent="0.2">
      <c r="A1908" s="9" t="s">
        <v>51</v>
      </c>
      <c r="C1908" t="str">
        <f t="shared" si="58"/>
        <v>"https://www.zeldadungeon.net/maps/totk/tiles/sky/6/41_44.jpg",</v>
      </c>
      <c r="H1908" t="str">
        <f t="shared" si="59"/>
        <v>41_44</v>
      </c>
    </row>
    <row r="1909" spans="1:8" x14ac:dyDescent="0.2">
      <c r="A1909" s="9" t="s">
        <v>51</v>
      </c>
      <c r="C1909" t="str">
        <f t="shared" si="58"/>
        <v>"https://www.zeldadungeon.net/maps/totk/tiles/sky/6/41_45.jpg",</v>
      </c>
      <c r="H1909" t="str">
        <f t="shared" si="59"/>
        <v>41_45</v>
      </c>
    </row>
    <row r="1910" spans="1:8" x14ac:dyDescent="0.2">
      <c r="A1910" s="9" t="s">
        <v>51</v>
      </c>
      <c r="C1910" t="str">
        <f t="shared" si="58"/>
        <v>"https://www.zeldadungeon.net/maps/totk/tiles/sky/6/41_46.jpg",</v>
      </c>
      <c r="H1910" t="str">
        <f t="shared" si="59"/>
        <v>41_46</v>
      </c>
    </row>
    <row r="1911" spans="1:8" x14ac:dyDescent="0.2">
      <c r="A1911" s="9" t="s">
        <v>51</v>
      </c>
      <c r="C1911" t="str">
        <f t="shared" si="58"/>
        <v>"https://www.zeldadungeon.net/maps/totk/tiles/sky/6/41_47.jpg",</v>
      </c>
      <c r="H1911" t="str">
        <f t="shared" si="59"/>
        <v>41_47</v>
      </c>
    </row>
    <row r="1912" spans="1:8" x14ac:dyDescent="0.2">
      <c r="A1912" s="9" t="s">
        <v>51</v>
      </c>
      <c r="C1912" t="str">
        <f t="shared" si="58"/>
        <v>"https://www.zeldadungeon.net/maps/totk/tiles/sky/6/41_48.jpg",</v>
      </c>
      <c r="H1912" t="str">
        <f t="shared" si="59"/>
        <v>41_48</v>
      </c>
    </row>
    <row r="1913" spans="1:8" x14ac:dyDescent="0.2">
      <c r="A1913" s="9" t="s">
        <v>51</v>
      </c>
      <c r="C1913" t="str">
        <f t="shared" si="58"/>
        <v>"https://www.zeldadungeon.net/maps/totk/tiles/sky/6/41_49.jpg",</v>
      </c>
      <c r="H1913" t="str">
        <f t="shared" si="59"/>
        <v>41_49</v>
      </c>
    </row>
    <row r="1914" spans="1:8" x14ac:dyDescent="0.2">
      <c r="A1914" s="9" t="s">
        <v>51</v>
      </c>
      <c r="C1914" t="str">
        <f t="shared" si="58"/>
        <v>"https://www.zeldadungeon.net/maps/totk/tiles/sky/6/41_50.jpg",</v>
      </c>
      <c r="H1914" t="str">
        <f t="shared" si="59"/>
        <v>41_50</v>
      </c>
    </row>
    <row r="1915" spans="1:8" x14ac:dyDescent="0.2">
      <c r="A1915" s="9" t="s">
        <v>51</v>
      </c>
      <c r="C1915" t="str">
        <f t="shared" si="58"/>
        <v>"https://www.zeldadungeon.net/maps/totk/tiles/sky/6/41_51.jpg",</v>
      </c>
      <c r="H1915" t="str">
        <f t="shared" si="59"/>
        <v>41_51</v>
      </c>
    </row>
    <row r="1916" spans="1:8" x14ac:dyDescent="0.2">
      <c r="A1916" s="9" t="s">
        <v>51</v>
      </c>
      <c r="C1916" t="str">
        <f t="shared" si="58"/>
        <v>"https://www.zeldadungeon.net/maps/totk/tiles/sky/6/41_52.jpg",</v>
      </c>
      <c r="H1916" t="str">
        <f t="shared" si="59"/>
        <v>41_52</v>
      </c>
    </row>
    <row r="1917" spans="1:8" x14ac:dyDescent="0.2">
      <c r="A1917" s="9" t="s">
        <v>51</v>
      </c>
      <c r="C1917" t="str">
        <f t="shared" si="58"/>
        <v>"https://www.zeldadungeon.net/maps/totk/tiles/sky/6/41_53.jpg",</v>
      </c>
      <c r="H1917" t="str">
        <f t="shared" si="59"/>
        <v>41_53</v>
      </c>
    </row>
    <row r="1918" spans="1:8" x14ac:dyDescent="0.2">
      <c r="A1918" s="9" t="s">
        <v>51</v>
      </c>
      <c r="C1918" t="str">
        <f t="shared" si="58"/>
        <v>"https://www.zeldadungeon.net/maps/totk/tiles/sky/6/41_54.jpg",</v>
      </c>
      <c r="H1918" t="str">
        <f t="shared" si="59"/>
        <v>41_54</v>
      </c>
    </row>
    <row r="1919" spans="1:8" x14ac:dyDescent="0.2">
      <c r="A1919" s="9" t="s">
        <v>51</v>
      </c>
      <c r="C1919" t="str">
        <f t="shared" si="58"/>
        <v>"https://www.zeldadungeon.net/maps/totk/tiles/sky/6/41_55.jpg",</v>
      </c>
      <c r="H1919" t="str">
        <f t="shared" si="59"/>
        <v>41_55</v>
      </c>
    </row>
    <row r="1920" spans="1:8" x14ac:dyDescent="0.2">
      <c r="A1920" s="9" t="s">
        <v>51</v>
      </c>
      <c r="C1920" t="str">
        <f t="shared" si="58"/>
        <v>"https://www.zeldadungeon.net/maps/totk/tiles/sky/6/42_8.jpg",</v>
      </c>
      <c r="H1920" t="str">
        <f t="shared" si="59"/>
        <v>42_8</v>
      </c>
    </row>
    <row r="1921" spans="1:8" x14ac:dyDescent="0.2">
      <c r="A1921" s="9" t="s">
        <v>51</v>
      </c>
      <c r="C1921" t="str">
        <f t="shared" ref="C1921:C1984" si="60">""""&amp;SUBSTITUTE(A1921,"zzz",H1921)&amp;""""&amp;","</f>
        <v>"https://www.zeldadungeon.net/maps/totk/tiles/sky/6/42_9.jpg",</v>
      </c>
      <c r="H1921" t="str">
        <f t="shared" ref="H1921:H1984" si="61">QUOTIENT(ROW(A1921),48)+2&amp;"_"&amp;MOD(ROW(A1921),48)+8</f>
        <v>42_9</v>
      </c>
    </row>
    <row r="1922" spans="1:8" x14ac:dyDescent="0.2">
      <c r="A1922" s="9" t="s">
        <v>51</v>
      </c>
      <c r="C1922" t="str">
        <f t="shared" si="60"/>
        <v>"https://www.zeldadungeon.net/maps/totk/tiles/sky/6/42_10.jpg",</v>
      </c>
      <c r="H1922" t="str">
        <f t="shared" si="61"/>
        <v>42_10</v>
      </c>
    </row>
    <row r="1923" spans="1:8" x14ac:dyDescent="0.2">
      <c r="A1923" s="9" t="s">
        <v>51</v>
      </c>
      <c r="C1923" t="str">
        <f t="shared" si="60"/>
        <v>"https://www.zeldadungeon.net/maps/totk/tiles/sky/6/42_11.jpg",</v>
      </c>
      <c r="H1923" t="str">
        <f t="shared" si="61"/>
        <v>42_11</v>
      </c>
    </row>
    <row r="1924" spans="1:8" x14ac:dyDescent="0.2">
      <c r="A1924" s="9" t="s">
        <v>51</v>
      </c>
      <c r="C1924" t="str">
        <f t="shared" si="60"/>
        <v>"https://www.zeldadungeon.net/maps/totk/tiles/sky/6/42_12.jpg",</v>
      </c>
      <c r="H1924" t="str">
        <f t="shared" si="61"/>
        <v>42_12</v>
      </c>
    </row>
    <row r="1925" spans="1:8" x14ac:dyDescent="0.2">
      <c r="A1925" s="9" t="s">
        <v>51</v>
      </c>
      <c r="C1925" t="str">
        <f t="shared" si="60"/>
        <v>"https://www.zeldadungeon.net/maps/totk/tiles/sky/6/42_13.jpg",</v>
      </c>
      <c r="H1925" t="str">
        <f t="shared" si="61"/>
        <v>42_13</v>
      </c>
    </row>
    <row r="1926" spans="1:8" x14ac:dyDescent="0.2">
      <c r="A1926" s="9" t="s">
        <v>51</v>
      </c>
      <c r="C1926" t="str">
        <f t="shared" si="60"/>
        <v>"https://www.zeldadungeon.net/maps/totk/tiles/sky/6/42_14.jpg",</v>
      </c>
      <c r="H1926" t="str">
        <f t="shared" si="61"/>
        <v>42_14</v>
      </c>
    </row>
    <row r="1927" spans="1:8" x14ac:dyDescent="0.2">
      <c r="A1927" s="9" t="s">
        <v>51</v>
      </c>
      <c r="C1927" t="str">
        <f t="shared" si="60"/>
        <v>"https://www.zeldadungeon.net/maps/totk/tiles/sky/6/42_15.jpg",</v>
      </c>
      <c r="H1927" t="str">
        <f t="shared" si="61"/>
        <v>42_15</v>
      </c>
    </row>
    <row r="1928" spans="1:8" x14ac:dyDescent="0.2">
      <c r="A1928" s="9" t="s">
        <v>51</v>
      </c>
      <c r="C1928" t="str">
        <f t="shared" si="60"/>
        <v>"https://www.zeldadungeon.net/maps/totk/tiles/sky/6/42_16.jpg",</v>
      </c>
      <c r="H1928" t="str">
        <f t="shared" si="61"/>
        <v>42_16</v>
      </c>
    </row>
    <row r="1929" spans="1:8" x14ac:dyDescent="0.2">
      <c r="A1929" s="9" t="s">
        <v>51</v>
      </c>
      <c r="C1929" t="str">
        <f t="shared" si="60"/>
        <v>"https://www.zeldadungeon.net/maps/totk/tiles/sky/6/42_17.jpg",</v>
      </c>
      <c r="H1929" t="str">
        <f t="shared" si="61"/>
        <v>42_17</v>
      </c>
    </row>
    <row r="1930" spans="1:8" x14ac:dyDescent="0.2">
      <c r="A1930" s="9" t="s">
        <v>51</v>
      </c>
      <c r="C1930" t="str">
        <f t="shared" si="60"/>
        <v>"https://www.zeldadungeon.net/maps/totk/tiles/sky/6/42_18.jpg",</v>
      </c>
      <c r="H1930" t="str">
        <f t="shared" si="61"/>
        <v>42_18</v>
      </c>
    </row>
    <row r="1931" spans="1:8" x14ac:dyDescent="0.2">
      <c r="A1931" s="9" t="s">
        <v>51</v>
      </c>
      <c r="C1931" t="str">
        <f t="shared" si="60"/>
        <v>"https://www.zeldadungeon.net/maps/totk/tiles/sky/6/42_19.jpg",</v>
      </c>
      <c r="H1931" t="str">
        <f t="shared" si="61"/>
        <v>42_19</v>
      </c>
    </row>
    <row r="1932" spans="1:8" x14ac:dyDescent="0.2">
      <c r="A1932" s="9" t="s">
        <v>51</v>
      </c>
      <c r="C1932" t="str">
        <f t="shared" si="60"/>
        <v>"https://www.zeldadungeon.net/maps/totk/tiles/sky/6/42_20.jpg",</v>
      </c>
      <c r="H1932" t="str">
        <f t="shared" si="61"/>
        <v>42_20</v>
      </c>
    </row>
    <row r="1933" spans="1:8" x14ac:dyDescent="0.2">
      <c r="A1933" s="9" t="s">
        <v>51</v>
      </c>
      <c r="C1933" t="str">
        <f t="shared" si="60"/>
        <v>"https://www.zeldadungeon.net/maps/totk/tiles/sky/6/42_21.jpg",</v>
      </c>
      <c r="H1933" t="str">
        <f t="shared" si="61"/>
        <v>42_21</v>
      </c>
    </row>
    <row r="1934" spans="1:8" x14ac:dyDescent="0.2">
      <c r="A1934" s="9" t="s">
        <v>51</v>
      </c>
      <c r="C1934" t="str">
        <f t="shared" si="60"/>
        <v>"https://www.zeldadungeon.net/maps/totk/tiles/sky/6/42_22.jpg",</v>
      </c>
      <c r="H1934" t="str">
        <f t="shared" si="61"/>
        <v>42_22</v>
      </c>
    </row>
    <row r="1935" spans="1:8" x14ac:dyDescent="0.2">
      <c r="A1935" s="9" t="s">
        <v>51</v>
      </c>
      <c r="C1935" t="str">
        <f t="shared" si="60"/>
        <v>"https://www.zeldadungeon.net/maps/totk/tiles/sky/6/42_23.jpg",</v>
      </c>
      <c r="H1935" t="str">
        <f t="shared" si="61"/>
        <v>42_23</v>
      </c>
    </row>
    <row r="1936" spans="1:8" x14ac:dyDescent="0.2">
      <c r="A1936" s="9" t="s">
        <v>51</v>
      </c>
      <c r="C1936" t="str">
        <f t="shared" si="60"/>
        <v>"https://www.zeldadungeon.net/maps/totk/tiles/sky/6/42_24.jpg",</v>
      </c>
      <c r="H1936" t="str">
        <f t="shared" si="61"/>
        <v>42_24</v>
      </c>
    </row>
    <row r="1937" spans="1:8" x14ac:dyDescent="0.2">
      <c r="A1937" s="9" t="s">
        <v>51</v>
      </c>
      <c r="C1937" t="str">
        <f t="shared" si="60"/>
        <v>"https://www.zeldadungeon.net/maps/totk/tiles/sky/6/42_25.jpg",</v>
      </c>
      <c r="H1937" t="str">
        <f t="shared" si="61"/>
        <v>42_25</v>
      </c>
    </row>
    <row r="1938" spans="1:8" x14ac:dyDescent="0.2">
      <c r="A1938" s="9" t="s">
        <v>51</v>
      </c>
      <c r="C1938" t="str">
        <f t="shared" si="60"/>
        <v>"https://www.zeldadungeon.net/maps/totk/tiles/sky/6/42_26.jpg",</v>
      </c>
      <c r="H1938" t="str">
        <f t="shared" si="61"/>
        <v>42_26</v>
      </c>
    </row>
    <row r="1939" spans="1:8" x14ac:dyDescent="0.2">
      <c r="A1939" s="9" t="s">
        <v>51</v>
      </c>
      <c r="C1939" t="str">
        <f t="shared" si="60"/>
        <v>"https://www.zeldadungeon.net/maps/totk/tiles/sky/6/42_27.jpg",</v>
      </c>
      <c r="H1939" t="str">
        <f t="shared" si="61"/>
        <v>42_27</v>
      </c>
    </row>
    <row r="1940" spans="1:8" x14ac:dyDescent="0.2">
      <c r="A1940" s="9" t="s">
        <v>51</v>
      </c>
      <c r="C1940" t="str">
        <f t="shared" si="60"/>
        <v>"https://www.zeldadungeon.net/maps/totk/tiles/sky/6/42_28.jpg",</v>
      </c>
      <c r="H1940" t="str">
        <f t="shared" si="61"/>
        <v>42_28</v>
      </c>
    </row>
    <row r="1941" spans="1:8" x14ac:dyDescent="0.2">
      <c r="A1941" s="9" t="s">
        <v>51</v>
      </c>
      <c r="C1941" t="str">
        <f t="shared" si="60"/>
        <v>"https://www.zeldadungeon.net/maps/totk/tiles/sky/6/42_29.jpg",</v>
      </c>
      <c r="H1941" t="str">
        <f t="shared" si="61"/>
        <v>42_29</v>
      </c>
    </row>
    <row r="1942" spans="1:8" x14ac:dyDescent="0.2">
      <c r="A1942" s="9" t="s">
        <v>51</v>
      </c>
      <c r="C1942" t="str">
        <f t="shared" si="60"/>
        <v>"https://www.zeldadungeon.net/maps/totk/tiles/sky/6/42_30.jpg",</v>
      </c>
      <c r="H1942" t="str">
        <f t="shared" si="61"/>
        <v>42_30</v>
      </c>
    </row>
    <row r="1943" spans="1:8" x14ac:dyDescent="0.2">
      <c r="A1943" s="9" t="s">
        <v>51</v>
      </c>
      <c r="C1943" t="str">
        <f t="shared" si="60"/>
        <v>"https://www.zeldadungeon.net/maps/totk/tiles/sky/6/42_31.jpg",</v>
      </c>
      <c r="H1943" t="str">
        <f t="shared" si="61"/>
        <v>42_31</v>
      </c>
    </row>
    <row r="1944" spans="1:8" x14ac:dyDescent="0.2">
      <c r="A1944" s="9" t="s">
        <v>51</v>
      </c>
      <c r="C1944" t="str">
        <f t="shared" si="60"/>
        <v>"https://www.zeldadungeon.net/maps/totk/tiles/sky/6/42_32.jpg",</v>
      </c>
      <c r="H1944" t="str">
        <f t="shared" si="61"/>
        <v>42_32</v>
      </c>
    </row>
    <row r="1945" spans="1:8" x14ac:dyDescent="0.2">
      <c r="A1945" s="9" t="s">
        <v>51</v>
      </c>
      <c r="C1945" t="str">
        <f t="shared" si="60"/>
        <v>"https://www.zeldadungeon.net/maps/totk/tiles/sky/6/42_33.jpg",</v>
      </c>
      <c r="H1945" t="str">
        <f t="shared" si="61"/>
        <v>42_33</v>
      </c>
    </row>
    <row r="1946" spans="1:8" x14ac:dyDescent="0.2">
      <c r="A1946" s="9" t="s">
        <v>51</v>
      </c>
      <c r="C1946" t="str">
        <f t="shared" si="60"/>
        <v>"https://www.zeldadungeon.net/maps/totk/tiles/sky/6/42_34.jpg",</v>
      </c>
      <c r="H1946" t="str">
        <f t="shared" si="61"/>
        <v>42_34</v>
      </c>
    </row>
    <row r="1947" spans="1:8" x14ac:dyDescent="0.2">
      <c r="A1947" s="9" t="s">
        <v>51</v>
      </c>
      <c r="C1947" t="str">
        <f t="shared" si="60"/>
        <v>"https://www.zeldadungeon.net/maps/totk/tiles/sky/6/42_35.jpg",</v>
      </c>
      <c r="H1947" t="str">
        <f t="shared" si="61"/>
        <v>42_35</v>
      </c>
    </row>
    <row r="1948" spans="1:8" x14ac:dyDescent="0.2">
      <c r="A1948" s="9" t="s">
        <v>51</v>
      </c>
      <c r="C1948" t="str">
        <f t="shared" si="60"/>
        <v>"https://www.zeldadungeon.net/maps/totk/tiles/sky/6/42_36.jpg",</v>
      </c>
      <c r="H1948" t="str">
        <f t="shared" si="61"/>
        <v>42_36</v>
      </c>
    </row>
    <row r="1949" spans="1:8" x14ac:dyDescent="0.2">
      <c r="A1949" s="9" t="s">
        <v>51</v>
      </c>
      <c r="C1949" t="str">
        <f t="shared" si="60"/>
        <v>"https://www.zeldadungeon.net/maps/totk/tiles/sky/6/42_37.jpg",</v>
      </c>
      <c r="H1949" t="str">
        <f t="shared" si="61"/>
        <v>42_37</v>
      </c>
    </row>
    <row r="1950" spans="1:8" x14ac:dyDescent="0.2">
      <c r="A1950" s="9" t="s">
        <v>51</v>
      </c>
      <c r="C1950" t="str">
        <f t="shared" si="60"/>
        <v>"https://www.zeldadungeon.net/maps/totk/tiles/sky/6/42_38.jpg",</v>
      </c>
      <c r="H1950" t="str">
        <f t="shared" si="61"/>
        <v>42_38</v>
      </c>
    </row>
    <row r="1951" spans="1:8" x14ac:dyDescent="0.2">
      <c r="A1951" s="9" t="s">
        <v>51</v>
      </c>
      <c r="C1951" t="str">
        <f t="shared" si="60"/>
        <v>"https://www.zeldadungeon.net/maps/totk/tiles/sky/6/42_39.jpg",</v>
      </c>
      <c r="H1951" t="str">
        <f t="shared" si="61"/>
        <v>42_39</v>
      </c>
    </row>
    <row r="1952" spans="1:8" x14ac:dyDescent="0.2">
      <c r="A1952" s="9" t="s">
        <v>51</v>
      </c>
      <c r="C1952" t="str">
        <f t="shared" si="60"/>
        <v>"https://www.zeldadungeon.net/maps/totk/tiles/sky/6/42_40.jpg",</v>
      </c>
      <c r="H1952" t="str">
        <f t="shared" si="61"/>
        <v>42_40</v>
      </c>
    </row>
    <row r="1953" spans="1:8" x14ac:dyDescent="0.2">
      <c r="A1953" s="9" t="s">
        <v>51</v>
      </c>
      <c r="C1953" t="str">
        <f t="shared" si="60"/>
        <v>"https://www.zeldadungeon.net/maps/totk/tiles/sky/6/42_41.jpg",</v>
      </c>
      <c r="H1953" t="str">
        <f t="shared" si="61"/>
        <v>42_41</v>
      </c>
    </row>
    <row r="1954" spans="1:8" x14ac:dyDescent="0.2">
      <c r="A1954" s="9" t="s">
        <v>51</v>
      </c>
      <c r="C1954" t="str">
        <f t="shared" si="60"/>
        <v>"https://www.zeldadungeon.net/maps/totk/tiles/sky/6/42_42.jpg",</v>
      </c>
      <c r="H1954" t="str">
        <f t="shared" si="61"/>
        <v>42_42</v>
      </c>
    </row>
    <row r="1955" spans="1:8" x14ac:dyDescent="0.2">
      <c r="A1955" s="9" t="s">
        <v>51</v>
      </c>
      <c r="C1955" t="str">
        <f t="shared" si="60"/>
        <v>"https://www.zeldadungeon.net/maps/totk/tiles/sky/6/42_43.jpg",</v>
      </c>
      <c r="H1955" t="str">
        <f t="shared" si="61"/>
        <v>42_43</v>
      </c>
    </row>
    <row r="1956" spans="1:8" x14ac:dyDescent="0.2">
      <c r="A1956" s="9" t="s">
        <v>51</v>
      </c>
      <c r="C1956" t="str">
        <f t="shared" si="60"/>
        <v>"https://www.zeldadungeon.net/maps/totk/tiles/sky/6/42_44.jpg",</v>
      </c>
      <c r="H1956" t="str">
        <f t="shared" si="61"/>
        <v>42_44</v>
      </c>
    </row>
    <row r="1957" spans="1:8" x14ac:dyDescent="0.2">
      <c r="A1957" s="9" t="s">
        <v>51</v>
      </c>
      <c r="C1957" t="str">
        <f t="shared" si="60"/>
        <v>"https://www.zeldadungeon.net/maps/totk/tiles/sky/6/42_45.jpg",</v>
      </c>
      <c r="H1957" t="str">
        <f t="shared" si="61"/>
        <v>42_45</v>
      </c>
    </row>
    <row r="1958" spans="1:8" x14ac:dyDescent="0.2">
      <c r="A1958" s="9" t="s">
        <v>51</v>
      </c>
      <c r="C1958" t="str">
        <f t="shared" si="60"/>
        <v>"https://www.zeldadungeon.net/maps/totk/tiles/sky/6/42_46.jpg",</v>
      </c>
      <c r="H1958" t="str">
        <f t="shared" si="61"/>
        <v>42_46</v>
      </c>
    </row>
    <row r="1959" spans="1:8" x14ac:dyDescent="0.2">
      <c r="A1959" s="9" t="s">
        <v>51</v>
      </c>
      <c r="C1959" t="str">
        <f t="shared" si="60"/>
        <v>"https://www.zeldadungeon.net/maps/totk/tiles/sky/6/42_47.jpg",</v>
      </c>
      <c r="H1959" t="str">
        <f t="shared" si="61"/>
        <v>42_47</v>
      </c>
    </row>
    <row r="1960" spans="1:8" x14ac:dyDescent="0.2">
      <c r="A1960" s="9" t="s">
        <v>51</v>
      </c>
      <c r="C1960" t="str">
        <f t="shared" si="60"/>
        <v>"https://www.zeldadungeon.net/maps/totk/tiles/sky/6/42_48.jpg",</v>
      </c>
      <c r="H1960" t="str">
        <f t="shared" si="61"/>
        <v>42_48</v>
      </c>
    </row>
    <row r="1961" spans="1:8" x14ac:dyDescent="0.2">
      <c r="A1961" s="9" t="s">
        <v>51</v>
      </c>
      <c r="C1961" t="str">
        <f t="shared" si="60"/>
        <v>"https://www.zeldadungeon.net/maps/totk/tiles/sky/6/42_49.jpg",</v>
      </c>
      <c r="H1961" t="str">
        <f t="shared" si="61"/>
        <v>42_49</v>
      </c>
    </row>
    <row r="1962" spans="1:8" x14ac:dyDescent="0.2">
      <c r="A1962" s="9" t="s">
        <v>51</v>
      </c>
      <c r="C1962" t="str">
        <f t="shared" si="60"/>
        <v>"https://www.zeldadungeon.net/maps/totk/tiles/sky/6/42_50.jpg",</v>
      </c>
      <c r="H1962" t="str">
        <f t="shared" si="61"/>
        <v>42_50</v>
      </c>
    </row>
    <row r="1963" spans="1:8" x14ac:dyDescent="0.2">
      <c r="A1963" s="9" t="s">
        <v>51</v>
      </c>
      <c r="C1963" t="str">
        <f t="shared" si="60"/>
        <v>"https://www.zeldadungeon.net/maps/totk/tiles/sky/6/42_51.jpg",</v>
      </c>
      <c r="H1963" t="str">
        <f t="shared" si="61"/>
        <v>42_51</v>
      </c>
    </row>
    <row r="1964" spans="1:8" x14ac:dyDescent="0.2">
      <c r="A1964" s="9" t="s">
        <v>51</v>
      </c>
      <c r="C1964" t="str">
        <f t="shared" si="60"/>
        <v>"https://www.zeldadungeon.net/maps/totk/tiles/sky/6/42_52.jpg",</v>
      </c>
      <c r="H1964" t="str">
        <f t="shared" si="61"/>
        <v>42_52</v>
      </c>
    </row>
    <row r="1965" spans="1:8" x14ac:dyDescent="0.2">
      <c r="A1965" s="9" t="s">
        <v>51</v>
      </c>
      <c r="C1965" t="str">
        <f t="shared" si="60"/>
        <v>"https://www.zeldadungeon.net/maps/totk/tiles/sky/6/42_53.jpg",</v>
      </c>
      <c r="H1965" t="str">
        <f t="shared" si="61"/>
        <v>42_53</v>
      </c>
    </row>
    <row r="1966" spans="1:8" x14ac:dyDescent="0.2">
      <c r="A1966" s="9" t="s">
        <v>51</v>
      </c>
      <c r="C1966" t="str">
        <f t="shared" si="60"/>
        <v>"https://www.zeldadungeon.net/maps/totk/tiles/sky/6/42_54.jpg",</v>
      </c>
      <c r="H1966" t="str">
        <f t="shared" si="61"/>
        <v>42_54</v>
      </c>
    </row>
    <row r="1967" spans="1:8" x14ac:dyDescent="0.2">
      <c r="A1967" s="9" t="s">
        <v>51</v>
      </c>
      <c r="C1967" t="str">
        <f t="shared" si="60"/>
        <v>"https://www.zeldadungeon.net/maps/totk/tiles/sky/6/42_55.jpg",</v>
      </c>
      <c r="H1967" t="str">
        <f t="shared" si="61"/>
        <v>42_55</v>
      </c>
    </row>
    <row r="1968" spans="1:8" x14ac:dyDescent="0.2">
      <c r="A1968" s="9" t="s">
        <v>51</v>
      </c>
      <c r="C1968" t="str">
        <f t="shared" si="60"/>
        <v>"https://www.zeldadungeon.net/maps/totk/tiles/sky/6/43_8.jpg",</v>
      </c>
      <c r="H1968" t="str">
        <f t="shared" si="61"/>
        <v>43_8</v>
      </c>
    </row>
    <row r="1969" spans="1:8" x14ac:dyDescent="0.2">
      <c r="A1969" s="9" t="s">
        <v>51</v>
      </c>
      <c r="C1969" t="str">
        <f t="shared" si="60"/>
        <v>"https://www.zeldadungeon.net/maps/totk/tiles/sky/6/43_9.jpg",</v>
      </c>
      <c r="H1969" t="str">
        <f t="shared" si="61"/>
        <v>43_9</v>
      </c>
    </row>
    <row r="1970" spans="1:8" x14ac:dyDescent="0.2">
      <c r="A1970" s="9" t="s">
        <v>51</v>
      </c>
      <c r="C1970" t="str">
        <f t="shared" si="60"/>
        <v>"https://www.zeldadungeon.net/maps/totk/tiles/sky/6/43_10.jpg",</v>
      </c>
      <c r="H1970" t="str">
        <f t="shared" si="61"/>
        <v>43_10</v>
      </c>
    </row>
    <row r="1971" spans="1:8" x14ac:dyDescent="0.2">
      <c r="A1971" s="9" t="s">
        <v>51</v>
      </c>
      <c r="C1971" t="str">
        <f t="shared" si="60"/>
        <v>"https://www.zeldadungeon.net/maps/totk/tiles/sky/6/43_11.jpg",</v>
      </c>
      <c r="H1971" t="str">
        <f t="shared" si="61"/>
        <v>43_11</v>
      </c>
    </row>
    <row r="1972" spans="1:8" x14ac:dyDescent="0.2">
      <c r="A1972" s="9" t="s">
        <v>51</v>
      </c>
      <c r="C1972" t="str">
        <f t="shared" si="60"/>
        <v>"https://www.zeldadungeon.net/maps/totk/tiles/sky/6/43_12.jpg",</v>
      </c>
      <c r="H1972" t="str">
        <f t="shared" si="61"/>
        <v>43_12</v>
      </c>
    </row>
    <row r="1973" spans="1:8" x14ac:dyDescent="0.2">
      <c r="A1973" s="9" t="s">
        <v>51</v>
      </c>
      <c r="C1973" t="str">
        <f t="shared" si="60"/>
        <v>"https://www.zeldadungeon.net/maps/totk/tiles/sky/6/43_13.jpg",</v>
      </c>
      <c r="H1973" t="str">
        <f t="shared" si="61"/>
        <v>43_13</v>
      </c>
    </row>
    <row r="1974" spans="1:8" x14ac:dyDescent="0.2">
      <c r="A1974" s="9" t="s">
        <v>51</v>
      </c>
      <c r="C1974" t="str">
        <f t="shared" si="60"/>
        <v>"https://www.zeldadungeon.net/maps/totk/tiles/sky/6/43_14.jpg",</v>
      </c>
      <c r="H1974" t="str">
        <f t="shared" si="61"/>
        <v>43_14</v>
      </c>
    </row>
    <row r="1975" spans="1:8" x14ac:dyDescent="0.2">
      <c r="A1975" s="9" t="s">
        <v>51</v>
      </c>
      <c r="C1975" t="str">
        <f t="shared" si="60"/>
        <v>"https://www.zeldadungeon.net/maps/totk/tiles/sky/6/43_15.jpg",</v>
      </c>
      <c r="H1975" t="str">
        <f t="shared" si="61"/>
        <v>43_15</v>
      </c>
    </row>
    <row r="1976" spans="1:8" x14ac:dyDescent="0.2">
      <c r="A1976" s="9" t="s">
        <v>51</v>
      </c>
      <c r="C1976" t="str">
        <f t="shared" si="60"/>
        <v>"https://www.zeldadungeon.net/maps/totk/tiles/sky/6/43_16.jpg",</v>
      </c>
      <c r="H1976" t="str">
        <f t="shared" si="61"/>
        <v>43_16</v>
      </c>
    </row>
    <row r="1977" spans="1:8" x14ac:dyDescent="0.2">
      <c r="A1977" s="9" t="s">
        <v>51</v>
      </c>
      <c r="C1977" t="str">
        <f t="shared" si="60"/>
        <v>"https://www.zeldadungeon.net/maps/totk/tiles/sky/6/43_17.jpg",</v>
      </c>
      <c r="H1977" t="str">
        <f t="shared" si="61"/>
        <v>43_17</v>
      </c>
    </row>
    <row r="1978" spans="1:8" x14ac:dyDescent="0.2">
      <c r="A1978" s="9" t="s">
        <v>51</v>
      </c>
      <c r="C1978" t="str">
        <f t="shared" si="60"/>
        <v>"https://www.zeldadungeon.net/maps/totk/tiles/sky/6/43_18.jpg",</v>
      </c>
      <c r="H1978" t="str">
        <f t="shared" si="61"/>
        <v>43_18</v>
      </c>
    </row>
    <row r="1979" spans="1:8" x14ac:dyDescent="0.2">
      <c r="A1979" s="9" t="s">
        <v>51</v>
      </c>
      <c r="C1979" t="str">
        <f t="shared" si="60"/>
        <v>"https://www.zeldadungeon.net/maps/totk/tiles/sky/6/43_19.jpg",</v>
      </c>
      <c r="H1979" t="str">
        <f t="shared" si="61"/>
        <v>43_19</v>
      </c>
    </row>
    <row r="1980" spans="1:8" x14ac:dyDescent="0.2">
      <c r="A1980" s="9" t="s">
        <v>51</v>
      </c>
      <c r="C1980" t="str">
        <f t="shared" si="60"/>
        <v>"https://www.zeldadungeon.net/maps/totk/tiles/sky/6/43_20.jpg",</v>
      </c>
      <c r="H1980" t="str">
        <f t="shared" si="61"/>
        <v>43_20</v>
      </c>
    </row>
    <row r="1981" spans="1:8" x14ac:dyDescent="0.2">
      <c r="A1981" s="9" t="s">
        <v>51</v>
      </c>
      <c r="C1981" t="str">
        <f t="shared" si="60"/>
        <v>"https://www.zeldadungeon.net/maps/totk/tiles/sky/6/43_21.jpg",</v>
      </c>
      <c r="H1981" t="str">
        <f t="shared" si="61"/>
        <v>43_21</v>
      </c>
    </row>
    <row r="1982" spans="1:8" x14ac:dyDescent="0.2">
      <c r="A1982" s="9" t="s">
        <v>51</v>
      </c>
      <c r="C1982" t="str">
        <f t="shared" si="60"/>
        <v>"https://www.zeldadungeon.net/maps/totk/tiles/sky/6/43_22.jpg",</v>
      </c>
      <c r="H1982" t="str">
        <f t="shared" si="61"/>
        <v>43_22</v>
      </c>
    </row>
    <row r="1983" spans="1:8" x14ac:dyDescent="0.2">
      <c r="A1983" s="9" t="s">
        <v>51</v>
      </c>
      <c r="C1983" t="str">
        <f t="shared" si="60"/>
        <v>"https://www.zeldadungeon.net/maps/totk/tiles/sky/6/43_23.jpg",</v>
      </c>
      <c r="H1983" t="str">
        <f t="shared" si="61"/>
        <v>43_23</v>
      </c>
    </row>
    <row r="1984" spans="1:8" x14ac:dyDescent="0.2">
      <c r="A1984" s="9" t="s">
        <v>51</v>
      </c>
      <c r="C1984" t="str">
        <f t="shared" si="60"/>
        <v>"https://www.zeldadungeon.net/maps/totk/tiles/sky/6/43_24.jpg",</v>
      </c>
      <c r="H1984" t="str">
        <f t="shared" si="61"/>
        <v>43_24</v>
      </c>
    </row>
    <row r="1985" spans="1:8" x14ac:dyDescent="0.2">
      <c r="A1985" s="9" t="s">
        <v>51</v>
      </c>
      <c r="C1985" t="str">
        <f t="shared" ref="C1985:C2048" si="62">""""&amp;SUBSTITUTE(A1985,"zzz",H1985)&amp;""""&amp;","</f>
        <v>"https://www.zeldadungeon.net/maps/totk/tiles/sky/6/43_25.jpg",</v>
      </c>
      <c r="H1985" t="str">
        <f t="shared" ref="H1985:H2048" si="63">QUOTIENT(ROW(A1985),48)+2&amp;"_"&amp;MOD(ROW(A1985),48)+8</f>
        <v>43_25</v>
      </c>
    </row>
    <row r="1986" spans="1:8" x14ac:dyDescent="0.2">
      <c r="A1986" s="9" t="s">
        <v>51</v>
      </c>
      <c r="C1986" t="str">
        <f t="shared" si="62"/>
        <v>"https://www.zeldadungeon.net/maps/totk/tiles/sky/6/43_26.jpg",</v>
      </c>
      <c r="H1986" t="str">
        <f t="shared" si="63"/>
        <v>43_26</v>
      </c>
    </row>
    <row r="1987" spans="1:8" x14ac:dyDescent="0.2">
      <c r="A1987" s="9" t="s">
        <v>51</v>
      </c>
      <c r="C1987" t="str">
        <f t="shared" si="62"/>
        <v>"https://www.zeldadungeon.net/maps/totk/tiles/sky/6/43_27.jpg",</v>
      </c>
      <c r="H1987" t="str">
        <f t="shared" si="63"/>
        <v>43_27</v>
      </c>
    </row>
    <row r="1988" spans="1:8" x14ac:dyDescent="0.2">
      <c r="A1988" s="9" t="s">
        <v>51</v>
      </c>
      <c r="C1988" t="str">
        <f t="shared" si="62"/>
        <v>"https://www.zeldadungeon.net/maps/totk/tiles/sky/6/43_28.jpg",</v>
      </c>
      <c r="H1988" t="str">
        <f t="shared" si="63"/>
        <v>43_28</v>
      </c>
    </row>
    <row r="1989" spans="1:8" x14ac:dyDescent="0.2">
      <c r="A1989" s="9" t="s">
        <v>51</v>
      </c>
      <c r="C1989" t="str">
        <f t="shared" si="62"/>
        <v>"https://www.zeldadungeon.net/maps/totk/tiles/sky/6/43_29.jpg",</v>
      </c>
      <c r="H1989" t="str">
        <f t="shared" si="63"/>
        <v>43_29</v>
      </c>
    </row>
    <row r="1990" spans="1:8" x14ac:dyDescent="0.2">
      <c r="A1990" s="9" t="s">
        <v>51</v>
      </c>
      <c r="C1990" t="str">
        <f t="shared" si="62"/>
        <v>"https://www.zeldadungeon.net/maps/totk/tiles/sky/6/43_30.jpg",</v>
      </c>
      <c r="H1990" t="str">
        <f t="shared" si="63"/>
        <v>43_30</v>
      </c>
    </row>
    <row r="1991" spans="1:8" x14ac:dyDescent="0.2">
      <c r="A1991" s="9" t="s">
        <v>51</v>
      </c>
      <c r="C1991" t="str">
        <f t="shared" si="62"/>
        <v>"https://www.zeldadungeon.net/maps/totk/tiles/sky/6/43_31.jpg",</v>
      </c>
      <c r="H1991" t="str">
        <f t="shared" si="63"/>
        <v>43_31</v>
      </c>
    </row>
    <row r="1992" spans="1:8" x14ac:dyDescent="0.2">
      <c r="A1992" s="9" t="s">
        <v>51</v>
      </c>
      <c r="C1992" t="str">
        <f t="shared" si="62"/>
        <v>"https://www.zeldadungeon.net/maps/totk/tiles/sky/6/43_32.jpg",</v>
      </c>
      <c r="H1992" t="str">
        <f t="shared" si="63"/>
        <v>43_32</v>
      </c>
    </row>
    <row r="1993" spans="1:8" x14ac:dyDescent="0.2">
      <c r="A1993" s="9" t="s">
        <v>51</v>
      </c>
      <c r="C1993" t="str">
        <f t="shared" si="62"/>
        <v>"https://www.zeldadungeon.net/maps/totk/tiles/sky/6/43_33.jpg",</v>
      </c>
      <c r="H1993" t="str">
        <f t="shared" si="63"/>
        <v>43_33</v>
      </c>
    </row>
    <row r="1994" spans="1:8" x14ac:dyDescent="0.2">
      <c r="A1994" s="9" t="s">
        <v>51</v>
      </c>
      <c r="C1994" t="str">
        <f t="shared" si="62"/>
        <v>"https://www.zeldadungeon.net/maps/totk/tiles/sky/6/43_34.jpg",</v>
      </c>
      <c r="H1994" t="str">
        <f t="shared" si="63"/>
        <v>43_34</v>
      </c>
    </row>
    <row r="1995" spans="1:8" x14ac:dyDescent="0.2">
      <c r="A1995" s="9" t="s">
        <v>51</v>
      </c>
      <c r="C1995" t="str">
        <f t="shared" si="62"/>
        <v>"https://www.zeldadungeon.net/maps/totk/tiles/sky/6/43_35.jpg",</v>
      </c>
      <c r="H1995" t="str">
        <f t="shared" si="63"/>
        <v>43_35</v>
      </c>
    </row>
    <row r="1996" spans="1:8" x14ac:dyDescent="0.2">
      <c r="A1996" s="9" t="s">
        <v>51</v>
      </c>
      <c r="C1996" t="str">
        <f t="shared" si="62"/>
        <v>"https://www.zeldadungeon.net/maps/totk/tiles/sky/6/43_36.jpg",</v>
      </c>
      <c r="H1996" t="str">
        <f t="shared" si="63"/>
        <v>43_36</v>
      </c>
    </row>
    <row r="1997" spans="1:8" x14ac:dyDescent="0.2">
      <c r="A1997" s="9" t="s">
        <v>51</v>
      </c>
      <c r="C1997" t="str">
        <f t="shared" si="62"/>
        <v>"https://www.zeldadungeon.net/maps/totk/tiles/sky/6/43_37.jpg",</v>
      </c>
      <c r="H1997" t="str">
        <f t="shared" si="63"/>
        <v>43_37</v>
      </c>
    </row>
    <row r="1998" spans="1:8" x14ac:dyDescent="0.2">
      <c r="A1998" s="9" t="s">
        <v>51</v>
      </c>
      <c r="C1998" t="str">
        <f t="shared" si="62"/>
        <v>"https://www.zeldadungeon.net/maps/totk/tiles/sky/6/43_38.jpg",</v>
      </c>
      <c r="H1998" t="str">
        <f t="shared" si="63"/>
        <v>43_38</v>
      </c>
    </row>
    <row r="1999" spans="1:8" x14ac:dyDescent="0.2">
      <c r="A1999" s="9" t="s">
        <v>51</v>
      </c>
      <c r="C1999" t="str">
        <f t="shared" si="62"/>
        <v>"https://www.zeldadungeon.net/maps/totk/tiles/sky/6/43_39.jpg",</v>
      </c>
      <c r="H1999" t="str">
        <f t="shared" si="63"/>
        <v>43_39</v>
      </c>
    </row>
    <row r="2000" spans="1:8" x14ac:dyDescent="0.2">
      <c r="A2000" s="9" t="s">
        <v>51</v>
      </c>
      <c r="C2000" t="str">
        <f t="shared" si="62"/>
        <v>"https://www.zeldadungeon.net/maps/totk/tiles/sky/6/43_40.jpg",</v>
      </c>
      <c r="H2000" t="str">
        <f t="shared" si="63"/>
        <v>43_40</v>
      </c>
    </row>
    <row r="2001" spans="1:8" x14ac:dyDescent="0.2">
      <c r="A2001" s="9" t="s">
        <v>51</v>
      </c>
      <c r="C2001" t="str">
        <f t="shared" si="62"/>
        <v>"https://www.zeldadungeon.net/maps/totk/tiles/sky/6/43_41.jpg",</v>
      </c>
      <c r="H2001" t="str">
        <f t="shared" si="63"/>
        <v>43_41</v>
      </c>
    </row>
    <row r="2002" spans="1:8" x14ac:dyDescent="0.2">
      <c r="A2002" s="9" t="s">
        <v>51</v>
      </c>
      <c r="C2002" t="str">
        <f t="shared" si="62"/>
        <v>"https://www.zeldadungeon.net/maps/totk/tiles/sky/6/43_42.jpg",</v>
      </c>
      <c r="H2002" t="str">
        <f t="shared" si="63"/>
        <v>43_42</v>
      </c>
    </row>
    <row r="2003" spans="1:8" x14ac:dyDescent="0.2">
      <c r="A2003" s="9" t="s">
        <v>51</v>
      </c>
      <c r="C2003" t="str">
        <f t="shared" si="62"/>
        <v>"https://www.zeldadungeon.net/maps/totk/tiles/sky/6/43_43.jpg",</v>
      </c>
      <c r="H2003" t="str">
        <f t="shared" si="63"/>
        <v>43_43</v>
      </c>
    </row>
    <row r="2004" spans="1:8" x14ac:dyDescent="0.2">
      <c r="A2004" s="9" t="s">
        <v>51</v>
      </c>
      <c r="C2004" t="str">
        <f t="shared" si="62"/>
        <v>"https://www.zeldadungeon.net/maps/totk/tiles/sky/6/43_44.jpg",</v>
      </c>
      <c r="H2004" t="str">
        <f t="shared" si="63"/>
        <v>43_44</v>
      </c>
    </row>
    <row r="2005" spans="1:8" x14ac:dyDescent="0.2">
      <c r="A2005" s="9" t="s">
        <v>51</v>
      </c>
      <c r="C2005" t="str">
        <f t="shared" si="62"/>
        <v>"https://www.zeldadungeon.net/maps/totk/tiles/sky/6/43_45.jpg",</v>
      </c>
      <c r="H2005" t="str">
        <f t="shared" si="63"/>
        <v>43_45</v>
      </c>
    </row>
    <row r="2006" spans="1:8" x14ac:dyDescent="0.2">
      <c r="A2006" s="9" t="s">
        <v>51</v>
      </c>
      <c r="C2006" t="str">
        <f t="shared" si="62"/>
        <v>"https://www.zeldadungeon.net/maps/totk/tiles/sky/6/43_46.jpg",</v>
      </c>
      <c r="H2006" t="str">
        <f t="shared" si="63"/>
        <v>43_46</v>
      </c>
    </row>
    <row r="2007" spans="1:8" x14ac:dyDescent="0.2">
      <c r="A2007" s="9" t="s">
        <v>51</v>
      </c>
      <c r="C2007" t="str">
        <f t="shared" si="62"/>
        <v>"https://www.zeldadungeon.net/maps/totk/tiles/sky/6/43_47.jpg",</v>
      </c>
      <c r="H2007" t="str">
        <f t="shared" si="63"/>
        <v>43_47</v>
      </c>
    </row>
    <row r="2008" spans="1:8" x14ac:dyDescent="0.2">
      <c r="A2008" s="9" t="s">
        <v>51</v>
      </c>
      <c r="C2008" t="str">
        <f t="shared" si="62"/>
        <v>"https://www.zeldadungeon.net/maps/totk/tiles/sky/6/43_48.jpg",</v>
      </c>
      <c r="H2008" t="str">
        <f t="shared" si="63"/>
        <v>43_48</v>
      </c>
    </row>
    <row r="2009" spans="1:8" x14ac:dyDescent="0.2">
      <c r="A2009" s="9" t="s">
        <v>51</v>
      </c>
      <c r="C2009" t="str">
        <f t="shared" si="62"/>
        <v>"https://www.zeldadungeon.net/maps/totk/tiles/sky/6/43_49.jpg",</v>
      </c>
      <c r="H2009" t="str">
        <f t="shared" si="63"/>
        <v>43_49</v>
      </c>
    </row>
    <row r="2010" spans="1:8" x14ac:dyDescent="0.2">
      <c r="A2010" s="9" t="s">
        <v>51</v>
      </c>
      <c r="C2010" t="str">
        <f t="shared" si="62"/>
        <v>"https://www.zeldadungeon.net/maps/totk/tiles/sky/6/43_50.jpg",</v>
      </c>
      <c r="H2010" t="str">
        <f t="shared" si="63"/>
        <v>43_50</v>
      </c>
    </row>
    <row r="2011" spans="1:8" x14ac:dyDescent="0.2">
      <c r="A2011" s="9" t="s">
        <v>51</v>
      </c>
      <c r="C2011" t="str">
        <f t="shared" si="62"/>
        <v>"https://www.zeldadungeon.net/maps/totk/tiles/sky/6/43_51.jpg",</v>
      </c>
      <c r="H2011" t="str">
        <f t="shared" si="63"/>
        <v>43_51</v>
      </c>
    </row>
    <row r="2012" spans="1:8" x14ac:dyDescent="0.2">
      <c r="A2012" s="9" t="s">
        <v>51</v>
      </c>
      <c r="C2012" t="str">
        <f t="shared" si="62"/>
        <v>"https://www.zeldadungeon.net/maps/totk/tiles/sky/6/43_52.jpg",</v>
      </c>
      <c r="H2012" t="str">
        <f t="shared" si="63"/>
        <v>43_52</v>
      </c>
    </row>
    <row r="2013" spans="1:8" x14ac:dyDescent="0.2">
      <c r="A2013" s="9" t="s">
        <v>51</v>
      </c>
      <c r="C2013" t="str">
        <f t="shared" si="62"/>
        <v>"https://www.zeldadungeon.net/maps/totk/tiles/sky/6/43_53.jpg",</v>
      </c>
      <c r="H2013" t="str">
        <f t="shared" si="63"/>
        <v>43_53</v>
      </c>
    </row>
    <row r="2014" spans="1:8" x14ac:dyDescent="0.2">
      <c r="A2014" s="9" t="s">
        <v>51</v>
      </c>
      <c r="C2014" t="str">
        <f t="shared" si="62"/>
        <v>"https://www.zeldadungeon.net/maps/totk/tiles/sky/6/43_54.jpg",</v>
      </c>
      <c r="H2014" t="str">
        <f t="shared" si="63"/>
        <v>43_54</v>
      </c>
    </row>
    <row r="2015" spans="1:8" x14ac:dyDescent="0.2">
      <c r="A2015" s="9" t="s">
        <v>51</v>
      </c>
      <c r="C2015" t="str">
        <f t="shared" si="62"/>
        <v>"https://www.zeldadungeon.net/maps/totk/tiles/sky/6/43_55.jpg",</v>
      </c>
      <c r="H2015" t="str">
        <f t="shared" si="63"/>
        <v>43_55</v>
      </c>
    </row>
    <row r="2016" spans="1:8" x14ac:dyDescent="0.2">
      <c r="A2016" s="9" t="s">
        <v>51</v>
      </c>
      <c r="C2016" t="str">
        <f t="shared" si="62"/>
        <v>"https://www.zeldadungeon.net/maps/totk/tiles/sky/6/44_8.jpg",</v>
      </c>
      <c r="H2016" t="str">
        <f t="shared" si="63"/>
        <v>44_8</v>
      </c>
    </row>
    <row r="2017" spans="1:8" x14ac:dyDescent="0.2">
      <c r="A2017" s="9" t="s">
        <v>51</v>
      </c>
      <c r="C2017" t="str">
        <f t="shared" si="62"/>
        <v>"https://www.zeldadungeon.net/maps/totk/tiles/sky/6/44_9.jpg",</v>
      </c>
      <c r="H2017" t="str">
        <f t="shared" si="63"/>
        <v>44_9</v>
      </c>
    </row>
    <row r="2018" spans="1:8" x14ac:dyDescent="0.2">
      <c r="A2018" s="9" t="s">
        <v>51</v>
      </c>
      <c r="C2018" t="str">
        <f t="shared" si="62"/>
        <v>"https://www.zeldadungeon.net/maps/totk/tiles/sky/6/44_10.jpg",</v>
      </c>
      <c r="H2018" t="str">
        <f t="shared" si="63"/>
        <v>44_10</v>
      </c>
    </row>
    <row r="2019" spans="1:8" x14ac:dyDescent="0.2">
      <c r="A2019" s="9" t="s">
        <v>51</v>
      </c>
      <c r="C2019" t="str">
        <f t="shared" si="62"/>
        <v>"https://www.zeldadungeon.net/maps/totk/tiles/sky/6/44_11.jpg",</v>
      </c>
      <c r="H2019" t="str">
        <f t="shared" si="63"/>
        <v>44_11</v>
      </c>
    </row>
    <row r="2020" spans="1:8" x14ac:dyDescent="0.2">
      <c r="A2020" s="9" t="s">
        <v>51</v>
      </c>
      <c r="C2020" t="str">
        <f t="shared" si="62"/>
        <v>"https://www.zeldadungeon.net/maps/totk/tiles/sky/6/44_12.jpg",</v>
      </c>
      <c r="H2020" t="str">
        <f t="shared" si="63"/>
        <v>44_12</v>
      </c>
    </row>
    <row r="2021" spans="1:8" x14ac:dyDescent="0.2">
      <c r="A2021" s="9" t="s">
        <v>51</v>
      </c>
      <c r="C2021" t="str">
        <f t="shared" si="62"/>
        <v>"https://www.zeldadungeon.net/maps/totk/tiles/sky/6/44_13.jpg",</v>
      </c>
      <c r="H2021" t="str">
        <f t="shared" si="63"/>
        <v>44_13</v>
      </c>
    </row>
    <row r="2022" spans="1:8" x14ac:dyDescent="0.2">
      <c r="A2022" s="9" t="s">
        <v>51</v>
      </c>
      <c r="C2022" t="str">
        <f t="shared" si="62"/>
        <v>"https://www.zeldadungeon.net/maps/totk/tiles/sky/6/44_14.jpg",</v>
      </c>
      <c r="H2022" t="str">
        <f t="shared" si="63"/>
        <v>44_14</v>
      </c>
    </row>
    <row r="2023" spans="1:8" x14ac:dyDescent="0.2">
      <c r="A2023" s="9" t="s">
        <v>51</v>
      </c>
      <c r="C2023" t="str">
        <f t="shared" si="62"/>
        <v>"https://www.zeldadungeon.net/maps/totk/tiles/sky/6/44_15.jpg",</v>
      </c>
      <c r="H2023" t="str">
        <f t="shared" si="63"/>
        <v>44_15</v>
      </c>
    </row>
    <row r="2024" spans="1:8" x14ac:dyDescent="0.2">
      <c r="A2024" s="9" t="s">
        <v>51</v>
      </c>
      <c r="C2024" t="str">
        <f t="shared" si="62"/>
        <v>"https://www.zeldadungeon.net/maps/totk/tiles/sky/6/44_16.jpg",</v>
      </c>
      <c r="H2024" t="str">
        <f t="shared" si="63"/>
        <v>44_16</v>
      </c>
    </row>
    <row r="2025" spans="1:8" x14ac:dyDescent="0.2">
      <c r="A2025" s="9" t="s">
        <v>51</v>
      </c>
      <c r="C2025" t="str">
        <f t="shared" si="62"/>
        <v>"https://www.zeldadungeon.net/maps/totk/tiles/sky/6/44_17.jpg",</v>
      </c>
      <c r="H2025" t="str">
        <f t="shared" si="63"/>
        <v>44_17</v>
      </c>
    </row>
    <row r="2026" spans="1:8" x14ac:dyDescent="0.2">
      <c r="A2026" s="9" t="s">
        <v>51</v>
      </c>
      <c r="C2026" t="str">
        <f t="shared" si="62"/>
        <v>"https://www.zeldadungeon.net/maps/totk/tiles/sky/6/44_18.jpg",</v>
      </c>
      <c r="H2026" t="str">
        <f t="shared" si="63"/>
        <v>44_18</v>
      </c>
    </row>
    <row r="2027" spans="1:8" x14ac:dyDescent="0.2">
      <c r="A2027" s="9" t="s">
        <v>51</v>
      </c>
      <c r="C2027" t="str">
        <f t="shared" si="62"/>
        <v>"https://www.zeldadungeon.net/maps/totk/tiles/sky/6/44_19.jpg",</v>
      </c>
      <c r="H2027" t="str">
        <f t="shared" si="63"/>
        <v>44_19</v>
      </c>
    </row>
    <row r="2028" spans="1:8" x14ac:dyDescent="0.2">
      <c r="A2028" s="9" t="s">
        <v>51</v>
      </c>
      <c r="C2028" t="str">
        <f t="shared" si="62"/>
        <v>"https://www.zeldadungeon.net/maps/totk/tiles/sky/6/44_20.jpg",</v>
      </c>
      <c r="H2028" t="str">
        <f t="shared" si="63"/>
        <v>44_20</v>
      </c>
    </row>
    <row r="2029" spans="1:8" x14ac:dyDescent="0.2">
      <c r="A2029" s="9" t="s">
        <v>51</v>
      </c>
      <c r="C2029" t="str">
        <f t="shared" si="62"/>
        <v>"https://www.zeldadungeon.net/maps/totk/tiles/sky/6/44_21.jpg",</v>
      </c>
      <c r="H2029" t="str">
        <f t="shared" si="63"/>
        <v>44_21</v>
      </c>
    </row>
    <row r="2030" spans="1:8" x14ac:dyDescent="0.2">
      <c r="A2030" s="9" t="s">
        <v>51</v>
      </c>
      <c r="C2030" t="str">
        <f t="shared" si="62"/>
        <v>"https://www.zeldadungeon.net/maps/totk/tiles/sky/6/44_22.jpg",</v>
      </c>
      <c r="H2030" t="str">
        <f t="shared" si="63"/>
        <v>44_22</v>
      </c>
    </row>
    <row r="2031" spans="1:8" x14ac:dyDescent="0.2">
      <c r="A2031" s="9" t="s">
        <v>51</v>
      </c>
      <c r="C2031" t="str">
        <f t="shared" si="62"/>
        <v>"https://www.zeldadungeon.net/maps/totk/tiles/sky/6/44_23.jpg",</v>
      </c>
      <c r="H2031" t="str">
        <f t="shared" si="63"/>
        <v>44_23</v>
      </c>
    </row>
    <row r="2032" spans="1:8" x14ac:dyDescent="0.2">
      <c r="A2032" s="9" t="s">
        <v>51</v>
      </c>
      <c r="C2032" t="str">
        <f t="shared" si="62"/>
        <v>"https://www.zeldadungeon.net/maps/totk/tiles/sky/6/44_24.jpg",</v>
      </c>
      <c r="H2032" t="str">
        <f t="shared" si="63"/>
        <v>44_24</v>
      </c>
    </row>
    <row r="2033" spans="1:8" x14ac:dyDescent="0.2">
      <c r="A2033" s="9" t="s">
        <v>51</v>
      </c>
      <c r="C2033" t="str">
        <f t="shared" si="62"/>
        <v>"https://www.zeldadungeon.net/maps/totk/tiles/sky/6/44_25.jpg",</v>
      </c>
      <c r="H2033" t="str">
        <f t="shared" si="63"/>
        <v>44_25</v>
      </c>
    </row>
    <row r="2034" spans="1:8" x14ac:dyDescent="0.2">
      <c r="A2034" s="9" t="s">
        <v>51</v>
      </c>
      <c r="C2034" t="str">
        <f t="shared" si="62"/>
        <v>"https://www.zeldadungeon.net/maps/totk/tiles/sky/6/44_26.jpg",</v>
      </c>
      <c r="H2034" t="str">
        <f t="shared" si="63"/>
        <v>44_26</v>
      </c>
    </row>
    <row r="2035" spans="1:8" x14ac:dyDescent="0.2">
      <c r="A2035" s="9" t="s">
        <v>51</v>
      </c>
      <c r="C2035" t="str">
        <f t="shared" si="62"/>
        <v>"https://www.zeldadungeon.net/maps/totk/tiles/sky/6/44_27.jpg",</v>
      </c>
      <c r="H2035" t="str">
        <f t="shared" si="63"/>
        <v>44_27</v>
      </c>
    </row>
    <row r="2036" spans="1:8" x14ac:dyDescent="0.2">
      <c r="A2036" s="9" t="s">
        <v>51</v>
      </c>
      <c r="C2036" t="str">
        <f t="shared" si="62"/>
        <v>"https://www.zeldadungeon.net/maps/totk/tiles/sky/6/44_28.jpg",</v>
      </c>
      <c r="H2036" t="str">
        <f t="shared" si="63"/>
        <v>44_28</v>
      </c>
    </row>
    <row r="2037" spans="1:8" x14ac:dyDescent="0.2">
      <c r="A2037" s="9" t="s">
        <v>51</v>
      </c>
      <c r="C2037" t="str">
        <f t="shared" si="62"/>
        <v>"https://www.zeldadungeon.net/maps/totk/tiles/sky/6/44_29.jpg",</v>
      </c>
      <c r="H2037" t="str">
        <f t="shared" si="63"/>
        <v>44_29</v>
      </c>
    </row>
    <row r="2038" spans="1:8" x14ac:dyDescent="0.2">
      <c r="A2038" s="9" t="s">
        <v>51</v>
      </c>
      <c r="C2038" t="str">
        <f t="shared" si="62"/>
        <v>"https://www.zeldadungeon.net/maps/totk/tiles/sky/6/44_30.jpg",</v>
      </c>
      <c r="H2038" t="str">
        <f t="shared" si="63"/>
        <v>44_30</v>
      </c>
    </row>
    <row r="2039" spans="1:8" x14ac:dyDescent="0.2">
      <c r="A2039" s="9" t="s">
        <v>51</v>
      </c>
      <c r="C2039" t="str">
        <f t="shared" si="62"/>
        <v>"https://www.zeldadungeon.net/maps/totk/tiles/sky/6/44_31.jpg",</v>
      </c>
      <c r="H2039" t="str">
        <f t="shared" si="63"/>
        <v>44_31</v>
      </c>
    </row>
    <row r="2040" spans="1:8" x14ac:dyDescent="0.2">
      <c r="A2040" s="9" t="s">
        <v>51</v>
      </c>
      <c r="C2040" t="str">
        <f t="shared" si="62"/>
        <v>"https://www.zeldadungeon.net/maps/totk/tiles/sky/6/44_32.jpg",</v>
      </c>
      <c r="H2040" t="str">
        <f t="shared" si="63"/>
        <v>44_32</v>
      </c>
    </row>
    <row r="2041" spans="1:8" x14ac:dyDescent="0.2">
      <c r="A2041" s="9" t="s">
        <v>51</v>
      </c>
      <c r="C2041" t="str">
        <f t="shared" si="62"/>
        <v>"https://www.zeldadungeon.net/maps/totk/tiles/sky/6/44_33.jpg",</v>
      </c>
      <c r="H2041" t="str">
        <f t="shared" si="63"/>
        <v>44_33</v>
      </c>
    </row>
    <row r="2042" spans="1:8" x14ac:dyDescent="0.2">
      <c r="A2042" s="9" t="s">
        <v>51</v>
      </c>
      <c r="C2042" t="str">
        <f t="shared" si="62"/>
        <v>"https://www.zeldadungeon.net/maps/totk/tiles/sky/6/44_34.jpg",</v>
      </c>
      <c r="H2042" t="str">
        <f t="shared" si="63"/>
        <v>44_34</v>
      </c>
    </row>
    <row r="2043" spans="1:8" x14ac:dyDescent="0.2">
      <c r="A2043" s="9" t="s">
        <v>51</v>
      </c>
      <c r="C2043" t="str">
        <f t="shared" si="62"/>
        <v>"https://www.zeldadungeon.net/maps/totk/tiles/sky/6/44_35.jpg",</v>
      </c>
      <c r="H2043" t="str">
        <f t="shared" si="63"/>
        <v>44_35</v>
      </c>
    </row>
    <row r="2044" spans="1:8" x14ac:dyDescent="0.2">
      <c r="A2044" s="9" t="s">
        <v>51</v>
      </c>
      <c r="C2044" t="str">
        <f t="shared" si="62"/>
        <v>"https://www.zeldadungeon.net/maps/totk/tiles/sky/6/44_36.jpg",</v>
      </c>
      <c r="H2044" t="str">
        <f t="shared" si="63"/>
        <v>44_36</v>
      </c>
    </row>
    <row r="2045" spans="1:8" x14ac:dyDescent="0.2">
      <c r="A2045" s="9" t="s">
        <v>51</v>
      </c>
      <c r="C2045" t="str">
        <f t="shared" si="62"/>
        <v>"https://www.zeldadungeon.net/maps/totk/tiles/sky/6/44_37.jpg",</v>
      </c>
      <c r="H2045" t="str">
        <f t="shared" si="63"/>
        <v>44_37</v>
      </c>
    </row>
    <row r="2046" spans="1:8" x14ac:dyDescent="0.2">
      <c r="A2046" s="9" t="s">
        <v>51</v>
      </c>
      <c r="C2046" t="str">
        <f t="shared" si="62"/>
        <v>"https://www.zeldadungeon.net/maps/totk/tiles/sky/6/44_38.jpg",</v>
      </c>
      <c r="H2046" t="str">
        <f t="shared" si="63"/>
        <v>44_38</v>
      </c>
    </row>
    <row r="2047" spans="1:8" x14ac:dyDescent="0.2">
      <c r="A2047" s="9" t="s">
        <v>51</v>
      </c>
      <c r="C2047" t="str">
        <f t="shared" si="62"/>
        <v>"https://www.zeldadungeon.net/maps/totk/tiles/sky/6/44_39.jpg",</v>
      </c>
      <c r="H2047" t="str">
        <f t="shared" si="63"/>
        <v>44_39</v>
      </c>
    </row>
    <row r="2048" spans="1:8" x14ac:dyDescent="0.2">
      <c r="A2048" s="9" t="s">
        <v>51</v>
      </c>
      <c r="C2048" t="str">
        <f t="shared" si="62"/>
        <v>"https://www.zeldadungeon.net/maps/totk/tiles/sky/6/44_40.jpg",</v>
      </c>
      <c r="H2048" t="str">
        <f t="shared" si="63"/>
        <v>44_40</v>
      </c>
    </row>
    <row r="2049" spans="1:8" x14ac:dyDescent="0.2">
      <c r="A2049" s="9" t="s">
        <v>51</v>
      </c>
      <c r="C2049" t="str">
        <f t="shared" ref="C2049:C2112" si="64">""""&amp;SUBSTITUTE(A2049,"zzz",H2049)&amp;""""&amp;","</f>
        <v>"https://www.zeldadungeon.net/maps/totk/tiles/sky/6/44_41.jpg",</v>
      </c>
      <c r="H2049" t="str">
        <f t="shared" ref="H2049:H2112" si="65">QUOTIENT(ROW(A2049),48)+2&amp;"_"&amp;MOD(ROW(A2049),48)+8</f>
        <v>44_41</v>
      </c>
    </row>
    <row r="2050" spans="1:8" x14ac:dyDescent="0.2">
      <c r="A2050" s="9" t="s">
        <v>51</v>
      </c>
      <c r="C2050" t="str">
        <f t="shared" si="64"/>
        <v>"https://www.zeldadungeon.net/maps/totk/tiles/sky/6/44_42.jpg",</v>
      </c>
      <c r="H2050" t="str">
        <f t="shared" si="65"/>
        <v>44_42</v>
      </c>
    </row>
    <row r="2051" spans="1:8" x14ac:dyDescent="0.2">
      <c r="A2051" s="9" t="s">
        <v>51</v>
      </c>
      <c r="C2051" t="str">
        <f t="shared" si="64"/>
        <v>"https://www.zeldadungeon.net/maps/totk/tiles/sky/6/44_43.jpg",</v>
      </c>
      <c r="H2051" t="str">
        <f t="shared" si="65"/>
        <v>44_43</v>
      </c>
    </row>
    <row r="2052" spans="1:8" x14ac:dyDescent="0.2">
      <c r="A2052" s="9" t="s">
        <v>51</v>
      </c>
      <c r="C2052" t="str">
        <f t="shared" si="64"/>
        <v>"https://www.zeldadungeon.net/maps/totk/tiles/sky/6/44_44.jpg",</v>
      </c>
      <c r="H2052" t="str">
        <f t="shared" si="65"/>
        <v>44_44</v>
      </c>
    </row>
    <row r="2053" spans="1:8" x14ac:dyDescent="0.2">
      <c r="A2053" s="9" t="s">
        <v>51</v>
      </c>
      <c r="C2053" t="str">
        <f t="shared" si="64"/>
        <v>"https://www.zeldadungeon.net/maps/totk/tiles/sky/6/44_45.jpg",</v>
      </c>
      <c r="H2053" t="str">
        <f t="shared" si="65"/>
        <v>44_45</v>
      </c>
    </row>
    <row r="2054" spans="1:8" x14ac:dyDescent="0.2">
      <c r="A2054" s="9" t="s">
        <v>51</v>
      </c>
      <c r="C2054" t="str">
        <f t="shared" si="64"/>
        <v>"https://www.zeldadungeon.net/maps/totk/tiles/sky/6/44_46.jpg",</v>
      </c>
      <c r="H2054" t="str">
        <f t="shared" si="65"/>
        <v>44_46</v>
      </c>
    </row>
    <row r="2055" spans="1:8" x14ac:dyDescent="0.2">
      <c r="A2055" s="9" t="s">
        <v>51</v>
      </c>
      <c r="C2055" t="str">
        <f t="shared" si="64"/>
        <v>"https://www.zeldadungeon.net/maps/totk/tiles/sky/6/44_47.jpg",</v>
      </c>
      <c r="H2055" t="str">
        <f t="shared" si="65"/>
        <v>44_47</v>
      </c>
    </row>
    <row r="2056" spans="1:8" x14ac:dyDescent="0.2">
      <c r="A2056" s="9" t="s">
        <v>51</v>
      </c>
      <c r="C2056" t="str">
        <f t="shared" si="64"/>
        <v>"https://www.zeldadungeon.net/maps/totk/tiles/sky/6/44_48.jpg",</v>
      </c>
      <c r="H2056" t="str">
        <f t="shared" si="65"/>
        <v>44_48</v>
      </c>
    </row>
    <row r="2057" spans="1:8" x14ac:dyDescent="0.2">
      <c r="A2057" s="9" t="s">
        <v>51</v>
      </c>
      <c r="C2057" t="str">
        <f t="shared" si="64"/>
        <v>"https://www.zeldadungeon.net/maps/totk/tiles/sky/6/44_49.jpg",</v>
      </c>
      <c r="H2057" t="str">
        <f t="shared" si="65"/>
        <v>44_49</v>
      </c>
    </row>
    <row r="2058" spans="1:8" x14ac:dyDescent="0.2">
      <c r="A2058" s="9" t="s">
        <v>51</v>
      </c>
      <c r="C2058" t="str">
        <f t="shared" si="64"/>
        <v>"https://www.zeldadungeon.net/maps/totk/tiles/sky/6/44_50.jpg",</v>
      </c>
      <c r="H2058" t="str">
        <f t="shared" si="65"/>
        <v>44_50</v>
      </c>
    </row>
    <row r="2059" spans="1:8" x14ac:dyDescent="0.2">
      <c r="A2059" s="9" t="s">
        <v>51</v>
      </c>
      <c r="C2059" t="str">
        <f t="shared" si="64"/>
        <v>"https://www.zeldadungeon.net/maps/totk/tiles/sky/6/44_51.jpg",</v>
      </c>
      <c r="H2059" t="str">
        <f t="shared" si="65"/>
        <v>44_51</v>
      </c>
    </row>
    <row r="2060" spans="1:8" x14ac:dyDescent="0.2">
      <c r="A2060" s="9" t="s">
        <v>51</v>
      </c>
      <c r="C2060" t="str">
        <f t="shared" si="64"/>
        <v>"https://www.zeldadungeon.net/maps/totk/tiles/sky/6/44_52.jpg",</v>
      </c>
      <c r="H2060" t="str">
        <f t="shared" si="65"/>
        <v>44_52</v>
      </c>
    </row>
    <row r="2061" spans="1:8" x14ac:dyDescent="0.2">
      <c r="A2061" s="9" t="s">
        <v>51</v>
      </c>
      <c r="C2061" t="str">
        <f t="shared" si="64"/>
        <v>"https://www.zeldadungeon.net/maps/totk/tiles/sky/6/44_53.jpg",</v>
      </c>
      <c r="H2061" t="str">
        <f t="shared" si="65"/>
        <v>44_53</v>
      </c>
    </row>
    <row r="2062" spans="1:8" x14ac:dyDescent="0.2">
      <c r="A2062" s="9" t="s">
        <v>51</v>
      </c>
      <c r="C2062" t="str">
        <f t="shared" si="64"/>
        <v>"https://www.zeldadungeon.net/maps/totk/tiles/sky/6/44_54.jpg",</v>
      </c>
      <c r="H2062" t="str">
        <f t="shared" si="65"/>
        <v>44_54</v>
      </c>
    </row>
    <row r="2063" spans="1:8" x14ac:dyDescent="0.2">
      <c r="A2063" s="9" t="s">
        <v>51</v>
      </c>
      <c r="C2063" t="str">
        <f t="shared" si="64"/>
        <v>"https://www.zeldadungeon.net/maps/totk/tiles/sky/6/44_55.jpg",</v>
      </c>
      <c r="H2063" t="str">
        <f t="shared" si="65"/>
        <v>44_55</v>
      </c>
    </row>
    <row r="2064" spans="1:8" x14ac:dyDescent="0.2">
      <c r="A2064" s="9" t="s">
        <v>51</v>
      </c>
      <c r="C2064" t="str">
        <f t="shared" si="64"/>
        <v>"https://www.zeldadungeon.net/maps/totk/tiles/sky/6/45_8.jpg",</v>
      </c>
      <c r="H2064" t="str">
        <f t="shared" si="65"/>
        <v>45_8</v>
      </c>
    </row>
    <row r="2065" spans="1:8" x14ac:dyDescent="0.2">
      <c r="A2065" s="9" t="s">
        <v>51</v>
      </c>
      <c r="C2065" t="str">
        <f t="shared" si="64"/>
        <v>"https://www.zeldadungeon.net/maps/totk/tiles/sky/6/45_9.jpg",</v>
      </c>
      <c r="H2065" t="str">
        <f t="shared" si="65"/>
        <v>45_9</v>
      </c>
    </row>
    <row r="2066" spans="1:8" x14ac:dyDescent="0.2">
      <c r="A2066" s="9" t="s">
        <v>51</v>
      </c>
      <c r="C2066" t="str">
        <f t="shared" si="64"/>
        <v>"https://www.zeldadungeon.net/maps/totk/tiles/sky/6/45_10.jpg",</v>
      </c>
      <c r="H2066" t="str">
        <f t="shared" si="65"/>
        <v>45_10</v>
      </c>
    </row>
    <row r="2067" spans="1:8" x14ac:dyDescent="0.2">
      <c r="A2067" s="9" t="s">
        <v>51</v>
      </c>
      <c r="C2067" t="str">
        <f t="shared" si="64"/>
        <v>"https://www.zeldadungeon.net/maps/totk/tiles/sky/6/45_11.jpg",</v>
      </c>
      <c r="H2067" t="str">
        <f t="shared" si="65"/>
        <v>45_11</v>
      </c>
    </row>
    <row r="2068" spans="1:8" x14ac:dyDescent="0.2">
      <c r="A2068" s="9" t="s">
        <v>51</v>
      </c>
      <c r="C2068" t="str">
        <f t="shared" si="64"/>
        <v>"https://www.zeldadungeon.net/maps/totk/tiles/sky/6/45_12.jpg",</v>
      </c>
      <c r="H2068" t="str">
        <f t="shared" si="65"/>
        <v>45_12</v>
      </c>
    </row>
    <row r="2069" spans="1:8" x14ac:dyDescent="0.2">
      <c r="A2069" s="9" t="s">
        <v>51</v>
      </c>
      <c r="C2069" t="str">
        <f t="shared" si="64"/>
        <v>"https://www.zeldadungeon.net/maps/totk/tiles/sky/6/45_13.jpg",</v>
      </c>
      <c r="H2069" t="str">
        <f t="shared" si="65"/>
        <v>45_13</v>
      </c>
    </row>
    <row r="2070" spans="1:8" x14ac:dyDescent="0.2">
      <c r="A2070" s="9" t="s">
        <v>51</v>
      </c>
      <c r="C2070" t="str">
        <f t="shared" si="64"/>
        <v>"https://www.zeldadungeon.net/maps/totk/tiles/sky/6/45_14.jpg",</v>
      </c>
      <c r="H2070" t="str">
        <f t="shared" si="65"/>
        <v>45_14</v>
      </c>
    </row>
    <row r="2071" spans="1:8" x14ac:dyDescent="0.2">
      <c r="A2071" s="9" t="s">
        <v>51</v>
      </c>
      <c r="C2071" t="str">
        <f t="shared" si="64"/>
        <v>"https://www.zeldadungeon.net/maps/totk/tiles/sky/6/45_15.jpg",</v>
      </c>
      <c r="H2071" t="str">
        <f t="shared" si="65"/>
        <v>45_15</v>
      </c>
    </row>
    <row r="2072" spans="1:8" x14ac:dyDescent="0.2">
      <c r="A2072" s="9" t="s">
        <v>51</v>
      </c>
      <c r="C2072" t="str">
        <f t="shared" si="64"/>
        <v>"https://www.zeldadungeon.net/maps/totk/tiles/sky/6/45_16.jpg",</v>
      </c>
      <c r="H2072" t="str">
        <f t="shared" si="65"/>
        <v>45_16</v>
      </c>
    </row>
    <row r="2073" spans="1:8" x14ac:dyDescent="0.2">
      <c r="A2073" s="9" t="s">
        <v>51</v>
      </c>
      <c r="C2073" t="str">
        <f t="shared" si="64"/>
        <v>"https://www.zeldadungeon.net/maps/totk/tiles/sky/6/45_17.jpg",</v>
      </c>
      <c r="H2073" t="str">
        <f t="shared" si="65"/>
        <v>45_17</v>
      </c>
    </row>
    <row r="2074" spans="1:8" x14ac:dyDescent="0.2">
      <c r="A2074" s="9" t="s">
        <v>51</v>
      </c>
      <c r="C2074" t="str">
        <f t="shared" si="64"/>
        <v>"https://www.zeldadungeon.net/maps/totk/tiles/sky/6/45_18.jpg",</v>
      </c>
      <c r="H2074" t="str">
        <f t="shared" si="65"/>
        <v>45_18</v>
      </c>
    </row>
    <row r="2075" spans="1:8" x14ac:dyDescent="0.2">
      <c r="A2075" s="9" t="s">
        <v>51</v>
      </c>
      <c r="C2075" t="str">
        <f t="shared" si="64"/>
        <v>"https://www.zeldadungeon.net/maps/totk/tiles/sky/6/45_19.jpg",</v>
      </c>
      <c r="H2075" t="str">
        <f t="shared" si="65"/>
        <v>45_19</v>
      </c>
    </row>
    <row r="2076" spans="1:8" x14ac:dyDescent="0.2">
      <c r="A2076" s="9" t="s">
        <v>51</v>
      </c>
      <c r="C2076" t="str">
        <f t="shared" si="64"/>
        <v>"https://www.zeldadungeon.net/maps/totk/tiles/sky/6/45_20.jpg",</v>
      </c>
      <c r="H2076" t="str">
        <f t="shared" si="65"/>
        <v>45_20</v>
      </c>
    </row>
    <row r="2077" spans="1:8" x14ac:dyDescent="0.2">
      <c r="A2077" s="9" t="s">
        <v>51</v>
      </c>
      <c r="C2077" t="str">
        <f t="shared" si="64"/>
        <v>"https://www.zeldadungeon.net/maps/totk/tiles/sky/6/45_21.jpg",</v>
      </c>
      <c r="H2077" t="str">
        <f t="shared" si="65"/>
        <v>45_21</v>
      </c>
    </row>
    <row r="2078" spans="1:8" x14ac:dyDescent="0.2">
      <c r="A2078" s="9" t="s">
        <v>51</v>
      </c>
      <c r="C2078" t="str">
        <f t="shared" si="64"/>
        <v>"https://www.zeldadungeon.net/maps/totk/tiles/sky/6/45_22.jpg",</v>
      </c>
      <c r="H2078" t="str">
        <f t="shared" si="65"/>
        <v>45_22</v>
      </c>
    </row>
    <row r="2079" spans="1:8" x14ac:dyDescent="0.2">
      <c r="A2079" s="9" t="s">
        <v>51</v>
      </c>
      <c r="C2079" t="str">
        <f t="shared" si="64"/>
        <v>"https://www.zeldadungeon.net/maps/totk/tiles/sky/6/45_23.jpg",</v>
      </c>
      <c r="H2079" t="str">
        <f t="shared" si="65"/>
        <v>45_23</v>
      </c>
    </row>
    <row r="2080" spans="1:8" x14ac:dyDescent="0.2">
      <c r="A2080" s="9" t="s">
        <v>51</v>
      </c>
      <c r="C2080" t="str">
        <f t="shared" si="64"/>
        <v>"https://www.zeldadungeon.net/maps/totk/tiles/sky/6/45_24.jpg",</v>
      </c>
      <c r="H2080" t="str">
        <f t="shared" si="65"/>
        <v>45_24</v>
      </c>
    </row>
    <row r="2081" spans="1:8" x14ac:dyDescent="0.2">
      <c r="A2081" s="9" t="s">
        <v>51</v>
      </c>
      <c r="C2081" t="str">
        <f t="shared" si="64"/>
        <v>"https://www.zeldadungeon.net/maps/totk/tiles/sky/6/45_25.jpg",</v>
      </c>
      <c r="H2081" t="str">
        <f t="shared" si="65"/>
        <v>45_25</v>
      </c>
    </row>
    <row r="2082" spans="1:8" x14ac:dyDescent="0.2">
      <c r="A2082" s="9" t="s">
        <v>51</v>
      </c>
      <c r="C2082" t="str">
        <f t="shared" si="64"/>
        <v>"https://www.zeldadungeon.net/maps/totk/tiles/sky/6/45_26.jpg",</v>
      </c>
      <c r="H2082" t="str">
        <f t="shared" si="65"/>
        <v>45_26</v>
      </c>
    </row>
    <row r="2083" spans="1:8" x14ac:dyDescent="0.2">
      <c r="A2083" s="9" t="s">
        <v>51</v>
      </c>
      <c r="C2083" t="str">
        <f t="shared" si="64"/>
        <v>"https://www.zeldadungeon.net/maps/totk/tiles/sky/6/45_27.jpg",</v>
      </c>
      <c r="H2083" t="str">
        <f t="shared" si="65"/>
        <v>45_27</v>
      </c>
    </row>
    <row r="2084" spans="1:8" x14ac:dyDescent="0.2">
      <c r="A2084" s="9" t="s">
        <v>51</v>
      </c>
      <c r="C2084" t="str">
        <f t="shared" si="64"/>
        <v>"https://www.zeldadungeon.net/maps/totk/tiles/sky/6/45_28.jpg",</v>
      </c>
      <c r="H2084" t="str">
        <f t="shared" si="65"/>
        <v>45_28</v>
      </c>
    </row>
    <row r="2085" spans="1:8" x14ac:dyDescent="0.2">
      <c r="A2085" s="9" t="s">
        <v>51</v>
      </c>
      <c r="C2085" t="str">
        <f t="shared" si="64"/>
        <v>"https://www.zeldadungeon.net/maps/totk/tiles/sky/6/45_29.jpg",</v>
      </c>
      <c r="H2085" t="str">
        <f t="shared" si="65"/>
        <v>45_29</v>
      </c>
    </row>
    <row r="2086" spans="1:8" x14ac:dyDescent="0.2">
      <c r="A2086" s="9" t="s">
        <v>51</v>
      </c>
      <c r="C2086" t="str">
        <f t="shared" si="64"/>
        <v>"https://www.zeldadungeon.net/maps/totk/tiles/sky/6/45_30.jpg",</v>
      </c>
      <c r="H2086" t="str">
        <f t="shared" si="65"/>
        <v>45_30</v>
      </c>
    </row>
    <row r="2087" spans="1:8" x14ac:dyDescent="0.2">
      <c r="A2087" s="9" t="s">
        <v>51</v>
      </c>
      <c r="C2087" t="str">
        <f t="shared" si="64"/>
        <v>"https://www.zeldadungeon.net/maps/totk/tiles/sky/6/45_31.jpg",</v>
      </c>
      <c r="H2087" t="str">
        <f t="shared" si="65"/>
        <v>45_31</v>
      </c>
    </row>
    <row r="2088" spans="1:8" x14ac:dyDescent="0.2">
      <c r="A2088" s="9" t="s">
        <v>51</v>
      </c>
      <c r="C2088" t="str">
        <f t="shared" si="64"/>
        <v>"https://www.zeldadungeon.net/maps/totk/tiles/sky/6/45_32.jpg",</v>
      </c>
      <c r="H2088" t="str">
        <f t="shared" si="65"/>
        <v>45_32</v>
      </c>
    </row>
    <row r="2089" spans="1:8" x14ac:dyDescent="0.2">
      <c r="A2089" s="9" t="s">
        <v>51</v>
      </c>
      <c r="C2089" t="str">
        <f t="shared" si="64"/>
        <v>"https://www.zeldadungeon.net/maps/totk/tiles/sky/6/45_33.jpg",</v>
      </c>
      <c r="H2089" t="str">
        <f t="shared" si="65"/>
        <v>45_33</v>
      </c>
    </row>
    <row r="2090" spans="1:8" x14ac:dyDescent="0.2">
      <c r="A2090" s="9" t="s">
        <v>51</v>
      </c>
      <c r="C2090" t="str">
        <f t="shared" si="64"/>
        <v>"https://www.zeldadungeon.net/maps/totk/tiles/sky/6/45_34.jpg",</v>
      </c>
      <c r="H2090" t="str">
        <f t="shared" si="65"/>
        <v>45_34</v>
      </c>
    </row>
    <row r="2091" spans="1:8" x14ac:dyDescent="0.2">
      <c r="A2091" s="9" t="s">
        <v>51</v>
      </c>
      <c r="C2091" t="str">
        <f t="shared" si="64"/>
        <v>"https://www.zeldadungeon.net/maps/totk/tiles/sky/6/45_35.jpg",</v>
      </c>
      <c r="H2091" t="str">
        <f t="shared" si="65"/>
        <v>45_35</v>
      </c>
    </row>
    <row r="2092" spans="1:8" x14ac:dyDescent="0.2">
      <c r="A2092" s="9" t="s">
        <v>51</v>
      </c>
      <c r="C2092" t="str">
        <f t="shared" si="64"/>
        <v>"https://www.zeldadungeon.net/maps/totk/tiles/sky/6/45_36.jpg",</v>
      </c>
      <c r="H2092" t="str">
        <f t="shared" si="65"/>
        <v>45_36</v>
      </c>
    </row>
    <row r="2093" spans="1:8" x14ac:dyDescent="0.2">
      <c r="A2093" s="9" t="s">
        <v>51</v>
      </c>
      <c r="C2093" t="str">
        <f t="shared" si="64"/>
        <v>"https://www.zeldadungeon.net/maps/totk/tiles/sky/6/45_37.jpg",</v>
      </c>
      <c r="H2093" t="str">
        <f t="shared" si="65"/>
        <v>45_37</v>
      </c>
    </row>
    <row r="2094" spans="1:8" x14ac:dyDescent="0.2">
      <c r="A2094" s="9" t="s">
        <v>51</v>
      </c>
      <c r="C2094" t="str">
        <f t="shared" si="64"/>
        <v>"https://www.zeldadungeon.net/maps/totk/tiles/sky/6/45_38.jpg",</v>
      </c>
      <c r="H2094" t="str">
        <f t="shared" si="65"/>
        <v>45_38</v>
      </c>
    </row>
    <row r="2095" spans="1:8" x14ac:dyDescent="0.2">
      <c r="A2095" s="9" t="s">
        <v>51</v>
      </c>
      <c r="C2095" t="str">
        <f t="shared" si="64"/>
        <v>"https://www.zeldadungeon.net/maps/totk/tiles/sky/6/45_39.jpg",</v>
      </c>
      <c r="H2095" t="str">
        <f t="shared" si="65"/>
        <v>45_39</v>
      </c>
    </row>
    <row r="2096" spans="1:8" x14ac:dyDescent="0.2">
      <c r="A2096" s="9" t="s">
        <v>51</v>
      </c>
      <c r="C2096" t="str">
        <f t="shared" si="64"/>
        <v>"https://www.zeldadungeon.net/maps/totk/tiles/sky/6/45_40.jpg",</v>
      </c>
      <c r="H2096" t="str">
        <f t="shared" si="65"/>
        <v>45_40</v>
      </c>
    </row>
    <row r="2097" spans="1:8" x14ac:dyDescent="0.2">
      <c r="A2097" s="9" t="s">
        <v>51</v>
      </c>
      <c r="C2097" t="str">
        <f t="shared" si="64"/>
        <v>"https://www.zeldadungeon.net/maps/totk/tiles/sky/6/45_41.jpg",</v>
      </c>
      <c r="H2097" t="str">
        <f t="shared" si="65"/>
        <v>45_41</v>
      </c>
    </row>
    <row r="2098" spans="1:8" x14ac:dyDescent="0.2">
      <c r="A2098" s="9" t="s">
        <v>51</v>
      </c>
      <c r="C2098" t="str">
        <f t="shared" si="64"/>
        <v>"https://www.zeldadungeon.net/maps/totk/tiles/sky/6/45_42.jpg",</v>
      </c>
      <c r="H2098" t="str">
        <f t="shared" si="65"/>
        <v>45_42</v>
      </c>
    </row>
    <row r="2099" spans="1:8" x14ac:dyDescent="0.2">
      <c r="A2099" s="9" t="s">
        <v>51</v>
      </c>
      <c r="C2099" t="str">
        <f t="shared" si="64"/>
        <v>"https://www.zeldadungeon.net/maps/totk/tiles/sky/6/45_43.jpg",</v>
      </c>
      <c r="H2099" t="str">
        <f t="shared" si="65"/>
        <v>45_43</v>
      </c>
    </row>
    <row r="2100" spans="1:8" x14ac:dyDescent="0.2">
      <c r="A2100" s="9" t="s">
        <v>51</v>
      </c>
      <c r="C2100" t="str">
        <f t="shared" si="64"/>
        <v>"https://www.zeldadungeon.net/maps/totk/tiles/sky/6/45_44.jpg",</v>
      </c>
      <c r="H2100" t="str">
        <f t="shared" si="65"/>
        <v>45_44</v>
      </c>
    </row>
    <row r="2101" spans="1:8" x14ac:dyDescent="0.2">
      <c r="A2101" s="9" t="s">
        <v>51</v>
      </c>
      <c r="C2101" t="str">
        <f t="shared" si="64"/>
        <v>"https://www.zeldadungeon.net/maps/totk/tiles/sky/6/45_45.jpg",</v>
      </c>
      <c r="H2101" t="str">
        <f t="shared" si="65"/>
        <v>45_45</v>
      </c>
    </row>
    <row r="2102" spans="1:8" x14ac:dyDescent="0.2">
      <c r="A2102" s="9" t="s">
        <v>51</v>
      </c>
      <c r="C2102" t="str">
        <f t="shared" si="64"/>
        <v>"https://www.zeldadungeon.net/maps/totk/tiles/sky/6/45_46.jpg",</v>
      </c>
      <c r="H2102" t="str">
        <f t="shared" si="65"/>
        <v>45_46</v>
      </c>
    </row>
    <row r="2103" spans="1:8" x14ac:dyDescent="0.2">
      <c r="A2103" s="9" t="s">
        <v>51</v>
      </c>
      <c r="C2103" t="str">
        <f t="shared" si="64"/>
        <v>"https://www.zeldadungeon.net/maps/totk/tiles/sky/6/45_47.jpg",</v>
      </c>
      <c r="H2103" t="str">
        <f t="shared" si="65"/>
        <v>45_47</v>
      </c>
    </row>
    <row r="2104" spans="1:8" x14ac:dyDescent="0.2">
      <c r="A2104" s="9" t="s">
        <v>51</v>
      </c>
      <c r="C2104" t="str">
        <f t="shared" si="64"/>
        <v>"https://www.zeldadungeon.net/maps/totk/tiles/sky/6/45_48.jpg",</v>
      </c>
      <c r="H2104" t="str">
        <f t="shared" si="65"/>
        <v>45_48</v>
      </c>
    </row>
    <row r="2105" spans="1:8" x14ac:dyDescent="0.2">
      <c r="A2105" s="9" t="s">
        <v>51</v>
      </c>
      <c r="C2105" t="str">
        <f t="shared" si="64"/>
        <v>"https://www.zeldadungeon.net/maps/totk/tiles/sky/6/45_49.jpg",</v>
      </c>
      <c r="H2105" t="str">
        <f t="shared" si="65"/>
        <v>45_49</v>
      </c>
    </row>
    <row r="2106" spans="1:8" x14ac:dyDescent="0.2">
      <c r="A2106" s="9" t="s">
        <v>51</v>
      </c>
      <c r="C2106" t="str">
        <f t="shared" si="64"/>
        <v>"https://www.zeldadungeon.net/maps/totk/tiles/sky/6/45_50.jpg",</v>
      </c>
      <c r="H2106" t="str">
        <f t="shared" si="65"/>
        <v>45_50</v>
      </c>
    </row>
    <row r="2107" spans="1:8" x14ac:dyDescent="0.2">
      <c r="A2107" s="9" t="s">
        <v>51</v>
      </c>
      <c r="C2107" t="str">
        <f t="shared" si="64"/>
        <v>"https://www.zeldadungeon.net/maps/totk/tiles/sky/6/45_51.jpg",</v>
      </c>
      <c r="H2107" t="str">
        <f t="shared" si="65"/>
        <v>45_51</v>
      </c>
    </row>
    <row r="2108" spans="1:8" x14ac:dyDescent="0.2">
      <c r="A2108" s="9" t="s">
        <v>51</v>
      </c>
      <c r="C2108" t="str">
        <f t="shared" si="64"/>
        <v>"https://www.zeldadungeon.net/maps/totk/tiles/sky/6/45_52.jpg",</v>
      </c>
      <c r="H2108" t="str">
        <f t="shared" si="65"/>
        <v>45_52</v>
      </c>
    </row>
    <row r="2109" spans="1:8" x14ac:dyDescent="0.2">
      <c r="A2109" s="9" t="s">
        <v>51</v>
      </c>
      <c r="C2109" t="str">
        <f t="shared" si="64"/>
        <v>"https://www.zeldadungeon.net/maps/totk/tiles/sky/6/45_53.jpg",</v>
      </c>
      <c r="H2109" t="str">
        <f t="shared" si="65"/>
        <v>45_53</v>
      </c>
    </row>
    <row r="2110" spans="1:8" x14ac:dyDescent="0.2">
      <c r="A2110" s="9" t="s">
        <v>51</v>
      </c>
      <c r="C2110" t="str">
        <f t="shared" si="64"/>
        <v>"https://www.zeldadungeon.net/maps/totk/tiles/sky/6/45_54.jpg",</v>
      </c>
      <c r="H2110" t="str">
        <f t="shared" si="65"/>
        <v>45_54</v>
      </c>
    </row>
    <row r="2111" spans="1:8" x14ac:dyDescent="0.2">
      <c r="A2111" s="9" t="s">
        <v>51</v>
      </c>
      <c r="C2111" t="str">
        <f t="shared" si="64"/>
        <v>"https://www.zeldadungeon.net/maps/totk/tiles/sky/6/45_55.jpg",</v>
      </c>
      <c r="H2111" t="str">
        <f t="shared" si="65"/>
        <v>45_55</v>
      </c>
    </row>
    <row r="2112" spans="1:8" x14ac:dyDescent="0.2">
      <c r="A2112" s="9" t="s">
        <v>51</v>
      </c>
      <c r="C2112" t="str">
        <f t="shared" si="64"/>
        <v>"https://www.zeldadungeon.net/maps/totk/tiles/sky/6/46_8.jpg",</v>
      </c>
      <c r="H2112" t="str">
        <f t="shared" si="65"/>
        <v>46_8</v>
      </c>
    </row>
    <row r="2113" spans="1:8" x14ac:dyDescent="0.2">
      <c r="A2113" s="9" t="s">
        <v>51</v>
      </c>
      <c r="C2113" t="str">
        <f t="shared" ref="C2113:C2176" si="66">""""&amp;SUBSTITUTE(A2113,"zzz",H2113)&amp;""""&amp;","</f>
        <v>"https://www.zeldadungeon.net/maps/totk/tiles/sky/6/46_9.jpg",</v>
      </c>
      <c r="H2113" t="str">
        <f t="shared" ref="H2113:H2176" si="67">QUOTIENT(ROW(A2113),48)+2&amp;"_"&amp;MOD(ROW(A2113),48)+8</f>
        <v>46_9</v>
      </c>
    </row>
    <row r="2114" spans="1:8" x14ac:dyDescent="0.2">
      <c r="A2114" s="9" t="s">
        <v>51</v>
      </c>
      <c r="C2114" t="str">
        <f t="shared" si="66"/>
        <v>"https://www.zeldadungeon.net/maps/totk/tiles/sky/6/46_10.jpg",</v>
      </c>
      <c r="H2114" t="str">
        <f t="shared" si="67"/>
        <v>46_10</v>
      </c>
    </row>
    <row r="2115" spans="1:8" x14ac:dyDescent="0.2">
      <c r="A2115" s="9" t="s">
        <v>51</v>
      </c>
      <c r="C2115" t="str">
        <f t="shared" si="66"/>
        <v>"https://www.zeldadungeon.net/maps/totk/tiles/sky/6/46_11.jpg",</v>
      </c>
      <c r="H2115" t="str">
        <f t="shared" si="67"/>
        <v>46_11</v>
      </c>
    </row>
    <row r="2116" spans="1:8" x14ac:dyDescent="0.2">
      <c r="A2116" s="9" t="s">
        <v>51</v>
      </c>
      <c r="C2116" t="str">
        <f t="shared" si="66"/>
        <v>"https://www.zeldadungeon.net/maps/totk/tiles/sky/6/46_12.jpg",</v>
      </c>
      <c r="H2116" t="str">
        <f t="shared" si="67"/>
        <v>46_12</v>
      </c>
    </row>
    <row r="2117" spans="1:8" x14ac:dyDescent="0.2">
      <c r="A2117" s="9" t="s">
        <v>51</v>
      </c>
      <c r="C2117" t="str">
        <f t="shared" si="66"/>
        <v>"https://www.zeldadungeon.net/maps/totk/tiles/sky/6/46_13.jpg",</v>
      </c>
      <c r="H2117" t="str">
        <f t="shared" si="67"/>
        <v>46_13</v>
      </c>
    </row>
    <row r="2118" spans="1:8" x14ac:dyDescent="0.2">
      <c r="A2118" s="9" t="s">
        <v>51</v>
      </c>
      <c r="C2118" t="str">
        <f t="shared" si="66"/>
        <v>"https://www.zeldadungeon.net/maps/totk/tiles/sky/6/46_14.jpg",</v>
      </c>
      <c r="H2118" t="str">
        <f t="shared" si="67"/>
        <v>46_14</v>
      </c>
    </row>
    <row r="2119" spans="1:8" x14ac:dyDescent="0.2">
      <c r="A2119" s="9" t="s">
        <v>51</v>
      </c>
      <c r="C2119" t="str">
        <f t="shared" si="66"/>
        <v>"https://www.zeldadungeon.net/maps/totk/tiles/sky/6/46_15.jpg",</v>
      </c>
      <c r="H2119" t="str">
        <f t="shared" si="67"/>
        <v>46_15</v>
      </c>
    </row>
    <row r="2120" spans="1:8" x14ac:dyDescent="0.2">
      <c r="A2120" s="9" t="s">
        <v>51</v>
      </c>
      <c r="C2120" t="str">
        <f t="shared" si="66"/>
        <v>"https://www.zeldadungeon.net/maps/totk/tiles/sky/6/46_16.jpg",</v>
      </c>
      <c r="H2120" t="str">
        <f t="shared" si="67"/>
        <v>46_16</v>
      </c>
    </row>
    <row r="2121" spans="1:8" x14ac:dyDescent="0.2">
      <c r="A2121" s="9" t="s">
        <v>51</v>
      </c>
      <c r="C2121" t="str">
        <f t="shared" si="66"/>
        <v>"https://www.zeldadungeon.net/maps/totk/tiles/sky/6/46_17.jpg",</v>
      </c>
      <c r="H2121" t="str">
        <f t="shared" si="67"/>
        <v>46_17</v>
      </c>
    </row>
    <row r="2122" spans="1:8" x14ac:dyDescent="0.2">
      <c r="A2122" s="9" t="s">
        <v>51</v>
      </c>
      <c r="C2122" t="str">
        <f t="shared" si="66"/>
        <v>"https://www.zeldadungeon.net/maps/totk/tiles/sky/6/46_18.jpg",</v>
      </c>
      <c r="H2122" t="str">
        <f t="shared" si="67"/>
        <v>46_18</v>
      </c>
    </row>
    <row r="2123" spans="1:8" x14ac:dyDescent="0.2">
      <c r="A2123" s="9" t="s">
        <v>51</v>
      </c>
      <c r="C2123" t="str">
        <f t="shared" si="66"/>
        <v>"https://www.zeldadungeon.net/maps/totk/tiles/sky/6/46_19.jpg",</v>
      </c>
      <c r="H2123" t="str">
        <f t="shared" si="67"/>
        <v>46_19</v>
      </c>
    </row>
    <row r="2124" spans="1:8" x14ac:dyDescent="0.2">
      <c r="A2124" s="9" t="s">
        <v>51</v>
      </c>
      <c r="C2124" t="str">
        <f t="shared" si="66"/>
        <v>"https://www.zeldadungeon.net/maps/totk/tiles/sky/6/46_20.jpg",</v>
      </c>
      <c r="H2124" t="str">
        <f t="shared" si="67"/>
        <v>46_20</v>
      </c>
    </row>
    <row r="2125" spans="1:8" x14ac:dyDescent="0.2">
      <c r="A2125" s="9" t="s">
        <v>51</v>
      </c>
      <c r="C2125" t="str">
        <f t="shared" si="66"/>
        <v>"https://www.zeldadungeon.net/maps/totk/tiles/sky/6/46_21.jpg",</v>
      </c>
      <c r="H2125" t="str">
        <f t="shared" si="67"/>
        <v>46_21</v>
      </c>
    </row>
    <row r="2126" spans="1:8" x14ac:dyDescent="0.2">
      <c r="A2126" s="9" t="s">
        <v>51</v>
      </c>
      <c r="C2126" t="str">
        <f t="shared" si="66"/>
        <v>"https://www.zeldadungeon.net/maps/totk/tiles/sky/6/46_22.jpg",</v>
      </c>
      <c r="H2126" t="str">
        <f t="shared" si="67"/>
        <v>46_22</v>
      </c>
    </row>
    <row r="2127" spans="1:8" x14ac:dyDescent="0.2">
      <c r="A2127" s="9" t="s">
        <v>51</v>
      </c>
      <c r="C2127" t="str">
        <f t="shared" si="66"/>
        <v>"https://www.zeldadungeon.net/maps/totk/tiles/sky/6/46_23.jpg",</v>
      </c>
      <c r="H2127" t="str">
        <f t="shared" si="67"/>
        <v>46_23</v>
      </c>
    </row>
    <row r="2128" spans="1:8" x14ac:dyDescent="0.2">
      <c r="A2128" s="9" t="s">
        <v>51</v>
      </c>
      <c r="C2128" t="str">
        <f t="shared" si="66"/>
        <v>"https://www.zeldadungeon.net/maps/totk/tiles/sky/6/46_24.jpg",</v>
      </c>
      <c r="H2128" t="str">
        <f t="shared" si="67"/>
        <v>46_24</v>
      </c>
    </row>
    <row r="2129" spans="1:8" x14ac:dyDescent="0.2">
      <c r="A2129" s="9" t="s">
        <v>51</v>
      </c>
      <c r="C2129" t="str">
        <f t="shared" si="66"/>
        <v>"https://www.zeldadungeon.net/maps/totk/tiles/sky/6/46_25.jpg",</v>
      </c>
      <c r="H2129" t="str">
        <f t="shared" si="67"/>
        <v>46_25</v>
      </c>
    </row>
    <row r="2130" spans="1:8" x14ac:dyDescent="0.2">
      <c r="A2130" s="9" t="s">
        <v>51</v>
      </c>
      <c r="C2130" t="str">
        <f t="shared" si="66"/>
        <v>"https://www.zeldadungeon.net/maps/totk/tiles/sky/6/46_26.jpg",</v>
      </c>
      <c r="H2130" t="str">
        <f t="shared" si="67"/>
        <v>46_26</v>
      </c>
    </row>
    <row r="2131" spans="1:8" x14ac:dyDescent="0.2">
      <c r="A2131" s="9" t="s">
        <v>51</v>
      </c>
      <c r="C2131" t="str">
        <f t="shared" si="66"/>
        <v>"https://www.zeldadungeon.net/maps/totk/tiles/sky/6/46_27.jpg",</v>
      </c>
      <c r="H2131" t="str">
        <f t="shared" si="67"/>
        <v>46_27</v>
      </c>
    </row>
    <row r="2132" spans="1:8" x14ac:dyDescent="0.2">
      <c r="A2132" s="9" t="s">
        <v>51</v>
      </c>
      <c r="C2132" t="str">
        <f t="shared" si="66"/>
        <v>"https://www.zeldadungeon.net/maps/totk/tiles/sky/6/46_28.jpg",</v>
      </c>
      <c r="H2132" t="str">
        <f t="shared" si="67"/>
        <v>46_28</v>
      </c>
    </row>
    <row r="2133" spans="1:8" x14ac:dyDescent="0.2">
      <c r="A2133" s="9" t="s">
        <v>51</v>
      </c>
      <c r="C2133" t="str">
        <f t="shared" si="66"/>
        <v>"https://www.zeldadungeon.net/maps/totk/tiles/sky/6/46_29.jpg",</v>
      </c>
      <c r="H2133" t="str">
        <f t="shared" si="67"/>
        <v>46_29</v>
      </c>
    </row>
    <row r="2134" spans="1:8" x14ac:dyDescent="0.2">
      <c r="A2134" s="9" t="s">
        <v>51</v>
      </c>
      <c r="C2134" t="str">
        <f t="shared" si="66"/>
        <v>"https://www.zeldadungeon.net/maps/totk/tiles/sky/6/46_30.jpg",</v>
      </c>
      <c r="H2134" t="str">
        <f t="shared" si="67"/>
        <v>46_30</v>
      </c>
    </row>
    <row r="2135" spans="1:8" x14ac:dyDescent="0.2">
      <c r="A2135" s="9" t="s">
        <v>51</v>
      </c>
      <c r="C2135" t="str">
        <f t="shared" si="66"/>
        <v>"https://www.zeldadungeon.net/maps/totk/tiles/sky/6/46_31.jpg",</v>
      </c>
      <c r="H2135" t="str">
        <f t="shared" si="67"/>
        <v>46_31</v>
      </c>
    </row>
    <row r="2136" spans="1:8" x14ac:dyDescent="0.2">
      <c r="A2136" s="9" t="s">
        <v>51</v>
      </c>
      <c r="C2136" t="str">
        <f t="shared" si="66"/>
        <v>"https://www.zeldadungeon.net/maps/totk/tiles/sky/6/46_32.jpg",</v>
      </c>
      <c r="H2136" t="str">
        <f t="shared" si="67"/>
        <v>46_32</v>
      </c>
    </row>
    <row r="2137" spans="1:8" x14ac:dyDescent="0.2">
      <c r="A2137" s="9" t="s">
        <v>51</v>
      </c>
      <c r="C2137" t="str">
        <f t="shared" si="66"/>
        <v>"https://www.zeldadungeon.net/maps/totk/tiles/sky/6/46_33.jpg",</v>
      </c>
      <c r="H2137" t="str">
        <f t="shared" si="67"/>
        <v>46_33</v>
      </c>
    </row>
    <row r="2138" spans="1:8" x14ac:dyDescent="0.2">
      <c r="A2138" s="9" t="s">
        <v>51</v>
      </c>
      <c r="C2138" t="str">
        <f t="shared" si="66"/>
        <v>"https://www.zeldadungeon.net/maps/totk/tiles/sky/6/46_34.jpg",</v>
      </c>
      <c r="H2138" t="str">
        <f t="shared" si="67"/>
        <v>46_34</v>
      </c>
    </row>
    <row r="2139" spans="1:8" x14ac:dyDescent="0.2">
      <c r="A2139" s="9" t="s">
        <v>51</v>
      </c>
      <c r="C2139" t="str">
        <f t="shared" si="66"/>
        <v>"https://www.zeldadungeon.net/maps/totk/tiles/sky/6/46_35.jpg",</v>
      </c>
      <c r="H2139" t="str">
        <f t="shared" si="67"/>
        <v>46_35</v>
      </c>
    </row>
    <row r="2140" spans="1:8" x14ac:dyDescent="0.2">
      <c r="A2140" s="9" t="s">
        <v>51</v>
      </c>
      <c r="C2140" t="str">
        <f t="shared" si="66"/>
        <v>"https://www.zeldadungeon.net/maps/totk/tiles/sky/6/46_36.jpg",</v>
      </c>
      <c r="H2140" t="str">
        <f t="shared" si="67"/>
        <v>46_36</v>
      </c>
    </row>
    <row r="2141" spans="1:8" x14ac:dyDescent="0.2">
      <c r="A2141" s="9" t="s">
        <v>51</v>
      </c>
      <c r="C2141" t="str">
        <f t="shared" si="66"/>
        <v>"https://www.zeldadungeon.net/maps/totk/tiles/sky/6/46_37.jpg",</v>
      </c>
      <c r="H2141" t="str">
        <f t="shared" si="67"/>
        <v>46_37</v>
      </c>
    </row>
    <row r="2142" spans="1:8" x14ac:dyDescent="0.2">
      <c r="A2142" s="9" t="s">
        <v>51</v>
      </c>
      <c r="C2142" t="str">
        <f t="shared" si="66"/>
        <v>"https://www.zeldadungeon.net/maps/totk/tiles/sky/6/46_38.jpg",</v>
      </c>
      <c r="H2142" t="str">
        <f t="shared" si="67"/>
        <v>46_38</v>
      </c>
    </row>
    <row r="2143" spans="1:8" x14ac:dyDescent="0.2">
      <c r="A2143" s="9" t="s">
        <v>51</v>
      </c>
      <c r="C2143" t="str">
        <f t="shared" si="66"/>
        <v>"https://www.zeldadungeon.net/maps/totk/tiles/sky/6/46_39.jpg",</v>
      </c>
      <c r="H2143" t="str">
        <f t="shared" si="67"/>
        <v>46_39</v>
      </c>
    </row>
    <row r="2144" spans="1:8" x14ac:dyDescent="0.2">
      <c r="A2144" s="9" t="s">
        <v>51</v>
      </c>
      <c r="C2144" t="str">
        <f t="shared" si="66"/>
        <v>"https://www.zeldadungeon.net/maps/totk/tiles/sky/6/46_40.jpg",</v>
      </c>
      <c r="H2144" t="str">
        <f t="shared" si="67"/>
        <v>46_40</v>
      </c>
    </row>
    <row r="2145" spans="1:8" x14ac:dyDescent="0.2">
      <c r="A2145" s="9" t="s">
        <v>51</v>
      </c>
      <c r="C2145" t="str">
        <f t="shared" si="66"/>
        <v>"https://www.zeldadungeon.net/maps/totk/tiles/sky/6/46_41.jpg",</v>
      </c>
      <c r="H2145" t="str">
        <f t="shared" si="67"/>
        <v>46_41</v>
      </c>
    </row>
    <row r="2146" spans="1:8" x14ac:dyDescent="0.2">
      <c r="A2146" s="9" t="s">
        <v>51</v>
      </c>
      <c r="C2146" t="str">
        <f t="shared" si="66"/>
        <v>"https://www.zeldadungeon.net/maps/totk/tiles/sky/6/46_42.jpg",</v>
      </c>
      <c r="H2146" t="str">
        <f t="shared" si="67"/>
        <v>46_42</v>
      </c>
    </row>
    <row r="2147" spans="1:8" x14ac:dyDescent="0.2">
      <c r="A2147" s="9" t="s">
        <v>51</v>
      </c>
      <c r="C2147" t="str">
        <f t="shared" si="66"/>
        <v>"https://www.zeldadungeon.net/maps/totk/tiles/sky/6/46_43.jpg",</v>
      </c>
      <c r="H2147" t="str">
        <f t="shared" si="67"/>
        <v>46_43</v>
      </c>
    </row>
    <row r="2148" spans="1:8" x14ac:dyDescent="0.2">
      <c r="A2148" s="9" t="s">
        <v>51</v>
      </c>
      <c r="C2148" t="str">
        <f t="shared" si="66"/>
        <v>"https://www.zeldadungeon.net/maps/totk/tiles/sky/6/46_44.jpg",</v>
      </c>
      <c r="H2148" t="str">
        <f t="shared" si="67"/>
        <v>46_44</v>
      </c>
    </row>
    <row r="2149" spans="1:8" x14ac:dyDescent="0.2">
      <c r="A2149" s="9" t="s">
        <v>51</v>
      </c>
      <c r="C2149" t="str">
        <f t="shared" si="66"/>
        <v>"https://www.zeldadungeon.net/maps/totk/tiles/sky/6/46_45.jpg",</v>
      </c>
      <c r="H2149" t="str">
        <f t="shared" si="67"/>
        <v>46_45</v>
      </c>
    </row>
    <row r="2150" spans="1:8" x14ac:dyDescent="0.2">
      <c r="A2150" s="9" t="s">
        <v>51</v>
      </c>
      <c r="C2150" t="str">
        <f t="shared" si="66"/>
        <v>"https://www.zeldadungeon.net/maps/totk/tiles/sky/6/46_46.jpg",</v>
      </c>
      <c r="H2150" t="str">
        <f t="shared" si="67"/>
        <v>46_46</v>
      </c>
    </row>
    <row r="2151" spans="1:8" x14ac:dyDescent="0.2">
      <c r="A2151" s="9" t="s">
        <v>51</v>
      </c>
      <c r="C2151" t="str">
        <f t="shared" si="66"/>
        <v>"https://www.zeldadungeon.net/maps/totk/tiles/sky/6/46_47.jpg",</v>
      </c>
      <c r="H2151" t="str">
        <f t="shared" si="67"/>
        <v>46_47</v>
      </c>
    </row>
    <row r="2152" spans="1:8" x14ac:dyDescent="0.2">
      <c r="A2152" s="9" t="s">
        <v>51</v>
      </c>
      <c r="C2152" t="str">
        <f t="shared" si="66"/>
        <v>"https://www.zeldadungeon.net/maps/totk/tiles/sky/6/46_48.jpg",</v>
      </c>
      <c r="H2152" t="str">
        <f t="shared" si="67"/>
        <v>46_48</v>
      </c>
    </row>
    <row r="2153" spans="1:8" x14ac:dyDescent="0.2">
      <c r="A2153" s="9" t="s">
        <v>51</v>
      </c>
      <c r="C2153" t="str">
        <f t="shared" si="66"/>
        <v>"https://www.zeldadungeon.net/maps/totk/tiles/sky/6/46_49.jpg",</v>
      </c>
      <c r="H2153" t="str">
        <f t="shared" si="67"/>
        <v>46_49</v>
      </c>
    </row>
    <row r="2154" spans="1:8" x14ac:dyDescent="0.2">
      <c r="A2154" s="9" t="s">
        <v>51</v>
      </c>
      <c r="C2154" t="str">
        <f t="shared" si="66"/>
        <v>"https://www.zeldadungeon.net/maps/totk/tiles/sky/6/46_50.jpg",</v>
      </c>
      <c r="H2154" t="str">
        <f t="shared" si="67"/>
        <v>46_50</v>
      </c>
    </row>
    <row r="2155" spans="1:8" x14ac:dyDescent="0.2">
      <c r="A2155" s="9" t="s">
        <v>51</v>
      </c>
      <c r="C2155" t="str">
        <f t="shared" si="66"/>
        <v>"https://www.zeldadungeon.net/maps/totk/tiles/sky/6/46_51.jpg",</v>
      </c>
      <c r="H2155" t="str">
        <f t="shared" si="67"/>
        <v>46_51</v>
      </c>
    </row>
    <row r="2156" spans="1:8" x14ac:dyDescent="0.2">
      <c r="A2156" s="9" t="s">
        <v>51</v>
      </c>
      <c r="C2156" t="str">
        <f t="shared" si="66"/>
        <v>"https://www.zeldadungeon.net/maps/totk/tiles/sky/6/46_52.jpg",</v>
      </c>
      <c r="H2156" t="str">
        <f t="shared" si="67"/>
        <v>46_52</v>
      </c>
    </row>
    <row r="2157" spans="1:8" x14ac:dyDescent="0.2">
      <c r="A2157" s="9" t="s">
        <v>51</v>
      </c>
      <c r="C2157" t="str">
        <f t="shared" si="66"/>
        <v>"https://www.zeldadungeon.net/maps/totk/tiles/sky/6/46_53.jpg",</v>
      </c>
      <c r="H2157" t="str">
        <f t="shared" si="67"/>
        <v>46_53</v>
      </c>
    </row>
    <row r="2158" spans="1:8" x14ac:dyDescent="0.2">
      <c r="A2158" s="9" t="s">
        <v>51</v>
      </c>
      <c r="C2158" t="str">
        <f t="shared" si="66"/>
        <v>"https://www.zeldadungeon.net/maps/totk/tiles/sky/6/46_54.jpg",</v>
      </c>
      <c r="H2158" t="str">
        <f t="shared" si="67"/>
        <v>46_54</v>
      </c>
    </row>
    <row r="2159" spans="1:8" x14ac:dyDescent="0.2">
      <c r="A2159" s="9" t="s">
        <v>51</v>
      </c>
      <c r="C2159" t="str">
        <f t="shared" si="66"/>
        <v>"https://www.zeldadungeon.net/maps/totk/tiles/sky/6/46_55.jpg",</v>
      </c>
      <c r="H2159" t="str">
        <f t="shared" si="67"/>
        <v>46_55</v>
      </c>
    </row>
    <row r="2160" spans="1:8" x14ac:dyDescent="0.2">
      <c r="A2160" s="9" t="s">
        <v>51</v>
      </c>
      <c r="C2160" t="str">
        <f t="shared" si="66"/>
        <v>"https://www.zeldadungeon.net/maps/totk/tiles/sky/6/47_8.jpg",</v>
      </c>
      <c r="H2160" t="str">
        <f t="shared" si="67"/>
        <v>47_8</v>
      </c>
    </row>
    <row r="2161" spans="1:8" x14ac:dyDescent="0.2">
      <c r="A2161" s="9" t="s">
        <v>51</v>
      </c>
      <c r="C2161" t="str">
        <f t="shared" si="66"/>
        <v>"https://www.zeldadungeon.net/maps/totk/tiles/sky/6/47_9.jpg",</v>
      </c>
      <c r="H2161" t="str">
        <f t="shared" si="67"/>
        <v>47_9</v>
      </c>
    </row>
    <row r="2162" spans="1:8" x14ac:dyDescent="0.2">
      <c r="A2162" s="9" t="s">
        <v>51</v>
      </c>
      <c r="C2162" t="str">
        <f t="shared" si="66"/>
        <v>"https://www.zeldadungeon.net/maps/totk/tiles/sky/6/47_10.jpg",</v>
      </c>
      <c r="H2162" t="str">
        <f t="shared" si="67"/>
        <v>47_10</v>
      </c>
    </row>
    <row r="2163" spans="1:8" x14ac:dyDescent="0.2">
      <c r="A2163" s="9" t="s">
        <v>51</v>
      </c>
      <c r="C2163" t="str">
        <f t="shared" si="66"/>
        <v>"https://www.zeldadungeon.net/maps/totk/tiles/sky/6/47_11.jpg",</v>
      </c>
      <c r="H2163" t="str">
        <f t="shared" si="67"/>
        <v>47_11</v>
      </c>
    </row>
    <row r="2164" spans="1:8" x14ac:dyDescent="0.2">
      <c r="A2164" s="9" t="s">
        <v>51</v>
      </c>
      <c r="C2164" t="str">
        <f t="shared" si="66"/>
        <v>"https://www.zeldadungeon.net/maps/totk/tiles/sky/6/47_12.jpg",</v>
      </c>
      <c r="H2164" t="str">
        <f t="shared" si="67"/>
        <v>47_12</v>
      </c>
    </row>
    <row r="2165" spans="1:8" x14ac:dyDescent="0.2">
      <c r="A2165" s="9" t="s">
        <v>51</v>
      </c>
      <c r="C2165" t="str">
        <f t="shared" si="66"/>
        <v>"https://www.zeldadungeon.net/maps/totk/tiles/sky/6/47_13.jpg",</v>
      </c>
      <c r="H2165" t="str">
        <f t="shared" si="67"/>
        <v>47_13</v>
      </c>
    </row>
    <row r="2166" spans="1:8" x14ac:dyDescent="0.2">
      <c r="A2166" s="9" t="s">
        <v>51</v>
      </c>
      <c r="C2166" t="str">
        <f t="shared" si="66"/>
        <v>"https://www.zeldadungeon.net/maps/totk/tiles/sky/6/47_14.jpg",</v>
      </c>
      <c r="H2166" t="str">
        <f t="shared" si="67"/>
        <v>47_14</v>
      </c>
    </row>
    <row r="2167" spans="1:8" x14ac:dyDescent="0.2">
      <c r="A2167" s="9" t="s">
        <v>51</v>
      </c>
      <c r="C2167" t="str">
        <f t="shared" si="66"/>
        <v>"https://www.zeldadungeon.net/maps/totk/tiles/sky/6/47_15.jpg",</v>
      </c>
      <c r="H2167" t="str">
        <f t="shared" si="67"/>
        <v>47_15</v>
      </c>
    </row>
    <row r="2168" spans="1:8" x14ac:dyDescent="0.2">
      <c r="A2168" s="9" t="s">
        <v>51</v>
      </c>
      <c r="C2168" t="str">
        <f t="shared" si="66"/>
        <v>"https://www.zeldadungeon.net/maps/totk/tiles/sky/6/47_16.jpg",</v>
      </c>
      <c r="H2168" t="str">
        <f t="shared" si="67"/>
        <v>47_16</v>
      </c>
    </row>
    <row r="2169" spans="1:8" x14ac:dyDescent="0.2">
      <c r="A2169" s="9" t="s">
        <v>51</v>
      </c>
      <c r="C2169" t="str">
        <f t="shared" si="66"/>
        <v>"https://www.zeldadungeon.net/maps/totk/tiles/sky/6/47_17.jpg",</v>
      </c>
      <c r="H2169" t="str">
        <f t="shared" si="67"/>
        <v>47_17</v>
      </c>
    </row>
    <row r="2170" spans="1:8" x14ac:dyDescent="0.2">
      <c r="A2170" s="9" t="s">
        <v>51</v>
      </c>
      <c r="C2170" t="str">
        <f t="shared" si="66"/>
        <v>"https://www.zeldadungeon.net/maps/totk/tiles/sky/6/47_18.jpg",</v>
      </c>
      <c r="H2170" t="str">
        <f t="shared" si="67"/>
        <v>47_18</v>
      </c>
    </row>
    <row r="2171" spans="1:8" x14ac:dyDescent="0.2">
      <c r="A2171" s="9" t="s">
        <v>51</v>
      </c>
      <c r="C2171" t="str">
        <f t="shared" si="66"/>
        <v>"https://www.zeldadungeon.net/maps/totk/tiles/sky/6/47_19.jpg",</v>
      </c>
      <c r="H2171" t="str">
        <f t="shared" si="67"/>
        <v>47_19</v>
      </c>
    </row>
    <row r="2172" spans="1:8" x14ac:dyDescent="0.2">
      <c r="A2172" s="9" t="s">
        <v>51</v>
      </c>
      <c r="C2172" t="str">
        <f t="shared" si="66"/>
        <v>"https://www.zeldadungeon.net/maps/totk/tiles/sky/6/47_20.jpg",</v>
      </c>
      <c r="H2172" t="str">
        <f t="shared" si="67"/>
        <v>47_20</v>
      </c>
    </row>
    <row r="2173" spans="1:8" x14ac:dyDescent="0.2">
      <c r="A2173" s="9" t="s">
        <v>51</v>
      </c>
      <c r="C2173" t="str">
        <f t="shared" si="66"/>
        <v>"https://www.zeldadungeon.net/maps/totk/tiles/sky/6/47_21.jpg",</v>
      </c>
      <c r="H2173" t="str">
        <f t="shared" si="67"/>
        <v>47_21</v>
      </c>
    </row>
    <row r="2174" spans="1:8" x14ac:dyDescent="0.2">
      <c r="A2174" s="9" t="s">
        <v>51</v>
      </c>
      <c r="C2174" t="str">
        <f t="shared" si="66"/>
        <v>"https://www.zeldadungeon.net/maps/totk/tiles/sky/6/47_22.jpg",</v>
      </c>
      <c r="H2174" t="str">
        <f t="shared" si="67"/>
        <v>47_22</v>
      </c>
    </row>
    <row r="2175" spans="1:8" x14ac:dyDescent="0.2">
      <c r="A2175" s="9" t="s">
        <v>51</v>
      </c>
      <c r="C2175" t="str">
        <f t="shared" si="66"/>
        <v>"https://www.zeldadungeon.net/maps/totk/tiles/sky/6/47_23.jpg",</v>
      </c>
      <c r="H2175" t="str">
        <f t="shared" si="67"/>
        <v>47_23</v>
      </c>
    </row>
    <row r="2176" spans="1:8" x14ac:dyDescent="0.2">
      <c r="A2176" s="9" t="s">
        <v>51</v>
      </c>
      <c r="C2176" t="str">
        <f t="shared" si="66"/>
        <v>"https://www.zeldadungeon.net/maps/totk/tiles/sky/6/47_24.jpg",</v>
      </c>
      <c r="H2176" t="str">
        <f t="shared" si="67"/>
        <v>47_24</v>
      </c>
    </row>
    <row r="2177" spans="1:8" x14ac:dyDescent="0.2">
      <c r="A2177" s="9" t="s">
        <v>51</v>
      </c>
      <c r="C2177" t="str">
        <f t="shared" ref="C2177:C2240" si="68">""""&amp;SUBSTITUTE(A2177,"zzz",H2177)&amp;""""&amp;","</f>
        <v>"https://www.zeldadungeon.net/maps/totk/tiles/sky/6/47_25.jpg",</v>
      </c>
      <c r="H2177" t="str">
        <f t="shared" ref="H2177:H2240" si="69">QUOTIENT(ROW(A2177),48)+2&amp;"_"&amp;MOD(ROW(A2177),48)+8</f>
        <v>47_25</v>
      </c>
    </row>
    <row r="2178" spans="1:8" x14ac:dyDescent="0.2">
      <c r="A2178" s="9" t="s">
        <v>51</v>
      </c>
      <c r="C2178" t="str">
        <f t="shared" si="68"/>
        <v>"https://www.zeldadungeon.net/maps/totk/tiles/sky/6/47_26.jpg",</v>
      </c>
      <c r="H2178" t="str">
        <f t="shared" si="69"/>
        <v>47_26</v>
      </c>
    </row>
    <row r="2179" spans="1:8" x14ac:dyDescent="0.2">
      <c r="A2179" s="9" t="s">
        <v>51</v>
      </c>
      <c r="C2179" t="str">
        <f t="shared" si="68"/>
        <v>"https://www.zeldadungeon.net/maps/totk/tiles/sky/6/47_27.jpg",</v>
      </c>
      <c r="H2179" t="str">
        <f t="shared" si="69"/>
        <v>47_27</v>
      </c>
    </row>
    <row r="2180" spans="1:8" x14ac:dyDescent="0.2">
      <c r="A2180" s="9" t="s">
        <v>51</v>
      </c>
      <c r="C2180" t="str">
        <f t="shared" si="68"/>
        <v>"https://www.zeldadungeon.net/maps/totk/tiles/sky/6/47_28.jpg",</v>
      </c>
      <c r="H2180" t="str">
        <f t="shared" si="69"/>
        <v>47_28</v>
      </c>
    </row>
    <row r="2181" spans="1:8" x14ac:dyDescent="0.2">
      <c r="A2181" s="9" t="s">
        <v>51</v>
      </c>
      <c r="C2181" t="str">
        <f t="shared" si="68"/>
        <v>"https://www.zeldadungeon.net/maps/totk/tiles/sky/6/47_29.jpg",</v>
      </c>
      <c r="H2181" t="str">
        <f t="shared" si="69"/>
        <v>47_29</v>
      </c>
    </row>
    <row r="2182" spans="1:8" x14ac:dyDescent="0.2">
      <c r="A2182" s="9" t="s">
        <v>51</v>
      </c>
      <c r="C2182" t="str">
        <f t="shared" si="68"/>
        <v>"https://www.zeldadungeon.net/maps/totk/tiles/sky/6/47_30.jpg",</v>
      </c>
      <c r="H2182" t="str">
        <f t="shared" si="69"/>
        <v>47_30</v>
      </c>
    </row>
    <row r="2183" spans="1:8" x14ac:dyDescent="0.2">
      <c r="A2183" s="9" t="s">
        <v>51</v>
      </c>
      <c r="C2183" t="str">
        <f t="shared" si="68"/>
        <v>"https://www.zeldadungeon.net/maps/totk/tiles/sky/6/47_31.jpg",</v>
      </c>
      <c r="H2183" t="str">
        <f t="shared" si="69"/>
        <v>47_31</v>
      </c>
    </row>
    <row r="2184" spans="1:8" x14ac:dyDescent="0.2">
      <c r="A2184" s="9" t="s">
        <v>51</v>
      </c>
      <c r="C2184" t="str">
        <f t="shared" si="68"/>
        <v>"https://www.zeldadungeon.net/maps/totk/tiles/sky/6/47_32.jpg",</v>
      </c>
      <c r="H2184" t="str">
        <f t="shared" si="69"/>
        <v>47_32</v>
      </c>
    </row>
    <row r="2185" spans="1:8" x14ac:dyDescent="0.2">
      <c r="A2185" s="9" t="s">
        <v>51</v>
      </c>
      <c r="C2185" t="str">
        <f t="shared" si="68"/>
        <v>"https://www.zeldadungeon.net/maps/totk/tiles/sky/6/47_33.jpg",</v>
      </c>
      <c r="H2185" t="str">
        <f t="shared" si="69"/>
        <v>47_33</v>
      </c>
    </row>
    <row r="2186" spans="1:8" x14ac:dyDescent="0.2">
      <c r="A2186" s="9" t="s">
        <v>51</v>
      </c>
      <c r="C2186" t="str">
        <f t="shared" si="68"/>
        <v>"https://www.zeldadungeon.net/maps/totk/tiles/sky/6/47_34.jpg",</v>
      </c>
      <c r="H2186" t="str">
        <f t="shared" si="69"/>
        <v>47_34</v>
      </c>
    </row>
    <row r="2187" spans="1:8" x14ac:dyDescent="0.2">
      <c r="A2187" s="9" t="s">
        <v>51</v>
      </c>
      <c r="C2187" t="str">
        <f t="shared" si="68"/>
        <v>"https://www.zeldadungeon.net/maps/totk/tiles/sky/6/47_35.jpg",</v>
      </c>
      <c r="H2187" t="str">
        <f t="shared" si="69"/>
        <v>47_35</v>
      </c>
    </row>
    <row r="2188" spans="1:8" x14ac:dyDescent="0.2">
      <c r="A2188" s="9" t="s">
        <v>51</v>
      </c>
      <c r="C2188" t="str">
        <f t="shared" si="68"/>
        <v>"https://www.zeldadungeon.net/maps/totk/tiles/sky/6/47_36.jpg",</v>
      </c>
      <c r="H2188" t="str">
        <f t="shared" si="69"/>
        <v>47_36</v>
      </c>
    </row>
    <row r="2189" spans="1:8" x14ac:dyDescent="0.2">
      <c r="A2189" s="9" t="s">
        <v>51</v>
      </c>
      <c r="C2189" t="str">
        <f t="shared" si="68"/>
        <v>"https://www.zeldadungeon.net/maps/totk/tiles/sky/6/47_37.jpg",</v>
      </c>
      <c r="H2189" t="str">
        <f t="shared" si="69"/>
        <v>47_37</v>
      </c>
    </row>
    <row r="2190" spans="1:8" x14ac:dyDescent="0.2">
      <c r="A2190" s="9" t="s">
        <v>51</v>
      </c>
      <c r="C2190" t="str">
        <f t="shared" si="68"/>
        <v>"https://www.zeldadungeon.net/maps/totk/tiles/sky/6/47_38.jpg",</v>
      </c>
      <c r="H2190" t="str">
        <f t="shared" si="69"/>
        <v>47_38</v>
      </c>
    </row>
    <row r="2191" spans="1:8" x14ac:dyDescent="0.2">
      <c r="A2191" s="9" t="s">
        <v>51</v>
      </c>
      <c r="C2191" t="str">
        <f t="shared" si="68"/>
        <v>"https://www.zeldadungeon.net/maps/totk/tiles/sky/6/47_39.jpg",</v>
      </c>
      <c r="H2191" t="str">
        <f t="shared" si="69"/>
        <v>47_39</v>
      </c>
    </row>
    <row r="2192" spans="1:8" x14ac:dyDescent="0.2">
      <c r="A2192" s="9" t="s">
        <v>51</v>
      </c>
      <c r="C2192" t="str">
        <f t="shared" si="68"/>
        <v>"https://www.zeldadungeon.net/maps/totk/tiles/sky/6/47_40.jpg",</v>
      </c>
      <c r="H2192" t="str">
        <f t="shared" si="69"/>
        <v>47_40</v>
      </c>
    </row>
    <row r="2193" spans="1:8" x14ac:dyDescent="0.2">
      <c r="A2193" s="9" t="s">
        <v>51</v>
      </c>
      <c r="C2193" t="str">
        <f t="shared" si="68"/>
        <v>"https://www.zeldadungeon.net/maps/totk/tiles/sky/6/47_41.jpg",</v>
      </c>
      <c r="H2193" t="str">
        <f t="shared" si="69"/>
        <v>47_41</v>
      </c>
    </row>
    <row r="2194" spans="1:8" x14ac:dyDescent="0.2">
      <c r="A2194" s="9" t="s">
        <v>51</v>
      </c>
      <c r="C2194" t="str">
        <f t="shared" si="68"/>
        <v>"https://www.zeldadungeon.net/maps/totk/tiles/sky/6/47_42.jpg",</v>
      </c>
      <c r="H2194" t="str">
        <f t="shared" si="69"/>
        <v>47_42</v>
      </c>
    </row>
    <row r="2195" spans="1:8" x14ac:dyDescent="0.2">
      <c r="A2195" s="9" t="s">
        <v>51</v>
      </c>
      <c r="C2195" t="str">
        <f t="shared" si="68"/>
        <v>"https://www.zeldadungeon.net/maps/totk/tiles/sky/6/47_43.jpg",</v>
      </c>
      <c r="H2195" t="str">
        <f t="shared" si="69"/>
        <v>47_43</v>
      </c>
    </row>
    <row r="2196" spans="1:8" x14ac:dyDescent="0.2">
      <c r="A2196" s="9" t="s">
        <v>51</v>
      </c>
      <c r="C2196" t="str">
        <f t="shared" si="68"/>
        <v>"https://www.zeldadungeon.net/maps/totk/tiles/sky/6/47_44.jpg",</v>
      </c>
      <c r="H2196" t="str">
        <f t="shared" si="69"/>
        <v>47_44</v>
      </c>
    </row>
    <row r="2197" spans="1:8" x14ac:dyDescent="0.2">
      <c r="A2197" s="9" t="s">
        <v>51</v>
      </c>
      <c r="C2197" t="str">
        <f t="shared" si="68"/>
        <v>"https://www.zeldadungeon.net/maps/totk/tiles/sky/6/47_45.jpg",</v>
      </c>
      <c r="H2197" t="str">
        <f t="shared" si="69"/>
        <v>47_45</v>
      </c>
    </row>
    <row r="2198" spans="1:8" x14ac:dyDescent="0.2">
      <c r="A2198" s="9" t="s">
        <v>51</v>
      </c>
      <c r="C2198" t="str">
        <f t="shared" si="68"/>
        <v>"https://www.zeldadungeon.net/maps/totk/tiles/sky/6/47_46.jpg",</v>
      </c>
      <c r="H2198" t="str">
        <f t="shared" si="69"/>
        <v>47_46</v>
      </c>
    </row>
    <row r="2199" spans="1:8" x14ac:dyDescent="0.2">
      <c r="A2199" s="9" t="s">
        <v>51</v>
      </c>
      <c r="C2199" t="str">
        <f t="shared" si="68"/>
        <v>"https://www.zeldadungeon.net/maps/totk/tiles/sky/6/47_47.jpg",</v>
      </c>
      <c r="H2199" t="str">
        <f t="shared" si="69"/>
        <v>47_47</v>
      </c>
    </row>
    <row r="2200" spans="1:8" x14ac:dyDescent="0.2">
      <c r="A2200" s="9" t="s">
        <v>51</v>
      </c>
      <c r="C2200" t="str">
        <f t="shared" si="68"/>
        <v>"https://www.zeldadungeon.net/maps/totk/tiles/sky/6/47_48.jpg",</v>
      </c>
      <c r="H2200" t="str">
        <f t="shared" si="69"/>
        <v>47_48</v>
      </c>
    </row>
    <row r="2201" spans="1:8" x14ac:dyDescent="0.2">
      <c r="A2201" s="9" t="s">
        <v>51</v>
      </c>
      <c r="C2201" t="str">
        <f t="shared" si="68"/>
        <v>"https://www.zeldadungeon.net/maps/totk/tiles/sky/6/47_49.jpg",</v>
      </c>
      <c r="H2201" t="str">
        <f t="shared" si="69"/>
        <v>47_49</v>
      </c>
    </row>
    <row r="2202" spans="1:8" x14ac:dyDescent="0.2">
      <c r="A2202" s="9" t="s">
        <v>51</v>
      </c>
      <c r="C2202" t="str">
        <f t="shared" si="68"/>
        <v>"https://www.zeldadungeon.net/maps/totk/tiles/sky/6/47_50.jpg",</v>
      </c>
      <c r="H2202" t="str">
        <f t="shared" si="69"/>
        <v>47_50</v>
      </c>
    </row>
    <row r="2203" spans="1:8" x14ac:dyDescent="0.2">
      <c r="A2203" s="9" t="s">
        <v>51</v>
      </c>
      <c r="C2203" t="str">
        <f t="shared" si="68"/>
        <v>"https://www.zeldadungeon.net/maps/totk/tiles/sky/6/47_51.jpg",</v>
      </c>
      <c r="H2203" t="str">
        <f t="shared" si="69"/>
        <v>47_51</v>
      </c>
    </row>
    <row r="2204" spans="1:8" x14ac:dyDescent="0.2">
      <c r="A2204" s="9" t="s">
        <v>51</v>
      </c>
      <c r="C2204" t="str">
        <f t="shared" si="68"/>
        <v>"https://www.zeldadungeon.net/maps/totk/tiles/sky/6/47_52.jpg",</v>
      </c>
      <c r="H2204" t="str">
        <f t="shared" si="69"/>
        <v>47_52</v>
      </c>
    </row>
    <row r="2205" spans="1:8" x14ac:dyDescent="0.2">
      <c r="A2205" s="9" t="s">
        <v>51</v>
      </c>
      <c r="C2205" t="str">
        <f t="shared" si="68"/>
        <v>"https://www.zeldadungeon.net/maps/totk/tiles/sky/6/47_53.jpg",</v>
      </c>
      <c r="H2205" t="str">
        <f t="shared" si="69"/>
        <v>47_53</v>
      </c>
    </row>
    <row r="2206" spans="1:8" x14ac:dyDescent="0.2">
      <c r="A2206" s="9" t="s">
        <v>51</v>
      </c>
      <c r="C2206" t="str">
        <f t="shared" si="68"/>
        <v>"https://www.zeldadungeon.net/maps/totk/tiles/sky/6/47_54.jpg",</v>
      </c>
      <c r="H2206" t="str">
        <f t="shared" si="69"/>
        <v>47_54</v>
      </c>
    </row>
    <row r="2207" spans="1:8" x14ac:dyDescent="0.2">
      <c r="A2207" s="9" t="s">
        <v>51</v>
      </c>
      <c r="C2207" t="str">
        <f t="shared" si="68"/>
        <v>"https://www.zeldadungeon.net/maps/totk/tiles/sky/6/47_55.jpg",</v>
      </c>
      <c r="H2207" t="str">
        <f t="shared" si="69"/>
        <v>47_55</v>
      </c>
    </row>
    <row r="2208" spans="1:8" x14ac:dyDescent="0.2">
      <c r="A2208" s="9" t="s">
        <v>51</v>
      </c>
      <c r="C2208" t="str">
        <f t="shared" si="68"/>
        <v>"https://www.zeldadungeon.net/maps/totk/tiles/sky/6/48_8.jpg",</v>
      </c>
      <c r="H2208" t="str">
        <f t="shared" si="69"/>
        <v>48_8</v>
      </c>
    </row>
    <row r="2209" spans="1:8" x14ac:dyDescent="0.2">
      <c r="A2209" s="9" t="s">
        <v>51</v>
      </c>
      <c r="C2209" t="str">
        <f t="shared" si="68"/>
        <v>"https://www.zeldadungeon.net/maps/totk/tiles/sky/6/48_9.jpg",</v>
      </c>
      <c r="H2209" t="str">
        <f t="shared" si="69"/>
        <v>48_9</v>
      </c>
    </row>
    <row r="2210" spans="1:8" x14ac:dyDescent="0.2">
      <c r="A2210" s="9" t="s">
        <v>51</v>
      </c>
      <c r="C2210" t="str">
        <f t="shared" si="68"/>
        <v>"https://www.zeldadungeon.net/maps/totk/tiles/sky/6/48_10.jpg",</v>
      </c>
      <c r="H2210" t="str">
        <f t="shared" si="69"/>
        <v>48_10</v>
      </c>
    </row>
    <row r="2211" spans="1:8" x14ac:dyDescent="0.2">
      <c r="A2211" s="9" t="s">
        <v>51</v>
      </c>
      <c r="C2211" t="str">
        <f t="shared" si="68"/>
        <v>"https://www.zeldadungeon.net/maps/totk/tiles/sky/6/48_11.jpg",</v>
      </c>
      <c r="H2211" t="str">
        <f t="shared" si="69"/>
        <v>48_11</v>
      </c>
    </row>
    <row r="2212" spans="1:8" x14ac:dyDescent="0.2">
      <c r="A2212" s="9" t="s">
        <v>51</v>
      </c>
      <c r="C2212" t="str">
        <f t="shared" si="68"/>
        <v>"https://www.zeldadungeon.net/maps/totk/tiles/sky/6/48_12.jpg",</v>
      </c>
      <c r="H2212" t="str">
        <f t="shared" si="69"/>
        <v>48_12</v>
      </c>
    </row>
    <row r="2213" spans="1:8" x14ac:dyDescent="0.2">
      <c r="A2213" s="9" t="s">
        <v>51</v>
      </c>
      <c r="C2213" t="str">
        <f t="shared" si="68"/>
        <v>"https://www.zeldadungeon.net/maps/totk/tiles/sky/6/48_13.jpg",</v>
      </c>
      <c r="H2213" t="str">
        <f t="shared" si="69"/>
        <v>48_13</v>
      </c>
    </row>
    <row r="2214" spans="1:8" x14ac:dyDescent="0.2">
      <c r="A2214" s="9" t="s">
        <v>51</v>
      </c>
      <c r="C2214" t="str">
        <f t="shared" si="68"/>
        <v>"https://www.zeldadungeon.net/maps/totk/tiles/sky/6/48_14.jpg",</v>
      </c>
      <c r="H2214" t="str">
        <f t="shared" si="69"/>
        <v>48_14</v>
      </c>
    </row>
    <row r="2215" spans="1:8" x14ac:dyDescent="0.2">
      <c r="A2215" s="9" t="s">
        <v>51</v>
      </c>
      <c r="C2215" t="str">
        <f t="shared" si="68"/>
        <v>"https://www.zeldadungeon.net/maps/totk/tiles/sky/6/48_15.jpg",</v>
      </c>
      <c r="H2215" t="str">
        <f t="shared" si="69"/>
        <v>48_15</v>
      </c>
    </row>
    <row r="2216" spans="1:8" x14ac:dyDescent="0.2">
      <c r="A2216" s="9" t="s">
        <v>51</v>
      </c>
      <c r="C2216" t="str">
        <f t="shared" si="68"/>
        <v>"https://www.zeldadungeon.net/maps/totk/tiles/sky/6/48_16.jpg",</v>
      </c>
      <c r="H2216" t="str">
        <f t="shared" si="69"/>
        <v>48_16</v>
      </c>
    </row>
    <row r="2217" spans="1:8" x14ac:dyDescent="0.2">
      <c r="A2217" s="9" t="s">
        <v>51</v>
      </c>
      <c r="C2217" t="str">
        <f t="shared" si="68"/>
        <v>"https://www.zeldadungeon.net/maps/totk/tiles/sky/6/48_17.jpg",</v>
      </c>
      <c r="H2217" t="str">
        <f t="shared" si="69"/>
        <v>48_17</v>
      </c>
    </row>
    <row r="2218" spans="1:8" x14ac:dyDescent="0.2">
      <c r="A2218" s="9" t="s">
        <v>51</v>
      </c>
      <c r="C2218" t="str">
        <f t="shared" si="68"/>
        <v>"https://www.zeldadungeon.net/maps/totk/tiles/sky/6/48_18.jpg",</v>
      </c>
      <c r="H2218" t="str">
        <f t="shared" si="69"/>
        <v>48_18</v>
      </c>
    </row>
    <row r="2219" spans="1:8" x14ac:dyDescent="0.2">
      <c r="A2219" s="9" t="s">
        <v>51</v>
      </c>
      <c r="C2219" t="str">
        <f t="shared" si="68"/>
        <v>"https://www.zeldadungeon.net/maps/totk/tiles/sky/6/48_19.jpg",</v>
      </c>
      <c r="H2219" t="str">
        <f t="shared" si="69"/>
        <v>48_19</v>
      </c>
    </row>
    <row r="2220" spans="1:8" x14ac:dyDescent="0.2">
      <c r="A2220" s="9" t="s">
        <v>51</v>
      </c>
      <c r="C2220" t="str">
        <f t="shared" si="68"/>
        <v>"https://www.zeldadungeon.net/maps/totk/tiles/sky/6/48_20.jpg",</v>
      </c>
      <c r="H2220" t="str">
        <f t="shared" si="69"/>
        <v>48_20</v>
      </c>
    </row>
    <row r="2221" spans="1:8" x14ac:dyDescent="0.2">
      <c r="A2221" s="9" t="s">
        <v>51</v>
      </c>
      <c r="C2221" t="str">
        <f t="shared" si="68"/>
        <v>"https://www.zeldadungeon.net/maps/totk/tiles/sky/6/48_21.jpg",</v>
      </c>
      <c r="H2221" t="str">
        <f t="shared" si="69"/>
        <v>48_21</v>
      </c>
    </row>
    <row r="2222" spans="1:8" x14ac:dyDescent="0.2">
      <c r="A2222" s="9" t="s">
        <v>51</v>
      </c>
      <c r="C2222" t="str">
        <f t="shared" si="68"/>
        <v>"https://www.zeldadungeon.net/maps/totk/tiles/sky/6/48_22.jpg",</v>
      </c>
      <c r="H2222" t="str">
        <f t="shared" si="69"/>
        <v>48_22</v>
      </c>
    </row>
    <row r="2223" spans="1:8" x14ac:dyDescent="0.2">
      <c r="A2223" s="9" t="s">
        <v>51</v>
      </c>
      <c r="C2223" t="str">
        <f t="shared" si="68"/>
        <v>"https://www.zeldadungeon.net/maps/totk/tiles/sky/6/48_23.jpg",</v>
      </c>
      <c r="H2223" t="str">
        <f t="shared" si="69"/>
        <v>48_23</v>
      </c>
    </row>
    <row r="2224" spans="1:8" x14ac:dyDescent="0.2">
      <c r="A2224" s="9" t="s">
        <v>51</v>
      </c>
      <c r="C2224" t="str">
        <f t="shared" si="68"/>
        <v>"https://www.zeldadungeon.net/maps/totk/tiles/sky/6/48_24.jpg",</v>
      </c>
      <c r="H2224" t="str">
        <f t="shared" si="69"/>
        <v>48_24</v>
      </c>
    </row>
    <row r="2225" spans="1:8" x14ac:dyDescent="0.2">
      <c r="A2225" s="9" t="s">
        <v>51</v>
      </c>
      <c r="C2225" t="str">
        <f t="shared" si="68"/>
        <v>"https://www.zeldadungeon.net/maps/totk/tiles/sky/6/48_25.jpg",</v>
      </c>
      <c r="H2225" t="str">
        <f t="shared" si="69"/>
        <v>48_25</v>
      </c>
    </row>
    <row r="2226" spans="1:8" x14ac:dyDescent="0.2">
      <c r="A2226" s="9" t="s">
        <v>51</v>
      </c>
      <c r="C2226" t="str">
        <f t="shared" si="68"/>
        <v>"https://www.zeldadungeon.net/maps/totk/tiles/sky/6/48_26.jpg",</v>
      </c>
      <c r="H2226" t="str">
        <f t="shared" si="69"/>
        <v>48_26</v>
      </c>
    </row>
    <row r="2227" spans="1:8" x14ac:dyDescent="0.2">
      <c r="A2227" s="9" t="s">
        <v>51</v>
      </c>
      <c r="C2227" t="str">
        <f t="shared" si="68"/>
        <v>"https://www.zeldadungeon.net/maps/totk/tiles/sky/6/48_27.jpg",</v>
      </c>
      <c r="H2227" t="str">
        <f t="shared" si="69"/>
        <v>48_27</v>
      </c>
    </row>
    <row r="2228" spans="1:8" x14ac:dyDescent="0.2">
      <c r="A2228" s="9" t="s">
        <v>51</v>
      </c>
      <c r="C2228" t="str">
        <f t="shared" si="68"/>
        <v>"https://www.zeldadungeon.net/maps/totk/tiles/sky/6/48_28.jpg",</v>
      </c>
      <c r="H2228" t="str">
        <f t="shared" si="69"/>
        <v>48_28</v>
      </c>
    </row>
    <row r="2229" spans="1:8" x14ac:dyDescent="0.2">
      <c r="A2229" s="9" t="s">
        <v>51</v>
      </c>
      <c r="C2229" t="str">
        <f t="shared" si="68"/>
        <v>"https://www.zeldadungeon.net/maps/totk/tiles/sky/6/48_29.jpg",</v>
      </c>
      <c r="H2229" t="str">
        <f t="shared" si="69"/>
        <v>48_29</v>
      </c>
    </row>
    <row r="2230" spans="1:8" x14ac:dyDescent="0.2">
      <c r="A2230" s="9" t="s">
        <v>51</v>
      </c>
      <c r="C2230" t="str">
        <f t="shared" si="68"/>
        <v>"https://www.zeldadungeon.net/maps/totk/tiles/sky/6/48_30.jpg",</v>
      </c>
      <c r="H2230" t="str">
        <f t="shared" si="69"/>
        <v>48_30</v>
      </c>
    </row>
    <row r="2231" spans="1:8" x14ac:dyDescent="0.2">
      <c r="A2231" s="9" t="s">
        <v>51</v>
      </c>
      <c r="C2231" t="str">
        <f t="shared" si="68"/>
        <v>"https://www.zeldadungeon.net/maps/totk/tiles/sky/6/48_31.jpg",</v>
      </c>
      <c r="H2231" t="str">
        <f t="shared" si="69"/>
        <v>48_31</v>
      </c>
    </row>
    <row r="2232" spans="1:8" x14ac:dyDescent="0.2">
      <c r="A2232" s="9" t="s">
        <v>51</v>
      </c>
      <c r="C2232" t="str">
        <f t="shared" si="68"/>
        <v>"https://www.zeldadungeon.net/maps/totk/tiles/sky/6/48_32.jpg",</v>
      </c>
      <c r="H2232" t="str">
        <f t="shared" si="69"/>
        <v>48_32</v>
      </c>
    </row>
    <row r="2233" spans="1:8" x14ac:dyDescent="0.2">
      <c r="A2233" s="9" t="s">
        <v>51</v>
      </c>
      <c r="C2233" t="str">
        <f t="shared" si="68"/>
        <v>"https://www.zeldadungeon.net/maps/totk/tiles/sky/6/48_33.jpg",</v>
      </c>
      <c r="H2233" t="str">
        <f t="shared" si="69"/>
        <v>48_33</v>
      </c>
    </row>
    <row r="2234" spans="1:8" x14ac:dyDescent="0.2">
      <c r="A2234" s="9" t="s">
        <v>51</v>
      </c>
      <c r="C2234" t="str">
        <f t="shared" si="68"/>
        <v>"https://www.zeldadungeon.net/maps/totk/tiles/sky/6/48_34.jpg",</v>
      </c>
      <c r="H2234" t="str">
        <f t="shared" si="69"/>
        <v>48_34</v>
      </c>
    </row>
    <row r="2235" spans="1:8" x14ac:dyDescent="0.2">
      <c r="A2235" s="9" t="s">
        <v>51</v>
      </c>
      <c r="C2235" t="str">
        <f t="shared" si="68"/>
        <v>"https://www.zeldadungeon.net/maps/totk/tiles/sky/6/48_35.jpg",</v>
      </c>
      <c r="H2235" t="str">
        <f t="shared" si="69"/>
        <v>48_35</v>
      </c>
    </row>
    <row r="2236" spans="1:8" x14ac:dyDescent="0.2">
      <c r="A2236" s="9" t="s">
        <v>51</v>
      </c>
      <c r="C2236" t="str">
        <f t="shared" si="68"/>
        <v>"https://www.zeldadungeon.net/maps/totk/tiles/sky/6/48_36.jpg",</v>
      </c>
      <c r="H2236" t="str">
        <f t="shared" si="69"/>
        <v>48_36</v>
      </c>
    </row>
    <row r="2237" spans="1:8" x14ac:dyDescent="0.2">
      <c r="A2237" s="9" t="s">
        <v>51</v>
      </c>
      <c r="C2237" t="str">
        <f t="shared" si="68"/>
        <v>"https://www.zeldadungeon.net/maps/totk/tiles/sky/6/48_37.jpg",</v>
      </c>
      <c r="H2237" t="str">
        <f t="shared" si="69"/>
        <v>48_37</v>
      </c>
    </row>
    <row r="2238" spans="1:8" x14ac:dyDescent="0.2">
      <c r="A2238" s="9" t="s">
        <v>51</v>
      </c>
      <c r="C2238" t="str">
        <f t="shared" si="68"/>
        <v>"https://www.zeldadungeon.net/maps/totk/tiles/sky/6/48_38.jpg",</v>
      </c>
      <c r="H2238" t="str">
        <f t="shared" si="69"/>
        <v>48_38</v>
      </c>
    </row>
    <row r="2239" spans="1:8" x14ac:dyDescent="0.2">
      <c r="A2239" s="9" t="s">
        <v>51</v>
      </c>
      <c r="C2239" t="str">
        <f t="shared" si="68"/>
        <v>"https://www.zeldadungeon.net/maps/totk/tiles/sky/6/48_39.jpg",</v>
      </c>
      <c r="H2239" t="str">
        <f t="shared" si="69"/>
        <v>48_39</v>
      </c>
    </row>
    <row r="2240" spans="1:8" x14ac:dyDescent="0.2">
      <c r="A2240" s="9" t="s">
        <v>51</v>
      </c>
      <c r="C2240" t="str">
        <f t="shared" si="68"/>
        <v>"https://www.zeldadungeon.net/maps/totk/tiles/sky/6/48_40.jpg",</v>
      </c>
      <c r="H2240" t="str">
        <f t="shared" si="69"/>
        <v>48_40</v>
      </c>
    </row>
    <row r="2241" spans="1:8" x14ac:dyDescent="0.2">
      <c r="A2241" s="9" t="s">
        <v>51</v>
      </c>
      <c r="C2241" t="str">
        <f t="shared" ref="C2241:C2304" si="70">""""&amp;SUBSTITUTE(A2241,"zzz",H2241)&amp;""""&amp;","</f>
        <v>"https://www.zeldadungeon.net/maps/totk/tiles/sky/6/48_41.jpg",</v>
      </c>
      <c r="H2241" t="str">
        <f t="shared" ref="H2241:H2304" si="71">QUOTIENT(ROW(A2241),48)+2&amp;"_"&amp;MOD(ROW(A2241),48)+8</f>
        <v>48_41</v>
      </c>
    </row>
    <row r="2242" spans="1:8" x14ac:dyDescent="0.2">
      <c r="A2242" s="9" t="s">
        <v>51</v>
      </c>
      <c r="C2242" t="str">
        <f t="shared" si="70"/>
        <v>"https://www.zeldadungeon.net/maps/totk/tiles/sky/6/48_42.jpg",</v>
      </c>
      <c r="H2242" t="str">
        <f t="shared" si="71"/>
        <v>48_42</v>
      </c>
    </row>
    <row r="2243" spans="1:8" x14ac:dyDescent="0.2">
      <c r="A2243" s="9" t="s">
        <v>51</v>
      </c>
      <c r="C2243" t="str">
        <f t="shared" si="70"/>
        <v>"https://www.zeldadungeon.net/maps/totk/tiles/sky/6/48_43.jpg",</v>
      </c>
      <c r="H2243" t="str">
        <f t="shared" si="71"/>
        <v>48_43</v>
      </c>
    </row>
    <row r="2244" spans="1:8" x14ac:dyDescent="0.2">
      <c r="A2244" s="9" t="s">
        <v>51</v>
      </c>
      <c r="C2244" t="str">
        <f t="shared" si="70"/>
        <v>"https://www.zeldadungeon.net/maps/totk/tiles/sky/6/48_44.jpg",</v>
      </c>
      <c r="H2244" t="str">
        <f t="shared" si="71"/>
        <v>48_44</v>
      </c>
    </row>
    <row r="2245" spans="1:8" x14ac:dyDescent="0.2">
      <c r="A2245" s="9" t="s">
        <v>51</v>
      </c>
      <c r="C2245" t="str">
        <f t="shared" si="70"/>
        <v>"https://www.zeldadungeon.net/maps/totk/tiles/sky/6/48_45.jpg",</v>
      </c>
      <c r="H2245" t="str">
        <f t="shared" si="71"/>
        <v>48_45</v>
      </c>
    </row>
    <row r="2246" spans="1:8" x14ac:dyDescent="0.2">
      <c r="A2246" s="9" t="s">
        <v>51</v>
      </c>
      <c r="C2246" t="str">
        <f t="shared" si="70"/>
        <v>"https://www.zeldadungeon.net/maps/totk/tiles/sky/6/48_46.jpg",</v>
      </c>
      <c r="H2246" t="str">
        <f t="shared" si="71"/>
        <v>48_46</v>
      </c>
    </row>
    <row r="2247" spans="1:8" x14ac:dyDescent="0.2">
      <c r="A2247" s="9" t="s">
        <v>51</v>
      </c>
      <c r="C2247" t="str">
        <f t="shared" si="70"/>
        <v>"https://www.zeldadungeon.net/maps/totk/tiles/sky/6/48_47.jpg",</v>
      </c>
      <c r="H2247" t="str">
        <f t="shared" si="71"/>
        <v>48_47</v>
      </c>
    </row>
    <row r="2248" spans="1:8" x14ac:dyDescent="0.2">
      <c r="A2248" s="9" t="s">
        <v>51</v>
      </c>
      <c r="C2248" t="str">
        <f t="shared" si="70"/>
        <v>"https://www.zeldadungeon.net/maps/totk/tiles/sky/6/48_48.jpg",</v>
      </c>
      <c r="H2248" t="str">
        <f t="shared" si="71"/>
        <v>48_48</v>
      </c>
    </row>
    <row r="2249" spans="1:8" x14ac:dyDescent="0.2">
      <c r="A2249" s="9" t="s">
        <v>51</v>
      </c>
      <c r="C2249" t="str">
        <f t="shared" si="70"/>
        <v>"https://www.zeldadungeon.net/maps/totk/tiles/sky/6/48_49.jpg",</v>
      </c>
      <c r="H2249" t="str">
        <f t="shared" si="71"/>
        <v>48_49</v>
      </c>
    </row>
    <row r="2250" spans="1:8" x14ac:dyDescent="0.2">
      <c r="A2250" s="9" t="s">
        <v>51</v>
      </c>
      <c r="C2250" t="str">
        <f t="shared" si="70"/>
        <v>"https://www.zeldadungeon.net/maps/totk/tiles/sky/6/48_50.jpg",</v>
      </c>
      <c r="H2250" t="str">
        <f t="shared" si="71"/>
        <v>48_50</v>
      </c>
    </row>
    <row r="2251" spans="1:8" x14ac:dyDescent="0.2">
      <c r="A2251" s="9" t="s">
        <v>51</v>
      </c>
      <c r="C2251" t="str">
        <f t="shared" si="70"/>
        <v>"https://www.zeldadungeon.net/maps/totk/tiles/sky/6/48_51.jpg",</v>
      </c>
      <c r="H2251" t="str">
        <f t="shared" si="71"/>
        <v>48_51</v>
      </c>
    </row>
    <row r="2252" spans="1:8" x14ac:dyDescent="0.2">
      <c r="A2252" s="9" t="s">
        <v>51</v>
      </c>
      <c r="C2252" t="str">
        <f t="shared" si="70"/>
        <v>"https://www.zeldadungeon.net/maps/totk/tiles/sky/6/48_52.jpg",</v>
      </c>
      <c r="H2252" t="str">
        <f t="shared" si="71"/>
        <v>48_52</v>
      </c>
    </row>
    <row r="2253" spans="1:8" x14ac:dyDescent="0.2">
      <c r="A2253" s="9" t="s">
        <v>51</v>
      </c>
      <c r="C2253" t="str">
        <f t="shared" si="70"/>
        <v>"https://www.zeldadungeon.net/maps/totk/tiles/sky/6/48_53.jpg",</v>
      </c>
      <c r="H2253" t="str">
        <f t="shared" si="71"/>
        <v>48_53</v>
      </c>
    </row>
    <row r="2254" spans="1:8" x14ac:dyDescent="0.2">
      <c r="A2254" s="9" t="s">
        <v>51</v>
      </c>
      <c r="C2254" t="str">
        <f t="shared" si="70"/>
        <v>"https://www.zeldadungeon.net/maps/totk/tiles/sky/6/48_54.jpg",</v>
      </c>
      <c r="H2254" t="str">
        <f t="shared" si="71"/>
        <v>48_54</v>
      </c>
    </row>
    <row r="2255" spans="1:8" x14ac:dyDescent="0.2">
      <c r="A2255" s="9" t="s">
        <v>51</v>
      </c>
      <c r="C2255" t="str">
        <f t="shared" si="70"/>
        <v>"https://www.zeldadungeon.net/maps/totk/tiles/sky/6/48_55.jpg",</v>
      </c>
      <c r="H2255" t="str">
        <f t="shared" si="71"/>
        <v>48_55</v>
      </c>
    </row>
    <row r="2256" spans="1:8" x14ac:dyDescent="0.2">
      <c r="A2256" s="9" t="s">
        <v>51</v>
      </c>
      <c r="C2256" t="str">
        <f t="shared" si="70"/>
        <v>"https://www.zeldadungeon.net/maps/totk/tiles/sky/6/49_8.jpg",</v>
      </c>
      <c r="H2256" t="str">
        <f t="shared" si="71"/>
        <v>49_8</v>
      </c>
    </row>
    <row r="2257" spans="1:8" x14ac:dyDescent="0.2">
      <c r="A2257" s="9" t="s">
        <v>51</v>
      </c>
      <c r="C2257" t="str">
        <f t="shared" si="70"/>
        <v>"https://www.zeldadungeon.net/maps/totk/tiles/sky/6/49_9.jpg",</v>
      </c>
      <c r="H2257" t="str">
        <f t="shared" si="71"/>
        <v>49_9</v>
      </c>
    </row>
    <row r="2258" spans="1:8" x14ac:dyDescent="0.2">
      <c r="A2258" s="9" t="s">
        <v>51</v>
      </c>
      <c r="C2258" t="str">
        <f t="shared" si="70"/>
        <v>"https://www.zeldadungeon.net/maps/totk/tiles/sky/6/49_10.jpg",</v>
      </c>
      <c r="H2258" t="str">
        <f t="shared" si="71"/>
        <v>49_10</v>
      </c>
    </row>
    <row r="2259" spans="1:8" x14ac:dyDescent="0.2">
      <c r="A2259" s="9" t="s">
        <v>51</v>
      </c>
      <c r="C2259" t="str">
        <f t="shared" si="70"/>
        <v>"https://www.zeldadungeon.net/maps/totk/tiles/sky/6/49_11.jpg",</v>
      </c>
      <c r="H2259" t="str">
        <f t="shared" si="71"/>
        <v>49_11</v>
      </c>
    </row>
    <row r="2260" spans="1:8" x14ac:dyDescent="0.2">
      <c r="A2260" s="9" t="s">
        <v>51</v>
      </c>
      <c r="C2260" t="str">
        <f t="shared" si="70"/>
        <v>"https://www.zeldadungeon.net/maps/totk/tiles/sky/6/49_12.jpg",</v>
      </c>
      <c r="H2260" t="str">
        <f t="shared" si="71"/>
        <v>49_12</v>
      </c>
    </row>
    <row r="2261" spans="1:8" x14ac:dyDescent="0.2">
      <c r="A2261" s="9" t="s">
        <v>51</v>
      </c>
      <c r="C2261" t="str">
        <f t="shared" si="70"/>
        <v>"https://www.zeldadungeon.net/maps/totk/tiles/sky/6/49_13.jpg",</v>
      </c>
      <c r="H2261" t="str">
        <f t="shared" si="71"/>
        <v>49_13</v>
      </c>
    </row>
    <row r="2262" spans="1:8" x14ac:dyDescent="0.2">
      <c r="A2262" s="9" t="s">
        <v>51</v>
      </c>
      <c r="C2262" t="str">
        <f t="shared" si="70"/>
        <v>"https://www.zeldadungeon.net/maps/totk/tiles/sky/6/49_14.jpg",</v>
      </c>
      <c r="H2262" t="str">
        <f t="shared" si="71"/>
        <v>49_14</v>
      </c>
    </row>
    <row r="2263" spans="1:8" x14ac:dyDescent="0.2">
      <c r="A2263" s="9" t="s">
        <v>51</v>
      </c>
      <c r="C2263" t="str">
        <f t="shared" si="70"/>
        <v>"https://www.zeldadungeon.net/maps/totk/tiles/sky/6/49_15.jpg",</v>
      </c>
      <c r="H2263" t="str">
        <f t="shared" si="71"/>
        <v>49_15</v>
      </c>
    </row>
    <row r="2264" spans="1:8" x14ac:dyDescent="0.2">
      <c r="A2264" s="9" t="s">
        <v>51</v>
      </c>
      <c r="C2264" t="str">
        <f t="shared" si="70"/>
        <v>"https://www.zeldadungeon.net/maps/totk/tiles/sky/6/49_16.jpg",</v>
      </c>
      <c r="H2264" t="str">
        <f t="shared" si="71"/>
        <v>49_16</v>
      </c>
    </row>
    <row r="2265" spans="1:8" x14ac:dyDescent="0.2">
      <c r="A2265" s="9" t="s">
        <v>51</v>
      </c>
      <c r="C2265" t="str">
        <f t="shared" si="70"/>
        <v>"https://www.zeldadungeon.net/maps/totk/tiles/sky/6/49_17.jpg",</v>
      </c>
      <c r="H2265" t="str">
        <f t="shared" si="71"/>
        <v>49_17</v>
      </c>
    </row>
    <row r="2266" spans="1:8" x14ac:dyDescent="0.2">
      <c r="A2266" s="9" t="s">
        <v>51</v>
      </c>
      <c r="C2266" t="str">
        <f t="shared" si="70"/>
        <v>"https://www.zeldadungeon.net/maps/totk/tiles/sky/6/49_18.jpg",</v>
      </c>
      <c r="H2266" t="str">
        <f t="shared" si="71"/>
        <v>49_18</v>
      </c>
    </row>
    <row r="2267" spans="1:8" x14ac:dyDescent="0.2">
      <c r="A2267" s="9" t="s">
        <v>51</v>
      </c>
      <c r="C2267" t="str">
        <f t="shared" si="70"/>
        <v>"https://www.zeldadungeon.net/maps/totk/tiles/sky/6/49_19.jpg",</v>
      </c>
      <c r="H2267" t="str">
        <f t="shared" si="71"/>
        <v>49_19</v>
      </c>
    </row>
    <row r="2268" spans="1:8" x14ac:dyDescent="0.2">
      <c r="A2268" s="9" t="s">
        <v>51</v>
      </c>
      <c r="C2268" t="str">
        <f t="shared" si="70"/>
        <v>"https://www.zeldadungeon.net/maps/totk/tiles/sky/6/49_20.jpg",</v>
      </c>
      <c r="H2268" t="str">
        <f t="shared" si="71"/>
        <v>49_20</v>
      </c>
    </row>
    <row r="2269" spans="1:8" x14ac:dyDescent="0.2">
      <c r="A2269" s="9" t="s">
        <v>51</v>
      </c>
      <c r="C2269" t="str">
        <f t="shared" si="70"/>
        <v>"https://www.zeldadungeon.net/maps/totk/tiles/sky/6/49_21.jpg",</v>
      </c>
      <c r="H2269" t="str">
        <f t="shared" si="71"/>
        <v>49_21</v>
      </c>
    </row>
    <row r="2270" spans="1:8" x14ac:dyDescent="0.2">
      <c r="A2270" s="9" t="s">
        <v>51</v>
      </c>
      <c r="C2270" t="str">
        <f t="shared" si="70"/>
        <v>"https://www.zeldadungeon.net/maps/totk/tiles/sky/6/49_22.jpg",</v>
      </c>
      <c r="H2270" t="str">
        <f t="shared" si="71"/>
        <v>49_22</v>
      </c>
    </row>
    <row r="2271" spans="1:8" x14ac:dyDescent="0.2">
      <c r="A2271" s="9" t="s">
        <v>51</v>
      </c>
      <c r="C2271" t="str">
        <f t="shared" si="70"/>
        <v>"https://www.zeldadungeon.net/maps/totk/tiles/sky/6/49_23.jpg",</v>
      </c>
      <c r="H2271" t="str">
        <f t="shared" si="71"/>
        <v>49_23</v>
      </c>
    </row>
    <row r="2272" spans="1:8" x14ac:dyDescent="0.2">
      <c r="A2272" s="9" t="s">
        <v>51</v>
      </c>
      <c r="C2272" t="str">
        <f t="shared" si="70"/>
        <v>"https://www.zeldadungeon.net/maps/totk/tiles/sky/6/49_24.jpg",</v>
      </c>
      <c r="H2272" t="str">
        <f t="shared" si="71"/>
        <v>49_24</v>
      </c>
    </row>
    <row r="2273" spans="1:8" x14ac:dyDescent="0.2">
      <c r="A2273" s="9" t="s">
        <v>51</v>
      </c>
      <c r="C2273" t="str">
        <f t="shared" si="70"/>
        <v>"https://www.zeldadungeon.net/maps/totk/tiles/sky/6/49_25.jpg",</v>
      </c>
      <c r="H2273" t="str">
        <f t="shared" si="71"/>
        <v>49_25</v>
      </c>
    </row>
    <row r="2274" spans="1:8" x14ac:dyDescent="0.2">
      <c r="A2274" s="9" t="s">
        <v>51</v>
      </c>
      <c r="C2274" t="str">
        <f t="shared" si="70"/>
        <v>"https://www.zeldadungeon.net/maps/totk/tiles/sky/6/49_26.jpg",</v>
      </c>
      <c r="H2274" t="str">
        <f t="shared" si="71"/>
        <v>49_26</v>
      </c>
    </row>
    <row r="2275" spans="1:8" x14ac:dyDescent="0.2">
      <c r="A2275" s="9" t="s">
        <v>51</v>
      </c>
      <c r="C2275" t="str">
        <f t="shared" si="70"/>
        <v>"https://www.zeldadungeon.net/maps/totk/tiles/sky/6/49_27.jpg",</v>
      </c>
      <c r="H2275" t="str">
        <f t="shared" si="71"/>
        <v>49_27</v>
      </c>
    </row>
    <row r="2276" spans="1:8" x14ac:dyDescent="0.2">
      <c r="A2276" s="9" t="s">
        <v>51</v>
      </c>
      <c r="C2276" t="str">
        <f t="shared" si="70"/>
        <v>"https://www.zeldadungeon.net/maps/totk/tiles/sky/6/49_28.jpg",</v>
      </c>
      <c r="H2276" t="str">
        <f t="shared" si="71"/>
        <v>49_28</v>
      </c>
    </row>
    <row r="2277" spans="1:8" x14ac:dyDescent="0.2">
      <c r="A2277" s="9" t="s">
        <v>51</v>
      </c>
      <c r="C2277" t="str">
        <f t="shared" si="70"/>
        <v>"https://www.zeldadungeon.net/maps/totk/tiles/sky/6/49_29.jpg",</v>
      </c>
      <c r="H2277" t="str">
        <f t="shared" si="71"/>
        <v>49_29</v>
      </c>
    </row>
    <row r="2278" spans="1:8" x14ac:dyDescent="0.2">
      <c r="A2278" s="9" t="s">
        <v>51</v>
      </c>
      <c r="C2278" t="str">
        <f t="shared" si="70"/>
        <v>"https://www.zeldadungeon.net/maps/totk/tiles/sky/6/49_30.jpg",</v>
      </c>
      <c r="H2278" t="str">
        <f t="shared" si="71"/>
        <v>49_30</v>
      </c>
    </row>
    <row r="2279" spans="1:8" x14ac:dyDescent="0.2">
      <c r="A2279" s="9" t="s">
        <v>51</v>
      </c>
      <c r="C2279" t="str">
        <f t="shared" si="70"/>
        <v>"https://www.zeldadungeon.net/maps/totk/tiles/sky/6/49_31.jpg",</v>
      </c>
      <c r="H2279" t="str">
        <f t="shared" si="71"/>
        <v>49_31</v>
      </c>
    </row>
    <row r="2280" spans="1:8" x14ac:dyDescent="0.2">
      <c r="A2280" s="9" t="s">
        <v>51</v>
      </c>
      <c r="C2280" t="str">
        <f t="shared" si="70"/>
        <v>"https://www.zeldadungeon.net/maps/totk/tiles/sky/6/49_32.jpg",</v>
      </c>
      <c r="H2280" t="str">
        <f t="shared" si="71"/>
        <v>49_32</v>
      </c>
    </row>
    <row r="2281" spans="1:8" x14ac:dyDescent="0.2">
      <c r="A2281" s="9" t="s">
        <v>51</v>
      </c>
      <c r="C2281" t="str">
        <f t="shared" si="70"/>
        <v>"https://www.zeldadungeon.net/maps/totk/tiles/sky/6/49_33.jpg",</v>
      </c>
      <c r="H2281" t="str">
        <f t="shared" si="71"/>
        <v>49_33</v>
      </c>
    </row>
    <row r="2282" spans="1:8" x14ac:dyDescent="0.2">
      <c r="A2282" s="9" t="s">
        <v>51</v>
      </c>
      <c r="C2282" t="str">
        <f t="shared" si="70"/>
        <v>"https://www.zeldadungeon.net/maps/totk/tiles/sky/6/49_34.jpg",</v>
      </c>
      <c r="H2282" t="str">
        <f t="shared" si="71"/>
        <v>49_34</v>
      </c>
    </row>
    <row r="2283" spans="1:8" x14ac:dyDescent="0.2">
      <c r="A2283" s="9" t="s">
        <v>51</v>
      </c>
      <c r="C2283" t="str">
        <f t="shared" si="70"/>
        <v>"https://www.zeldadungeon.net/maps/totk/tiles/sky/6/49_35.jpg",</v>
      </c>
      <c r="H2283" t="str">
        <f t="shared" si="71"/>
        <v>49_35</v>
      </c>
    </row>
    <row r="2284" spans="1:8" x14ac:dyDescent="0.2">
      <c r="A2284" s="9" t="s">
        <v>51</v>
      </c>
      <c r="C2284" t="str">
        <f t="shared" si="70"/>
        <v>"https://www.zeldadungeon.net/maps/totk/tiles/sky/6/49_36.jpg",</v>
      </c>
      <c r="H2284" t="str">
        <f t="shared" si="71"/>
        <v>49_36</v>
      </c>
    </row>
    <row r="2285" spans="1:8" x14ac:dyDescent="0.2">
      <c r="A2285" s="9" t="s">
        <v>51</v>
      </c>
      <c r="C2285" t="str">
        <f t="shared" si="70"/>
        <v>"https://www.zeldadungeon.net/maps/totk/tiles/sky/6/49_37.jpg",</v>
      </c>
      <c r="H2285" t="str">
        <f t="shared" si="71"/>
        <v>49_37</v>
      </c>
    </row>
    <row r="2286" spans="1:8" x14ac:dyDescent="0.2">
      <c r="A2286" s="9" t="s">
        <v>51</v>
      </c>
      <c r="C2286" t="str">
        <f t="shared" si="70"/>
        <v>"https://www.zeldadungeon.net/maps/totk/tiles/sky/6/49_38.jpg",</v>
      </c>
      <c r="H2286" t="str">
        <f t="shared" si="71"/>
        <v>49_38</v>
      </c>
    </row>
    <row r="2287" spans="1:8" x14ac:dyDescent="0.2">
      <c r="A2287" s="9" t="s">
        <v>51</v>
      </c>
      <c r="C2287" t="str">
        <f t="shared" si="70"/>
        <v>"https://www.zeldadungeon.net/maps/totk/tiles/sky/6/49_39.jpg",</v>
      </c>
      <c r="H2287" t="str">
        <f t="shared" si="71"/>
        <v>49_39</v>
      </c>
    </row>
    <row r="2288" spans="1:8" x14ac:dyDescent="0.2">
      <c r="A2288" s="9" t="s">
        <v>51</v>
      </c>
      <c r="C2288" t="str">
        <f t="shared" si="70"/>
        <v>"https://www.zeldadungeon.net/maps/totk/tiles/sky/6/49_40.jpg",</v>
      </c>
      <c r="H2288" t="str">
        <f t="shared" si="71"/>
        <v>49_40</v>
      </c>
    </row>
    <row r="2289" spans="1:8" x14ac:dyDescent="0.2">
      <c r="A2289" s="9" t="s">
        <v>51</v>
      </c>
      <c r="C2289" t="str">
        <f t="shared" si="70"/>
        <v>"https://www.zeldadungeon.net/maps/totk/tiles/sky/6/49_41.jpg",</v>
      </c>
      <c r="H2289" t="str">
        <f t="shared" si="71"/>
        <v>49_41</v>
      </c>
    </row>
    <row r="2290" spans="1:8" x14ac:dyDescent="0.2">
      <c r="A2290" s="9" t="s">
        <v>51</v>
      </c>
      <c r="C2290" t="str">
        <f t="shared" si="70"/>
        <v>"https://www.zeldadungeon.net/maps/totk/tiles/sky/6/49_42.jpg",</v>
      </c>
      <c r="H2290" t="str">
        <f t="shared" si="71"/>
        <v>49_42</v>
      </c>
    </row>
    <row r="2291" spans="1:8" x14ac:dyDescent="0.2">
      <c r="A2291" s="9" t="s">
        <v>51</v>
      </c>
      <c r="C2291" t="str">
        <f t="shared" si="70"/>
        <v>"https://www.zeldadungeon.net/maps/totk/tiles/sky/6/49_43.jpg",</v>
      </c>
      <c r="H2291" t="str">
        <f t="shared" si="71"/>
        <v>49_43</v>
      </c>
    </row>
    <row r="2292" spans="1:8" x14ac:dyDescent="0.2">
      <c r="A2292" s="9" t="s">
        <v>51</v>
      </c>
      <c r="C2292" t="str">
        <f t="shared" si="70"/>
        <v>"https://www.zeldadungeon.net/maps/totk/tiles/sky/6/49_44.jpg",</v>
      </c>
      <c r="H2292" t="str">
        <f t="shared" si="71"/>
        <v>49_44</v>
      </c>
    </row>
    <row r="2293" spans="1:8" x14ac:dyDescent="0.2">
      <c r="A2293" s="9" t="s">
        <v>51</v>
      </c>
      <c r="C2293" t="str">
        <f t="shared" si="70"/>
        <v>"https://www.zeldadungeon.net/maps/totk/tiles/sky/6/49_45.jpg",</v>
      </c>
      <c r="H2293" t="str">
        <f t="shared" si="71"/>
        <v>49_45</v>
      </c>
    </row>
    <row r="2294" spans="1:8" x14ac:dyDescent="0.2">
      <c r="A2294" s="9" t="s">
        <v>51</v>
      </c>
      <c r="C2294" t="str">
        <f t="shared" si="70"/>
        <v>"https://www.zeldadungeon.net/maps/totk/tiles/sky/6/49_46.jpg",</v>
      </c>
      <c r="H2294" t="str">
        <f t="shared" si="71"/>
        <v>49_46</v>
      </c>
    </row>
    <row r="2295" spans="1:8" x14ac:dyDescent="0.2">
      <c r="A2295" s="9" t="s">
        <v>51</v>
      </c>
      <c r="C2295" t="str">
        <f t="shared" si="70"/>
        <v>"https://www.zeldadungeon.net/maps/totk/tiles/sky/6/49_47.jpg",</v>
      </c>
      <c r="H2295" t="str">
        <f t="shared" si="71"/>
        <v>49_47</v>
      </c>
    </row>
    <row r="2296" spans="1:8" x14ac:dyDescent="0.2">
      <c r="A2296" s="9" t="s">
        <v>51</v>
      </c>
      <c r="C2296" t="str">
        <f t="shared" si="70"/>
        <v>"https://www.zeldadungeon.net/maps/totk/tiles/sky/6/49_48.jpg",</v>
      </c>
      <c r="H2296" t="str">
        <f t="shared" si="71"/>
        <v>49_48</v>
      </c>
    </row>
    <row r="2297" spans="1:8" x14ac:dyDescent="0.2">
      <c r="A2297" s="9" t="s">
        <v>51</v>
      </c>
      <c r="C2297" t="str">
        <f t="shared" si="70"/>
        <v>"https://www.zeldadungeon.net/maps/totk/tiles/sky/6/49_49.jpg",</v>
      </c>
      <c r="H2297" t="str">
        <f t="shared" si="71"/>
        <v>49_49</v>
      </c>
    </row>
    <row r="2298" spans="1:8" x14ac:dyDescent="0.2">
      <c r="A2298" s="9" t="s">
        <v>51</v>
      </c>
      <c r="C2298" t="str">
        <f t="shared" si="70"/>
        <v>"https://www.zeldadungeon.net/maps/totk/tiles/sky/6/49_50.jpg",</v>
      </c>
      <c r="H2298" t="str">
        <f t="shared" si="71"/>
        <v>49_50</v>
      </c>
    </row>
    <row r="2299" spans="1:8" x14ac:dyDescent="0.2">
      <c r="A2299" s="9" t="s">
        <v>51</v>
      </c>
      <c r="C2299" t="str">
        <f t="shared" si="70"/>
        <v>"https://www.zeldadungeon.net/maps/totk/tiles/sky/6/49_51.jpg",</v>
      </c>
      <c r="H2299" t="str">
        <f t="shared" si="71"/>
        <v>49_51</v>
      </c>
    </row>
    <row r="2300" spans="1:8" x14ac:dyDescent="0.2">
      <c r="A2300" s="9" t="s">
        <v>51</v>
      </c>
      <c r="C2300" t="str">
        <f t="shared" si="70"/>
        <v>"https://www.zeldadungeon.net/maps/totk/tiles/sky/6/49_52.jpg",</v>
      </c>
      <c r="H2300" t="str">
        <f t="shared" si="71"/>
        <v>49_52</v>
      </c>
    </row>
    <row r="2301" spans="1:8" x14ac:dyDescent="0.2">
      <c r="A2301" s="9" t="s">
        <v>51</v>
      </c>
      <c r="C2301" t="str">
        <f t="shared" si="70"/>
        <v>"https://www.zeldadungeon.net/maps/totk/tiles/sky/6/49_53.jpg",</v>
      </c>
      <c r="H2301" t="str">
        <f t="shared" si="71"/>
        <v>49_53</v>
      </c>
    </row>
    <row r="2302" spans="1:8" x14ac:dyDescent="0.2">
      <c r="A2302" s="9" t="s">
        <v>51</v>
      </c>
      <c r="C2302" t="str">
        <f t="shared" si="70"/>
        <v>"https://www.zeldadungeon.net/maps/totk/tiles/sky/6/49_54.jpg",</v>
      </c>
      <c r="H2302" t="str">
        <f t="shared" si="71"/>
        <v>49_54</v>
      </c>
    </row>
    <row r="2303" spans="1:8" x14ac:dyDescent="0.2">
      <c r="A2303" s="9" t="s">
        <v>51</v>
      </c>
      <c r="C2303" t="str">
        <f t="shared" si="70"/>
        <v>"https://www.zeldadungeon.net/maps/totk/tiles/sky/6/49_55.jpg",</v>
      </c>
      <c r="H2303" t="str">
        <f t="shared" si="71"/>
        <v>49_55</v>
      </c>
    </row>
    <row r="2304" spans="1:8" x14ac:dyDescent="0.2">
      <c r="A2304" s="9" t="s">
        <v>51</v>
      </c>
      <c r="C2304" t="str">
        <f t="shared" si="70"/>
        <v>"https://www.zeldadungeon.net/maps/totk/tiles/sky/6/50_8.jpg",</v>
      </c>
      <c r="H2304" t="str">
        <f t="shared" si="71"/>
        <v>50_8</v>
      </c>
    </row>
    <row r="2305" spans="1:8" x14ac:dyDescent="0.2">
      <c r="A2305" s="9" t="s">
        <v>51</v>
      </c>
      <c r="C2305" t="str">
        <f t="shared" ref="C2305:C2368" si="72">""""&amp;SUBSTITUTE(A2305,"zzz",H2305)&amp;""""&amp;","</f>
        <v>"https://www.zeldadungeon.net/maps/totk/tiles/sky/6/50_9.jpg",</v>
      </c>
      <c r="H2305" t="str">
        <f t="shared" ref="H2305:H2368" si="73">QUOTIENT(ROW(A2305),48)+2&amp;"_"&amp;MOD(ROW(A2305),48)+8</f>
        <v>50_9</v>
      </c>
    </row>
    <row r="2306" spans="1:8" x14ac:dyDescent="0.2">
      <c r="A2306" s="9" t="s">
        <v>51</v>
      </c>
      <c r="C2306" t="str">
        <f t="shared" si="72"/>
        <v>"https://www.zeldadungeon.net/maps/totk/tiles/sky/6/50_10.jpg",</v>
      </c>
      <c r="H2306" t="str">
        <f t="shared" si="73"/>
        <v>50_10</v>
      </c>
    </row>
    <row r="2307" spans="1:8" x14ac:dyDescent="0.2">
      <c r="A2307" s="9" t="s">
        <v>51</v>
      </c>
      <c r="C2307" t="str">
        <f t="shared" si="72"/>
        <v>"https://www.zeldadungeon.net/maps/totk/tiles/sky/6/50_11.jpg",</v>
      </c>
      <c r="H2307" t="str">
        <f t="shared" si="73"/>
        <v>50_11</v>
      </c>
    </row>
    <row r="2308" spans="1:8" x14ac:dyDescent="0.2">
      <c r="A2308" s="9" t="s">
        <v>51</v>
      </c>
      <c r="C2308" t="str">
        <f t="shared" si="72"/>
        <v>"https://www.zeldadungeon.net/maps/totk/tiles/sky/6/50_12.jpg",</v>
      </c>
      <c r="H2308" t="str">
        <f t="shared" si="73"/>
        <v>50_12</v>
      </c>
    </row>
    <row r="2309" spans="1:8" x14ac:dyDescent="0.2">
      <c r="A2309" s="9" t="s">
        <v>51</v>
      </c>
      <c r="C2309" t="str">
        <f t="shared" si="72"/>
        <v>"https://www.zeldadungeon.net/maps/totk/tiles/sky/6/50_13.jpg",</v>
      </c>
      <c r="H2309" t="str">
        <f t="shared" si="73"/>
        <v>50_13</v>
      </c>
    </row>
    <row r="2310" spans="1:8" x14ac:dyDescent="0.2">
      <c r="A2310" s="9" t="s">
        <v>51</v>
      </c>
      <c r="C2310" t="str">
        <f t="shared" si="72"/>
        <v>"https://www.zeldadungeon.net/maps/totk/tiles/sky/6/50_14.jpg",</v>
      </c>
      <c r="H2310" t="str">
        <f t="shared" si="73"/>
        <v>50_14</v>
      </c>
    </row>
    <row r="2311" spans="1:8" x14ac:dyDescent="0.2">
      <c r="A2311" s="9" t="s">
        <v>51</v>
      </c>
      <c r="C2311" t="str">
        <f t="shared" si="72"/>
        <v>"https://www.zeldadungeon.net/maps/totk/tiles/sky/6/50_15.jpg",</v>
      </c>
      <c r="H2311" t="str">
        <f t="shared" si="73"/>
        <v>50_15</v>
      </c>
    </row>
    <row r="2312" spans="1:8" x14ac:dyDescent="0.2">
      <c r="A2312" s="9" t="s">
        <v>51</v>
      </c>
      <c r="C2312" t="str">
        <f t="shared" si="72"/>
        <v>"https://www.zeldadungeon.net/maps/totk/tiles/sky/6/50_16.jpg",</v>
      </c>
      <c r="H2312" t="str">
        <f t="shared" si="73"/>
        <v>50_16</v>
      </c>
    </row>
    <row r="2313" spans="1:8" x14ac:dyDescent="0.2">
      <c r="A2313" s="9" t="s">
        <v>51</v>
      </c>
      <c r="C2313" t="str">
        <f t="shared" si="72"/>
        <v>"https://www.zeldadungeon.net/maps/totk/tiles/sky/6/50_17.jpg",</v>
      </c>
      <c r="H2313" t="str">
        <f t="shared" si="73"/>
        <v>50_17</v>
      </c>
    </row>
    <row r="2314" spans="1:8" x14ac:dyDescent="0.2">
      <c r="A2314" s="9" t="s">
        <v>51</v>
      </c>
      <c r="C2314" t="str">
        <f t="shared" si="72"/>
        <v>"https://www.zeldadungeon.net/maps/totk/tiles/sky/6/50_18.jpg",</v>
      </c>
      <c r="H2314" t="str">
        <f t="shared" si="73"/>
        <v>50_18</v>
      </c>
    </row>
    <row r="2315" spans="1:8" x14ac:dyDescent="0.2">
      <c r="A2315" s="9" t="s">
        <v>51</v>
      </c>
      <c r="C2315" t="str">
        <f t="shared" si="72"/>
        <v>"https://www.zeldadungeon.net/maps/totk/tiles/sky/6/50_19.jpg",</v>
      </c>
      <c r="H2315" t="str">
        <f t="shared" si="73"/>
        <v>50_19</v>
      </c>
    </row>
    <row r="2316" spans="1:8" x14ac:dyDescent="0.2">
      <c r="A2316" s="9" t="s">
        <v>51</v>
      </c>
      <c r="C2316" t="str">
        <f t="shared" si="72"/>
        <v>"https://www.zeldadungeon.net/maps/totk/tiles/sky/6/50_20.jpg",</v>
      </c>
      <c r="H2316" t="str">
        <f t="shared" si="73"/>
        <v>50_20</v>
      </c>
    </row>
    <row r="2317" spans="1:8" x14ac:dyDescent="0.2">
      <c r="A2317" s="9" t="s">
        <v>51</v>
      </c>
      <c r="C2317" t="str">
        <f t="shared" si="72"/>
        <v>"https://www.zeldadungeon.net/maps/totk/tiles/sky/6/50_21.jpg",</v>
      </c>
      <c r="H2317" t="str">
        <f t="shared" si="73"/>
        <v>50_21</v>
      </c>
    </row>
    <row r="2318" spans="1:8" x14ac:dyDescent="0.2">
      <c r="A2318" s="9" t="s">
        <v>51</v>
      </c>
      <c r="C2318" t="str">
        <f t="shared" si="72"/>
        <v>"https://www.zeldadungeon.net/maps/totk/tiles/sky/6/50_22.jpg",</v>
      </c>
      <c r="H2318" t="str">
        <f t="shared" si="73"/>
        <v>50_22</v>
      </c>
    </row>
    <row r="2319" spans="1:8" x14ac:dyDescent="0.2">
      <c r="A2319" s="9" t="s">
        <v>51</v>
      </c>
      <c r="C2319" t="str">
        <f t="shared" si="72"/>
        <v>"https://www.zeldadungeon.net/maps/totk/tiles/sky/6/50_23.jpg",</v>
      </c>
      <c r="H2319" t="str">
        <f t="shared" si="73"/>
        <v>50_23</v>
      </c>
    </row>
    <row r="2320" spans="1:8" x14ac:dyDescent="0.2">
      <c r="A2320" s="9" t="s">
        <v>51</v>
      </c>
      <c r="C2320" t="str">
        <f t="shared" si="72"/>
        <v>"https://www.zeldadungeon.net/maps/totk/tiles/sky/6/50_24.jpg",</v>
      </c>
      <c r="H2320" t="str">
        <f t="shared" si="73"/>
        <v>50_24</v>
      </c>
    </row>
    <row r="2321" spans="1:8" x14ac:dyDescent="0.2">
      <c r="A2321" s="9" t="s">
        <v>51</v>
      </c>
      <c r="C2321" t="str">
        <f t="shared" si="72"/>
        <v>"https://www.zeldadungeon.net/maps/totk/tiles/sky/6/50_25.jpg",</v>
      </c>
      <c r="H2321" t="str">
        <f t="shared" si="73"/>
        <v>50_25</v>
      </c>
    </row>
    <row r="2322" spans="1:8" x14ac:dyDescent="0.2">
      <c r="A2322" s="9" t="s">
        <v>51</v>
      </c>
      <c r="C2322" t="str">
        <f t="shared" si="72"/>
        <v>"https://www.zeldadungeon.net/maps/totk/tiles/sky/6/50_26.jpg",</v>
      </c>
      <c r="H2322" t="str">
        <f t="shared" si="73"/>
        <v>50_26</v>
      </c>
    </row>
    <row r="2323" spans="1:8" x14ac:dyDescent="0.2">
      <c r="A2323" s="9" t="s">
        <v>51</v>
      </c>
      <c r="C2323" t="str">
        <f t="shared" si="72"/>
        <v>"https://www.zeldadungeon.net/maps/totk/tiles/sky/6/50_27.jpg",</v>
      </c>
      <c r="H2323" t="str">
        <f t="shared" si="73"/>
        <v>50_27</v>
      </c>
    </row>
    <row r="2324" spans="1:8" x14ac:dyDescent="0.2">
      <c r="A2324" s="9" t="s">
        <v>51</v>
      </c>
      <c r="C2324" t="str">
        <f t="shared" si="72"/>
        <v>"https://www.zeldadungeon.net/maps/totk/tiles/sky/6/50_28.jpg",</v>
      </c>
      <c r="H2324" t="str">
        <f t="shared" si="73"/>
        <v>50_28</v>
      </c>
    </row>
    <row r="2325" spans="1:8" x14ac:dyDescent="0.2">
      <c r="A2325" s="9" t="s">
        <v>51</v>
      </c>
      <c r="C2325" t="str">
        <f t="shared" si="72"/>
        <v>"https://www.zeldadungeon.net/maps/totk/tiles/sky/6/50_29.jpg",</v>
      </c>
      <c r="H2325" t="str">
        <f t="shared" si="73"/>
        <v>50_29</v>
      </c>
    </row>
    <row r="2326" spans="1:8" x14ac:dyDescent="0.2">
      <c r="A2326" s="9" t="s">
        <v>51</v>
      </c>
      <c r="C2326" t="str">
        <f t="shared" si="72"/>
        <v>"https://www.zeldadungeon.net/maps/totk/tiles/sky/6/50_30.jpg",</v>
      </c>
      <c r="H2326" t="str">
        <f t="shared" si="73"/>
        <v>50_30</v>
      </c>
    </row>
    <row r="2327" spans="1:8" x14ac:dyDescent="0.2">
      <c r="A2327" s="9" t="s">
        <v>51</v>
      </c>
      <c r="C2327" t="str">
        <f t="shared" si="72"/>
        <v>"https://www.zeldadungeon.net/maps/totk/tiles/sky/6/50_31.jpg",</v>
      </c>
      <c r="H2327" t="str">
        <f t="shared" si="73"/>
        <v>50_31</v>
      </c>
    </row>
    <row r="2328" spans="1:8" x14ac:dyDescent="0.2">
      <c r="A2328" s="9" t="s">
        <v>51</v>
      </c>
      <c r="C2328" t="str">
        <f t="shared" si="72"/>
        <v>"https://www.zeldadungeon.net/maps/totk/tiles/sky/6/50_32.jpg",</v>
      </c>
      <c r="H2328" t="str">
        <f t="shared" si="73"/>
        <v>50_32</v>
      </c>
    </row>
    <row r="2329" spans="1:8" x14ac:dyDescent="0.2">
      <c r="A2329" s="9" t="s">
        <v>51</v>
      </c>
      <c r="C2329" t="str">
        <f t="shared" si="72"/>
        <v>"https://www.zeldadungeon.net/maps/totk/tiles/sky/6/50_33.jpg",</v>
      </c>
      <c r="H2329" t="str">
        <f t="shared" si="73"/>
        <v>50_33</v>
      </c>
    </row>
    <row r="2330" spans="1:8" x14ac:dyDescent="0.2">
      <c r="A2330" s="9" t="s">
        <v>51</v>
      </c>
      <c r="C2330" t="str">
        <f t="shared" si="72"/>
        <v>"https://www.zeldadungeon.net/maps/totk/tiles/sky/6/50_34.jpg",</v>
      </c>
      <c r="H2330" t="str">
        <f t="shared" si="73"/>
        <v>50_34</v>
      </c>
    </row>
    <row r="2331" spans="1:8" x14ac:dyDescent="0.2">
      <c r="A2331" s="9" t="s">
        <v>51</v>
      </c>
      <c r="C2331" t="str">
        <f t="shared" si="72"/>
        <v>"https://www.zeldadungeon.net/maps/totk/tiles/sky/6/50_35.jpg",</v>
      </c>
      <c r="H2331" t="str">
        <f t="shared" si="73"/>
        <v>50_35</v>
      </c>
    </row>
    <row r="2332" spans="1:8" x14ac:dyDescent="0.2">
      <c r="A2332" s="9" t="s">
        <v>51</v>
      </c>
      <c r="C2332" t="str">
        <f t="shared" si="72"/>
        <v>"https://www.zeldadungeon.net/maps/totk/tiles/sky/6/50_36.jpg",</v>
      </c>
      <c r="H2332" t="str">
        <f t="shared" si="73"/>
        <v>50_36</v>
      </c>
    </row>
    <row r="2333" spans="1:8" x14ac:dyDescent="0.2">
      <c r="A2333" s="9" t="s">
        <v>51</v>
      </c>
      <c r="C2333" t="str">
        <f t="shared" si="72"/>
        <v>"https://www.zeldadungeon.net/maps/totk/tiles/sky/6/50_37.jpg",</v>
      </c>
      <c r="H2333" t="str">
        <f t="shared" si="73"/>
        <v>50_37</v>
      </c>
    </row>
    <row r="2334" spans="1:8" x14ac:dyDescent="0.2">
      <c r="A2334" s="9" t="s">
        <v>51</v>
      </c>
      <c r="C2334" t="str">
        <f t="shared" si="72"/>
        <v>"https://www.zeldadungeon.net/maps/totk/tiles/sky/6/50_38.jpg",</v>
      </c>
      <c r="H2334" t="str">
        <f t="shared" si="73"/>
        <v>50_38</v>
      </c>
    </row>
    <row r="2335" spans="1:8" x14ac:dyDescent="0.2">
      <c r="A2335" s="9" t="s">
        <v>51</v>
      </c>
      <c r="C2335" t="str">
        <f t="shared" si="72"/>
        <v>"https://www.zeldadungeon.net/maps/totk/tiles/sky/6/50_39.jpg",</v>
      </c>
      <c r="H2335" t="str">
        <f t="shared" si="73"/>
        <v>50_39</v>
      </c>
    </row>
    <row r="2336" spans="1:8" x14ac:dyDescent="0.2">
      <c r="A2336" s="9" t="s">
        <v>51</v>
      </c>
      <c r="C2336" t="str">
        <f t="shared" si="72"/>
        <v>"https://www.zeldadungeon.net/maps/totk/tiles/sky/6/50_40.jpg",</v>
      </c>
      <c r="H2336" t="str">
        <f t="shared" si="73"/>
        <v>50_40</v>
      </c>
    </row>
    <row r="2337" spans="1:8" x14ac:dyDescent="0.2">
      <c r="A2337" s="9" t="s">
        <v>51</v>
      </c>
      <c r="C2337" t="str">
        <f t="shared" si="72"/>
        <v>"https://www.zeldadungeon.net/maps/totk/tiles/sky/6/50_41.jpg",</v>
      </c>
      <c r="H2337" t="str">
        <f t="shared" si="73"/>
        <v>50_41</v>
      </c>
    </row>
    <row r="2338" spans="1:8" x14ac:dyDescent="0.2">
      <c r="A2338" s="9" t="s">
        <v>51</v>
      </c>
      <c r="C2338" t="str">
        <f t="shared" si="72"/>
        <v>"https://www.zeldadungeon.net/maps/totk/tiles/sky/6/50_42.jpg",</v>
      </c>
      <c r="H2338" t="str">
        <f t="shared" si="73"/>
        <v>50_42</v>
      </c>
    </row>
    <row r="2339" spans="1:8" x14ac:dyDescent="0.2">
      <c r="A2339" s="9" t="s">
        <v>51</v>
      </c>
      <c r="C2339" t="str">
        <f t="shared" si="72"/>
        <v>"https://www.zeldadungeon.net/maps/totk/tiles/sky/6/50_43.jpg",</v>
      </c>
      <c r="H2339" t="str">
        <f t="shared" si="73"/>
        <v>50_43</v>
      </c>
    </row>
    <row r="2340" spans="1:8" x14ac:dyDescent="0.2">
      <c r="A2340" s="9" t="s">
        <v>51</v>
      </c>
      <c r="C2340" t="str">
        <f t="shared" si="72"/>
        <v>"https://www.zeldadungeon.net/maps/totk/tiles/sky/6/50_44.jpg",</v>
      </c>
      <c r="H2340" t="str">
        <f t="shared" si="73"/>
        <v>50_44</v>
      </c>
    </row>
    <row r="2341" spans="1:8" x14ac:dyDescent="0.2">
      <c r="A2341" s="9" t="s">
        <v>51</v>
      </c>
      <c r="C2341" t="str">
        <f t="shared" si="72"/>
        <v>"https://www.zeldadungeon.net/maps/totk/tiles/sky/6/50_45.jpg",</v>
      </c>
      <c r="H2341" t="str">
        <f t="shared" si="73"/>
        <v>50_45</v>
      </c>
    </row>
    <row r="2342" spans="1:8" x14ac:dyDescent="0.2">
      <c r="A2342" s="9" t="s">
        <v>51</v>
      </c>
      <c r="C2342" t="str">
        <f t="shared" si="72"/>
        <v>"https://www.zeldadungeon.net/maps/totk/tiles/sky/6/50_46.jpg",</v>
      </c>
      <c r="H2342" t="str">
        <f t="shared" si="73"/>
        <v>50_46</v>
      </c>
    </row>
    <row r="2343" spans="1:8" x14ac:dyDescent="0.2">
      <c r="A2343" s="9" t="s">
        <v>51</v>
      </c>
      <c r="C2343" t="str">
        <f t="shared" si="72"/>
        <v>"https://www.zeldadungeon.net/maps/totk/tiles/sky/6/50_47.jpg",</v>
      </c>
      <c r="H2343" t="str">
        <f t="shared" si="73"/>
        <v>50_47</v>
      </c>
    </row>
    <row r="2344" spans="1:8" x14ac:dyDescent="0.2">
      <c r="A2344" s="9" t="s">
        <v>51</v>
      </c>
      <c r="C2344" t="str">
        <f t="shared" si="72"/>
        <v>"https://www.zeldadungeon.net/maps/totk/tiles/sky/6/50_48.jpg",</v>
      </c>
      <c r="H2344" t="str">
        <f t="shared" si="73"/>
        <v>50_48</v>
      </c>
    </row>
    <row r="2345" spans="1:8" x14ac:dyDescent="0.2">
      <c r="A2345" s="9" t="s">
        <v>51</v>
      </c>
      <c r="C2345" t="str">
        <f t="shared" si="72"/>
        <v>"https://www.zeldadungeon.net/maps/totk/tiles/sky/6/50_49.jpg",</v>
      </c>
      <c r="H2345" t="str">
        <f t="shared" si="73"/>
        <v>50_49</v>
      </c>
    </row>
    <row r="2346" spans="1:8" x14ac:dyDescent="0.2">
      <c r="A2346" s="9" t="s">
        <v>51</v>
      </c>
      <c r="C2346" t="str">
        <f t="shared" si="72"/>
        <v>"https://www.zeldadungeon.net/maps/totk/tiles/sky/6/50_50.jpg",</v>
      </c>
      <c r="H2346" t="str">
        <f t="shared" si="73"/>
        <v>50_50</v>
      </c>
    </row>
    <row r="2347" spans="1:8" x14ac:dyDescent="0.2">
      <c r="A2347" s="9" t="s">
        <v>51</v>
      </c>
      <c r="C2347" t="str">
        <f t="shared" si="72"/>
        <v>"https://www.zeldadungeon.net/maps/totk/tiles/sky/6/50_51.jpg",</v>
      </c>
      <c r="H2347" t="str">
        <f t="shared" si="73"/>
        <v>50_51</v>
      </c>
    </row>
    <row r="2348" spans="1:8" x14ac:dyDescent="0.2">
      <c r="A2348" s="9" t="s">
        <v>51</v>
      </c>
      <c r="C2348" t="str">
        <f t="shared" si="72"/>
        <v>"https://www.zeldadungeon.net/maps/totk/tiles/sky/6/50_52.jpg",</v>
      </c>
      <c r="H2348" t="str">
        <f t="shared" si="73"/>
        <v>50_52</v>
      </c>
    </row>
    <row r="2349" spans="1:8" x14ac:dyDescent="0.2">
      <c r="A2349" s="9" t="s">
        <v>51</v>
      </c>
      <c r="C2349" t="str">
        <f t="shared" si="72"/>
        <v>"https://www.zeldadungeon.net/maps/totk/tiles/sky/6/50_53.jpg",</v>
      </c>
      <c r="H2349" t="str">
        <f t="shared" si="73"/>
        <v>50_53</v>
      </c>
    </row>
    <row r="2350" spans="1:8" x14ac:dyDescent="0.2">
      <c r="A2350" s="9" t="s">
        <v>51</v>
      </c>
      <c r="C2350" t="str">
        <f t="shared" si="72"/>
        <v>"https://www.zeldadungeon.net/maps/totk/tiles/sky/6/50_54.jpg",</v>
      </c>
      <c r="H2350" t="str">
        <f t="shared" si="73"/>
        <v>50_54</v>
      </c>
    </row>
    <row r="2351" spans="1:8" x14ac:dyDescent="0.2">
      <c r="A2351" s="9" t="s">
        <v>51</v>
      </c>
      <c r="C2351" t="str">
        <f t="shared" si="72"/>
        <v>"https://www.zeldadungeon.net/maps/totk/tiles/sky/6/50_55.jpg",</v>
      </c>
      <c r="H2351" t="str">
        <f t="shared" si="73"/>
        <v>50_55</v>
      </c>
    </row>
    <row r="2352" spans="1:8" x14ac:dyDescent="0.2">
      <c r="A2352" s="9" t="s">
        <v>51</v>
      </c>
      <c r="C2352" t="str">
        <f t="shared" si="72"/>
        <v>"https://www.zeldadungeon.net/maps/totk/tiles/sky/6/51_8.jpg",</v>
      </c>
      <c r="H2352" t="str">
        <f t="shared" si="73"/>
        <v>51_8</v>
      </c>
    </row>
    <row r="2353" spans="1:8" x14ac:dyDescent="0.2">
      <c r="A2353" s="9" t="s">
        <v>51</v>
      </c>
      <c r="C2353" t="str">
        <f t="shared" si="72"/>
        <v>"https://www.zeldadungeon.net/maps/totk/tiles/sky/6/51_9.jpg",</v>
      </c>
      <c r="H2353" t="str">
        <f t="shared" si="73"/>
        <v>51_9</v>
      </c>
    </row>
    <row r="2354" spans="1:8" x14ac:dyDescent="0.2">
      <c r="A2354" s="9" t="s">
        <v>51</v>
      </c>
      <c r="C2354" t="str">
        <f t="shared" si="72"/>
        <v>"https://www.zeldadungeon.net/maps/totk/tiles/sky/6/51_10.jpg",</v>
      </c>
      <c r="H2354" t="str">
        <f t="shared" si="73"/>
        <v>51_10</v>
      </c>
    </row>
    <row r="2355" spans="1:8" x14ac:dyDescent="0.2">
      <c r="A2355" s="9" t="s">
        <v>51</v>
      </c>
      <c r="C2355" t="str">
        <f t="shared" si="72"/>
        <v>"https://www.zeldadungeon.net/maps/totk/tiles/sky/6/51_11.jpg",</v>
      </c>
      <c r="H2355" t="str">
        <f t="shared" si="73"/>
        <v>51_11</v>
      </c>
    </row>
    <row r="2356" spans="1:8" x14ac:dyDescent="0.2">
      <c r="A2356" s="9" t="s">
        <v>51</v>
      </c>
      <c r="C2356" t="str">
        <f t="shared" si="72"/>
        <v>"https://www.zeldadungeon.net/maps/totk/tiles/sky/6/51_12.jpg",</v>
      </c>
      <c r="H2356" t="str">
        <f t="shared" si="73"/>
        <v>51_12</v>
      </c>
    </row>
    <row r="2357" spans="1:8" x14ac:dyDescent="0.2">
      <c r="A2357" s="9" t="s">
        <v>51</v>
      </c>
      <c r="C2357" t="str">
        <f t="shared" si="72"/>
        <v>"https://www.zeldadungeon.net/maps/totk/tiles/sky/6/51_13.jpg",</v>
      </c>
      <c r="H2357" t="str">
        <f t="shared" si="73"/>
        <v>51_13</v>
      </c>
    </row>
    <row r="2358" spans="1:8" x14ac:dyDescent="0.2">
      <c r="A2358" s="9" t="s">
        <v>51</v>
      </c>
      <c r="C2358" t="str">
        <f t="shared" si="72"/>
        <v>"https://www.zeldadungeon.net/maps/totk/tiles/sky/6/51_14.jpg",</v>
      </c>
      <c r="H2358" t="str">
        <f t="shared" si="73"/>
        <v>51_14</v>
      </c>
    </row>
    <row r="2359" spans="1:8" x14ac:dyDescent="0.2">
      <c r="A2359" s="9" t="s">
        <v>51</v>
      </c>
      <c r="C2359" t="str">
        <f t="shared" si="72"/>
        <v>"https://www.zeldadungeon.net/maps/totk/tiles/sky/6/51_15.jpg",</v>
      </c>
      <c r="H2359" t="str">
        <f t="shared" si="73"/>
        <v>51_15</v>
      </c>
    </row>
    <row r="2360" spans="1:8" x14ac:dyDescent="0.2">
      <c r="A2360" s="9" t="s">
        <v>51</v>
      </c>
      <c r="C2360" t="str">
        <f t="shared" si="72"/>
        <v>"https://www.zeldadungeon.net/maps/totk/tiles/sky/6/51_16.jpg",</v>
      </c>
      <c r="H2360" t="str">
        <f t="shared" si="73"/>
        <v>51_16</v>
      </c>
    </row>
    <row r="2361" spans="1:8" x14ac:dyDescent="0.2">
      <c r="A2361" s="9" t="s">
        <v>51</v>
      </c>
      <c r="C2361" t="str">
        <f t="shared" si="72"/>
        <v>"https://www.zeldadungeon.net/maps/totk/tiles/sky/6/51_17.jpg",</v>
      </c>
      <c r="H2361" t="str">
        <f t="shared" si="73"/>
        <v>51_17</v>
      </c>
    </row>
    <row r="2362" spans="1:8" x14ac:dyDescent="0.2">
      <c r="A2362" s="9" t="s">
        <v>51</v>
      </c>
      <c r="C2362" t="str">
        <f t="shared" si="72"/>
        <v>"https://www.zeldadungeon.net/maps/totk/tiles/sky/6/51_18.jpg",</v>
      </c>
      <c r="H2362" t="str">
        <f t="shared" si="73"/>
        <v>51_18</v>
      </c>
    </row>
    <row r="2363" spans="1:8" x14ac:dyDescent="0.2">
      <c r="A2363" s="9" t="s">
        <v>51</v>
      </c>
      <c r="C2363" t="str">
        <f t="shared" si="72"/>
        <v>"https://www.zeldadungeon.net/maps/totk/tiles/sky/6/51_19.jpg",</v>
      </c>
      <c r="H2363" t="str">
        <f t="shared" si="73"/>
        <v>51_19</v>
      </c>
    </row>
    <row r="2364" spans="1:8" x14ac:dyDescent="0.2">
      <c r="A2364" s="9" t="s">
        <v>51</v>
      </c>
      <c r="C2364" t="str">
        <f t="shared" si="72"/>
        <v>"https://www.zeldadungeon.net/maps/totk/tiles/sky/6/51_20.jpg",</v>
      </c>
      <c r="H2364" t="str">
        <f t="shared" si="73"/>
        <v>51_20</v>
      </c>
    </row>
    <row r="2365" spans="1:8" x14ac:dyDescent="0.2">
      <c r="A2365" s="9" t="s">
        <v>51</v>
      </c>
      <c r="C2365" t="str">
        <f t="shared" si="72"/>
        <v>"https://www.zeldadungeon.net/maps/totk/tiles/sky/6/51_21.jpg",</v>
      </c>
      <c r="H2365" t="str">
        <f t="shared" si="73"/>
        <v>51_21</v>
      </c>
    </row>
    <row r="2366" spans="1:8" x14ac:dyDescent="0.2">
      <c r="A2366" s="9" t="s">
        <v>51</v>
      </c>
      <c r="C2366" t="str">
        <f t="shared" si="72"/>
        <v>"https://www.zeldadungeon.net/maps/totk/tiles/sky/6/51_22.jpg",</v>
      </c>
      <c r="H2366" t="str">
        <f t="shared" si="73"/>
        <v>51_22</v>
      </c>
    </row>
    <row r="2367" spans="1:8" x14ac:dyDescent="0.2">
      <c r="A2367" s="9" t="s">
        <v>51</v>
      </c>
      <c r="C2367" t="str">
        <f t="shared" si="72"/>
        <v>"https://www.zeldadungeon.net/maps/totk/tiles/sky/6/51_23.jpg",</v>
      </c>
      <c r="H2367" t="str">
        <f t="shared" si="73"/>
        <v>51_23</v>
      </c>
    </row>
    <row r="2368" spans="1:8" x14ac:dyDescent="0.2">
      <c r="A2368" s="9" t="s">
        <v>51</v>
      </c>
      <c r="C2368" t="str">
        <f t="shared" si="72"/>
        <v>"https://www.zeldadungeon.net/maps/totk/tiles/sky/6/51_24.jpg",</v>
      </c>
      <c r="H2368" t="str">
        <f t="shared" si="73"/>
        <v>51_24</v>
      </c>
    </row>
    <row r="2369" spans="1:8" x14ac:dyDescent="0.2">
      <c r="A2369" s="9" t="s">
        <v>51</v>
      </c>
      <c r="C2369" t="str">
        <f t="shared" ref="C2369:C2432" si="74">""""&amp;SUBSTITUTE(A2369,"zzz",H2369)&amp;""""&amp;","</f>
        <v>"https://www.zeldadungeon.net/maps/totk/tiles/sky/6/51_25.jpg",</v>
      </c>
      <c r="H2369" t="str">
        <f t="shared" ref="H2369:H2432" si="75">QUOTIENT(ROW(A2369),48)+2&amp;"_"&amp;MOD(ROW(A2369),48)+8</f>
        <v>51_25</v>
      </c>
    </row>
    <row r="2370" spans="1:8" x14ac:dyDescent="0.2">
      <c r="A2370" s="9" t="s">
        <v>51</v>
      </c>
      <c r="C2370" t="str">
        <f t="shared" si="74"/>
        <v>"https://www.zeldadungeon.net/maps/totk/tiles/sky/6/51_26.jpg",</v>
      </c>
      <c r="H2370" t="str">
        <f t="shared" si="75"/>
        <v>51_26</v>
      </c>
    </row>
    <row r="2371" spans="1:8" x14ac:dyDescent="0.2">
      <c r="A2371" s="9" t="s">
        <v>51</v>
      </c>
      <c r="C2371" t="str">
        <f t="shared" si="74"/>
        <v>"https://www.zeldadungeon.net/maps/totk/tiles/sky/6/51_27.jpg",</v>
      </c>
      <c r="H2371" t="str">
        <f t="shared" si="75"/>
        <v>51_27</v>
      </c>
    </row>
    <row r="2372" spans="1:8" x14ac:dyDescent="0.2">
      <c r="A2372" s="9" t="s">
        <v>51</v>
      </c>
      <c r="C2372" t="str">
        <f t="shared" si="74"/>
        <v>"https://www.zeldadungeon.net/maps/totk/tiles/sky/6/51_28.jpg",</v>
      </c>
      <c r="H2372" t="str">
        <f t="shared" si="75"/>
        <v>51_28</v>
      </c>
    </row>
    <row r="2373" spans="1:8" x14ac:dyDescent="0.2">
      <c r="A2373" s="9" t="s">
        <v>51</v>
      </c>
      <c r="C2373" t="str">
        <f t="shared" si="74"/>
        <v>"https://www.zeldadungeon.net/maps/totk/tiles/sky/6/51_29.jpg",</v>
      </c>
      <c r="H2373" t="str">
        <f t="shared" si="75"/>
        <v>51_29</v>
      </c>
    </row>
    <row r="2374" spans="1:8" x14ac:dyDescent="0.2">
      <c r="A2374" s="9" t="s">
        <v>51</v>
      </c>
      <c r="C2374" t="str">
        <f t="shared" si="74"/>
        <v>"https://www.zeldadungeon.net/maps/totk/tiles/sky/6/51_30.jpg",</v>
      </c>
      <c r="H2374" t="str">
        <f t="shared" si="75"/>
        <v>51_30</v>
      </c>
    </row>
    <row r="2375" spans="1:8" x14ac:dyDescent="0.2">
      <c r="A2375" s="9" t="s">
        <v>51</v>
      </c>
      <c r="C2375" t="str">
        <f t="shared" si="74"/>
        <v>"https://www.zeldadungeon.net/maps/totk/tiles/sky/6/51_31.jpg",</v>
      </c>
      <c r="H2375" t="str">
        <f t="shared" si="75"/>
        <v>51_31</v>
      </c>
    </row>
    <row r="2376" spans="1:8" x14ac:dyDescent="0.2">
      <c r="A2376" s="9" t="s">
        <v>51</v>
      </c>
      <c r="C2376" t="str">
        <f t="shared" si="74"/>
        <v>"https://www.zeldadungeon.net/maps/totk/tiles/sky/6/51_32.jpg",</v>
      </c>
      <c r="H2376" t="str">
        <f t="shared" si="75"/>
        <v>51_32</v>
      </c>
    </row>
    <row r="2377" spans="1:8" x14ac:dyDescent="0.2">
      <c r="A2377" s="9" t="s">
        <v>51</v>
      </c>
      <c r="C2377" t="str">
        <f t="shared" si="74"/>
        <v>"https://www.zeldadungeon.net/maps/totk/tiles/sky/6/51_33.jpg",</v>
      </c>
      <c r="H2377" t="str">
        <f t="shared" si="75"/>
        <v>51_33</v>
      </c>
    </row>
    <row r="2378" spans="1:8" x14ac:dyDescent="0.2">
      <c r="A2378" s="9" t="s">
        <v>51</v>
      </c>
      <c r="C2378" t="str">
        <f t="shared" si="74"/>
        <v>"https://www.zeldadungeon.net/maps/totk/tiles/sky/6/51_34.jpg",</v>
      </c>
      <c r="H2378" t="str">
        <f t="shared" si="75"/>
        <v>51_34</v>
      </c>
    </row>
    <row r="2379" spans="1:8" x14ac:dyDescent="0.2">
      <c r="A2379" s="9" t="s">
        <v>51</v>
      </c>
      <c r="C2379" t="str">
        <f t="shared" si="74"/>
        <v>"https://www.zeldadungeon.net/maps/totk/tiles/sky/6/51_35.jpg",</v>
      </c>
      <c r="H2379" t="str">
        <f t="shared" si="75"/>
        <v>51_35</v>
      </c>
    </row>
    <row r="2380" spans="1:8" x14ac:dyDescent="0.2">
      <c r="A2380" s="9" t="s">
        <v>51</v>
      </c>
      <c r="C2380" t="str">
        <f t="shared" si="74"/>
        <v>"https://www.zeldadungeon.net/maps/totk/tiles/sky/6/51_36.jpg",</v>
      </c>
      <c r="H2380" t="str">
        <f t="shared" si="75"/>
        <v>51_36</v>
      </c>
    </row>
    <row r="2381" spans="1:8" x14ac:dyDescent="0.2">
      <c r="A2381" s="9" t="s">
        <v>51</v>
      </c>
      <c r="C2381" t="str">
        <f t="shared" si="74"/>
        <v>"https://www.zeldadungeon.net/maps/totk/tiles/sky/6/51_37.jpg",</v>
      </c>
      <c r="H2381" t="str">
        <f t="shared" si="75"/>
        <v>51_37</v>
      </c>
    </row>
    <row r="2382" spans="1:8" x14ac:dyDescent="0.2">
      <c r="A2382" s="9" t="s">
        <v>51</v>
      </c>
      <c r="C2382" t="str">
        <f t="shared" si="74"/>
        <v>"https://www.zeldadungeon.net/maps/totk/tiles/sky/6/51_38.jpg",</v>
      </c>
      <c r="H2382" t="str">
        <f t="shared" si="75"/>
        <v>51_38</v>
      </c>
    </row>
    <row r="2383" spans="1:8" x14ac:dyDescent="0.2">
      <c r="A2383" s="9" t="s">
        <v>51</v>
      </c>
      <c r="C2383" t="str">
        <f t="shared" si="74"/>
        <v>"https://www.zeldadungeon.net/maps/totk/tiles/sky/6/51_39.jpg",</v>
      </c>
      <c r="H2383" t="str">
        <f t="shared" si="75"/>
        <v>51_39</v>
      </c>
    </row>
    <row r="2384" spans="1:8" x14ac:dyDescent="0.2">
      <c r="A2384" s="9" t="s">
        <v>51</v>
      </c>
      <c r="C2384" t="str">
        <f t="shared" si="74"/>
        <v>"https://www.zeldadungeon.net/maps/totk/tiles/sky/6/51_40.jpg",</v>
      </c>
      <c r="H2384" t="str">
        <f t="shared" si="75"/>
        <v>51_40</v>
      </c>
    </row>
    <row r="2385" spans="1:8" x14ac:dyDescent="0.2">
      <c r="A2385" s="9" t="s">
        <v>51</v>
      </c>
      <c r="C2385" t="str">
        <f t="shared" si="74"/>
        <v>"https://www.zeldadungeon.net/maps/totk/tiles/sky/6/51_41.jpg",</v>
      </c>
      <c r="H2385" t="str">
        <f t="shared" si="75"/>
        <v>51_41</v>
      </c>
    </row>
    <row r="2386" spans="1:8" x14ac:dyDescent="0.2">
      <c r="A2386" s="9" t="s">
        <v>51</v>
      </c>
      <c r="C2386" t="str">
        <f t="shared" si="74"/>
        <v>"https://www.zeldadungeon.net/maps/totk/tiles/sky/6/51_42.jpg",</v>
      </c>
      <c r="H2386" t="str">
        <f t="shared" si="75"/>
        <v>51_42</v>
      </c>
    </row>
    <row r="2387" spans="1:8" x14ac:dyDescent="0.2">
      <c r="A2387" s="9" t="s">
        <v>51</v>
      </c>
      <c r="C2387" t="str">
        <f t="shared" si="74"/>
        <v>"https://www.zeldadungeon.net/maps/totk/tiles/sky/6/51_43.jpg",</v>
      </c>
      <c r="H2387" t="str">
        <f t="shared" si="75"/>
        <v>51_43</v>
      </c>
    </row>
    <row r="2388" spans="1:8" x14ac:dyDescent="0.2">
      <c r="A2388" s="9" t="s">
        <v>51</v>
      </c>
      <c r="C2388" t="str">
        <f t="shared" si="74"/>
        <v>"https://www.zeldadungeon.net/maps/totk/tiles/sky/6/51_44.jpg",</v>
      </c>
      <c r="H2388" t="str">
        <f t="shared" si="75"/>
        <v>51_44</v>
      </c>
    </row>
    <row r="2389" spans="1:8" x14ac:dyDescent="0.2">
      <c r="A2389" s="9" t="s">
        <v>51</v>
      </c>
      <c r="C2389" t="str">
        <f t="shared" si="74"/>
        <v>"https://www.zeldadungeon.net/maps/totk/tiles/sky/6/51_45.jpg",</v>
      </c>
      <c r="H2389" t="str">
        <f t="shared" si="75"/>
        <v>51_45</v>
      </c>
    </row>
    <row r="2390" spans="1:8" x14ac:dyDescent="0.2">
      <c r="A2390" s="9" t="s">
        <v>51</v>
      </c>
      <c r="C2390" t="str">
        <f t="shared" si="74"/>
        <v>"https://www.zeldadungeon.net/maps/totk/tiles/sky/6/51_46.jpg",</v>
      </c>
      <c r="H2390" t="str">
        <f t="shared" si="75"/>
        <v>51_46</v>
      </c>
    </row>
    <row r="2391" spans="1:8" x14ac:dyDescent="0.2">
      <c r="A2391" s="9" t="s">
        <v>51</v>
      </c>
      <c r="C2391" t="str">
        <f t="shared" si="74"/>
        <v>"https://www.zeldadungeon.net/maps/totk/tiles/sky/6/51_47.jpg",</v>
      </c>
      <c r="H2391" t="str">
        <f t="shared" si="75"/>
        <v>51_47</v>
      </c>
    </row>
    <row r="2392" spans="1:8" x14ac:dyDescent="0.2">
      <c r="A2392" s="9" t="s">
        <v>51</v>
      </c>
      <c r="C2392" t="str">
        <f t="shared" si="74"/>
        <v>"https://www.zeldadungeon.net/maps/totk/tiles/sky/6/51_48.jpg",</v>
      </c>
      <c r="H2392" t="str">
        <f t="shared" si="75"/>
        <v>51_48</v>
      </c>
    </row>
    <row r="2393" spans="1:8" x14ac:dyDescent="0.2">
      <c r="A2393" s="9" t="s">
        <v>51</v>
      </c>
      <c r="C2393" t="str">
        <f t="shared" si="74"/>
        <v>"https://www.zeldadungeon.net/maps/totk/tiles/sky/6/51_49.jpg",</v>
      </c>
      <c r="H2393" t="str">
        <f t="shared" si="75"/>
        <v>51_49</v>
      </c>
    </row>
    <row r="2394" spans="1:8" x14ac:dyDescent="0.2">
      <c r="A2394" s="9" t="s">
        <v>51</v>
      </c>
      <c r="C2394" t="str">
        <f t="shared" si="74"/>
        <v>"https://www.zeldadungeon.net/maps/totk/tiles/sky/6/51_50.jpg",</v>
      </c>
      <c r="H2394" t="str">
        <f t="shared" si="75"/>
        <v>51_50</v>
      </c>
    </row>
    <row r="2395" spans="1:8" x14ac:dyDescent="0.2">
      <c r="A2395" s="9" t="s">
        <v>51</v>
      </c>
      <c r="C2395" t="str">
        <f t="shared" si="74"/>
        <v>"https://www.zeldadungeon.net/maps/totk/tiles/sky/6/51_51.jpg",</v>
      </c>
      <c r="H2395" t="str">
        <f t="shared" si="75"/>
        <v>51_51</v>
      </c>
    </row>
    <row r="2396" spans="1:8" x14ac:dyDescent="0.2">
      <c r="A2396" s="9" t="s">
        <v>51</v>
      </c>
      <c r="C2396" t="str">
        <f t="shared" si="74"/>
        <v>"https://www.zeldadungeon.net/maps/totk/tiles/sky/6/51_52.jpg",</v>
      </c>
      <c r="H2396" t="str">
        <f t="shared" si="75"/>
        <v>51_52</v>
      </c>
    </row>
    <row r="2397" spans="1:8" x14ac:dyDescent="0.2">
      <c r="A2397" s="9" t="s">
        <v>51</v>
      </c>
      <c r="C2397" t="str">
        <f t="shared" si="74"/>
        <v>"https://www.zeldadungeon.net/maps/totk/tiles/sky/6/51_53.jpg",</v>
      </c>
      <c r="H2397" t="str">
        <f t="shared" si="75"/>
        <v>51_53</v>
      </c>
    </row>
    <row r="2398" spans="1:8" x14ac:dyDescent="0.2">
      <c r="A2398" s="9" t="s">
        <v>51</v>
      </c>
      <c r="C2398" t="str">
        <f t="shared" si="74"/>
        <v>"https://www.zeldadungeon.net/maps/totk/tiles/sky/6/51_54.jpg",</v>
      </c>
      <c r="H2398" t="str">
        <f t="shared" si="75"/>
        <v>51_54</v>
      </c>
    </row>
    <row r="2399" spans="1:8" x14ac:dyDescent="0.2">
      <c r="A2399" s="9" t="s">
        <v>51</v>
      </c>
      <c r="C2399" t="str">
        <f t="shared" si="74"/>
        <v>"https://www.zeldadungeon.net/maps/totk/tiles/sky/6/51_55.jpg",</v>
      </c>
      <c r="H2399" t="str">
        <f t="shared" si="75"/>
        <v>51_55</v>
      </c>
    </row>
    <row r="2400" spans="1:8" x14ac:dyDescent="0.2">
      <c r="A2400" s="9" t="s">
        <v>51</v>
      </c>
      <c r="C2400" t="str">
        <f t="shared" si="74"/>
        <v>"https://www.zeldadungeon.net/maps/totk/tiles/sky/6/52_8.jpg",</v>
      </c>
      <c r="H2400" t="str">
        <f t="shared" si="75"/>
        <v>52_8</v>
      </c>
    </row>
    <row r="2401" spans="1:8" x14ac:dyDescent="0.2">
      <c r="A2401" s="9" t="s">
        <v>51</v>
      </c>
      <c r="C2401" t="str">
        <f t="shared" si="74"/>
        <v>"https://www.zeldadungeon.net/maps/totk/tiles/sky/6/52_9.jpg",</v>
      </c>
      <c r="H2401" t="str">
        <f t="shared" si="75"/>
        <v>52_9</v>
      </c>
    </row>
    <row r="2402" spans="1:8" x14ac:dyDescent="0.2">
      <c r="A2402" s="9" t="s">
        <v>51</v>
      </c>
      <c r="C2402" t="str">
        <f t="shared" si="74"/>
        <v>"https://www.zeldadungeon.net/maps/totk/tiles/sky/6/52_10.jpg",</v>
      </c>
      <c r="H2402" t="str">
        <f t="shared" si="75"/>
        <v>52_10</v>
      </c>
    </row>
    <row r="2403" spans="1:8" x14ac:dyDescent="0.2">
      <c r="A2403" s="9" t="s">
        <v>51</v>
      </c>
      <c r="C2403" t="str">
        <f t="shared" si="74"/>
        <v>"https://www.zeldadungeon.net/maps/totk/tiles/sky/6/52_11.jpg",</v>
      </c>
      <c r="H2403" t="str">
        <f t="shared" si="75"/>
        <v>52_11</v>
      </c>
    </row>
    <row r="2404" spans="1:8" x14ac:dyDescent="0.2">
      <c r="A2404" s="9" t="s">
        <v>51</v>
      </c>
      <c r="C2404" t="str">
        <f t="shared" si="74"/>
        <v>"https://www.zeldadungeon.net/maps/totk/tiles/sky/6/52_12.jpg",</v>
      </c>
      <c r="H2404" t="str">
        <f t="shared" si="75"/>
        <v>52_12</v>
      </c>
    </row>
    <row r="2405" spans="1:8" x14ac:dyDescent="0.2">
      <c r="A2405" s="9" t="s">
        <v>51</v>
      </c>
      <c r="C2405" t="str">
        <f t="shared" si="74"/>
        <v>"https://www.zeldadungeon.net/maps/totk/tiles/sky/6/52_13.jpg",</v>
      </c>
      <c r="H2405" t="str">
        <f t="shared" si="75"/>
        <v>52_13</v>
      </c>
    </row>
    <row r="2406" spans="1:8" x14ac:dyDescent="0.2">
      <c r="A2406" s="9" t="s">
        <v>51</v>
      </c>
      <c r="C2406" t="str">
        <f t="shared" si="74"/>
        <v>"https://www.zeldadungeon.net/maps/totk/tiles/sky/6/52_14.jpg",</v>
      </c>
      <c r="H2406" t="str">
        <f t="shared" si="75"/>
        <v>52_14</v>
      </c>
    </row>
    <row r="2407" spans="1:8" x14ac:dyDescent="0.2">
      <c r="A2407" s="9" t="s">
        <v>51</v>
      </c>
      <c r="C2407" t="str">
        <f t="shared" si="74"/>
        <v>"https://www.zeldadungeon.net/maps/totk/tiles/sky/6/52_15.jpg",</v>
      </c>
      <c r="H2407" t="str">
        <f t="shared" si="75"/>
        <v>52_15</v>
      </c>
    </row>
    <row r="2408" spans="1:8" x14ac:dyDescent="0.2">
      <c r="A2408" s="9" t="s">
        <v>51</v>
      </c>
      <c r="C2408" t="str">
        <f t="shared" si="74"/>
        <v>"https://www.zeldadungeon.net/maps/totk/tiles/sky/6/52_16.jpg",</v>
      </c>
      <c r="H2408" t="str">
        <f t="shared" si="75"/>
        <v>52_16</v>
      </c>
    </row>
    <row r="2409" spans="1:8" x14ac:dyDescent="0.2">
      <c r="A2409" s="9" t="s">
        <v>51</v>
      </c>
      <c r="C2409" t="str">
        <f t="shared" si="74"/>
        <v>"https://www.zeldadungeon.net/maps/totk/tiles/sky/6/52_17.jpg",</v>
      </c>
      <c r="H2409" t="str">
        <f t="shared" si="75"/>
        <v>52_17</v>
      </c>
    </row>
    <row r="2410" spans="1:8" x14ac:dyDescent="0.2">
      <c r="A2410" s="9" t="s">
        <v>51</v>
      </c>
      <c r="C2410" t="str">
        <f t="shared" si="74"/>
        <v>"https://www.zeldadungeon.net/maps/totk/tiles/sky/6/52_18.jpg",</v>
      </c>
      <c r="H2410" t="str">
        <f t="shared" si="75"/>
        <v>52_18</v>
      </c>
    </row>
    <row r="2411" spans="1:8" x14ac:dyDescent="0.2">
      <c r="A2411" s="9" t="s">
        <v>51</v>
      </c>
      <c r="C2411" t="str">
        <f t="shared" si="74"/>
        <v>"https://www.zeldadungeon.net/maps/totk/tiles/sky/6/52_19.jpg",</v>
      </c>
      <c r="H2411" t="str">
        <f t="shared" si="75"/>
        <v>52_19</v>
      </c>
    </row>
    <row r="2412" spans="1:8" x14ac:dyDescent="0.2">
      <c r="A2412" s="9" t="s">
        <v>51</v>
      </c>
      <c r="C2412" t="str">
        <f t="shared" si="74"/>
        <v>"https://www.zeldadungeon.net/maps/totk/tiles/sky/6/52_20.jpg",</v>
      </c>
      <c r="H2412" t="str">
        <f t="shared" si="75"/>
        <v>52_20</v>
      </c>
    </row>
    <row r="2413" spans="1:8" x14ac:dyDescent="0.2">
      <c r="A2413" s="9" t="s">
        <v>51</v>
      </c>
      <c r="C2413" t="str">
        <f t="shared" si="74"/>
        <v>"https://www.zeldadungeon.net/maps/totk/tiles/sky/6/52_21.jpg",</v>
      </c>
      <c r="H2413" t="str">
        <f t="shared" si="75"/>
        <v>52_21</v>
      </c>
    </row>
    <row r="2414" spans="1:8" x14ac:dyDescent="0.2">
      <c r="A2414" s="9" t="s">
        <v>51</v>
      </c>
      <c r="C2414" t="str">
        <f t="shared" si="74"/>
        <v>"https://www.zeldadungeon.net/maps/totk/tiles/sky/6/52_22.jpg",</v>
      </c>
      <c r="H2414" t="str">
        <f t="shared" si="75"/>
        <v>52_22</v>
      </c>
    </row>
    <row r="2415" spans="1:8" x14ac:dyDescent="0.2">
      <c r="A2415" s="9" t="s">
        <v>51</v>
      </c>
      <c r="C2415" t="str">
        <f t="shared" si="74"/>
        <v>"https://www.zeldadungeon.net/maps/totk/tiles/sky/6/52_23.jpg",</v>
      </c>
      <c r="H2415" t="str">
        <f t="shared" si="75"/>
        <v>52_23</v>
      </c>
    </row>
    <row r="2416" spans="1:8" x14ac:dyDescent="0.2">
      <c r="A2416" s="9" t="s">
        <v>51</v>
      </c>
      <c r="C2416" t="str">
        <f t="shared" si="74"/>
        <v>"https://www.zeldadungeon.net/maps/totk/tiles/sky/6/52_24.jpg",</v>
      </c>
      <c r="H2416" t="str">
        <f t="shared" si="75"/>
        <v>52_24</v>
      </c>
    </row>
    <row r="2417" spans="1:8" x14ac:dyDescent="0.2">
      <c r="A2417" s="9" t="s">
        <v>51</v>
      </c>
      <c r="C2417" t="str">
        <f t="shared" si="74"/>
        <v>"https://www.zeldadungeon.net/maps/totk/tiles/sky/6/52_25.jpg",</v>
      </c>
      <c r="H2417" t="str">
        <f t="shared" si="75"/>
        <v>52_25</v>
      </c>
    </row>
    <row r="2418" spans="1:8" x14ac:dyDescent="0.2">
      <c r="A2418" s="9" t="s">
        <v>51</v>
      </c>
      <c r="C2418" t="str">
        <f t="shared" si="74"/>
        <v>"https://www.zeldadungeon.net/maps/totk/tiles/sky/6/52_26.jpg",</v>
      </c>
      <c r="H2418" t="str">
        <f t="shared" si="75"/>
        <v>52_26</v>
      </c>
    </row>
    <row r="2419" spans="1:8" x14ac:dyDescent="0.2">
      <c r="A2419" s="9" t="s">
        <v>51</v>
      </c>
      <c r="C2419" t="str">
        <f t="shared" si="74"/>
        <v>"https://www.zeldadungeon.net/maps/totk/tiles/sky/6/52_27.jpg",</v>
      </c>
      <c r="H2419" t="str">
        <f t="shared" si="75"/>
        <v>52_27</v>
      </c>
    </row>
    <row r="2420" spans="1:8" x14ac:dyDescent="0.2">
      <c r="A2420" s="9" t="s">
        <v>51</v>
      </c>
      <c r="C2420" t="str">
        <f t="shared" si="74"/>
        <v>"https://www.zeldadungeon.net/maps/totk/tiles/sky/6/52_28.jpg",</v>
      </c>
      <c r="H2420" t="str">
        <f t="shared" si="75"/>
        <v>52_28</v>
      </c>
    </row>
    <row r="2421" spans="1:8" x14ac:dyDescent="0.2">
      <c r="A2421" s="9" t="s">
        <v>51</v>
      </c>
      <c r="C2421" t="str">
        <f t="shared" si="74"/>
        <v>"https://www.zeldadungeon.net/maps/totk/tiles/sky/6/52_29.jpg",</v>
      </c>
      <c r="H2421" t="str">
        <f t="shared" si="75"/>
        <v>52_29</v>
      </c>
    </row>
    <row r="2422" spans="1:8" x14ac:dyDescent="0.2">
      <c r="A2422" s="9" t="s">
        <v>51</v>
      </c>
      <c r="C2422" t="str">
        <f t="shared" si="74"/>
        <v>"https://www.zeldadungeon.net/maps/totk/tiles/sky/6/52_30.jpg",</v>
      </c>
      <c r="H2422" t="str">
        <f t="shared" si="75"/>
        <v>52_30</v>
      </c>
    </row>
    <row r="2423" spans="1:8" x14ac:dyDescent="0.2">
      <c r="A2423" s="9" t="s">
        <v>51</v>
      </c>
      <c r="C2423" t="str">
        <f t="shared" si="74"/>
        <v>"https://www.zeldadungeon.net/maps/totk/tiles/sky/6/52_31.jpg",</v>
      </c>
      <c r="H2423" t="str">
        <f t="shared" si="75"/>
        <v>52_31</v>
      </c>
    </row>
    <row r="2424" spans="1:8" x14ac:dyDescent="0.2">
      <c r="A2424" s="9" t="s">
        <v>51</v>
      </c>
      <c r="C2424" t="str">
        <f t="shared" si="74"/>
        <v>"https://www.zeldadungeon.net/maps/totk/tiles/sky/6/52_32.jpg",</v>
      </c>
      <c r="H2424" t="str">
        <f t="shared" si="75"/>
        <v>52_32</v>
      </c>
    </row>
    <row r="2425" spans="1:8" x14ac:dyDescent="0.2">
      <c r="A2425" s="9" t="s">
        <v>51</v>
      </c>
      <c r="C2425" t="str">
        <f t="shared" si="74"/>
        <v>"https://www.zeldadungeon.net/maps/totk/tiles/sky/6/52_33.jpg",</v>
      </c>
      <c r="H2425" t="str">
        <f t="shared" si="75"/>
        <v>52_33</v>
      </c>
    </row>
    <row r="2426" spans="1:8" x14ac:dyDescent="0.2">
      <c r="A2426" s="9" t="s">
        <v>51</v>
      </c>
      <c r="C2426" t="str">
        <f t="shared" si="74"/>
        <v>"https://www.zeldadungeon.net/maps/totk/tiles/sky/6/52_34.jpg",</v>
      </c>
      <c r="H2426" t="str">
        <f t="shared" si="75"/>
        <v>52_34</v>
      </c>
    </row>
    <row r="2427" spans="1:8" x14ac:dyDescent="0.2">
      <c r="A2427" s="9" t="s">
        <v>51</v>
      </c>
      <c r="C2427" t="str">
        <f t="shared" si="74"/>
        <v>"https://www.zeldadungeon.net/maps/totk/tiles/sky/6/52_35.jpg",</v>
      </c>
      <c r="H2427" t="str">
        <f t="shared" si="75"/>
        <v>52_35</v>
      </c>
    </row>
    <row r="2428" spans="1:8" x14ac:dyDescent="0.2">
      <c r="A2428" s="9" t="s">
        <v>51</v>
      </c>
      <c r="C2428" t="str">
        <f t="shared" si="74"/>
        <v>"https://www.zeldadungeon.net/maps/totk/tiles/sky/6/52_36.jpg",</v>
      </c>
      <c r="H2428" t="str">
        <f t="shared" si="75"/>
        <v>52_36</v>
      </c>
    </row>
    <row r="2429" spans="1:8" x14ac:dyDescent="0.2">
      <c r="A2429" s="9" t="s">
        <v>51</v>
      </c>
      <c r="C2429" t="str">
        <f t="shared" si="74"/>
        <v>"https://www.zeldadungeon.net/maps/totk/tiles/sky/6/52_37.jpg",</v>
      </c>
      <c r="H2429" t="str">
        <f t="shared" si="75"/>
        <v>52_37</v>
      </c>
    </row>
    <row r="2430" spans="1:8" x14ac:dyDescent="0.2">
      <c r="A2430" s="9" t="s">
        <v>51</v>
      </c>
      <c r="C2430" t="str">
        <f t="shared" si="74"/>
        <v>"https://www.zeldadungeon.net/maps/totk/tiles/sky/6/52_38.jpg",</v>
      </c>
      <c r="H2430" t="str">
        <f t="shared" si="75"/>
        <v>52_38</v>
      </c>
    </row>
    <row r="2431" spans="1:8" x14ac:dyDescent="0.2">
      <c r="A2431" s="9" t="s">
        <v>51</v>
      </c>
      <c r="C2431" t="str">
        <f t="shared" si="74"/>
        <v>"https://www.zeldadungeon.net/maps/totk/tiles/sky/6/52_39.jpg",</v>
      </c>
      <c r="H2431" t="str">
        <f t="shared" si="75"/>
        <v>52_39</v>
      </c>
    </row>
    <row r="2432" spans="1:8" x14ac:dyDescent="0.2">
      <c r="A2432" s="9" t="s">
        <v>51</v>
      </c>
      <c r="C2432" t="str">
        <f t="shared" si="74"/>
        <v>"https://www.zeldadungeon.net/maps/totk/tiles/sky/6/52_40.jpg",</v>
      </c>
      <c r="H2432" t="str">
        <f t="shared" si="75"/>
        <v>52_40</v>
      </c>
    </row>
    <row r="2433" spans="1:8" x14ac:dyDescent="0.2">
      <c r="A2433" s="9" t="s">
        <v>51</v>
      </c>
      <c r="C2433" t="str">
        <f t="shared" ref="C2433:C2496" si="76">""""&amp;SUBSTITUTE(A2433,"zzz",H2433)&amp;""""&amp;","</f>
        <v>"https://www.zeldadungeon.net/maps/totk/tiles/sky/6/52_41.jpg",</v>
      </c>
      <c r="H2433" t="str">
        <f t="shared" ref="H2433:H2496" si="77">QUOTIENT(ROW(A2433),48)+2&amp;"_"&amp;MOD(ROW(A2433),48)+8</f>
        <v>52_41</v>
      </c>
    </row>
    <row r="2434" spans="1:8" x14ac:dyDescent="0.2">
      <c r="A2434" s="9" t="s">
        <v>51</v>
      </c>
      <c r="C2434" t="str">
        <f t="shared" si="76"/>
        <v>"https://www.zeldadungeon.net/maps/totk/tiles/sky/6/52_42.jpg",</v>
      </c>
      <c r="H2434" t="str">
        <f t="shared" si="77"/>
        <v>52_42</v>
      </c>
    </row>
    <row r="2435" spans="1:8" x14ac:dyDescent="0.2">
      <c r="A2435" s="9" t="s">
        <v>51</v>
      </c>
      <c r="C2435" t="str">
        <f t="shared" si="76"/>
        <v>"https://www.zeldadungeon.net/maps/totk/tiles/sky/6/52_43.jpg",</v>
      </c>
      <c r="H2435" t="str">
        <f t="shared" si="77"/>
        <v>52_43</v>
      </c>
    </row>
    <row r="2436" spans="1:8" x14ac:dyDescent="0.2">
      <c r="A2436" s="9" t="s">
        <v>51</v>
      </c>
      <c r="C2436" t="str">
        <f t="shared" si="76"/>
        <v>"https://www.zeldadungeon.net/maps/totk/tiles/sky/6/52_44.jpg",</v>
      </c>
      <c r="H2436" t="str">
        <f t="shared" si="77"/>
        <v>52_44</v>
      </c>
    </row>
    <row r="2437" spans="1:8" x14ac:dyDescent="0.2">
      <c r="A2437" s="9" t="s">
        <v>51</v>
      </c>
      <c r="C2437" t="str">
        <f t="shared" si="76"/>
        <v>"https://www.zeldadungeon.net/maps/totk/tiles/sky/6/52_45.jpg",</v>
      </c>
      <c r="H2437" t="str">
        <f t="shared" si="77"/>
        <v>52_45</v>
      </c>
    </row>
    <row r="2438" spans="1:8" x14ac:dyDescent="0.2">
      <c r="A2438" s="9" t="s">
        <v>51</v>
      </c>
      <c r="C2438" t="str">
        <f t="shared" si="76"/>
        <v>"https://www.zeldadungeon.net/maps/totk/tiles/sky/6/52_46.jpg",</v>
      </c>
      <c r="H2438" t="str">
        <f t="shared" si="77"/>
        <v>52_46</v>
      </c>
    </row>
    <row r="2439" spans="1:8" x14ac:dyDescent="0.2">
      <c r="A2439" s="9" t="s">
        <v>51</v>
      </c>
      <c r="C2439" t="str">
        <f t="shared" si="76"/>
        <v>"https://www.zeldadungeon.net/maps/totk/tiles/sky/6/52_47.jpg",</v>
      </c>
      <c r="H2439" t="str">
        <f t="shared" si="77"/>
        <v>52_47</v>
      </c>
    </row>
    <row r="2440" spans="1:8" x14ac:dyDescent="0.2">
      <c r="A2440" s="9" t="s">
        <v>51</v>
      </c>
      <c r="C2440" t="str">
        <f t="shared" si="76"/>
        <v>"https://www.zeldadungeon.net/maps/totk/tiles/sky/6/52_48.jpg",</v>
      </c>
      <c r="H2440" t="str">
        <f t="shared" si="77"/>
        <v>52_48</v>
      </c>
    </row>
    <row r="2441" spans="1:8" x14ac:dyDescent="0.2">
      <c r="A2441" s="9" t="s">
        <v>51</v>
      </c>
      <c r="C2441" t="str">
        <f t="shared" si="76"/>
        <v>"https://www.zeldadungeon.net/maps/totk/tiles/sky/6/52_49.jpg",</v>
      </c>
      <c r="H2441" t="str">
        <f t="shared" si="77"/>
        <v>52_49</v>
      </c>
    </row>
    <row r="2442" spans="1:8" x14ac:dyDescent="0.2">
      <c r="A2442" s="9" t="s">
        <v>51</v>
      </c>
      <c r="C2442" t="str">
        <f t="shared" si="76"/>
        <v>"https://www.zeldadungeon.net/maps/totk/tiles/sky/6/52_50.jpg",</v>
      </c>
      <c r="H2442" t="str">
        <f t="shared" si="77"/>
        <v>52_50</v>
      </c>
    </row>
    <row r="2443" spans="1:8" x14ac:dyDescent="0.2">
      <c r="A2443" s="9" t="s">
        <v>51</v>
      </c>
      <c r="C2443" t="str">
        <f t="shared" si="76"/>
        <v>"https://www.zeldadungeon.net/maps/totk/tiles/sky/6/52_51.jpg",</v>
      </c>
      <c r="H2443" t="str">
        <f t="shared" si="77"/>
        <v>52_51</v>
      </c>
    </row>
    <row r="2444" spans="1:8" x14ac:dyDescent="0.2">
      <c r="A2444" s="9" t="s">
        <v>51</v>
      </c>
      <c r="C2444" t="str">
        <f t="shared" si="76"/>
        <v>"https://www.zeldadungeon.net/maps/totk/tiles/sky/6/52_52.jpg",</v>
      </c>
      <c r="H2444" t="str">
        <f t="shared" si="77"/>
        <v>52_52</v>
      </c>
    </row>
    <row r="2445" spans="1:8" x14ac:dyDescent="0.2">
      <c r="A2445" s="9" t="s">
        <v>51</v>
      </c>
      <c r="C2445" t="str">
        <f t="shared" si="76"/>
        <v>"https://www.zeldadungeon.net/maps/totk/tiles/sky/6/52_53.jpg",</v>
      </c>
      <c r="H2445" t="str">
        <f t="shared" si="77"/>
        <v>52_53</v>
      </c>
    </row>
    <row r="2446" spans="1:8" x14ac:dyDescent="0.2">
      <c r="A2446" s="9" t="s">
        <v>51</v>
      </c>
      <c r="C2446" t="str">
        <f t="shared" si="76"/>
        <v>"https://www.zeldadungeon.net/maps/totk/tiles/sky/6/52_54.jpg",</v>
      </c>
      <c r="H2446" t="str">
        <f t="shared" si="77"/>
        <v>52_54</v>
      </c>
    </row>
    <row r="2447" spans="1:8" x14ac:dyDescent="0.2">
      <c r="A2447" s="9" t="s">
        <v>51</v>
      </c>
      <c r="C2447" t="str">
        <f t="shared" si="76"/>
        <v>"https://www.zeldadungeon.net/maps/totk/tiles/sky/6/52_55.jpg",</v>
      </c>
      <c r="H2447" t="str">
        <f t="shared" si="77"/>
        <v>52_55</v>
      </c>
    </row>
    <row r="2448" spans="1:8" x14ac:dyDescent="0.2">
      <c r="A2448" s="9" t="s">
        <v>51</v>
      </c>
      <c r="C2448" t="str">
        <f t="shared" si="76"/>
        <v>"https://www.zeldadungeon.net/maps/totk/tiles/sky/6/53_8.jpg",</v>
      </c>
      <c r="H2448" t="str">
        <f t="shared" si="77"/>
        <v>53_8</v>
      </c>
    </row>
    <row r="2449" spans="1:8" x14ac:dyDescent="0.2">
      <c r="A2449" s="9" t="s">
        <v>51</v>
      </c>
      <c r="C2449" t="str">
        <f t="shared" si="76"/>
        <v>"https://www.zeldadungeon.net/maps/totk/tiles/sky/6/53_9.jpg",</v>
      </c>
      <c r="H2449" t="str">
        <f t="shared" si="77"/>
        <v>53_9</v>
      </c>
    </row>
    <row r="2450" spans="1:8" x14ac:dyDescent="0.2">
      <c r="A2450" s="9" t="s">
        <v>51</v>
      </c>
      <c r="C2450" t="str">
        <f t="shared" si="76"/>
        <v>"https://www.zeldadungeon.net/maps/totk/tiles/sky/6/53_10.jpg",</v>
      </c>
      <c r="H2450" t="str">
        <f t="shared" si="77"/>
        <v>53_10</v>
      </c>
    </row>
    <row r="2451" spans="1:8" x14ac:dyDescent="0.2">
      <c r="A2451" s="9" t="s">
        <v>51</v>
      </c>
      <c r="C2451" t="str">
        <f t="shared" si="76"/>
        <v>"https://www.zeldadungeon.net/maps/totk/tiles/sky/6/53_11.jpg",</v>
      </c>
      <c r="H2451" t="str">
        <f t="shared" si="77"/>
        <v>53_11</v>
      </c>
    </row>
    <row r="2452" spans="1:8" x14ac:dyDescent="0.2">
      <c r="A2452" s="9" t="s">
        <v>51</v>
      </c>
      <c r="C2452" t="str">
        <f t="shared" si="76"/>
        <v>"https://www.zeldadungeon.net/maps/totk/tiles/sky/6/53_12.jpg",</v>
      </c>
      <c r="H2452" t="str">
        <f t="shared" si="77"/>
        <v>53_12</v>
      </c>
    </row>
    <row r="2453" spans="1:8" x14ac:dyDescent="0.2">
      <c r="A2453" s="9" t="s">
        <v>51</v>
      </c>
      <c r="C2453" t="str">
        <f t="shared" si="76"/>
        <v>"https://www.zeldadungeon.net/maps/totk/tiles/sky/6/53_13.jpg",</v>
      </c>
      <c r="H2453" t="str">
        <f t="shared" si="77"/>
        <v>53_13</v>
      </c>
    </row>
    <row r="2454" spans="1:8" x14ac:dyDescent="0.2">
      <c r="A2454" s="9" t="s">
        <v>51</v>
      </c>
      <c r="C2454" t="str">
        <f t="shared" si="76"/>
        <v>"https://www.zeldadungeon.net/maps/totk/tiles/sky/6/53_14.jpg",</v>
      </c>
      <c r="H2454" t="str">
        <f t="shared" si="77"/>
        <v>53_14</v>
      </c>
    </row>
    <row r="2455" spans="1:8" x14ac:dyDescent="0.2">
      <c r="A2455" s="9" t="s">
        <v>51</v>
      </c>
      <c r="C2455" t="str">
        <f t="shared" si="76"/>
        <v>"https://www.zeldadungeon.net/maps/totk/tiles/sky/6/53_15.jpg",</v>
      </c>
      <c r="H2455" t="str">
        <f t="shared" si="77"/>
        <v>53_15</v>
      </c>
    </row>
    <row r="2456" spans="1:8" x14ac:dyDescent="0.2">
      <c r="A2456" s="9" t="s">
        <v>51</v>
      </c>
      <c r="C2456" t="str">
        <f t="shared" si="76"/>
        <v>"https://www.zeldadungeon.net/maps/totk/tiles/sky/6/53_16.jpg",</v>
      </c>
      <c r="H2456" t="str">
        <f t="shared" si="77"/>
        <v>53_16</v>
      </c>
    </row>
    <row r="2457" spans="1:8" x14ac:dyDescent="0.2">
      <c r="A2457" s="9" t="s">
        <v>51</v>
      </c>
      <c r="C2457" t="str">
        <f t="shared" si="76"/>
        <v>"https://www.zeldadungeon.net/maps/totk/tiles/sky/6/53_17.jpg",</v>
      </c>
      <c r="H2457" t="str">
        <f t="shared" si="77"/>
        <v>53_17</v>
      </c>
    </row>
    <row r="2458" spans="1:8" x14ac:dyDescent="0.2">
      <c r="A2458" s="9" t="s">
        <v>51</v>
      </c>
      <c r="C2458" t="str">
        <f t="shared" si="76"/>
        <v>"https://www.zeldadungeon.net/maps/totk/tiles/sky/6/53_18.jpg",</v>
      </c>
      <c r="H2458" t="str">
        <f t="shared" si="77"/>
        <v>53_18</v>
      </c>
    </row>
    <row r="2459" spans="1:8" x14ac:dyDescent="0.2">
      <c r="A2459" s="9" t="s">
        <v>51</v>
      </c>
      <c r="C2459" t="str">
        <f t="shared" si="76"/>
        <v>"https://www.zeldadungeon.net/maps/totk/tiles/sky/6/53_19.jpg",</v>
      </c>
      <c r="H2459" t="str">
        <f t="shared" si="77"/>
        <v>53_19</v>
      </c>
    </row>
    <row r="2460" spans="1:8" x14ac:dyDescent="0.2">
      <c r="A2460" s="9" t="s">
        <v>51</v>
      </c>
      <c r="C2460" t="str">
        <f t="shared" si="76"/>
        <v>"https://www.zeldadungeon.net/maps/totk/tiles/sky/6/53_20.jpg",</v>
      </c>
      <c r="H2460" t="str">
        <f t="shared" si="77"/>
        <v>53_20</v>
      </c>
    </row>
    <row r="2461" spans="1:8" x14ac:dyDescent="0.2">
      <c r="A2461" s="9" t="s">
        <v>51</v>
      </c>
      <c r="C2461" t="str">
        <f t="shared" si="76"/>
        <v>"https://www.zeldadungeon.net/maps/totk/tiles/sky/6/53_21.jpg",</v>
      </c>
      <c r="H2461" t="str">
        <f t="shared" si="77"/>
        <v>53_21</v>
      </c>
    </row>
    <row r="2462" spans="1:8" x14ac:dyDescent="0.2">
      <c r="A2462" s="9" t="s">
        <v>51</v>
      </c>
      <c r="C2462" t="str">
        <f t="shared" si="76"/>
        <v>"https://www.zeldadungeon.net/maps/totk/tiles/sky/6/53_22.jpg",</v>
      </c>
      <c r="H2462" t="str">
        <f t="shared" si="77"/>
        <v>53_22</v>
      </c>
    </row>
    <row r="2463" spans="1:8" x14ac:dyDescent="0.2">
      <c r="A2463" s="9" t="s">
        <v>51</v>
      </c>
      <c r="C2463" t="str">
        <f t="shared" si="76"/>
        <v>"https://www.zeldadungeon.net/maps/totk/tiles/sky/6/53_23.jpg",</v>
      </c>
      <c r="H2463" t="str">
        <f t="shared" si="77"/>
        <v>53_23</v>
      </c>
    </row>
    <row r="2464" spans="1:8" x14ac:dyDescent="0.2">
      <c r="A2464" s="9" t="s">
        <v>51</v>
      </c>
      <c r="C2464" t="str">
        <f t="shared" si="76"/>
        <v>"https://www.zeldadungeon.net/maps/totk/tiles/sky/6/53_24.jpg",</v>
      </c>
      <c r="H2464" t="str">
        <f t="shared" si="77"/>
        <v>53_24</v>
      </c>
    </row>
    <row r="2465" spans="1:8" x14ac:dyDescent="0.2">
      <c r="A2465" s="9" t="s">
        <v>51</v>
      </c>
      <c r="C2465" t="str">
        <f t="shared" si="76"/>
        <v>"https://www.zeldadungeon.net/maps/totk/tiles/sky/6/53_25.jpg",</v>
      </c>
      <c r="H2465" t="str">
        <f t="shared" si="77"/>
        <v>53_25</v>
      </c>
    </row>
    <row r="2466" spans="1:8" x14ac:dyDescent="0.2">
      <c r="A2466" s="9" t="s">
        <v>51</v>
      </c>
      <c r="C2466" t="str">
        <f t="shared" si="76"/>
        <v>"https://www.zeldadungeon.net/maps/totk/tiles/sky/6/53_26.jpg",</v>
      </c>
      <c r="H2466" t="str">
        <f t="shared" si="77"/>
        <v>53_26</v>
      </c>
    </row>
    <row r="2467" spans="1:8" x14ac:dyDescent="0.2">
      <c r="A2467" s="9" t="s">
        <v>51</v>
      </c>
      <c r="C2467" t="str">
        <f t="shared" si="76"/>
        <v>"https://www.zeldadungeon.net/maps/totk/tiles/sky/6/53_27.jpg",</v>
      </c>
      <c r="H2467" t="str">
        <f t="shared" si="77"/>
        <v>53_27</v>
      </c>
    </row>
    <row r="2468" spans="1:8" x14ac:dyDescent="0.2">
      <c r="A2468" s="9" t="s">
        <v>51</v>
      </c>
      <c r="C2468" t="str">
        <f t="shared" si="76"/>
        <v>"https://www.zeldadungeon.net/maps/totk/tiles/sky/6/53_28.jpg",</v>
      </c>
      <c r="H2468" t="str">
        <f t="shared" si="77"/>
        <v>53_28</v>
      </c>
    </row>
    <row r="2469" spans="1:8" x14ac:dyDescent="0.2">
      <c r="A2469" s="9" t="s">
        <v>51</v>
      </c>
      <c r="C2469" t="str">
        <f t="shared" si="76"/>
        <v>"https://www.zeldadungeon.net/maps/totk/tiles/sky/6/53_29.jpg",</v>
      </c>
      <c r="H2469" t="str">
        <f t="shared" si="77"/>
        <v>53_29</v>
      </c>
    </row>
    <row r="2470" spans="1:8" x14ac:dyDescent="0.2">
      <c r="A2470" s="9" t="s">
        <v>51</v>
      </c>
      <c r="C2470" t="str">
        <f t="shared" si="76"/>
        <v>"https://www.zeldadungeon.net/maps/totk/tiles/sky/6/53_30.jpg",</v>
      </c>
      <c r="H2470" t="str">
        <f t="shared" si="77"/>
        <v>53_30</v>
      </c>
    </row>
    <row r="2471" spans="1:8" x14ac:dyDescent="0.2">
      <c r="A2471" s="9" t="s">
        <v>51</v>
      </c>
      <c r="C2471" t="str">
        <f t="shared" si="76"/>
        <v>"https://www.zeldadungeon.net/maps/totk/tiles/sky/6/53_31.jpg",</v>
      </c>
      <c r="H2471" t="str">
        <f t="shared" si="77"/>
        <v>53_31</v>
      </c>
    </row>
    <row r="2472" spans="1:8" x14ac:dyDescent="0.2">
      <c r="A2472" s="9" t="s">
        <v>51</v>
      </c>
      <c r="C2472" t="str">
        <f t="shared" si="76"/>
        <v>"https://www.zeldadungeon.net/maps/totk/tiles/sky/6/53_32.jpg",</v>
      </c>
      <c r="H2472" t="str">
        <f t="shared" si="77"/>
        <v>53_32</v>
      </c>
    </row>
    <row r="2473" spans="1:8" x14ac:dyDescent="0.2">
      <c r="A2473" s="9" t="s">
        <v>51</v>
      </c>
      <c r="C2473" t="str">
        <f t="shared" si="76"/>
        <v>"https://www.zeldadungeon.net/maps/totk/tiles/sky/6/53_33.jpg",</v>
      </c>
      <c r="H2473" t="str">
        <f t="shared" si="77"/>
        <v>53_33</v>
      </c>
    </row>
    <row r="2474" spans="1:8" x14ac:dyDescent="0.2">
      <c r="A2474" s="9" t="s">
        <v>51</v>
      </c>
      <c r="C2474" t="str">
        <f t="shared" si="76"/>
        <v>"https://www.zeldadungeon.net/maps/totk/tiles/sky/6/53_34.jpg",</v>
      </c>
      <c r="H2474" t="str">
        <f t="shared" si="77"/>
        <v>53_34</v>
      </c>
    </row>
    <row r="2475" spans="1:8" x14ac:dyDescent="0.2">
      <c r="A2475" s="9" t="s">
        <v>51</v>
      </c>
      <c r="C2475" t="str">
        <f t="shared" si="76"/>
        <v>"https://www.zeldadungeon.net/maps/totk/tiles/sky/6/53_35.jpg",</v>
      </c>
      <c r="H2475" t="str">
        <f t="shared" si="77"/>
        <v>53_35</v>
      </c>
    </row>
    <row r="2476" spans="1:8" x14ac:dyDescent="0.2">
      <c r="A2476" s="9" t="s">
        <v>51</v>
      </c>
      <c r="C2476" t="str">
        <f t="shared" si="76"/>
        <v>"https://www.zeldadungeon.net/maps/totk/tiles/sky/6/53_36.jpg",</v>
      </c>
      <c r="H2476" t="str">
        <f t="shared" si="77"/>
        <v>53_36</v>
      </c>
    </row>
    <row r="2477" spans="1:8" x14ac:dyDescent="0.2">
      <c r="A2477" s="9" t="s">
        <v>51</v>
      </c>
      <c r="C2477" t="str">
        <f t="shared" si="76"/>
        <v>"https://www.zeldadungeon.net/maps/totk/tiles/sky/6/53_37.jpg",</v>
      </c>
      <c r="H2477" t="str">
        <f t="shared" si="77"/>
        <v>53_37</v>
      </c>
    </row>
    <row r="2478" spans="1:8" x14ac:dyDescent="0.2">
      <c r="A2478" s="9" t="s">
        <v>51</v>
      </c>
      <c r="C2478" t="str">
        <f t="shared" si="76"/>
        <v>"https://www.zeldadungeon.net/maps/totk/tiles/sky/6/53_38.jpg",</v>
      </c>
      <c r="H2478" t="str">
        <f t="shared" si="77"/>
        <v>53_38</v>
      </c>
    </row>
    <row r="2479" spans="1:8" x14ac:dyDescent="0.2">
      <c r="A2479" s="9" t="s">
        <v>51</v>
      </c>
      <c r="C2479" t="str">
        <f t="shared" si="76"/>
        <v>"https://www.zeldadungeon.net/maps/totk/tiles/sky/6/53_39.jpg",</v>
      </c>
      <c r="H2479" t="str">
        <f t="shared" si="77"/>
        <v>53_39</v>
      </c>
    </row>
    <row r="2480" spans="1:8" x14ac:dyDescent="0.2">
      <c r="A2480" s="9" t="s">
        <v>51</v>
      </c>
      <c r="C2480" t="str">
        <f t="shared" si="76"/>
        <v>"https://www.zeldadungeon.net/maps/totk/tiles/sky/6/53_40.jpg",</v>
      </c>
      <c r="H2480" t="str">
        <f t="shared" si="77"/>
        <v>53_40</v>
      </c>
    </row>
    <row r="2481" spans="1:8" x14ac:dyDescent="0.2">
      <c r="A2481" s="9" t="s">
        <v>51</v>
      </c>
      <c r="C2481" t="str">
        <f t="shared" si="76"/>
        <v>"https://www.zeldadungeon.net/maps/totk/tiles/sky/6/53_41.jpg",</v>
      </c>
      <c r="H2481" t="str">
        <f t="shared" si="77"/>
        <v>53_41</v>
      </c>
    </row>
    <row r="2482" spans="1:8" x14ac:dyDescent="0.2">
      <c r="A2482" s="9" t="s">
        <v>51</v>
      </c>
      <c r="C2482" t="str">
        <f t="shared" si="76"/>
        <v>"https://www.zeldadungeon.net/maps/totk/tiles/sky/6/53_42.jpg",</v>
      </c>
      <c r="H2482" t="str">
        <f t="shared" si="77"/>
        <v>53_42</v>
      </c>
    </row>
    <row r="2483" spans="1:8" x14ac:dyDescent="0.2">
      <c r="A2483" s="9" t="s">
        <v>51</v>
      </c>
      <c r="C2483" t="str">
        <f t="shared" si="76"/>
        <v>"https://www.zeldadungeon.net/maps/totk/tiles/sky/6/53_43.jpg",</v>
      </c>
      <c r="H2483" t="str">
        <f t="shared" si="77"/>
        <v>53_43</v>
      </c>
    </row>
    <row r="2484" spans="1:8" x14ac:dyDescent="0.2">
      <c r="A2484" s="9" t="s">
        <v>51</v>
      </c>
      <c r="C2484" t="str">
        <f t="shared" si="76"/>
        <v>"https://www.zeldadungeon.net/maps/totk/tiles/sky/6/53_44.jpg",</v>
      </c>
      <c r="H2484" t="str">
        <f t="shared" si="77"/>
        <v>53_44</v>
      </c>
    </row>
    <row r="2485" spans="1:8" x14ac:dyDescent="0.2">
      <c r="A2485" s="9" t="s">
        <v>51</v>
      </c>
      <c r="C2485" t="str">
        <f t="shared" si="76"/>
        <v>"https://www.zeldadungeon.net/maps/totk/tiles/sky/6/53_45.jpg",</v>
      </c>
      <c r="H2485" t="str">
        <f t="shared" si="77"/>
        <v>53_45</v>
      </c>
    </row>
    <row r="2486" spans="1:8" x14ac:dyDescent="0.2">
      <c r="A2486" s="9" t="s">
        <v>51</v>
      </c>
      <c r="C2486" t="str">
        <f t="shared" si="76"/>
        <v>"https://www.zeldadungeon.net/maps/totk/tiles/sky/6/53_46.jpg",</v>
      </c>
      <c r="H2486" t="str">
        <f t="shared" si="77"/>
        <v>53_46</v>
      </c>
    </row>
    <row r="2487" spans="1:8" x14ac:dyDescent="0.2">
      <c r="A2487" s="9" t="s">
        <v>51</v>
      </c>
      <c r="C2487" t="str">
        <f t="shared" si="76"/>
        <v>"https://www.zeldadungeon.net/maps/totk/tiles/sky/6/53_47.jpg",</v>
      </c>
      <c r="H2487" t="str">
        <f t="shared" si="77"/>
        <v>53_47</v>
      </c>
    </row>
    <row r="2488" spans="1:8" x14ac:dyDescent="0.2">
      <c r="A2488" s="9" t="s">
        <v>51</v>
      </c>
      <c r="C2488" t="str">
        <f t="shared" si="76"/>
        <v>"https://www.zeldadungeon.net/maps/totk/tiles/sky/6/53_48.jpg",</v>
      </c>
      <c r="H2488" t="str">
        <f t="shared" si="77"/>
        <v>53_48</v>
      </c>
    </row>
    <row r="2489" spans="1:8" x14ac:dyDescent="0.2">
      <c r="A2489" s="9" t="s">
        <v>51</v>
      </c>
      <c r="C2489" t="str">
        <f t="shared" si="76"/>
        <v>"https://www.zeldadungeon.net/maps/totk/tiles/sky/6/53_49.jpg",</v>
      </c>
      <c r="H2489" t="str">
        <f t="shared" si="77"/>
        <v>53_49</v>
      </c>
    </row>
    <row r="2490" spans="1:8" x14ac:dyDescent="0.2">
      <c r="A2490" s="9" t="s">
        <v>51</v>
      </c>
      <c r="C2490" t="str">
        <f t="shared" si="76"/>
        <v>"https://www.zeldadungeon.net/maps/totk/tiles/sky/6/53_50.jpg",</v>
      </c>
      <c r="H2490" t="str">
        <f t="shared" si="77"/>
        <v>53_50</v>
      </c>
    </row>
    <row r="2491" spans="1:8" x14ac:dyDescent="0.2">
      <c r="A2491" s="9" t="s">
        <v>51</v>
      </c>
      <c r="C2491" t="str">
        <f t="shared" si="76"/>
        <v>"https://www.zeldadungeon.net/maps/totk/tiles/sky/6/53_51.jpg",</v>
      </c>
      <c r="H2491" t="str">
        <f t="shared" si="77"/>
        <v>53_51</v>
      </c>
    </row>
    <row r="2492" spans="1:8" x14ac:dyDescent="0.2">
      <c r="A2492" s="9" t="s">
        <v>51</v>
      </c>
      <c r="C2492" t="str">
        <f t="shared" si="76"/>
        <v>"https://www.zeldadungeon.net/maps/totk/tiles/sky/6/53_52.jpg",</v>
      </c>
      <c r="H2492" t="str">
        <f t="shared" si="77"/>
        <v>53_52</v>
      </c>
    </row>
    <row r="2493" spans="1:8" x14ac:dyDescent="0.2">
      <c r="A2493" s="9" t="s">
        <v>51</v>
      </c>
      <c r="C2493" t="str">
        <f t="shared" si="76"/>
        <v>"https://www.zeldadungeon.net/maps/totk/tiles/sky/6/53_53.jpg",</v>
      </c>
      <c r="H2493" t="str">
        <f t="shared" si="77"/>
        <v>53_53</v>
      </c>
    </row>
    <row r="2494" spans="1:8" x14ac:dyDescent="0.2">
      <c r="A2494" s="9" t="s">
        <v>51</v>
      </c>
      <c r="C2494" t="str">
        <f t="shared" si="76"/>
        <v>"https://www.zeldadungeon.net/maps/totk/tiles/sky/6/53_54.jpg",</v>
      </c>
      <c r="H2494" t="str">
        <f t="shared" si="77"/>
        <v>53_54</v>
      </c>
    </row>
    <row r="2495" spans="1:8" x14ac:dyDescent="0.2">
      <c r="A2495" s="9" t="s">
        <v>51</v>
      </c>
      <c r="C2495" t="str">
        <f t="shared" si="76"/>
        <v>"https://www.zeldadungeon.net/maps/totk/tiles/sky/6/53_55.jpg",</v>
      </c>
      <c r="H2495" t="str">
        <f t="shared" si="77"/>
        <v>53_55</v>
      </c>
    </row>
    <row r="2496" spans="1:8" x14ac:dyDescent="0.2">
      <c r="A2496" s="9" t="s">
        <v>51</v>
      </c>
      <c r="C2496" t="str">
        <f t="shared" si="76"/>
        <v>"https://www.zeldadungeon.net/maps/totk/tiles/sky/6/54_8.jpg",</v>
      </c>
      <c r="H2496" t="str">
        <f t="shared" si="77"/>
        <v>54_8</v>
      </c>
    </row>
    <row r="2497" spans="1:8" x14ac:dyDescent="0.2">
      <c r="A2497" s="9" t="s">
        <v>51</v>
      </c>
      <c r="C2497" t="str">
        <f t="shared" ref="C2497:C2560" si="78">""""&amp;SUBSTITUTE(A2497,"zzz",H2497)&amp;""""&amp;","</f>
        <v>"https://www.zeldadungeon.net/maps/totk/tiles/sky/6/54_9.jpg",</v>
      </c>
      <c r="H2497" t="str">
        <f t="shared" ref="H2497:H2560" si="79">QUOTIENT(ROW(A2497),48)+2&amp;"_"&amp;MOD(ROW(A2497),48)+8</f>
        <v>54_9</v>
      </c>
    </row>
    <row r="2498" spans="1:8" x14ac:dyDescent="0.2">
      <c r="A2498" s="9" t="s">
        <v>51</v>
      </c>
      <c r="C2498" t="str">
        <f t="shared" si="78"/>
        <v>"https://www.zeldadungeon.net/maps/totk/tiles/sky/6/54_10.jpg",</v>
      </c>
      <c r="H2498" t="str">
        <f t="shared" si="79"/>
        <v>54_10</v>
      </c>
    </row>
    <row r="2499" spans="1:8" x14ac:dyDescent="0.2">
      <c r="A2499" s="9" t="s">
        <v>51</v>
      </c>
      <c r="C2499" t="str">
        <f t="shared" si="78"/>
        <v>"https://www.zeldadungeon.net/maps/totk/tiles/sky/6/54_11.jpg",</v>
      </c>
      <c r="H2499" t="str">
        <f t="shared" si="79"/>
        <v>54_11</v>
      </c>
    </row>
    <row r="2500" spans="1:8" x14ac:dyDescent="0.2">
      <c r="A2500" s="9" t="s">
        <v>51</v>
      </c>
      <c r="C2500" t="str">
        <f t="shared" si="78"/>
        <v>"https://www.zeldadungeon.net/maps/totk/tiles/sky/6/54_12.jpg",</v>
      </c>
      <c r="H2500" t="str">
        <f t="shared" si="79"/>
        <v>54_12</v>
      </c>
    </row>
    <row r="2501" spans="1:8" x14ac:dyDescent="0.2">
      <c r="A2501" s="9" t="s">
        <v>51</v>
      </c>
      <c r="C2501" t="str">
        <f t="shared" si="78"/>
        <v>"https://www.zeldadungeon.net/maps/totk/tiles/sky/6/54_13.jpg",</v>
      </c>
      <c r="H2501" t="str">
        <f t="shared" si="79"/>
        <v>54_13</v>
      </c>
    </row>
    <row r="2502" spans="1:8" x14ac:dyDescent="0.2">
      <c r="A2502" s="9" t="s">
        <v>51</v>
      </c>
      <c r="C2502" t="str">
        <f t="shared" si="78"/>
        <v>"https://www.zeldadungeon.net/maps/totk/tiles/sky/6/54_14.jpg",</v>
      </c>
      <c r="H2502" t="str">
        <f t="shared" si="79"/>
        <v>54_14</v>
      </c>
    </row>
    <row r="2503" spans="1:8" x14ac:dyDescent="0.2">
      <c r="A2503" s="9" t="s">
        <v>51</v>
      </c>
      <c r="C2503" t="str">
        <f t="shared" si="78"/>
        <v>"https://www.zeldadungeon.net/maps/totk/tiles/sky/6/54_15.jpg",</v>
      </c>
      <c r="H2503" t="str">
        <f t="shared" si="79"/>
        <v>54_15</v>
      </c>
    </row>
    <row r="2504" spans="1:8" x14ac:dyDescent="0.2">
      <c r="A2504" s="9" t="s">
        <v>51</v>
      </c>
      <c r="C2504" t="str">
        <f t="shared" si="78"/>
        <v>"https://www.zeldadungeon.net/maps/totk/tiles/sky/6/54_16.jpg",</v>
      </c>
      <c r="H2504" t="str">
        <f t="shared" si="79"/>
        <v>54_16</v>
      </c>
    </row>
    <row r="2505" spans="1:8" x14ac:dyDescent="0.2">
      <c r="A2505" s="9" t="s">
        <v>51</v>
      </c>
      <c r="C2505" t="str">
        <f t="shared" si="78"/>
        <v>"https://www.zeldadungeon.net/maps/totk/tiles/sky/6/54_17.jpg",</v>
      </c>
      <c r="H2505" t="str">
        <f t="shared" si="79"/>
        <v>54_17</v>
      </c>
    </row>
    <row r="2506" spans="1:8" x14ac:dyDescent="0.2">
      <c r="A2506" s="9" t="s">
        <v>51</v>
      </c>
      <c r="C2506" t="str">
        <f t="shared" si="78"/>
        <v>"https://www.zeldadungeon.net/maps/totk/tiles/sky/6/54_18.jpg",</v>
      </c>
      <c r="H2506" t="str">
        <f t="shared" si="79"/>
        <v>54_18</v>
      </c>
    </row>
    <row r="2507" spans="1:8" x14ac:dyDescent="0.2">
      <c r="A2507" s="9" t="s">
        <v>51</v>
      </c>
      <c r="C2507" t="str">
        <f t="shared" si="78"/>
        <v>"https://www.zeldadungeon.net/maps/totk/tiles/sky/6/54_19.jpg",</v>
      </c>
      <c r="H2507" t="str">
        <f t="shared" si="79"/>
        <v>54_19</v>
      </c>
    </row>
    <row r="2508" spans="1:8" x14ac:dyDescent="0.2">
      <c r="A2508" s="9" t="s">
        <v>51</v>
      </c>
      <c r="C2508" t="str">
        <f t="shared" si="78"/>
        <v>"https://www.zeldadungeon.net/maps/totk/tiles/sky/6/54_20.jpg",</v>
      </c>
      <c r="H2508" t="str">
        <f t="shared" si="79"/>
        <v>54_20</v>
      </c>
    </row>
    <row r="2509" spans="1:8" x14ac:dyDescent="0.2">
      <c r="A2509" s="9" t="s">
        <v>51</v>
      </c>
      <c r="C2509" t="str">
        <f t="shared" si="78"/>
        <v>"https://www.zeldadungeon.net/maps/totk/tiles/sky/6/54_21.jpg",</v>
      </c>
      <c r="H2509" t="str">
        <f t="shared" si="79"/>
        <v>54_21</v>
      </c>
    </row>
    <row r="2510" spans="1:8" x14ac:dyDescent="0.2">
      <c r="A2510" s="9" t="s">
        <v>51</v>
      </c>
      <c r="C2510" t="str">
        <f t="shared" si="78"/>
        <v>"https://www.zeldadungeon.net/maps/totk/tiles/sky/6/54_22.jpg",</v>
      </c>
      <c r="H2510" t="str">
        <f t="shared" si="79"/>
        <v>54_22</v>
      </c>
    </row>
    <row r="2511" spans="1:8" x14ac:dyDescent="0.2">
      <c r="A2511" s="9" t="s">
        <v>51</v>
      </c>
      <c r="C2511" t="str">
        <f t="shared" si="78"/>
        <v>"https://www.zeldadungeon.net/maps/totk/tiles/sky/6/54_23.jpg",</v>
      </c>
      <c r="H2511" t="str">
        <f t="shared" si="79"/>
        <v>54_23</v>
      </c>
    </row>
    <row r="2512" spans="1:8" x14ac:dyDescent="0.2">
      <c r="A2512" s="9" t="s">
        <v>51</v>
      </c>
      <c r="C2512" t="str">
        <f t="shared" si="78"/>
        <v>"https://www.zeldadungeon.net/maps/totk/tiles/sky/6/54_24.jpg",</v>
      </c>
      <c r="H2512" t="str">
        <f t="shared" si="79"/>
        <v>54_24</v>
      </c>
    </row>
    <row r="2513" spans="1:8" x14ac:dyDescent="0.2">
      <c r="A2513" s="9" t="s">
        <v>51</v>
      </c>
      <c r="C2513" t="str">
        <f t="shared" si="78"/>
        <v>"https://www.zeldadungeon.net/maps/totk/tiles/sky/6/54_25.jpg",</v>
      </c>
      <c r="H2513" t="str">
        <f t="shared" si="79"/>
        <v>54_25</v>
      </c>
    </row>
    <row r="2514" spans="1:8" x14ac:dyDescent="0.2">
      <c r="A2514" s="9" t="s">
        <v>51</v>
      </c>
      <c r="C2514" t="str">
        <f t="shared" si="78"/>
        <v>"https://www.zeldadungeon.net/maps/totk/tiles/sky/6/54_26.jpg",</v>
      </c>
      <c r="H2514" t="str">
        <f t="shared" si="79"/>
        <v>54_26</v>
      </c>
    </row>
    <row r="2515" spans="1:8" x14ac:dyDescent="0.2">
      <c r="A2515" s="9" t="s">
        <v>51</v>
      </c>
      <c r="C2515" t="str">
        <f t="shared" si="78"/>
        <v>"https://www.zeldadungeon.net/maps/totk/tiles/sky/6/54_27.jpg",</v>
      </c>
      <c r="H2515" t="str">
        <f t="shared" si="79"/>
        <v>54_27</v>
      </c>
    </row>
    <row r="2516" spans="1:8" x14ac:dyDescent="0.2">
      <c r="A2516" s="9" t="s">
        <v>51</v>
      </c>
      <c r="C2516" t="str">
        <f t="shared" si="78"/>
        <v>"https://www.zeldadungeon.net/maps/totk/tiles/sky/6/54_28.jpg",</v>
      </c>
      <c r="H2516" t="str">
        <f t="shared" si="79"/>
        <v>54_28</v>
      </c>
    </row>
    <row r="2517" spans="1:8" x14ac:dyDescent="0.2">
      <c r="A2517" s="9" t="s">
        <v>51</v>
      </c>
      <c r="C2517" t="str">
        <f t="shared" si="78"/>
        <v>"https://www.zeldadungeon.net/maps/totk/tiles/sky/6/54_29.jpg",</v>
      </c>
      <c r="H2517" t="str">
        <f t="shared" si="79"/>
        <v>54_29</v>
      </c>
    </row>
    <row r="2518" spans="1:8" x14ac:dyDescent="0.2">
      <c r="A2518" s="9" t="s">
        <v>51</v>
      </c>
      <c r="C2518" t="str">
        <f t="shared" si="78"/>
        <v>"https://www.zeldadungeon.net/maps/totk/tiles/sky/6/54_30.jpg",</v>
      </c>
      <c r="H2518" t="str">
        <f t="shared" si="79"/>
        <v>54_30</v>
      </c>
    </row>
    <row r="2519" spans="1:8" x14ac:dyDescent="0.2">
      <c r="A2519" s="9" t="s">
        <v>51</v>
      </c>
      <c r="C2519" t="str">
        <f t="shared" si="78"/>
        <v>"https://www.zeldadungeon.net/maps/totk/tiles/sky/6/54_31.jpg",</v>
      </c>
      <c r="H2519" t="str">
        <f t="shared" si="79"/>
        <v>54_31</v>
      </c>
    </row>
    <row r="2520" spans="1:8" x14ac:dyDescent="0.2">
      <c r="A2520" s="9" t="s">
        <v>51</v>
      </c>
      <c r="C2520" t="str">
        <f t="shared" si="78"/>
        <v>"https://www.zeldadungeon.net/maps/totk/tiles/sky/6/54_32.jpg",</v>
      </c>
      <c r="H2520" t="str">
        <f t="shared" si="79"/>
        <v>54_32</v>
      </c>
    </row>
    <row r="2521" spans="1:8" x14ac:dyDescent="0.2">
      <c r="A2521" s="9" t="s">
        <v>51</v>
      </c>
      <c r="C2521" t="str">
        <f t="shared" si="78"/>
        <v>"https://www.zeldadungeon.net/maps/totk/tiles/sky/6/54_33.jpg",</v>
      </c>
      <c r="H2521" t="str">
        <f t="shared" si="79"/>
        <v>54_33</v>
      </c>
    </row>
    <row r="2522" spans="1:8" x14ac:dyDescent="0.2">
      <c r="A2522" s="9" t="s">
        <v>51</v>
      </c>
      <c r="C2522" t="str">
        <f t="shared" si="78"/>
        <v>"https://www.zeldadungeon.net/maps/totk/tiles/sky/6/54_34.jpg",</v>
      </c>
      <c r="H2522" t="str">
        <f t="shared" si="79"/>
        <v>54_34</v>
      </c>
    </row>
    <row r="2523" spans="1:8" x14ac:dyDescent="0.2">
      <c r="A2523" s="9" t="s">
        <v>51</v>
      </c>
      <c r="C2523" t="str">
        <f t="shared" si="78"/>
        <v>"https://www.zeldadungeon.net/maps/totk/tiles/sky/6/54_35.jpg",</v>
      </c>
      <c r="H2523" t="str">
        <f t="shared" si="79"/>
        <v>54_35</v>
      </c>
    </row>
    <row r="2524" spans="1:8" x14ac:dyDescent="0.2">
      <c r="A2524" s="9" t="s">
        <v>51</v>
      </c>
      <c r="C2524" t="str">
        <f t="shared" si="78"/>
        <v>"https://www.zeldadungeon.net/maps/totk/tiles/sky/6/54_36.jpg",</v>
      </c>
      <c r="H2524" t="str">
        <f t="shared" si="79"/>
        <v>54_36</v>
      </c>
    </row>
    <row r="2525" spans="1:8" x14ac:dyDescent="0.2">
      <c r="A2525" s="9" t="s">
        <v>51</v>
      </c>
      <c r="C2525" t="str">
        <f t="shared" si="78"/>
        <v>"https://www.zeldadungeon.net/maps/totk/tiles/sky/6/54_37.jpg",</v>
      </c>
      <c r="H2525" t="str">
        <f t="shared" si="79"/>
        <v>54_37</v>
      </c>
    </row>
    <row r="2526" spans="1:8" x14ac:dyDescent="0.2">
      <c r="A2526" s="9" t="s">
        <v>51</v>
      </c>
      <c r="C2526" t="str">
        <f t="shared" si="78"/>
        <v>"https://www.zeldadungeon.net/maps/totk/tiles/sky/6/54_38.jpg",</v>
      </c>
      <c r="H2526" t="str">
        <f t="shared" si="79"/>
        <v>54_38</v>
      </c>
    </row>
    <row r="2527" spans="1:8" x14ac:dyDescent="0.2">
      <c r="A2527" s="9" t="s">
        <v>51</v>
      </c>
      <c r="C2527" t="str">
        <f t="shared" si="78"/>
        <v>"https://www.zeldadungeon.net/maps/totk/tiles/sky/6/54_39.jpg",</v>
      </c>
      <c r="H2527" t="str">
        <f t="shared" si="79"/>
        <v>54_39</v>
      </c>
    </row>
    <row r="2528" spans="1:8" x14ac:dyDescent="0.2">
      <c r="A2528" s="9" t="s">
        <v>51</v>
      </c>
      <c r="C2528" t="str">
        <f t="shared" si="78"/>
        <v>"https://www.zeldadungeon.net/maps/totk/tiles/sky/6/54_40.jpg",</v>
      </c>
      <c r="H2528" t="str">
        <f t="shared" si="79"/>
        <v>54_40</v>
      </c>
    </row>
    <row r="2529" spans="1:8" x14ac:dyDescent="0.2">
      <c r="A2529" s="9" t="s">
        <v>51</v>
      </c>
      <c r="C2529" t="str">
        <f t="shared" si="78"/>
        <v>"https://www.zeldadungeon.net/maps/totk/tiles/sky/6/54_41.jpg",</v>
      </c>
      <c r="H2529" t="str">
        <f t="shared" si="79"/>
        <v>54_41</v>
      </c>
    </row>
    <row r="2530" spans="1:8" x14ac:dyDescent="0.2">
      <c r="A2530" s="9" t="s">
        <v>51</v>
      </c>
      <c r="C2530" t="str">
        <f t="shared" si="78"/>
        <v>"https://www.zeldadungeon.net/maps/totk/tiles/sky/6/54_42.jpg",</v>
      </c>
      <c r="H2530" t="str">
        <f t="shared" si="79"/>
        <v>54_42</v>
      </c>
    </row>
    <row r="2531" spans="1:8" x14ac:dyDescent="0.2">
      <c r="A2531" s="9" t="s">
        <v>51</v>
      </c>
      <c r="C2531" t="str">
        <f t="shared" si="78"/>
        <v>"https://www.zeldadungeon.net/maps/totk/tiles/sky/6/54_43.jpg",</v>
      </c>
      <c r="H2531" t="str">
        <f t="shared" si="79"/>
        <v>54_43</v>
      </c>
    </row>
    <row r="2532" spans="1:8" x14ac:dyDescent="0.2">
      <c r="A2532" s="9" t="s">
        <v>51</v>
      </c>
      <c r="C2532" t="str">
        <f t="shared" si="78"/>
        <v>"https://www.zeldadungeon.net/maps/totk/tiles/sky/6/54_44.jpg",</v>
      </c>
      <c r="H2532" t="str">
        <f t="shared" si="79"/>
        <v>54_44</v>
      </c>
    </row>
    <row r="2533" spans="1:8" x14ac:dyDescent="0.2">
      <c r="A2533" s="9" t="s">
        <v>51</v>
      </c>
      <c r="C2533" t="str">
        <f t="shared" si="78"/>
        <v>"https://www.zeldadungeon.net/maps/totk/tiles/sky/6/54_45.jpg",</v>
      </c>
      <c r="H2533" t="str">
        <f t="shared" si="79"/>
        <v>54_45</v>
      </c>
    </row>
    <row r="2534" spans="1:8" x14ac:dyDescent="0.2">
      <c r="A2534" s="9" t="s">
        <v>51</v>
      </c>
      <c r="C2534" t="str">
        <f t="shared" si="78"/>
        <v>"https://www.zeldadungeon.net/maps/totk/tiles/sky/6/54_46.jpg",</v>
      </c>
      <c r="H2534" t="str">
        <f t="shared" si="79"/>
        <v>54_46</v>
      </c>
    </row>
    <row r="2535" spans="1:8" x14ac:dyDescent="0.2">
      <c r="A2535" s="9" t="s">
        <v>51</v>
      </c>
      <c r="C2535" t="str">
        <f t="shared" si="78"/>
        <v>"https://www.zeldadungeon.net/maps/totk/tiles/sky/6/54_47.jpg",</v>
      </c>
      <c r="H2535" t="str">
        <f t="shared" si="79"/>
        <v>54_47</v>
      </c>
    </row>
    <row r="2536" spans="1:8" x14ac:dyDescent="0.2">
      <c r="A2536" s="9" t="s">
        <v>51</v>
      </c>
      <c r="C2536" t="str">
        <f t="shared" si="78"/>
        <v>"https://www.zeldadungeon.net/maps/totk/tiles/sky/6/54_48.jpg",</v>
      </c>
      <c r="H2536" t="str">
        <f t="shared" si="79"/>
        <v>54_48</v>
      </c>
    </row>
    <row r="2537" spans="1:8" x14ac:dyDescent="0.2">
      <c r="A2537" s="9" t="s">
        <v>51</v>
      </c>
      <c r="C2537" t="str">
        <f t="shared" si="78"/>
        <v>"https://www.zeldadungeon.net/maps/totk/tiles/sky/6/54_49.jpg",</v>
      </c>
      <c r="H2537" t="str">
        <f t="shared" si="79"/>
        <v>54_49</v>
      </c>
    </row>
    <row r="2538" spans="1:8" x14ac:dyDescent="0.2">
      <c r="A2538" s="9" t="s">
        <v>51</v>
      </c>
      <c r="C2538" t="str">
        <f t="shared" si="78"/>
        <v>"https://www.zeldadungeon.net/maps/totk/tiles/sky/6/54_50.jpg",</v>
      </c>
      <c r="H2538" t="str">
        <f t="shared" si="79"/>
        <v>54_50</v>
      </c>
    </row>
    <row r="2539" spans="1:8" x14ac:dyDescent="0.2">
      <c r="A2539" s="9" t="s">
        <v>51</v>
      </c>
      <c r="C2539" t="str">
        <f t="shared" si="78"/>
        <v>"https://www.zeldadungeon.net/maps/totk/tiles/sky/6/54_51.jpg",</v>
      </c>
      <c r="H2539" t="str">
        <f t="shared" si="79"/>
        <v>54_51</v>
      </c>
    </row>
    <row r="2540" spans="1:8" x14ac:dyDescent="0.2">
      <c r="A2540" s="9" t="s">
        <v>51</v>
      </c>
      <c r="C2540" t="str">
        <f t="shared" si="78"/>
        <v>"https://www.zeldadungeon.net/maps/totk/tiles/sky/6/54_52.jpg",</v>
      </c>
      <c r="H2540" t="str">
        <f t="shared" si="79"/>
        <v>54_52</v>
      </c>
    </row>
    <row r="2541" spans="1:8" x14ac:dyDescent="0.2">
      <c r="A2541" s="9" t="s">
        <v>51</v>
      </c>
      <c r="C2541" t="str">
        <f t="shared" si="78"/>
        <v>"https://www.zeldadungeon.net/maps/totk/tiles/sky/6/54_53.jpg",</v>
      </c>
      <c r="H2541" t="str">
        <f t="shared" si="79"/>
        <v>54_53</v>
      </c>
    </row>
    <row r="2542" spans="1:8" x14ac:dyDescent="0.2">
      <c r="A2542" s="9" t="s">
        <v>51</v>
      </c>
      <c r="C2542" t="str">
        <f t="shared" si="78"/>
        <v>"https://www.zeldadungeon.net/maps/totk/tiles/sky/6/54_54.jpg",</v>
      </c>
      <c r="H2542" t="str">
        <f t="shared" si="79"/>
        <v>54_54</v>
      </c>
    </row>
    <row r="2543" spans="1:8" x14ac:dyDescent="0.2">
      <c r="A2543" s="9" t="s">
        <v>51</v>
      </c>
      <c r="C2543" t="str">
        <f t="shared" si="78"/>
        <v>"https://www.zeldadungeon.net/maps/totk/tiles/sky/6/54_55.jpg",</v>
      </c>
      <c r="H2543" t="str">
        <f t="shared" si="79"/>
        <v>54_55</v>
      </c>
    </row>
    <row r="2544" spans="1:8" x14ac:dyDescent="0.2">
      <c r="A2544" s="9" t="s">
        <v>51</v>
      </c>
      <c r="C2544" t="str">
        <f t="shared" si="78"/>
        <v>"https://www.zeldadungeon.net/maps/totk/tiles/sky/6/55_8.jpg",</v>
      </c>
      <c r="H2544" t="str">
        <f t="shared" si="79"/>
        <v>55_8</v>
      </c>
    </row>
    <row r="2545" spans="1:8" x14ac:dyDescent="0.2">
      <c r="A2545" s="9" t="s">
        <v>51</v>
      </c>
      <c r="C2545" t="str">
        <f t="shared" si="78"/>
        <v>"https://www.zeldadungeon.net/maps/totk/tiles/sky/6/55_9.jpg",</v>
      </c>
      <c r="H2545" t="str">
        <f t="shared" si="79"/>
        <v>55_9</v>
      </c>
    </row>
    <row r="2546" spans="1:8" x14ac:dyDescent="0.2">
      <c r="A2546" s="9" t="s">
        <v>51</v>
      </c>
      <c r="C2546" t="str">
        <f t="shared" si="78"/>
        <v>"https://www.zeldadungeon.net/maps/totk/tiles/sky/6/55_10.jpg",</v>
      </c>
      <c r="H2546" t="str">
        <f t="shared" si="79"/>
        <v>55_10</v>
      </c>
    </row>
    <row r="2547" spans="1:8" x14ac:dyDescent="0.2">
      <c r="A2547" s="9" t="s">
        <v>51</v>
      </c>
      <c r="C2547" t="str">
        <f t="shared" si="78"/>
        <v>"https://www.zeldadungeon.net/maps/totk/tiles/sky/6/55_11.jpg",</v>
      </c>
      <c r="H2547" t="str">
        <f t="shared" si="79"/>
        <v>55_11</v>
      </c>
    </row>
    <row r="2548" spans="1:8" x14ac:dyDescent="0.2">
      <c r="A2548" s="9" t="s">
        <v>51</v>
      </c>
      <c r="C2548" t="str">
        <f t="shared" si="78"/>
        <v>"https://www.zeldadungeon.net/maps/totk/tiles/sky/6/55_12.jpg",</v>
      </c>
      <c r="H2548" t="str">
        <f t="shared" si="79"/>
        <v>55_12</v>
      </c>
    </row>
    <row r="2549" spans="1:8" x14ac:dyDescent="0.2">
      <c r="A2549" s="9" t="s">
        <v>51</v>
      </c>
      <c r="C2549" t="str">
        <f t="shared" si="78"/>
        <v>"https://www.zeldadungeon.net/maps/totk/tiles/sky/6/55_13.jpg",</v>
      </c>
      <c r="H2549" t="str">
        <f t="shared" si="79"/>
        <v>55_13</v>
      </c>
    </row>
    <row r="2550" spans="1:8" x14ac:dyDescent="0.2">
      <c r="A2550" s="9" t="s">
        <v>51</v>
      </c>
      <c r="C2550" t="str">
        <f t="shared" si="78"/>
        <v>"https://www.zeldadungeon.net/maps/totk/tiles/sky/6/55_14.jpg",</v>
      </c>
      <c r="H2550" t="str">
        <f t="shared" si="79"/>
        <v>55_14</v>
      </c>
    </row>
    <row r="2551" spans="1:8" x14ac:dyDescent="0.2">
      <c r="A2551" s="9" t="s">
        <v>51</v>
      </c>
      <c r="C2551" t="str">
        <f t="shared" si="78"/>
        <v>"https://www.zeldadungeon.net/maps/totk/tiles/sky/6/55_15.jpg",</v>
      </c>
      <c r="H2551" t="str">
        <f t="shared" si="79"/>
        <v>55_15</v>
      </c>
    </row>
    <row r="2552" spans="1:8" x14ac:dyDescent="0.2">
      <c r="A2552" s="9" t="s">
        <v>51</v>
      </c>
      <c r="C2552" t="str">
        <f t="shared" si="78"/>
        <v>"https://www.zeldadungeon.net/maps/totk/tiles/sky/6/55_16.jpg",</v>
      </c>
      <c r="H2552" t="str">
        <f t="shared" si="79"/>
        <v>55_16</v>
      </c>
    </row>
    <row r="2553" spans="1:8" x14ac:dyDescent="0.2">
      <c r="A2553" s="9" t="s">
        <v>51</v>
      </c>
      <c r="C2553" t="str">
        <f t="shared" si="78"/>
        <v>"https://www.zeldadungeon.net/maps/totk/tiles/sky/6/55_17.jpg",</v>
      </c>
      <c r="H2553" t="str">
        <f t="shared" si="79"/>
        <v>55_17</v>
      </c>
    </row>
    <row r="2554" spans="1:8" x14ac:dyDescent="0.2">
      <c r="A2554" s="9" t="s">
        <v>51</v>
      </c>
      <c r="C2554" t="str">
        <f t="shared" si="78"/>
        <v>"https://www.zeldadungeon.net/maps/totk/tiles/sky/6/55_18.jpg",</v>
      </c>
      <c r="H2554" t="str">
        <f t="shared" si="79"/>
        <v>55_18</v>
      </c>
    </row>
    <row r="2555" spans="1:8" x14ac:dyDescent="0.2">
      <c r="A2555" s="9" t="s">
        <v>51</v>
      </c>
      <c r="C2555" t="str">
        <f t="shared" si="78"/>
        <v>"https://www.zeldadungeon.net/maps/totk/tiles/sky/6/55_19.jpg",</v>
      </c>
      <c r="H2555" t="str">
        <f t="shared" si="79"/>
        <v>55_19</v>
      </c>
    </row>
    <row r="2556" spans="1:8" x14ac:dyDescent="0.2">
      <c r="A2556" s="9" t="s">
        <v>51</v>
      </c>
      <c r="C2556" t="str">
        <f t="shared" si="78"/>
        <v>"https://www.zeldadungeon.net/maps/totk/tiles/sky/6/55_20.jpg",</v>
      </c>
      <c r="H2556" t="str">
        <f t="shared" si="79"/>
        <v>55_20</v>
      </c>
    </row>
    <row r="2557" spans="1:8" x14ac:dyDescent="0.2">
      <c r="A2557" s="9" t="s">
        <v>51</v>
      </c>
      <c r="C2557" t="str">
        <f t="shared" si="78"/>
        <v>"https://www.zeldadungeon.net/maps/totk/tiles/sky/6/55_21.jpg",</v>
      </c>
      <c r="H2557" t="str">
        <f t="shared" si="79"/>
        <v>55_21</v>
      </c>
    </row>
    <row r="2558" spans="1:8" x14ac:dyDescent="0.2">
      <c r="A2558" s="9" t="s">
        <v>51</v>
      </c>
      <c r="C2558" t="str">
        <f t="shared" si="78"/>
        <v>"https://www.zeldadungeon.net/maps/totk/tiles/sky/6/55_22.jpg",</v>
      </c>
      <c r="H2558" t="str">
        <f t="shared" si="79"/>
        <v>55_22</v>
      </c>
    </row>
    <row r="2559" spans="1:8" x14ac:dyDescent="0.2">
      <c r="A2559" s="9" t="s">
        <v>51</v>
      </c>
      <c r="C2559" t="str">
        <f t="shared" si="78"/>
        <v>"https://www.zeldadungeon.net/maps/totk/tiles/sky/6/55_23.jpg",</v>
      </c>
      <c r="H2559" t="str">
        <f t="shared" si="79"/>
        <v>55_23</v>
      </c>
    </row>
    <row r="2560" spans="1:8" x14ac:dyDescent="0.2">
      <c r="A2560" s="9" t="s">
        <v>51</v>
      </c>
      <c r="C2560" t="str">
        <f t="shared" si="78"/>
        <v>"https://www.zeldadungeon.net/maps/totk/tiles/sky/6/55_24.jpg",</v>
      </c>
      <c r="H2560" t="str">
        <f t="shared" si="79"/>
        <v>55_24</v>
      </c>
    </row>
    <row r="2561" spans="1:8" x14ac:dyDescent="0.2">
      <c r="A2561" s="9" t="s">
        <v>51</v>
      </c>
      <c r="C2561" t="str">
        <f t="shared" ref="C2561:C2624" si="80">""""&amp;SUBSTITUTE(A2561,"zzz",H2561)&amp;""""&amp;","</f>
        <v>"https://www.zeldadungeon.net/maps/totk/tiles/sky/6/55_25.jpg",</v>
      </c>
      <c r="H2561" t="str">
        <f t="shared" ref="H2561:H2624" si="81">QUOTIENT(ROW(A2561),48)+2&amp;"_"&amp;MOD(ROW(A2561),48)+8</f>
        <v>55_25</v>
      </c>
    </row>
    <row r="2562" spans="1:8" x14ac:dyDescent="0.2">
      <c r="A2562" s="9" t="s">
        <v>51</v>
      </c>
      <c r="C2562" t="str">
        <f t="shared" si="80"/>
        <v>"https://www.zeldadungeon.net/maps/totk/tiles/sky/6/55_26.jpg",</v>
      </c>
      <c r="H2562" t="str">
        <f t="shared" si="81"/>
        <v>55_26</v>
      </c>
    </row>
    <row r="2563" spans="1:8" x14ac:dyDescent="0.2">
      <c r="A2563" s="9" t="s">
        <v>51</v>
      </c>
      <c r="C2563" t="str">
        <f t="shared" si="80"/>
        <v>"https://www.zeldadungeon.net/maps/totk/tiles/sky/6/55_27.jpg",</v>
      </c>
      <c r="H2563" t="str">
        <f t="shared" si="81"/>
        <v>55_27</v>
      </c>
    </row>
    <row r="2564" spans="1:8" x14ac:dyDescent="0.2">
      <c r="A2564" s="9" t="s">
        <v>51</v>
      </c>
      <c r="C2564" t="str">
        <f t="shared" si="80"/>
        <v>"https://www.zeldadungeon.net/maps/totk/tiles/sky/6/55_28.jpg",</v>
      </c>
      <c r="H2564" t="str">
        <f t="shared" si="81"/>
        <v>55_28</v>
      </c>
    </row>
    <row r="2565" spans="1:8" x14ac:dyDescent="0.2">
      <c r="A2565" s="9" t="s">
        <v>51</v>
      </c>
      <c r="C2565" t="str">
        <f t="shared" si="80"/>
        <v>"https://www.zeldadungeon.net/maps/totk/tiles/sky/6/55_29.jpg",</v>
      </c>
      <c r="H2565" t="str">
        <f t="shared" si="81"/>
        <v>55_29</v>
      </c>
    </row>
    <row r="2566" spans="1:8" x14ac:dyDescent="0.2">
      <c r="A2566" s="9" t="s">
        <v>51</v>
      </c>
      <c r="C2566" t="str">
        <f t="shared" si="80"/>
        <v>"https://www.zeldadungeon.net/maps/totk/tiles/sky/6/55_30.jpg",</v>
      </c>
      <c r="H2566" t="str">
        <f t="shared" si="81"/>
        <v>55_30</v>
      </c>
    </row>
    <row r="2567" spans="1:8" x14ac:dyDescent="0.2">
      <c r="A2567" s="9" t="s">
        <v>51</v>
      </c>
      <c r="C2567" t="str">
        <f t="shared" si="80"/>
        <v>"https://www.zeldadungeon.net/maps/totk/tiles/sky/6/55_31.jpg",</v>
      </c>
      <c r="H2567" t="str">
        <f t="shared" si="81"/>
        <v>55_31</v>
      </c>
    </row>
    <row r="2568" spans="1:8" x14ac:dyDescent="0.2">
      <c r="A2568" s="9" t="s">
        <v>51</v>
      </c>
      <c r="C2568" t="str">
        <f t="shared" si="80"/>
        <v>"https://www.zeldadungeon.net/maps/totk/tiles/sky/6/55_32.jpg",</v>
      </c>
      <c r="H2568" t="str">
        <f t="shared" si="81"/>
        <v>55_32</v>
      </c>
    </row>
    <row r="2569" spans="1:8" x14ac:dyDescent="0.2">
      <c r="A2569" s="9" t="s">
        <v>51</v>
      </c>
      <c r="C2569" t="str">
        <f t="shared" si="80"/>
        <v>"https://www.zeldadungeon.net/maps/totk/tiles/sky/6/55_33.jpg",</v>
      </c>
      <c r="H2569" t="str">
        <f t="shared" si="81"/>
        <v>55_33</v>
      </c>
    </row>
    <row r="2570" spans="1:8" x14ac:dyDescent="0.2">
      <c r="A2570" s="9" t="s">
        <v>51</v>
      </c>
      <c r="C2570" t="str">
        <f t="shared" si="80"/>
        <v>"https://www.zeldadungeon.net/maps/totk/tiles/sky/6/55_34.jpg",</v>
      </c>
      <c r="H2570" t="str">
        <f t="shared" si="81"/>
        <v>55_34</v>
      </c>
    </row>
    <row r="2571" spans="1:8" x14ac:dyDescent="0.2">
      <c r="A2571" s="9" t="s">
        <v>51</v>
      </c>
      <c r="C2571" t="str">
        <f t="shared" si="80"/>
        <v>"https://www.zeldadungeon.net/maps/totk/tiles/sky/6/55_35.jpg",</v>
      </c>
      <c r="H2571" t="str">
        <f t="shared" si="81"/>
        <v>55_35</v>
      </c>
    </row>
    <row r="2572" spans="1:8" x14ac:dyDescent="0.2">
      <c r="A2572" s="9" t="s">
        <v>51</v>
      </c>
      <c r="C2572" t="str">
        <f t="shared" si="80"/>
        <v>"https://www.zeldadungeon.net/maps/totk/tiles/sky/6/55_36.jpg",</v>
      </c>
      <c r="H2572" t="str">
        <f t="shared" si="81"/>
        <v>55_36</v>
      </c>
    </row>
    <row r="2573" spans="1:8" x14ac:dyDescent="0.2">
      <c r="A2573" s="9" t="s">
        <v>51</v>
      </c>
      <c r="C2573" t="str">
        <f t="shared" si="80"/>
        <v>"https://www.zeldadungeon.net/maps/totk/tiles/sky/6/55_37.jpg",</v>
      </c>
      <c r="H2573" t="str">
        <f t="shared" si="81"/>
        <v>55_37</v>
      </c>
    </row>
    <row r="2574" spans="1:8" x14ac:dyDescent="0.2">
      <c r="A2574" s="9" t="s">
        <v>51</v>
      </c>
      <c r="C2574" t="str">
        <f t="shared" si="80"/>
        <v>"https://www.zeldadungeon.net/maps/totk/tiles/sky/6/55_38.jpg",</v>
      </c>
      <c r="H2574" t="str">
        <f t="shared" si="81"/>
        <v>55_38</v>
      </c>
    </row>
    <row r="2575" spans="1:8" x14ac:dyDescent="0.2">
      <c r="A2575" s="9" t="s">
        <v>51</v>
      </c>
      <c r="C2575" t="str">
        <f t="shared" si="80"/>
        <v>"https://www.zeldadungeon.net/maps/totk/tiles/sky/6/55_39.jpg",</v>
      </c>
      <c r="H2575" t="str">
        <f t="shared" si="81"/>
        <v>55_39</v>
      </c>
    </row>
    <row r="2576" spans="1:8" x14ac:dyDescent="0.2">
      <c r="A2576" s="9" t="s">
        <v>51</v>
      </c>
      <c r="C2576" t="str">
        <f t="shared" si="80"/>
        <v>"https://www.zeldadungeon.net/maps/totk/tiles/sky/6/55_40.jpg",</v>
      </c>
      <c r="H2576" t="str">
        <f t="shared" si="81"/>
        <v>55_40</v>
      </c>
    </row>
    <row r="2577" spans="1:8" x14ac:dyDescent="0.2">
      <c r="A2577" s="9" t="s">
        <v>51</v>
      </c>
      <c r="C2577" t="str">
        <f t="shared" si="80"/>
        <v>"https://www.zeldadungeon.net/maps/totk/tiles/sky/6/55_41.jpg",</v>
      </c>
      <c r="H2577" t="str">
        <f t="shared" si="81"/>
        <v>55_41</v>
      </c>
    </row>
    <row r="2578" spans="1:8" x14ac:dyDescent="0.2">
      <c r="A2578" s="9" t="s">
        <v>51</v>
      </c>
      <c r="C2578" t="str">
        <f t="shared" si="80"/>
        <v>"https://www.zeldadungeon.net/maps/totk/tiles/sky/6/55_42.jpg",</v>
      </c>
      <c r="H2578" t="str">
        <f t="shared" si="81"/>
        <v>55_42</v>
      </c>
    </row>
    <row r="2579" spans="1:8" x14ac:dyDescent="0.2">
      <c r="A2579" s="9" t="s">
        <v>51</v>
      </c>
      <c r="C2579" t="str">
        <f t="shared" si="80"/>
        <v>"https://www.zeldadungeon.net/maps/totk/tiles/sky/6/55_43.jpg",</v>
      </c>
      <c r="H2579" t="str">
        <f t="shared" si="81"/>
        <v>55_43</v>
      </c>
    </row>
    <row r="2580" spans="1:8" x14ac:dyDescent="0.2">
      <c r="A2580" s="9" t="s">
        <v>51</v>
      </c>
      <c r="C2580" t="str">
        <f t="shared" si="80"/>
        <v>"https://www.zeldadungeon.net/maps/totk/tiles/sky/6/55_44.jpg",</v>
      </c>
      <c r="H2580" t="str">
        <f t="shared" si="81"/>
        <v>55_44</v>
      </c>
    </row>
    <row r="2581" spans="1:8" x14ac:dyDescent="0.2">
      <c r="A2581" s="9" t="s">
        <v>51</v>
      </c>
      <c r="C2581" t="str">
        <f t="shared" si="80"/>
        <v>"https://www.zeldadungeon.net/maps/totk/tiles/sky/6/55_45.jpg",</v>
      </c>
      <c r="H2581" t="str">
        <f t="shared" si="81"/>
        <v>55_45</v>
      </c>
    </row>
    <row r="2582" spans="1:8" x14ac:dyDescent="0.2">
      <c r="A2582" s="9" t="s">
        <v>51</v>
      </c>
      <c r="C2582" t="str">
        <f t="shared" si="80"/>
        <v>"https://www.zeldadungeon.net/maps/totk/tiles/sky/6/55_46.jpg",</v>
      </c>
      <c r="H2582" t="str">
        <f t="shared" si="81"/>
        <v>55_46</v>
      </c>
    </row>
    <row r="2583" spans="1:8" x14ac:dyDescent="0.2">
      <c r="A2583" s="9" t="s">
        <v>51</v>
      </c>
      <c r="C2583" t="str">
        <f t="shared" si="80"/>
        <v>"https://www.zeldadungeon.net/maps/totk/tiles/sky/6/55_47.jpg",</v>
      </c>
      <c r="H2583" t="str">
        <f t="shared" si="81"/>
        <v>55_47</v>
      </c>
    </row>
    <row r="2584" spans="1:8" x14ac:dyDescent="0.2">
      <c r="A2584" s="9" t="s">
        <v>51</v>
      </c>
      <c r="C2584" t="str">
        <f t="shared" si="80"/>
        <v>"https://www.zeldadungeon.net/maps/totk/tiles/sky/6/55_48.jpg",</v>
      </c>
      <c r="H2584" t="str">
        <f t="shared" si="81"/>
        <v>55_48</v>
      </c>
    </row>
    <row r="2585" spans="1:8" x14ac:dyDescent="0.2">
      <c r="A2585" s="9" t="s">
        <v>51</v>
      </c>
      <c r="C2585" t="str">
        <f t="shared" si="80"/>
        <v>"https://www.zeldadungeon.net/maps/totk/tiles/sky/6/55_49.jpg",</v>
      </c>
      <c r="H2585" t="str">
        <f t="shared" si="81"/>
        <v>55_49</v>
      </c>
    </row>
    <row r="2586" spans="1:8" x14ac:dyDescent="0.2">
      <c r="A2586" s="9" t="s">
        <v>51</v>
      </c>
      <c r="C2586" t="str">
        <f t="shared" si="80"/>
        <v>"https://www.zeldadungeon.net/maps/totk/tiles/sky/6/55_50.jpg",</v>
      </c>
      <c r="H2586" t="str">
        <f t="shared" si="81"/>
        <v>55_50</v>
      </c>
    </row>
    <row r="2587" spans="1:8" x14ac:dyDescent="0.2">
      <c r="A2587" s="9" t="s">
        <v>51</v>
      </c>
      <c r="C2587" t="str">
        <f t="shared" si="80"/>
        <v>"https://www.zeldadungeon.net/maps/totk/tiles/sky/6/55_51.jpg",</v>
      </c>
      <c r="H2587" t="str">
        <f t="shared" si="81"/>
        <v>55_51</v>
      </c>
    </row>
    <row r="2588" spans="1:8" x14ac:dyDescent="0.2">
      <c r="A2588" s="9" t="s">
        <v>51</v>
      </c>
      <c r="C2588" t="str">
        <f t="shared" si="80"/>
        <v>"https://www.zeldadungeon.net/maps/totk/tiles/sky/6/55_52.jpg",</v>
      </c>
      <c r="H2588" t="str">
        <f t="shared" si="81"/>
        <v>55_52</v>
      </c>
    </row>
    <row r="2589" spans="1:8" x14ac:dyDescent="0.2">
      <c r="A2589" s="9" t="s">
        <v>51</v>
      </c>
      <c r="C2589" t="str">
        <f t="shared" si="80"/>
        <v>"https://www.zeldadungeon.net/maps/totk/tiles/sky/6/55_53.jpg",</v>
      </c>
      <c r="H2589" t="str">
        <f t="shared" si="81"/>
        <v>55_53</v>
      </c>
    </row>
    <row r="2590" spans="1:8" x14ac:dyDescent="0.2">
      <c r="A2590" s="9" t="s">
        <v>51</v>
      </c>
      <c r="C2590" t="str">
        <f t="shared" si="80"/>
        <v>"https://www.zeldadungeon.net/maps/totk/tiles/sky/6/55_54.jpg",</v>
      </c>
      <c r="H2590" t="str">
        <f t="shared" si="81"/>
        <v>55_54</v>
      </c>
    </row>
    <row r="2591" spans="1:8" x14ac:dyDescent="0.2">
      <c r="A2591" s="9" t="s">
        <v>51</v>
      </c>
      <c r="C2591" t="str">
        <f t="shared" si="80"/>
        <v>"https://www.zeldadungeon.net/maps/totk/tiles/sky/6/55_55.jpg",</v>
      </c>
      <c r="H2591" t="str">
        <f t="shared" si="81"/>
        <v>55_55</v>
      </c>
    </row>
    <row r="2592" spans="1:8" x14ac:dyDescent="0.2">
      <c r="A2592" s="9" t="s">
        <v>51</v>
      </c>
      <c r="C2592" t="str">
        <f t="shared" si="80"/>
        <v>"https://www.zeldadungeon.net/maps/totk/tiles/sky/6/56_8.jpg",</v>
      </c>
      <c r="H2592" t="str">
        <f t="shared" si="81"/>
        <v>56_8</v>
      </c>
    </row>
    <row r="2593" spans="1:8" x14ac:dyDescent="0.2">
      <c r="A2593" s="9" t="s">
        <v>51</v>
      </c>
      <c r="C2593" t="str">
        <f t="shared" si="80"/>
        <v>"https://www.zeldadungeon.net/maps/totk/tiles/sky/6/56_9.jpg",</v>
      </c>
      <c r="H2593" t="str">
        <f t="shared" si="81"/>
        <v>56_9</v>
      </c>
    </row>
    <row r="2594" spans="1:8" x14ac:dyDescent="0.2">
      <c r="A2594" s="9" t="s">
        <v>51</v>
      </c>
      <c r="C2594" t="str">
        <f t="shared" si="80"/>
        <v>"https://www.zeldadungeon.net/maps/totk/tiles/sky/6/56_10.jpg",</v>
      </c>
      <c r="H2594" t="str">
        <f t="shared" si="81"/>
        <v>56_10</v>
      </c>
    </row>
    <row r="2595" spans="1:8" x14ac:dyDescent="0.2">
      <c r="A2595" s="9" t="s">
        <v>51</v>
      </c>
      <c r="C2595" t="str">
        <f t="shared" si="80"/>
        <v>"https://www.zeldadungeon.net/maps/totk/tiles/sky/6/56_11.jpg",</v>
      </c>
      <c r="H2595" t="str">
        <f t="shared" si="81"/>
        <v>56_11</v>
      </c>
    </row>
    <row r="2596" spans="1:8" x14ac:dyDescent="0.2">
      <c r="A2596" s="9" t="s">
        <v>51</v>
      </c>
      <c r="C2596" t="str">
        <f t="shared" si="80"/>
        <v>"https://www.zeldadungeon.net/maps/totk/tiles/sky/6/56_12.jpg",</v>
      </c>
      <c r="H2596" t="str">
        <f t="shared" si="81"/>
        <v>56_12</v>
      </c>
    </row>
    <row r="2597" spans="1:8" x14ac:dyDescent="0.2">
      <c r="A2597" s="9" t="s">
        <v>51</v>
      </c>
      <c r="C2597" t="str">
        <f t="shared" si="80"/>
        <v>"https://www.zeldadungeon.net/maps/totk/tiles/sky/6/56_13.jpg",</v>
      </c>
      <c r="H2597" t="str">
        <f t="shared" si="81"/>
        <v>56_13</v>
      </c>
    </row>
    <row r="2598" spans="1:8" x14ac:dyDescent="0.2">
      <c r="A2598" s="9" t="s">
        <v>51</v>
      </c>
      <c r="C2598" t="str">
        <f t="shared" si="80"/>
        <v>"https://www.zeldadungeon.net/maps/totk/tiles/sky/6/56_14.jpg",</v>
      </c>
      <c r="H2598" t="str">
        <f t="shared" si="81"/>
        <v>56_14</v>
      </c>
    </row>
    <row r="2599" spans="1:8" x14ac:dyDescent="0.2">
      <c r="A2599" s="9" t="s">
        <v>51</v>
      </c>
      <c r="C2599" t="str">
        <f t="shared" si="80"/>
        <v>"https://www.zeldadungeon.net/maps/totk/tiles/sky/6/56_15.jpg",</v>
      </c>
      <c r="H2599" t="str">
        <f t="shared" si="81"/>
        <v>56_15</v>
      </c>
    </row>
    <row r="2600" spans="1:8" x14ac:dyDescent="0.2">
      <c r="A2600" s="9" t="s">
        <v>51</v>
      </c>
      <c r="C2600" t="str">
        <f t="shared" si="80"/>
        <v>"https://www.zeldadungeon.net/maps/totk/tiles/sky/6/56_16.jpg",</v>
      </c>
      <c r="H2600" t="str">
        <f t="shared" si="81"/>
        <v>56_16</v>
      </c>
    </row>
    <row r="2601" spans="1:8" x14ac:dyDescent="0.2">
      <c r="A2601" s="9" t="s">
        <v>51</v>
      </c>
      <c r="C2601" t="str">
        <f t="shared" si="80"/>
        <v>"https://www.zeldadungeon.net/maps/totk/tiles/sky/6/56_17.jpg",</v>
      </c>
      <c r="H2601" t="str">
        <f t="shared" si="81"/>
        <v>56_17</v>
      </c>
    </row>
    <row r="2602" spans="1:8" x14ac:dyDescent="0.2">
      <c r="A2602" s="9" t="s">
        <v>51</v>
      </c>
      <c r="C2602" t="str">
        <f t="shared" si="80"/>
        <v>"https://www.zeldadungeon.net/maps/totk/tiles/sky/6/56_18.jpg",</v>
      </c>
      <c r="H2602" t="str">
        <f t="shared" si="81"/>
        <v>56_18</v>
      </c>
    </row>
    <row r="2603" spans="1:8" x14ac:dyDescent="0.2">
      <c r="A2603" s="9" t="s">
        <v>51</v>
      </c>
      <c r="C2603" t="str">
        <f t="shared" si="80"/>
        <v>"https://www.zeldadungeon.net/maps/totk/tiles/sky/6/56_19.jpg",</v>
      </c>
      <c r="H2603" t="str">
        <f t="shared" si="81"/>
        <v>56_19</v>
      </c>
    </row>
    <row r="2604" spans="1:8" x14ac:dyDescent="0.2">
      <c r="A2604" s="9" t="s">
        <v>51</v>
      </c>
      <c r="C2604" t="str">
        <f t="shared" si="80"/>
        <v>"https://www.zeldadungeon.net/maps/totk/tiles/sky/6/56_20.jpg",</v>
      </c>
      <c r="H2604" t="str">
        <f t="shared" si="81"/>
        <v>56_20</v>
      </c>
    </row>
    <row r="2605" spans="1:8" x14ac:dyDescent="0.2">
      <c r="A2605" s="9" t="s">
        <v>51</v>
      </c>
      <c r="C2605" t="str">
        <f t="shared" si="80"/>
        <v>"https://www.zeldadungeon.net/maps/totk/tiles/sky/6/56_21.jpg",</v>
      </c>
      <c r="H2605" t="str">
        <f t="shared" si="81"/>
        <v>56_21</v>
      </c>
    </row>
    <row r="2606" spans="1:8" x14ac:dyDescent="0.2">
      <c r="A2606" s="9" t="s">
        <v>51</v>
      </c>
      <c r="C2606" t="str">
        <f t="shared" si="80"/>
        <v>"https://www.zeldadungeon.net/maps/totk/tiles/sky/6/56_22.jpg",</v>
      </c>
      <c r="H2606" t="str">
        <f t="shared" si="81"/>
        <v>56_22</v>
      </c>
    </row>
    <row r="2607" spans="1:8" x14ac:dyDescent="0.2">
      <c r="A2607" s="9" t="s">
        <v>51</v>
      </c>
      <c r="C2607" t="str">
        <f t="shared" si="80"/>
        <v>"https://www.zeldadungeon.net/maps/totk/tiles/sky/6/56_23.jpg",</v>
      </c>
      <c r="H2607" t="str">
        <f t="shared" si="81"/>
        <v>56_23</v>
      </c>
    </row>
    <row r="2608" spans="1:8" x14ac:dyDescent="0.2">
      <c r="A2608" s="9" t="s">
        <v>51</v>
      </c>
      <c r="C2608" t="str">
        <f t="shared" si="80"/>
        <v>"https://www.zeldadungeon.net/maps/totk/tiles/sky/6/56_24.jpg",</v>
      </c>
      <c r="H2608" t="str">
        <f t="shared" si="81"/>
        <v>56_24</v>
      </c>
    </row>
    <row r="2609" spans="1:8" x14ac:dyDescent="0.2">
      <c r="A2609" s="9" t="s">
        <v>51</v>
      </c>
      <c r="C2609" t="str">
        <f t="shared" si="80"/>
        <v>"https://www.zeldadungeon.net/maps/totk/tiles/sky/6/56_25.jpg",</v>
      </c>
      <c r="H2609" t="str">
        <f t="shared" si="81"/>
        <v>56_25</v>
      </c>
    </row>
    <row r="2610" spans="1:8" x14ac:dyDescent="0.2">
      <c r="A2610" s="9" t="s">
        <v>51</v>
      </c>
      <c r="C2610" t="str">
        <f t="shared" si="80"/>
        <v>"https://www.zeldadungeon.net/maps/totk/tiles/sky/6/56_26.jpg",</v>
      </c>
      <c r="H2610" t="str">
        <f t="shared" si="81"/>
        <v>56_26</v>
      </c>
    </row>
    <row r="2611" spans="1:8" x14ac:dyDescent="0.2">
      <c r="A2611" s="9" t="s">
        <v>51</v>
      </c>
      <c r="C2611" t="str">
        <f t="shared" si="80"/>
        <v>"https://www.zeldadungeon.net/maps/totk/tiles/sky/6/56_27.jpg",</v>
      </c>
      <c r="H2611" t="str">
        <f t="shared" si="81"/>
        <v>56_27</v>
      </c>
    </row>
    <row r="2612" spans="1:8" x14ac:dyDescent="0.2">
      <c r="A2612" s="9" t="s">
        <v>51</v>
      </c>
      <c r="C2612" t="str">
        <f t="shared" si="80"/>
        <v>"https://www.zeldadungeon.net/maps/totk/tiles/sky/6/56_28.jpg",</v>
      </c>
      <c r="H2612" t="str">
        <f t="shared" si="81"/>
        <v>56_28</v>
      </c>
    </row>
    <row r="2613" spans="1:8" x14ac:dyDescent="0.2">
      <c r="A2613" s="9" t="s">
        <v>51</v>
      </c>
      <c r="C2613" t="str">
        <f t="shared" si="80"/>
        <v>"https://www.zeldadungeon.net/maps/totk/tiles/sky/6/56_29.jpg",</v>
      </c>
      <c r="H2613" t="str">
        <f t="shared" si="81"/>
        <v>56_29</v>
      </c>
    </row>
    <row r="2614" spans="1:8" x14ac:dyDescent="0.2">
      <c r="A2614" s="9" t="s">
        <v>51</v>
      </c>
      <c r="C2614" t="str">
        <f t="shared" si="80"/>
        <v>"https://www.zeldadungeon.net/maps/totk/tiles/sky/6/56_30.jpg",</v>
      </c>
      <c r="H2614" t="str">
        <f t="shared" si="81"/>
        <v>56_30</v>
      </c>
    </row>
    <row r="2615" spans="1:8" x14ac:dyDescent="0.2">
      <c r="A2615" s="9" t="s">
        <v>51</v>
      </c>
      <c r="C2615" t="str">
        <f t="shared" si="80"/>
        <v>"https://www.zeldadungeon.net/maps/totk/tiles/sky/6/56_31.jpg",</v>
      </c>
      <c r="H2615" t="str">
        <f t="shared" si="81"/>
        <v>56_31</v>
      </c>
    </row>
    <row r="2616" spans="1:8" x14ac:dyDescent="0.2">
      <c r="A2616" s="9" t="s">
        <v>51</v>
      </c>
      <c r="C2616" t="str">
        <f t="shared" si="80"/>
        <v>"https://www.zeldadungeon.net/maps/totk/tiles/sky/6/56_32.jpg",</v>
      </c>
      <c r="H2616" t="str">
        <f t="shared" si="81"/>
        <v>56_32</v>
      </c>
    </row>
    <row r="2617" spans="1:8" x14ac:dyDescent="0.2">
      <c r="A2617" s="9" t="s">
        <v>51</v>
      </c>
      <c r="C2617" t="str">
        <f t="shared" si="80"/>
        <v>"https://www.zeldadungeon.net/maps/totk/tiles/sky/6/56_33.jpg",</v>
      </c>
      <c r="H2617" t="str">
        <f t="shared" si="81"/>
        <v>56_33</v>
      </c>
    </row>
    <row r="2618" spans="1:8" x14ac:dyDescent="0.2">
      <c r="A2618" s="9" t="s">
        <v>51</v>
      </c>
      <c r="C2618" t="str">
        <f t="shared" si="80"/>
        <v>"https://www.zeldadungeon.net/maps/totk/tiles/sky/6/56_34.jpg",</v>
      </c>
      <c r="H2618" t="str">
        <f t="shared" si="81"/>
        <v>56_34</v>
      </c>
    </row>
    <row r="2619" spans="1:8" x14ac:dyDescent="0.2">
      <c r="A2619" s="9" t="s">
        <v>51</v>
      </c>
      <c r="C2619" t="str">
        <f t="shared" si="80"/>
        <v>"https://www.zeldadungeon.net/maps/totk/tiles/sky/6/56_35.jpg",</v>
      </c>
      <c r="H2619" t="str">
        <f t="shared" si="81"/>
        <v>56_35</v>
      </c>
    </row>
    <row r="2620" spans="1:8" x14ac:dyDescent="0.2">
      <c r="A2620" s="9" t="s">
        <v>51</v>
      </c>
      <c r="C2620" t="str">
        <f t="shared" si="80"/>
        <v>"https://www.zeldadungeon.net/maps/totk/tiles/sky/6/56_36.jpg",</v>
      </c>
      <c r="H2620" t="str">
        <f t="shared" si="81"/>
        <v>56_36</v>
      </c>
    </row>
    <row r="2621" spans="1:8" x14ac:dyDescent="0.2">
      <c r="A2621" s="9" t="s">
        <v>51</v>
      </c>
      <c r="C2621" t="str">
        <f t="shared" si="80"/>
        <v>"https://www.zeldadungeon.net/maps/totk/tiles/sky/6/56_37.jpg",</v>
      </c>
      <c r="H2621" t="str">
        <f t="shared" si="81"/>
        <v>56_37</v>
      </c>
    </row>
    <row r="2622" spans="1:8" x14ac:dyDescent="0.2">
      <c r="A2622" s="9" t="s">
        <v>51</v>
      </c>
      <c r="C2622" t="str">
        <f t="shared" si="80"/>
        <v>"https://www.zeldadungeon.net/maps/totk/tiles/sky/6/56_38.jpg",</v>
      </c>
      <c r="H2622" t="str">
        <f t="shared" si="81"/>
        <v>56_38</v>
      </c>
    </row>
    <row r="2623" spans="1:8" x14ac:dyDescent="0.2">
      <c r="A2623" s="9" t="s">
        <v>51</v>
      </c>
      <c r="C2623" t="str">
        <f t="shared" si="80"/>
        <v>"https://www.zeldadungeon.net/maps/totk/tiles/sky/6/56_39.jpg",</v>
      </c>
      <c r="H2623" t="str">
        <f t="shared" si="81"/>
        <v>56_39</v>
      </c>
    </row>
    <row r="2624" spans="1:8" x14ac:dyDescent="0.2">
      <c r="A2624" s="9" t="s">
        <v>51</v>
      </c>
      <c r="C2624" t="str">
        <f t="shared" si="80"/>
        <v>"https://www.zeldadungeon.net/maps/totk/tiles/sky/6/56_40.jpg",</v>
      </c>
      <c r="H2624" t="str">
        <f t="shared" si="81"/>
        <v>56_40</v>
      </c>
    </row>
    <row r="2625" spans="1:8" x14ac:dyDescent="0.2">
      <c r="A2625" s="9" t="s">
        <v>51</v>
      </c>
      <c r="C2625" t="str">
        <f t="shared" ref="C2625:C2688" si="82">""""&amp;SUBSTITUTE(A2625,"zzz",H2625)&amp;""""&amp;","</f>
        <v>"https://www.zeldadungeon.net/maps/totk/tiles/sky/6/56_41.jpg",</v>
      </c>
      <c r="H2625" t="str">
        <f t="shared" ref="H2625:H2688" si="83">QUOTIENT(ROW(A2625),48)+2&amp;"_"&amp;MOD(ROW(A2625),48)+8</f>
        <v>56_41</v>
      </c>
    </row>
    <row r="2626" spans="1:8" x14ac:dyDescent="0.2">
      <c r="A2626" s="9" t="s">
        <v>51</v>
      </c>
      <c r="C2626" t="str">
        <f t="shared" si="82"/>
        <v>"https://www.zeldadungeon.net/maps/totk/tiles/sky/6/56_42.jpg",</v>
      </c>
      <c r="H2626" t="str">
        <f t="shared" si="83"/>
        <v>56_42</v>
      </c>
    </row>
    <row r="2627" spans="1:8" x14ac:dyDescent="0.2">
      <c r="A2627" s="9" t="s">
        <v>51</v>
      </c>
      <c r="C2627" t="str">
        <f t="shared" si="82"/>
        <v>"https://www.zeldadungeon.net/maps/totk/tiles/sky/6/56_43.jpg",</v>
      </c>
      <c r="H2627" t="str">
        <f t="shared" si="83"/>
        <v>56_43</v>
      </c>
    </row>
    <row r="2628" spans="1:8" x14ac:dyDescent="0.2">
      <c r="A2628" s="9" t="s">
        <v>51</v>
      </c>
      <c r="C2628" t="str">
        <f t="shared" si="82"/>
        <v>"https://www.zeldadungeon.net/maps/totk/tiles/sky/6/56_44.jpg",</v>
      </c>
      <c r="H2628" t="str">
        <f t="shared" si="83"/>
        <v>56_44</v>
      </c>
    </row>
    <row r="2629" spans="1:8" x14ac:dyDescent="0.2">
      <c r="A2629" s="9" t="s">
        <v>51</v>
      </c>
      <c r="C2629" t="str">
        <f t="shared" si="82"/>
        <v>"https://www.zeldadungeon.net/maps/totk/tiles/sky/6/56_45.jpg",</v>
      </c>
      <c r="H2629" t="str">
        <f t="shared" si="83"/>
        <v>56_45</v>
      </c>
    </row>
    <row r="2630" spans="1:8" x14ac:dyDescent="0.2">
      <c r="A2630" s="9" t="s">
        <v>51</v>
      </c>
      <c r="C2630" t="str">
        <f t="shared" si="82"/>
        <v>"https://www.zeldadungeon.net/maps/totk/tiles/sky/6/56_46.jpg",</v>
      </c>
      <c r="H2630" t="str">
        <f t="shared" si="83"/>
        <v>56_46</v>
      </c>
    </row>
    <row r="2631" spans="1:8" x14ac:dyDescent="0.2">
      <c r="A2631" s="9" t="s">
        <v>51</v>
      </c>
      <c r="C2631" t="str">
        <f t="shared" si="82"/>
        <v>"https://www.zeldadungeon.net/maps/totk/tiles/sky/6/56_47.jpg",</v>
      </c>
      <c r="H2631" t="str">
        <f t="shared" si="83"/>
        <v>56_47</v>
      </c>
    </row>
    <row r="2632" spans="1:8" x14ac:dyDescent="0.2">
      <c r="A2632" s="9" t="s">
        <v>51</v>
      </c>
      <c r="C2632" t="str">
        <f t="shared" si="82"/>
        <v>"https://www.zeldadungeon.net/maps/totk/tiles/sky/6/56_48.jpg",</v>
      </c>
      <c r="H2632" t="str">
        <f t="shared" si="83"/>
        <v>56_48</v>
      </c>
    </row>
    <row r="2633" spans="1:8" x14ac:dyDescent="0.2">
      <c r="A2633" s="9" t="s">
        <v>51</v>
      </c>
      <c r="C2633" t="str">
        <f t="shared" si="82"/>
        <v>"https://www.zeldadungeon.net/maps/totk/tiles/sky/6/56_49.jpg",</v>
      </c>
      <c r="H2633" t="str">
        <f t="shared" si="83"/>
        <v>56_49</v>
      </c>
    </row>
    <row r="2634" spans="1:8" x14ac:dyDescent="0.2">
      <c r="A2634" s="9" t="s">
        <v>51</v>
      </c>
      <c r="C2634" t="str">
        <f t="shared" si="82"/>
        <v>"https://www.zeldadungeon.net/maps/totk/tiles/sky/6/56_50.jpg",</v>
      </c>
      <c r="H2634" t="str">
        <f t="shared" si="83"/>
        <v>56_50</v>
      </c>
    </row>
    <row r="2635" spans="1:8" x14ac:dyDescent="0.2">
      <c r="A2635" s="9" t="s">
        <v>51</v>
      </c>
      <c r="C2635" t="str">
        <f t="shared" si="82"/>
        <v>"https://www.zeldadungeon.net/maps/totk/tiles/sky/6/56_51.jpg",</v>
      </c>
      <c r="H2635" t="str">
        <f t="shared" si="83"/>
        <v>56_51</v>
      </c>
    </row>
    <row r="2636" spans="1:8" x14ac:dyDescent="0.2">
      <c r="A2636" s="9" t="s">
        <v>51</v>
      </c>
      <c r="C2636" t="str">
        <f t="shared" si="82"/>
        <v>"https://www.zeldadungeon.net/maps/totk/tiles/sky/6/56_52.jpg",</v>
      </c>
      <c r="H2636" t="str">
        <f t="shared" si="83"/>
        <v>56_52</v>
      </c>
    </row>
    <row r="2637" spans="1:8" x14ac:dyDescent="0.2">
      <c r="A2637" s="9" t="s">
        <v>51</v>
      </c>
      <c r="C2637" t="str">
        <f t="shared" si="82"/>
        <v>"https://www.zeldadungeon.net/maps/totk/tiles/sky/6/56_53.jpg",</v>
      </c>
      <c r="H2637" t="str">
        <f t="shared" si="83"/>
        <v>56_53</v>
      </c>
    </row>
    <row r="2638" spans="1:8" x14ac:dyDescent="0.2">
      <c r="A2638" s="9" t="s">
        <v>51</v>
      </c>
      <c r="C2638" t="str">
        <f t="shared" si="82"/>
        <v>"https://www.zeldadungeon.net/maps/totk/tiles/sky/6/56_54.jpg",</v>
      </c>
      <c r="H2638" t="str">
        <f t="shared" si="83"/>
        <v>56_54</v>
      </c>
    </row>
    <row r="2639" spans="1:8" x14ac:dyDescent="0.2">
      <c r="A2639" s="9" t="s">
        <v>51</v>
      </c>
      <c r="C2639" t="str">
        <f t="shared" si="82"/>
        <v>"https://www.zeldadungeon.net/maps/totk/tiles/sky/6/56_55.jpg",</v>
      </c>
      <c r="H2639" t="str">
        <f t="shared" si="83"/>
        <v>56_55</v>
      </c>
    </row>
    <row r="2640" spans="1:8" x14ac:dyDescent="0.2">
      <c r="A2640" s="9" t="s">
        <v>51</v>
      </c>
      <c r="C2640" t="str">
        <f t="shared" si="82"/>
        <v>"https://www.zeldadungeon.net/maps/totk/tiles/sky/6/57_8.jpg",</v>
      </c>
      <c r="H2640" t="str">
        <f t="shared" si="83"/>
        <v>57_8</v>
      </c>
    </row>
    <row r="2641" spans="1:8" x14ac:dyDescent="0.2">
      <c r="A2641" s="9" t="s">
        <v>51</v>
      </c>
      <c r="C2641" t="str">
        <f t="shared" si="82"/>
        <v>"https://www.zeldadungeon.net/maps/totk/tiles/sky/6/57_9.jpg",</v>
      </c>
      <c r="H2641" t="str">
        <f t="shared" si="83"/>
        <v>57_9</v>
      </c>
    </row>
    <row r="2642" spans="1:8" x14ac:dyDescent="0.2">
      <c r="A2642" s="9" t="s">
        <v>51</v>
      </c>
      <c r="C2642" t="str">
        <f t="shared" si="82"/>
        <v>"https://www.zeldadungeon.net/maps/totk/tiles/sky/6/57_10.jpg",</v>
      </c>
      <c r="H2642" t="str">
        <f t="shared" si="83"/>
        <v>57_10</v>
      </c>
    </row>
    <row r="2643" spans="1:8" x14ac:dyDescent="0.2">
      <c r="A2643" s="9" t="s">
        <v>51</v>
      </c>
      <c r="C2643" t="str">
        <f t="shared" si="82"/>
        <v>"https://www.zeldadungeon.net/maps/totk/tiles/sky/6/57_11.jpg",</v>
      </c>
      <c r="H2643" t="str">
        <f t="shared" si="83"/>
        <v>57_11</v>
      </c>
    </row>
    <row r="2644" spans="1:8" x14ac:dyDescent="0.2">
      <c r="A2644" s="9" t="s">
        <v>51</v>
      </c>
      <c r="C2644" t="str">
        <f t="shared" si="82"/>
        <v>"https://www.zeldadungeon.net/maps/totk/tiles/sky/6/57_12.jpg",</v>
      </c>
      <c r="H2644" t="str">
        <f t="shared" si="83"/>
        <v>57_12</v>
      </c>
    </row>
    <row r="2645" spans="1:8" x14ac:dyDescent="0.2">
      <c r="A2645" s="9" t="s">
        <v>51</v>
      </c>
      <c r="C2645" t="str">
        <f t="shared" si="82"/>
        <v>"https://www.zeldadungeon.net/maps/totk/tiles/sky/6/57_13.jpg",</v>
      </c>
      <c r="H2645" t="str">
        <f t="shared" si="83"/>
        <v>57_13</v>
      </c>
    </row>
    <row r="2646" spans="1:8" x14ac:dyDescent="0.2">
      <c r="A2646" s="9" t="s">
        <v>51</v>
      </c>
      <c r="C2646" t="str">
        <f t="shared" si="82"/>
        <v>"https://www.zeldadungeon.net/maps/totk/tiles/sky/6/57_14.jpg",</v>
      </c>
      <c r="H2646" t="str">
        <f t="shared" si="83"/>
        <v>57_14</v>
      </c>
    </row>
    <row r="2647" spans="1:8" x14ac:dyDescent="0.2">
      <c r="A2647" s="9" t="s">
        <v>51</v>
      </c>
      <c r="C2647" t="str">
        <f t="shared" si="82"/>
        <v>"https://www.zeldadungeon.net/maps/totk/tiles/sky/6/57_15.jpg",</v>
      </c>
      <c r="H2647" t="str">
        <f t="shared" si="83"/>
        <v>57_15</v>
      </c>
    </row>
    <row r="2648" spans="1:8" x14ac:dyDescent="0.2">
      <c r="A2648" s="9" t="s">
        <v>51</v>
      </c>
      <c r="C2648" t="str">
        <f t="shared" si="82"/>
        <v>"https://www.zeldadungeon.net/maps/totk/tiles/sky/6/57_16.jpg",</v>
      </c>
      <c r="H2648" t="str">
        <f t="shared" si="83"/>
        <v>57_16</v>
      </c>
    </row>
    <row r="2649" spans="1:8" x14ac:dyDescent="0.2">
      <c r="A2649" s="9" t="s">
        <v>51</v>
      </c>
      <c r="C2649" t="str">
        <f t="shared" si="82"/>
        <v>"https://www.zeldadungeon.net/maps/totk/tiles/sky/6/57_17.jpg",</v>
      </c>
      <c r="H2649" t="str">
        <f t="shared" si="83"/>
        <v>57_17</v>
      </c>
    </row>
    <row r="2650" spans="1:8" x14ac:dyDescent="0.2">
      <c r="A2650" s="9" t="s">
        <v>51</v>
      </c>
      <c r="C2650" t="str">
        <f t="shared" si="82"/>
        <v>"https://www.zeldadungeon.net/maps/totk/tiles/sky/6/57_18.jpg",</v>
      </c>
      <c r="H2650" t="str">
        <f t="shared" si="83"/>
        <v>57_18</v>
      </c>
    </row>
    <row r="2651" spans="1:8" x14ac:dyDescent="0.2">
      <c r="A2651" s="9" t="s">
        <v>51</v>
      </c>
      <c r="C2651" t="str">
        <f t="shared" si="82"/>
        <v>"https://www.zeldadungeon.net/maps/totk/tiles/sky/6/57_19.jpg",</v>
      </c>
      <c r="H2651" t="str">
        <f t="shared" si="83"/>
        <v>57_19</v>
      </c>
    </row>
    <row r="2652" spans="1:8" x14ac:dyDescent="0.2">
      <c r="A2652" s="9" t="s">
        <v>51</v>
      </c>
      <c r="C2652" t="str">
        <f t="shared" si="82"/>
        <v>"https://www.zeldadungeon.net/maps/totk/tiles/sky/6/57_20.jpg",</v>
      </c>
      <c r="H2652" t="str">
        <f t="shared" si="83"/>
        <v>57_20</v>
      </c>
    </row>
    <row r="2653" spans="1:8" x14ac:dyDescent="0.2">
      <c r="A2653" s="9" t="s">
        <v>51</v>
      </c>
      <c r="C2653" t="str">
        <f t="shared" si="82"/>
        <v>"https://www.zeldadungeon.net/maps/totk/tiles/sky/6/57_21.jpg",</v>
      </c>
      <c r="H2653" t="str">
        <f t="shared" si="83"/>
        <v>57_21</v>
      </c>
    </row>
    <row r="2654" spans="1:8" x14ac:dyDescent="0.2">
      <c r="A2654" s="9" t="s">
        <v>51</v>
      </c>
      <c r="C2654" t="str">
        <f t="shared" si="82"/>
        <v>"https://www.zeldadungeon.net/maps/totk/tiles/sky/6/57_22.jpg",</v>
      </c>
      <c r="H2654" t="str">
        <f t="shared" si="83"/>
        <v>57_22</v>
      </c>
    </row>
    <row r="2655" spans="1:8" x14ac:dyDescent="0.2">
      <c r="A2655" s="9" t="s">
        <v>51</v>
      </c>
      <c r="C2655" t="str">
        <f t="shared" si="82"/>
        <v>"https://www.zeldadungeon.net/maps/totk/tiles/sky/6/57_23.jpg",</v>
      </c>
      <c r="H2655" t="str">
        <f t="shared" si="83"/>
        <v>57_23</v>
      </c>
    </row>
    <row r="2656" spans="1:8" x14ac:dyDescent="0.2">
      <c r="A2656" s="9" t="s">
        <v>51</v>
      </c>
      <c r="C2656" t="str">
        <f t="shared" si="82"/>
        <v>"https://www.zeldadungeon.net/maps/totk/tiles/sky/6/57_24.jpg",</v>
      </c>
      <c r="H2656" t="str">
        <f t="shared" si="83"/>
        <v>57_24</v>
      </c>
    </row>
    <row r="2657" spans="1:8" x14ac:dyDescent="0.2">
      <c r="A2657" s="9" t="s">
        <v>51</v>
      </c>
      <c r="C2657" t="str">
        <f t="shared" si="82"/>
        <v>"https://www.zeldadungeon.net/maps/totk/tiles/sky/6/57_25.jpg",</v>
      </c>
      <c r="H2657" t="str">
        <f t="shared" si="83"/>
        <v>57_25</v>
      </c>
    </row>
    <row r="2658" spans="1:8" x14ac:dyDescent="0.2">
      <c r="A2658" s="9" t="s">
        <v>51</v>
      </c>
      <c r="C2658" t="str">
        <f t="shared" si="82"/>
        <v>"https://www.zeldadungeon.net/maps/totk/tiles/sky/6/57_26.jpg",</v>
      </c>
      <c r="H2658" t="str">
        <f t="shared" si="83"/>
        <v>57_26</v>
      </c>
    </row>
    <row r="2659" spans="1:8" x14ac:dyDescent="0.2">
      <c r="A2659" s="9" t="s">
        <v>51</v>
      </c>
      <c r="C2659" t="str">
        <f t="shared" si="82"/>
        <v>"https://www.zeldadungeon.net/maps/totk/tiles/sky/6/57_27.jpg",</v>
      </c>
      <c r="H2659" t="str">
        <f t="shared" si="83"/>
        <v>57_27</v>
      </c>
    </row>
    <row r="2660" spans="1:8" x14ac:dyDescent="0.2">
      <c r="A2660" s="9" t="s">
        <v>51</v>
      </c>
      <c r="C2660" t="str">
        <f t="shared" si="82"/>
        <v>"https://www.zeldadungeon.net/maps/totk/tiles/sky/6/57_28.jpg",</v>
      </c>
      <c r="H2660" t="str">
        <f t="shared" si="83"/>
        <v>57_28</v>
      </c>
    </row>
    <row r="2661" spans="1:8" x14ac:dyDescent="0.2">
      <c r="A2661" s="9" t="s">
        <v>51</v>
      </c>
      <c r="C2661" t="str">
        <f t="shared" si="82"/>
        <v>"https://www.zeldadungeon.net/maps/totk/tiles/sky/6/57_29.jpg",</v>
      </c>
      <c r="H2661" t="str">
        <f t="shared" si="83"/>
        <v>57_29</v>
      </c>
    </row>
    <row r="2662" spans="1:8" x14ac:dyDescent="0.2">
      <c r="A2662" s="9" t="s">
        <v>51</v>
      </c>
      <c r="C2662" t="str">
        <f t="shared" si="82"/>
        <v>"https://www.zeldadungeon.net/maps/totk/tiles/sky/6/57_30.jpg",</v>
      </c>
      <c r="H2662" t="str">
        <f t="shared" si="83"/>
        <v>57_30</v>
      </c>
    </row>
    <row r="2663" spans="1:8" x14ac:dyDescent="0.2">
      <c r="A2663" s="9" t="s">
        <v>51</v>
      </c>
      <c r="C2663" t="str">
        <f t="shared" si="82"/>
        <v>"https://www.zeldadungeon.net/maps/totk/tiles/sky/6/57_31.jpg",</v>
      </c>
      <c r="H2663" t="str">
        <f t="shared" si="83"/>
        <v>57_31</v>
      </c>
    </row>
    <row r="2664" spans="1:8" x14ac:dyDescent="0.2">
      <c r="A2664" s="9" t="s">
        <v>51</v>
      </c>
      <c r="C2664" t="str">
        <f t="shared" si="82"/>
        <v>"https://www.zeldadungeon.net/maps/totk/tiles/sky/6/57_32.jpg",</v>
      </c>
      <c r="H2664" t="str">
        <f t="shared" si="83"/>
        <v>57_32</v>
      </c>
    </row>
    <row r="2665" spans="1:8" x14ac:dyDescent="0.2">
      <c r="A2665" s="9" t="s">
        <v>51</v>
      </c>
      <c r="C2665" t="str">
        <f t="shared" si="82"/>
        <v>"https://www.zeldadungeon.net/maps/totk/tiles/sky/6/57_33.jpg",</v>
      </c>
      <c r="H2665" t="str">
        <f t="shared" si="83"/>
        <v>57_33</v>
      </c>
    </row>
    <row r="2666" spans="1:8" x14ac:dyDescent="0.2">
      <c r="A2666" s="9" t="s">
        <v>51</v>
      </c>
      <c r="C2666" t="str">
        <f t="shared" si="82"/>
        <v>"https://www.zeldadungeon.net/maps/totk/tiles/sky/6/57_34.jpg",</v>
      </c>
      <c r="H2666" t="str">
        <f t="shared" si="83"/>
        <v>57_34</v>
      </c>
    </row>
    <row r="2667" spans="1:8" x14ac:dyDescent="0.2">
      <c r="A2667" s="9" t="s">
        <v>51</v>
      </c>
      <c r="C2667" t="str">
        <f t="shared" si="82"/>
        <v>"https://www.zeldadungeon.net/maps/totk/tiles/sky/6/57_35.jpg",</v>
      </c>
      <c r="H2667" t="str">
        <f t="shared" si="83"/>
        <v>57_35</v>
      </c>
    </row>
    <row r="2668" spans="1:8" x14ac:dyDescent="0.2">
      <c r="A2668" s="9" t="s">
        <v>51</v>
      </c>
      <c r="C2668" t="str">
        <f t="shared" si="82"/>
        <v>"https://www.zeldadungeon.net/maps/totk/tiles/sky/6/57_36.jpg",</v>
      </c>
      <c r="H2668" t="str">
        <f t="shared" si="83"/>
        <v>57_36</v>
      </c>
    </row>
    <row r="2669" spans="1:8" x14ac:dyDescent="0.2">
      <c r="A2669" s="9" t="s">
        <v>51</v>
      </c>
      <c r="C2669" t="str">
        <f t="shared" si="82"/>
        <v>"https://www.zeldadungeon.net/maps/totk/tiles/sky/6/57_37.jpg",</v>
      </c>
      <c r="H2669" t="str">
        <f t="shared" si="83"/>
        <v>57_37</v>
      </c>
    </row>
    <row r="2670" spans="1:8" x14ac:dyDescent="0.2">
      <c r="A2670" s="9" t="s">
        <v>51</v>
      </c>
      <c r="C2670" t="str">
        <f t="shared" si="82"/>
        <v>"https://www.zeldadungeon.net/maps/totk/tiles/sky/6/57_38.jpg",</v>
      </c>
      <c r="H2670" t="str">
        <f t="shared" si="83"/>
        <v>57_38</v>
      </c>
    </row>
    <row r="2671" spans="1:8" x14ac:dyDescent="0.2">
      <c r="A2671" s="9" t="s">
        <v>51</v>
      </c>
      <c r="C2671" t="str">
        <f t="shared" si="82"/>
        <v>"https://www.zeldadungeon.net/maps/totk/tiles/sky/6/57_39.jpg",</v>
      </c>
      <c r="H2671" t="str">
        <f t="shared" si="83"/>
        <v>57_39</v>
      </c>
    </row>
    <row r="2672" spans="1:8" x14ac:dyDescent="0.2">
      <c r="A2672" s="9" t="s">
        <v>51</v>
      </c>
      <c r="C2672" t="str">
        <f t="shared" si="82"/>
        <v>"https://www.zeldadungeon.net/maps/totk/tiles/sky/6/57_40.jpg",</v>
      </c>
      <c r="H2672" t="str">
        <f t="shared" si="83"/>
        <v>57_40</v>
      </c>
    </row>
    <row r="2673" spans="1:8" x14ac:dyDescent="0.2">
      <c r="A2673" s="9" t="s">
        <v>51</v>
      </c>
      <c r="C2673" t="str">
        <f t="shared" si="82"/>
        <v>"https://www.zeldadungeon.net/maps/totk/tiles/sky/6/57_41.jpg",</v>
      </c>
      <c r="H2673" t="str">
        <f t="shared" si="83"/>
        <v>57_41</v>
      </c>
    </row>
    <row r="2674" spans="1:8" x14ac:dyDescent="0.2">
      <c r="A2674" s="9" t="s">
        <v>51</v>
      </c>
      <c r="C2674" t="str">
        <f t="shared" si="82"/>
        <v>"https://www.zeldadungeon.net/maps/totk/tiles/sky/6/57_42.jpg",</v>
      </c>
      <c r="H2674" t="str">
        <f t="shared" si="83"/>
        <v>57_42</v>
      </c>
    </row>
    <row r="2675" spans="1:8" x14ac:dyDescent="0.2">
      <c r="A2675" s="9" t="s">
        <v>51</v>
      </c>
      <c r="C2675" t="str">
        <f t="shared" si="82"/>
        <v>"https://www.zeldadungeon.net/maps/totk/tiles/sky/6/57_43.jpg",</v>
      </c>
      <c r="H2675" t="str">
        <f t="shared" si="83"/>
        <v>57_43</v>
      </c>
    </row>
    <row r="2676" spans="1:8" x14ac:dyDescent="0.2">
      <c r="A2676" s="9" t="s">
        <v>51</v>
      </c>
      <c r="C2676" t="str">
        <f t="shared" si="82"/>
        <v>"https://www.zeldadungeon.net/maps/totk/tiles/sky/6/57_44.jpg",</v>
      </c>
      <c r="H2676" t="str">
        <f t="shared" si="83"/>
        <v>57_44</v>
      </c>
    </row>
    <row r="2677" spans="1:8" x14ac:dyDescent="0.2">
      <c r="A2677" s="9" t="s">
        <v>51</v>
      </c>
      <c r="C2677" t="str">
        <f t="shared" si="82"/>
        <v>"https://www.zeldadungeon.net/maps/totk/tiles/sky/6/57_45.jpg",</v>
      </c>
      <c r="H2677" t="str">
        <f t="shared" si="83"/>
        <v>57_45</v>
      </c>
    </row>
    <row r="2678" spans="1:8" x14ac:dyDescent="0.2">
      <c r="A2678" s="9" t="s">
        <v>51</v>
      </c>
      <c r="C2678" t="str">
        <f t="shared" si="82"/>
        <v>"https://www.zeldadungeon.net/maps/totk/tiles/sky/6/57_46.jpg",</v>
      </c>
      <c r="H2678" t="str">
        <f t="shared" si="83"/>
        <v>57_46</v>
      </c>
    </row>
    <row r="2679" spans="1:8" x14ac:dyDescent="0.2">
      <c r="A2679" s="9" t="s">
        <v>51</v>
      </c>
      <c r="C2679" t="str">
        <f t="shared" si="82"/>
        <v>"https://www.zeldadungeon.net/maps/totk/tiles/sky/6/57_47.jpg",</v>
      </c>
      <c r="H2679" t="str">
        <f t="shared" si="83"/>
        <v>57_47</v>
      </c>
    </row>
    <row r="2680" spans="1:8" x14ac:dyDescent="0.2">
      <c r="A2680" s="9" t="s">
        <v>51</v>
      </c>
      <c r="C2680" t="str">
        <f t="shared" si="82"/>
        <v>"https://www.zeldadungeon.net/maps/totk/tiles/sky/6/57_48.jpg",</v>
      </c>
      <c r="H2680" t="str">
        <f t="shared" si="83"/>
        <v>57_48</v>
      </c>
    </row>
    <row r="2681" spans="1:8" x14ac:dyDescent="0.2">
      <c r="A2681" s="9" t="s">
        <v>51</v>
      </c>
      <c r="C2681" t="str">
        <f t="shared" si="82"/>
        <v>"https://www.zeldadungeon.net/maps/totk/tiles/sky/6/57_49.jpg",</v>
      </c>
      <c r="H2681" t="str">
        <f t="shared" si="83"/>
        <v>57_49</v>
      </c>
    </row>
    <row r="2682" spans="1:8" x14ac:dyDescent="0.2">
      <c r="A2682" s="9" t="s">
        <v>51</v>
      </c>
      <c r="C2682" t="str">
        <f t="shared" si="82"/>
        <v>"https://www.zeldadungeon.net/maps/totk/tiles/sky/6/57_50.jpg",</v>
      </c>
      <c r="H2682" t="str">
        <f t="shared" si="83"/>
        <v>57_50</v>
      </c>
    </row>
    <row r="2683" spans="1:8" x14ac:dyDescent="0.2">
      <c r="A2683" s="9" t="s">
        <v>51</v>
      </c>
      <c r="C2683" t="str">
        <f t="shared" si="82"/>
        <v>"https://www.zeldadungeon.net/maps/totk/tiles/sky/6/57_51.jpg",</v>
      </c>
      <c r="H2683" t="str">
        <f t="shared" si="83"/>
        <v>57_51</v>
      </c>
    </row>
    <row r="2684" spans="1:8" x14ac:dyDescent="0.2">
      <c r="A2684" s="9" t="s">
        <v>51</v>
      </c>
      <c r="C2684" t="str">
        <f t="shared" si="82"/>
        <v>"https://www.zeldadungeon.net/maps/totk/tiles/sky/6/57_52.jpg",</v>
      </c>
      <c r="H2684" t="str">
        <f t="shared" si="83"/>
        <v>57_52</v>
      </c>
    </row>
    <row r="2685" spans="1:8" x14ac:dyDescent="0.2">
      <c r="A2685" s="9" t="s">
        <v>51</v>
      </c>
      <c r="C2685" t="str">
        <f t="shared" si="82"/>
        <v>"https://www.zeldadungeon.net/maps/totk/tiles/sky/6/57_53.jpg",</v>
      </c>
      <c r="H2685" t="str">
        <f t="shared" si="83"/>
        <v>57_53</v>
      </c>
    </row>
    <row r="2686" spans="1:8" x14ac:dyDescent="0.2">
      <c r="A2686" s="9" t="s">
        <v>51</v>
      </c>
      <c r="C2686" t="str">
        <f t="shared" si="82"/>
        <v>"https://www.zeldadungeon.net/maps/totk/tiles/sky/6/57_54.jpg",</v>
      </c>
      <c r="H2686" t="str">
        <f t="shared" si="83"/>
        <v>57_54</v>
      </c>
    </row>
    <row r="2687" spans="1:8" x14ac:dyDescent="0.2">
      <c r="A2687" s="9" t="s">
        <v>51</v>
      </c>
      <c r="C2687" t="str">
        <f t="shared" si="82"/>
        <v>"https://www.zeldadungeon.net/maps/totk/tiles/sky/6/57_55.jpg",</v>
      </c>
      <c r="H2687" t="str">
        <f t="shared" si="83"/>
        <v>57_55</v>
      </c>
    </row>
    <row r="2688" spans="1:8" x14ac:dyDescent="0.2">
      <c r="A2688" s="9" t="s">
        <v>51</v>
      </c>
      <c r="C2688" t="str">
        <f t="shared" si="82"/>
        <v>"https://www.zeldadungeon.net/maps/totk/tiles/sky/6/58_8.jpg",</v>
      </c>
      <c r="H2688" t="str">
        <f t="shared" si="83"/>
        <v>58_8</v>
      </c>
    </row>
    <row r="2689" spans="1:8" x14ac:dyDescent="0.2">
      <c r="A2689" s="9" t="s">
        <v>51</v>
      </c>
      <c r="C2689" t="str">
        <f t="shared" ref="C2689:C2752" si="84">""""&amp;SUBSTITUTE(A2689,"zzz",H2689)&amp;""""&amp;","</f>
        <v>"https://www.zeldadungeon.net/maps/totk/tiles/sky/6/58_9.jpg",</v>
      </c>
      <c r="H2689" t="str">
        <f t="shared" ref="H2689:H2752" si="85">QUOTIENT(ROW(A2689),48)+2&amp;"_"&amp;MOD(ROW(A2689),48)+8</f>
        <v>58_9</v>
      </c>
    </row>
    <row r="2690" spans="1:8" x14ac:dyDescent="0.2">
      <c r="A2690" s="9" t="s">
        <v>51</v>
      </c>
      <c r="C2690" t="str">
        <f t="shared" si="84"/>
        <v>"https://www.zeldadungeon.net/maps/totk/tiles/sky/6/58_10.jpg",</v>
      </c>
      <c r="H2690" t="str">
        <f t="shared" si="85"/>
        <v>58_10</v>
      </c>
    </row>
    <row r="2691" spans="1:8" x14ac:dyDescent="0.2">
      <c r="A2691" s="9" t="s">
        <v>51</v>
      </c>
      <c r="C2691" t="str">
        <f t="shared" si="84"/>
        <v>"https://www.zeldadungeon.net/maps/totk/tiles/sky/6/58_11.jpg",</v>
      </c>
      <c r="H2691" t="str">
        <f t="shared" si="85"/>
        <v>58_11</v>
      </c>
    </row>
    <row r="2692" spans="1:8" x14ac:dyDescent="0.2">
      <c r="A2692" s="9" t="s">
        <v>51</v>
      </c>
      <c r="C2692" t="str">
        <f t="shared" si="84"/>
        <v>"https://www.zeldadungeon.net/maps/totk/tiles/sky/6/58_12.jpg",</v>
      </c>
      <c r="H2692" t="str">
        <f t="shared" si="85"/>
        <v>58_12</v>
      </c>
    </row>
    <row r="2693" spans="1:8" x14ac:dyDescent="0.2">
      <c r="A2693" s="9" t="s">
        <v>51</v>
      </c>
      <c r="C2693" t="str">
        <f t="shared" si="84"/>
        <v>"https://www.zeldadungeon.net/maps/totk/tiles/sky/6/58_13.jpg",</v>
      </c>
      <c r="H2693" t="str">
        <f t="shared" si="85"/>
        <v>58_13</v>
      </c>
    </row>
    <row r="2694" spans="1:8" x14ac:dyDescent="0.2">
      <c r="A2694" s="9" t="s">
        <v>51</v>
      </c>
      <c r="C2694" t="str">
        <f t="shared" si="84"/>
        <v>"https://www.zeldadungeon.net/maps/totk/tiles/sky/6/58_14.jpg",</v>
      </c>
      <c r="H2694" t="str">
        <f t="shared" si="85"/>
        <v>58_14</v>
      </c>
    </row>
    <row r="2695" spans="1:8" x14ac:dyDescent="0.2">
      <c r="A2695" s="9" t="s">
        <v>51</v>
      </c>
      <c r="C2695" t="str">
        <f t="shared" si="84"/>
        <v>"https://www.zeldadungeon.net/maps/totk/tiles/sky/6/58_15.jpg",</v>
      </c>
      <c r="H2695" t="str">
        <f t="shared" si="85"/>
        <v>58_15</v>
      </c>
    </row>
    <row r="2696" spans="1:8" x14ac:dyDescent="0.2">
      <c r="A2696" s="9" t="s">
        <v>51</v>
      </c>
      <c r="C2696" t="str">
        <f t="shared" si="84"/>
        <v>"https://www.zeldadungeon.net/maps/totk/tiles/sky/6/58_16.jpg",</v>
      </c>
      <c r="H2696" t="str">
        <f t="shared" si="85"/>
        <v>58_16</v>
      </c>
    </row>
    <row r="2697" spans="1:8" x14ac:dyDescent="0.2">
      <c r="A2697" s="9" t="s">
        <v>51</v>
      </c>
      <c r="C2697" t="str">
        <f t="shared" si="84"/>
        <v>"https://www.zeldadungeon.net/maps/totk/tiles/sky/6/58_17.jpg",</v>
      </c>
      <c r="H2697" t="str">
        <f t="shared" si="85"/>
        <v>58_17</v>
      </c>
    </row>
    <row r="2698" spans="1:8" x14ac:dyDescent="0.2">
      <c r="A2698" s="9" t="s">
        <v>51</v>
      </c>
      <c r="C2698" t="str">
        <f t="shared" si="84"/>
        <v>"https://www.zeldadungeon.net/maps/totk/tiles/sky/6/58_18.jpg",</v>
      </c>
      <c r="H2698" t="str">
        <f t="shared" si="85"/>
        <v>58_18</v>
      </c>
    </row>
    <row r="2699" spans="1:8" x14ac:dyDescent="0.2">
      <c r="A2699" s="9" t="s">
        <v>51</v>
      </c>
      <c r="C2699" t="str">
        <f t="shared" si="84"/>
        <v>"https://www.zeldadungeon.net/maps/totk/tiles/sky/6/58_19.jpg",</v>
      </c>
      <c r="H2699" t="str">
        <f t="shared" si="85"/>
        <v>58_19</v>
      </c>
    </row>
    <row r="2700" spans="1:8" x14ac:dyDescent="0.2">
      <c r="A2700" s="9" t="s">
        <v>51</v>
      </c>
      <c r="C2700" t="str">
        <f t="shared" si="84"/>
        <v>"https://www.zeldadungeon.net/maps/totk/tiles/sky/6/58_20.jpg",</v>
      </c>
      <c r="H2700" t="str">
        <f t="shared" si="85"/>
        <v>58_20</v>
      </c>
    </row>
    <row r="2701" spans="1:8" x14ac:dyDescent="0.2">
      <c r="A2701" s="9" t="s">
        <v>51</v>
      </c>
      <c r="C2701" t="str">
        <f t="shared" si="84"/>
        <v>"https://www.zeldadungeon.net/maps/totk/tiles/sky/6/58_21.jpg",</v>
      </c>
      <c r="H2701" t="str">
        <f t="shared" si="85"/>
        <v>58_21</v>
      </c>
    </row>
    <row r="2702" spans="1:8" x14ac:dyDescent="0.2">
      <c r="A2702" s="9" t="s">
        <v>51</v>
      </c>
      <c r="C2702" t="str">
        <f t="shared" si="84"/>
        <v>"https://www.zeldadungeon.net/maps/totk/tiles/sky/6/58_22.jpg",</v>
      </c>
      <c r="H2702" t="str">
        <f t="shared" si="85"/>
        <v>58_22</v>
      </c>
    </row>
    <row r="2703" spans="1:8" x14ac:dyDescent="0.2">
      <c r="A2703" s="9" t="s">
        <v>51</v>
      </c>
      <c r="C2703" t="str">
        <f t="shared" si="84"/>
        <v>"https://www.zeldadungeon.net/maps/totk/tiles/sky/6/58_23.jpg",</v>
      </c>
      <c r="H2703" t="str">
        <f t="shared" si="85"/>
        <v>58_23</v>
      </c>
    </row>
    <row r="2704" spans="1:8" x14ac:dyDescent="0.2">
      <c r="A2704" s="9" t="s">
        <v>51</v>
      </c>
      <c r="C2704" t="str">
        <f t="shared" si="84"/>
        <v>"https://www.zeldadungeon.net/maps/totk/tiles/sky/6/58_24.jpg",</v>
      </c>
      <c r="H2704" t="str">
        <f t="shared" si="85"/>
        <v>58_24</v>
      </c>
    </row>
    <row r="2705" spans="1:8" x14ac:dyDescent="0.2">
      <c r="A2705" s="9" t="s">
        <v>51</v>
      </c>
      <c r="C2705" t="str">
        <f t="shared" si="84"/>
        <v>"https://www.zeldadungeon.net/maps/totk/tiles/sky/6/58_25.jpg",</v>
      </c>
      <c r="H2705" t="str">
        <f t="shared" si="85"/>
        <v>58_25</v>
      </c>
    </row>
    <row r="2706" spans="1:8" x14ac:dyDescent="0.2">
      <c r="A2706" s="9" t="s">
        <v>51</v>
      </c>
      <c r="C2706" t="str">
        <f t="shared" si="84"/>
        <v>"https://www.zeldadungeon.net/maps/totk/tiles/sky/6/58_26.jpg",</v>
      </c>
      <c r="H2706" t="str">
        <f t="shared" si="85"/>
        <v>58_26</v>
      </c>
    </row>
    <row r="2707" spans="1:8" x14ac:dyDescent="0.2">
      <c r="A2707" s="9" t="s">
        <v>51</v>
      </c>
      <c r="C2707" t="str">
        <f t="shared" si="84"/>
        <v>"https://www.zeldadungeon.net/maps/totk/tiles/sky/6/58_27.jpg",</v>
      </c>
      <c r="H2707" t="str">
        <f t="shared" si="85"/>
        <v>58_27</v>
      </c>
    </row>
    <row r="2708" spans="1:8" x14ac:dyDescent="0.2">
      <c r="A2708" s="9" t="s">
        <v>51</v>
      </c>
      <c r="C2708" t="str">
        <f t="shared" si="84"/>
        <v>"https://www.zeldadungeon.net/maps/totk/tiles/sky/6/58_28.jpg",</v>
      </c>
      <c r="H2708" t="str">
        <f t="shared" si="85"/>
        <v>58_28</v>
      </c>
    </row>
    <row r="2709" spans="1:8" x14ac:dyDescent="0.2">
      <c r="A2709" s="9" t="s">
        <v>51</v>
      </c>
      <c r="C2709" t="str">
        <f t="shared" si="84"/>
        <v>"https://www.zeldadungeon.net/maps/totk/tiles/sky/6/58_29.jpg",</v>
      </c>
      <c r="H2709" t="str">
        <f t="shared" si="85"/>
        <v>58_29</v>
      </c>
    </row>
    <row r="2710" spans="1:8" x14ac:dyDescent="0.2">
      <c r="A2710" s="9" t="s">
        <v>51</v>
      </c>
      <c r="C2710" t="str">
        <f t="shared" si="84"/>
        <v>"https://www.zeldadungeon.net/maps/totk/tiles/sky/6/58_30.jpg",</v>
      </c>
      <c r="H2710" t="str">
        <f t="shared" si="85"/>
        <v>58_30</v>
      </c>
    </row>
    <row r="2711" spans="1:8" x14ac:dyDescent="0.2">
      <c r="A2711" s="9" t="s">
        <v>51</v>
      </c>
      <c r="C2711" t="str">
        <f t="shared" si="84"/>
        <v>"https://www.zeldadungeon.net/maps/totk/tiles/sky/6/58_31.jpg",</v>
      </c>
      <c r="H2711" t="str">
        <f t="shared" si="85"/>
        <v>58_31</v>
      </c>
    </row>
    <row r="2712" spans="1:8" x14ac:dyDescent="0.2">
      <c r="A2712" s="9" t="s">
        <v>51</v>
      </c>
      <c r="C2712" t="str">
        <f t="shared" si="84"/>
        <v>"https://www.zeldadungeon.net/maps/totk/tiles/sky/6/58_32.jpg",</v>
      </c>
      <c r="H2712" t="str">
        <f t="shared" si="85"/>
        <v>58_32</v>
      </c>
    </row>
    <row r="2713" spans="1:8" x14ac:dyDescent="0.2">
      <c r="A2713" s="9" t="s">
        <v>51</v>
      </c>
      <c r="C2713" t="str">
        <f t="shared" si="84"/>
        <v>"https://www.zeldadungeon.net/maps/totk/tiles/sky/6/58_33.jpg",</v>
      </c>
      <c r="H2713" t="str">
        <f t="shared" si="85"/>
        <v>58_33</v>
      </c>
    </row>
    <row r="2714" spans="1:8" x14ac:dyDescent="0.2">
      <c r="A2714" s="9" t="s">
        <v>51</v>
      </c>
      <c r="C2714" t="str">
        <f t="shared" si="84"/>
        <v>"https://www.zeldadungeon.net/maps/totk/tiles/sky/6/58_34.jpg",</v>
      </c>
      <c r="H2714" t="str">
        <f t="shared" si="85"/>
        <v>58_34</v>
      </c>
    </row>
    <row r="2715" spans="1:8" x14ac:dyDescent="0.2">
      <c r="A2715" s="9" t="s">
        <v>51</v>
      </c>
      <c r="C2715" t="str">
        <f t="shared" si="84"/>
        <v>"https://www.zeldadungeon.net/maps/totk/tiles/sky/6/58_35.jpg",</v>
      </c>
      <c r="H2715" t="str">
        <f t="shared" si="85"/>
        <v>58_35</v>
      </c>
    </row>
    <row r="2716" spans="1:8" x14ac:dyDescent="0.2">
      <c r="A2716" s="9" t="s">
        <v>51</v>
      </c>
      <c r="C2716" t="str">
        <f t="shared" si="84"/>
        <v>"https://www.zeldadungeon.net/maps/totk/tiles/sky/6/58_36.jpg",</v>
      </c>
      <c r="H2716" t="str">
        <f t="shared" si="85"/>
        <v>58_36</v>
      </c>
    </row>
    <row r="2717" spans="1:8" x14ac:dyDescent="0.2">
      <c r="A2717" s="9" t="s">
        <v>51</v>
      </c>
      <c r="C2717" t="str">
        <f t="shared" si="84"/>
        <v>"https://www.zeldadungeon.net/maps/totk/tiles/sky/6/58_37.jpg",</v>
      </c>
      <c r="H2717" t="str">
        <f t="shared" si="85"/>
        <v>58_37</v>
      </c>
    </row>
    <row r="2718" spans="1:8" x14ac:dyDescent="0.2">
      <c r="A2718" s="9" t="s">
        <v>51</v>
      </c>
      <c r="C2718" t="str">
        <f t="shared" si="84"/>
        <v>"https://www.zeldadungeon.net/maps/totk/tiles/sky/6/58_38.jpg",</v>
      </c>
      <c r="H2718" t="str">
        <f t="shared" si="85"/>
        <v>58_38</v>
      </c>
    </row>
    <row r="2719" spans="1:8" x14ac:dyDescent="0.2">
      <c r="A2719" s="9" t="s">
        <v>51</v>
      </c>
      <c r="C2719" t="str">
        <f t="shared" si="84"/>
        <v>"https://www.zeldadungeon.net/maps/totk/tiles/sky/6/58_39.jpg",</v>
      </c>
      <c r="H2719" t="str">
        <f t="shared" si="85"/>
        <v>58_39</v>
      </c>
    </row>
    <row r="2720" spans="1:8" x14ac:dyDescent="0.2">
      <c r="A2720" s="9" t="s">
        <v>51</v>
      </c>
      <c r="C2720" t="str">
        <f t="shared" si="84"/>
        <v>"https://www.zeldadungeon.net/maps/totk/tiles/sky/6/58_40.jpg",</v>
      </c>
      <c r="H2720" t="str">
        <f t="shared" si="85"/>
        <v>58_40</v>
      </c>
    </row>
    <row r="2721" spans="1:8" x14ac:dyDescent="0.2">
      <c r="A2721" s="9" t="s">
        <v>51</v>
      </c>
      <c r="C2721" t="str">
        <f t="shared" si="84"/>
        <v>"https://www.zeldadungeon.net/maps/totk/tiles/sky/6/58_41.jpg",</v>
      </c>
      <c r="H2721" t="str">
        <f t="shared" si="85"/>
        <v>58_41</v>
      </c>
    </row>
    <row r="2722" spans="1:8" x14ac:dyDescent="0.2">
      <c r="A2722" s="9" t="s">
        <v>51</v>
      </c>
      <c r="C2722" t="str">
        <f t="shared" si="84"/>
        <v>"https://www.zeldadungeon.net/maps/totk/tiles/sky/6/58_42.jpg",</v>
      </c>
      <c r="H2722" t="str">
        <f t="shared" si="85"/>
        <v>58_42</v>
      </c>
    </row>
    <row r="2723" spans="1:8" x14ac:dyDescent="0.2">
      <c r="A2723" s="9" t="s">
        <v>51</v>
      </c>
      <c r="C2723" t="str">
        <f t="shared" si="84"/>
        <v>"https://www.zeldadungeon.net/maps/totk/tiles/sky/6/58_43.jpg",</v>
      </c>
      <c r="H2723" t="str">
        <f t="shared" si="85"/>
        <v>58_43</v>
      </c>
    </row>
    <row r="2724" spans="1:8" x14ac:dyDescent="0.2">
      <c r="A2724" s="9" t="s">
        <v>51</v>
      </c>
      <c r="C2724" t="str">
        <f t="shared" si="84"/>
        <v>"https://www.zeldadungeon.net/maps/totk/tiles/sky/6/58_44.jpg",</v>
      </c>
      <c r="H2724" t="str">
        <f t="shared" si="85"/>
        <v>58_44</v>
      </c>
    </row>
    <row r="2725" spans="1:8" x14ac:dyDescent="0.2">
      <c r="A2725" s="9" t="s">
        <v>51</v>
      </c>
      <c r="C2725" t="str">
        <f t="shared" si="84"/>
        <v>"https://www.zeldadungeon.net/maps/totk/tiles/sky/6/58_45.jpg",</v>
      </c>
      <c r="H2725" t="str">
        <f t="shared" si="85"/>
        <v>58_45</v>
      </c>
    </row>
    <row r="2726" spans="1:8" x14ac:dyDescent="0.2">
      <c r="A2726" s="9" t="s">
        <v>51</v>
      </c>
      <c r="C2726" t="str">
        <f t="shared" si="84"/>
        <v>"https://www.zeldadungeon.net/maps/totk/tiles/sky/6/58_46.jpg",</v>
      </c>
      <c r="H2726" t="str">
        <f t="shared" si="85"/>
        <v>58_46</v>
      </c>
    </row>
    <row r="2727" spans="1:8" x14ac:dyDescent="0.2">
      <c r="A2727" s="9" t="s">
        <v>51</v>
      </c>
      <c r="C2727" t="str">
        <f t="shared" si="84"/>
        <v>"https://www.zeldadungeon.net/maps/totk/tiles/sky/6/58_47.jpg",</v>
      </c>
      <c r="H2727" t="str">
        <f t="shared" si="85"/>
        <v>58_47</v>
      </c>
    </row>
    <row r="2728" spans="1:8" x14ac:dyDescent="0.2">
      <c r="A2728" s="9" t="s">
        <v>51</v>
      </c>
      <c r="C2728" t="str">
        <f t="shared" si="84"/>
        <v>"https://www.zeldadungeon.net/maps/totk/tiles/sky/6/58_48.jpg",</v>
      </c>
      <c r="H2728" t="str">
        <f t="shared" si="85"/>
        <v>58_48</v>
      </c>
    </row>
    <row r="2729" spans="1:8" x14ac:dyDescent="0.2">
      <c r="A2729" s="9" t="s">
        <v>51</v>
      </c>
      <c r="C2729" t="str">
        <f t="shared" si="84"/>
        <v>"https://www.zeldadungeon.net/maps/totk/tiles/sky/6/58_49.jpg",</v>
      </c>
      <c r="H2729" t="str">
        <f t="shared" si="85"/>
        <v>58_49</v>
      </c>
    </row>
    <row r="2730" spans="1:8" x14ac:dyDescent="0.2">
      <c r="A2730" s="9" t="s">
        <v>51</v>
      </c>
      <c r="C2730" t="str">
        <f t="shared" si="84"/>
        <v>"https://www.zeldadungeon.net/maps/totk/tiles/sky/6/58_50.jpg",</v>
      </c>
      <c r="H2730" t="str">
        <f t="shared" si="85"/>
        <v>58_50</v>
      </c>
    </row>
    <row r="2731" spans="1:8" x14ac:dyDescent="0.2">
      <c r="A2731" s="9" t="s">
        <v>51</v>
      </c>
      <c r="C2731" t="str">
        <f t="shared" si="84"/>
        <v>"https://www.zeldadungeon.net/maps/totk/tiles/sky/6/58_51.jpg",</v>
      </c>
      <c r="H2731" t="str">
        <f t="shared" si="85"/>
        <v>58_51</v>
      </c>
    </row>
    <row r="2732" spans="1:8" x14ac:dyDescent="0.2">
      <c r="A2732" s="9" t="s">
        <v>51</v>
      </c>
      <c r="C2732" t="str">
        <f t="shared" si="84"/>
        <v>"https://www.zeldadungeon.net/maps/totk/tiles/sky/6/58_52.jpg",</v>
      </c>
      <c r="H2732" t="str">
        <f t="shared" si="85"/>
        <v>58_52</v>
      </c>
    </row>
    <row r="2733" spans="1:8" x14ac:dyDescent="0.2">
      <c r="A2733" s="9" t="s">
        <v>51</v>
      </c>
      <c r="C2733" t="str">
        <f t="shared" si="84"/>
        <v>"https://www.zeldadungeon.net/maps/totk/tiles/sky/6/58_53.jpg",</v>
      </c>
      <c r="H2733" t="str">
        <f t="shared" si="85"/>
        <v>58_53</v>
      </c>
    </row>
    <row r="2734" spans="1:8" x14ac:dyDescent="0.2">
      <c r="A2734" s="9" t="s">
        <v>51</v>
      </c>
      <c r="C2734" t="str">
        <f t="shared" si="84"/>
        <v>"https://www.zeldadungeon.net/maps/totk/tiles/sky/6/58_54.jpg",</v>
      </c>
      <c r="H2734" t="str">
        <f t="shared" si="85"/>
        <v>58_54</v>
      </c>
    </row>
    <row r="2735" spans="1:8" x14ac:dyDescent="0.2">
      <c r="A2735" s="9" t="s">
        <v>51</v>
      </c>
      <c r="C2735" t="str">
        <f t="shared" si="84"/>
        <v>"https://www.zeldadungeon.net/maps/totk/tiles/sky/6/58_55.jpg",</v>
      </c>
      <c r="H2735" t="str">
        <f t="shared" si="85"/>
        <v>58_55</v>
      </c>
    </row>
    <row r="2736" spans="1:8" x14ac:dyDescent="0.2">
      <c r="A2736" s="9" t="s">
        <v>51</v>
      </c>
      <c r="C2736" t="str">
        <f t="shared" si="84"/>
        <v>"https://www.zeldadungeon.net/maps/totk/tiles/sky/6/59_8.jpg",</v>
      </c>
      <c r="H2736" t="str">
        <f t="shared" si="85"/>
        <v>59_8</v>
      </c>
    </row>
    <row r="2737" spans="1:8" x14ac:dyDescent="0.2">
      <c r="A2737" s="9" t="s">
        <v>51</v>
      </c>
      <c r="C2737" t="str">
        <f t="shared" si="84"/>
        <v>"https://www.zeldadungeon.net/maps/totk/tiles/sky/6/59_9.jpg",</v>
      </c>
      <c r="H2737" t="str">
        <f t="shared" si="85"/>
        <v>59_9</v>
      </c>
    </row>
    <row r="2738" spans="1:8" x14ac:dyDescent="0.2">
      <c r="A2738" s="9" t="s">
        <v>51</v>
      </c>
      <c r="C2738" t="str">
        <f t="shared" si="84"/>
        <v>"https://www.zeldadungeon.net/maps/totk/tiles/sky/6/59_10.jpg",</v>
      </c>
      <c r="H2738" t="str">
        <f t="shared" si="85"/>
        <v>59_10</v>
      </c>
    </row>
    <row r="2739" spans="1:8" x14ac:dyDescent="0.2">
      <c r="A2739" s="9" t="s">
        <v>51</v>
      </c>
      <c r="C2739" t="str">
        <f t="shared" si="84"/>
        <v>"https://www.zeldadungeon.net/maps/totk/tiles/sky/6/59_11.jpg",</v>
      </c>
      <c r="H2739" t="str">
        <f t="shared" si="85"/>
        <v>59_11</v>
      </c>
    </row>
    <row r="2740" spans="1:8" x14ac:dyDescent="0.2">
      <c r="A2740" s="9" t="s">
        <v>51</v>
      </c>
      <c r="C2740" t="str">
        <f t="shared" si="84"/>
        <v>"https://www.zeldadungeon.net/maps/totk/tiles/sky/6/59_12.jpg",</v>
      </c>
      <c r="H2740" t="str">
        <f t="shared" si="85"/>
        <v>59_12</v>
      </c>
    </row>
    <row r="2741" spans="1:8" x14ac:dyDescent="0.2">
      <c r="A2741" s="9" t="s">
        <v>51</v>
      </c>
      <c r="C2741" t="str">
        <f t="shared" si="84"/>
        <v>"https://www.zeldadungeon.net/maps/totk/tiles/sky/6/59_13.jpg",</v>
      </c>
      <c r="H2741" t="str">
        <f t="shared" si="85"/>
        <v>59_13</v>
      </c>
    </row>
    <row r="2742" spans="1:8" x14ac:dyDescent="0.2">
      <c r="A2742" s="9" t="s">
        <v>51</v>
      </c>
      <c r="C2742" t="str">
        <f t="shared" si="84"/>
        <v>"https://www.zeldadungeon.net/maps/totk/tiles/sky/6/59_14.jpg",</v>
      </c>
      <c r="H2742" t="str">
        <f t="shared" si="85"/>
        <v>59_14</v>
      </c>
    </row>
    <row r="2743" spans="1:8" x14ac:dyDescent="0.2">
      <c r="A2743" s="9" t="s">
        <v>51</v>
      </c>
      <c r="C2743" t="str">
        <f t="shared" si="84"/>
        <v>"https://www.zeldadungeon.net/maps/totk/tiles/sky/6/59_15.jpg",</v>
      </c>
      <c r="H2743" t="str">
        <f t="shared" si="85"/>
        <v>59_15</v>
      </c>
    </row>
    <row r="2744" spans="1:8" x14ac:dyDescent="0.2">
      <c r="A2744" s="9" t="s">
        <v>51</v>
      </c>
      <c r="C2744" t="str">
        <f t="shared" si="84"/>
        <v>"https://www.zeldadungeon.net/maps/totk/tiles/sky/6/59_16.jpg",</v>
      </c>
      <c r="H2744" t="str">
        <f t="shared" si="85"/>
        <v>59_16</v>
      </c>
    </row>
    <row r="2745" spans="1:8" x14ac:dyDescent="0.2">
      <c r="A2745" s="9" t="s">
        <v>51</v>
      </c>
      <c r="C2745" t="str">
        <f t="shared" si="84"/>
        <v>"https://www.zeldadungeon.net/maps/totk/tiles/sky/6/59_17.jpg",</v>
      </c>
      <c r="H2745" t="str">
        <f t="shared" si="85"/>
        <v>59_17</v>
      </c>
    </row>
    <row r="2746" spans="1:8" x14ac:dyDescent="0.2">
      <c r="A2746" s="9" t="s">
        <v>51</v>
      </c>
      <c r="C2746" t="str">
        <f t="shared" si="84"/>
        <v>"https://www.zeldadungeon.net/maps/totk/tiles/sky/6/59_18.jpg",</v>
      </c>
      <c r="H2746" t="str">
        <f t="shared" si="85"/>
        <v>59_18</v>
      </c>
    </row>
    <row r="2747" spans="1:8" x14ac:dyDescent="0.2">
      <c r="A2747" s="9" t="s">
        <v>51</v>
      </c>
      <c r="C2747" t="str">
        <f t="shared" si="84"/>
        <v>"https://www.zeldadungeon.net/maps/totk/tiles/sky/6/59_19.jpg",</v>
      </c>
      <c r="H2747" t="str">
        <f t="shared" si="85"/>
        <v>59_19</v>
      </c>
    </row>
    <row r="2748" spans="1:8" x14ac:dyDescent="0.2">
      <c r="A2748" s="9" t="s">
        <v>51</v>
      </c>
      <c r="C2748" t="str">
        <f t="shared" si="84"/>
        <v>"https://www.zeldadungeon.net/maps/totk/tiles/sky/6/59_20.jpg",</v>
      </c>
      <c r="H2748" t="str">
        <f t="shared" si="85"/>
        <v>59_20</v>
      </c>
    </row>
    <row r="2749" spans="1:8" x14ac:dyDescent="0.2">
      <c r="A2749" s="9" t="s">
        <v>51</v>
      </c>
      <c r="C2749" t="str">
        <f t="shared" si="84"/>
        <v>"https://www.zeldadungeon.net/maps/totk/tiles/sky/6/59_21.jpg",</v>
      </c>
      <c r="H2749" t="str">
        <f t="shared" si="85"/>
        <v>59_21</v>
      </c>
    </row>
    <row r="2750" spans="1:8" x14ac:dyDescent="0.2">
      <c r="A2750" s="9" t="s">
        <v>51</v>
      </c>
      <c r="C2750" t="str">
        <f t="shared" si="84"/>
        <v>"https://www.zeldadungeon.net/maps/totk/tiles/sky/6/59_22.jpg",</v>
      </c>
      <c r="H2750" t="str">
        <f t="shared" si="85"/>
        <v>59_22</v>
      </c>
    </row>
    <row r="2751" spans="1:8" x14ac:dyDescent="0.2">
      <c r="A2751" s="9" t="s">
        <v>51</v>
      </c>
      <c r="C2751" t="str">
        <f t="shared" si="84"/>
        <v>"https://www.zeldadungeon.net/maps/totk/tiles/sky/6/59_23.jpg",</v>
      </c>
      <c r="H2751" t="str">
        <f t="shared" si="85"/>
        <v>59_23</v>
      </c>
    </row>
    <row r="2752" spans="1:8" x14ac:dyDescent="0.2">
      <c r="A2752" s="9" t="s">
        <v>51</v>
      </c>
      <c r="C2752" t="str">
        <f t="shared" si="84"/>
        <v>"https://www.zeldadungeon.net/maps/totk/tiles/sky/6/59_24.jpg",</v>
      </c>
      <c r="H2752" t="str">
        <f t="shared" si="85"/>
        <v>59_24</v>
      </c>
    </row>
    <row r="2753" spans="1:8" x14ac:dyDescent="0.2">
      <c r="A2753" s="9" t="s">
        <v>51</v>
      </c>
      <c r="C2753" t="str">
        <f t="shared" ref="C2753:C2816" si="86">""""&amp;SUBSTITUTE(A2753,"zzz",H2753)&amp;""""&amp;","</f>
        <v>"https://www.zeldadungeon.net/maps/totk/tiles/sky/6/59_25.jpg",</v>
      </c>
      <c r="H2753" t="str">
        <f t="shared" ref="H2753:H2816" si="87">QUOTIENT(ROW(A2753),48)+2&amp;"_"&amp;MOD(ROW(A2753),48)+8</f>
        <v>59_25</v>
      </c>
    </row>
    <row r="2754" spans="1:8" x14ac:dyDescent="0.2">
      <c r="A2754" s="9" t="s">
        <v>51</v>
      </c>
      <c r="C2754" t="str">
        <f t="shared" si="86"/>
        <v>"https://www.zeldadungeon.net/maps/totk/tiles/sky/6/59_26.jpg",</v>
      </c>
      <c r="H2754" t="str">
        <f t="shared" si="87"/>
        <v>59_26</v>
      </c>
    </row>
    <row r="2755" spans="1:8" x14ac:dyDescent="0.2">
      <c r="A2755" s="9" t="s">
        <v>51</v>
      </c>
      <c r="C2755" t="str">
        <f t="shared" si="86"/>
        <v>"https://www.zeldadungeon.net/maps/totk/tiles/sky/6/59_27.jpg",</v>
      </c>
      <c r="H2755" t="str">
        <f t="shared" si="87"/>
        <v>59_27</v>
      </c>
    </row>
    <row r="2756" spans="1:8" x14ac:dyDescent="0.2">
      <c r="A2756" s="9" t="s">
        <v>51</v>
      </c>
      <c r="C2756" t="str">
        <f t="shared" si="86"/>
        <v>"https://www.zeldadungeon.net/maps/totk/tiles/sky/6/59_28.jpg",</v>
      </c>
      <c r="H2756" t="str">
        <f t="shared" si="87"/>
        <v>59_28</v>
      </c>
    </row>
    <row r="2757" spans="1:8" x14ac:dyDescent="0.2">
      <c r="A2757" s="9" t="s">
        <v>51</v>
      </c>
      <c r="C2757" t="str">
        <f t="shared" si="86"/>
        <v>"https://www.zeldadungeon.net/maps/totk/tiles/sky/6/59_29.jpg",</v>
      </c>
      <c r="H2757" t="str">
        <f t="shared" si="87"/>
        <v>59_29</v>
      </c>
    </row>
    <row r="2758" spans="1:8" x14ac:dyDescent="0.2">
      <c r="A2758" s="9" t="s">
        <v>51</v>
      </c>
      <c r="C2758" t="str">
        <f t="shared" si="86"/>
        <v>"https://www.zeldadungeon.net/maps/totk/tiles/sky/6/59_30.jpg",</v>
      </c>
      <c r="H2758" t="str">
        <f t="shared" si="87"/>
        <v>59_30</v>
      </c>
    </row>
    <row r="2759" spans="1:8" x14ac:dyDescent="0.2">
      <c r="A2759" s="9" t="s">
        <v>51</v>
      </c>
      <c r="C2759" t="str">
        <f t="shared" si="86"/>
        <v>"https://www.zeldadungeon.net/maps/totk/tiles/sky/6/59_31.jpg",</v>
      </c>
      <c r="H2759" t="str">
        <f t="shared" si="87"/>
        <v>59_31</v>
      </c>
    </row>
    <row r="2760" spans="1:8" x14ac:dyDescent="0.2">
      <c r="A2760" s="9" t="s">
        <v>51</v>
      </c>
      <c r="C2760" t="str">
        <f t="shared" si="86"/>
        <v>"https://www.zeldadungeon.net/maps/totk/tiles/sky/6/59_32.jpg",</v>
      </c>
      <c r="H2760" t="str">
        <f t="shared" si="87"/>
        <v>59_32</v>
      </c>
    </row>
    <row r="2761" spans="1:8" x14ac:dyDescent="0.2">
      <c r="A2761" s="9" t="s">
        <v>51</v>
      </c>
      <c r="C2761" t="str">
        <f t="shared" si="86"/>
        <v>"https://www.zeldadungeon.net/maps/totk/tiles/sky/6/59_33.jpg",</v>
      </c>
      <c r="H2761" t="str">
        <f t="shared" si="87"/>
        <v>59_33</v>
      </c>
    </row>
    <row r="2762" spans="1:8" x14ac:dyDescent="0.2">
      <c r="A2762" s="9" t="s">
        <v>51</v>
      </c>
      <c r="C2762" t="str">
        <f t="shared" si="86"/>
        <v>"https://www.zeldadungeon.net/maps/totk/tiles/sky/6/59_34.jpg",</v>
      </c>
      <c r="H2762" t="str">
        <f t="shared" si="87"/>
        <v>59_34</v>
      </c>
    </row>
    <row r="2763" spans="1:8" x14ac:dyDescent="0.2">
      <c r="A2763" s="9" t="s">
        <v>51</v>
      </c>
      <c r="C2763" t="str">
        <f t="shared" si="86"/>
        <v>"https://www.zeldadungeon.net/maps/totk/tiles/sky/6/59_35.jpg",</v>
      </c>
      <c r="H2763" t="str">
        <f t="shared" si="87"/>
        <v>59_35</v>
      </c>
    </row>
    <row r="2764" spans="1:8" x14ac:dyDescent="0.2">
      <c r="A2764" s="9" t="s">
        <v>51</v>
      </c>
      <c r="C2764" t="str">
        <f t="shared" si="86"/>
        <v>"https://www.zeldadungeon.net/maps/totk/tiles/sky/6/59_36.jpg",</v>
      </c>
      <c r="H2764" t="str">
        <f t="shared" si="87"/>
        <v>59_36</v>
      </c>
    </row>
    <row r="2765" spans="1:8" x14ac:dyDescent="0.2">
      <c r="A2765" s="9" t="s">
        <v>51</v>
      </c>
      <c r="C2765" t="str">
        <f t="shared" si="86"/>
        <v>"https://www.zeldadungeon.net/maps/totk/tiles/sky/6/59_37.jpg",</v>
      </c>
      <c r="H2765" t="str">
        <f t="shared" si="87"/>
        <v>59_37</v>
      </c>
    </row>
    <row r="2766" spans="1:8" x14ac:dyDescent="0.2">
      <c r="A2766" s="9" t="s">
        <v>51</v>
      </c>
      <c r="C2766" t="str">
        <f t="shared" si="86"/>
        <v>"https://www.zeldadungeon.net/maps/totk/tiles/sky/6/59_38.jpg",</v>
      </c>
      <c r="H2766" t="str">
        <f t="shared" si="87"/>
        <v>59_38</v>
      </c>
    </row>
    <row r="2767" spans="1:8" x14ac:dyDescent="0.2">
      <c r="A2767" s="9" t="s">
        <v>51</v>
      </c>
      <c r="C2767" t="str">
        <f t="shared" si="86"/>
        <v>"https://www.zeldadungeon.net/maps/totk/tiles/sky/6/59_39.jpg",</v>
      </c>
      <c r="H2767" t="str">
        <f t="shared" si="87"/>
        <v>59_39</v>
      </c>
    </row>
    <row r="2768" spans="1:8" x14ac:dyDescent="0.2">
      <c r="A2768" s="9" t="s">
        <v>51</v>
      </c>
      <c r="C2768" t="str">
        <f t="shared" si="86"/>
        <v>"https://www.zeldadungeon.net/maps/totk/tiles/sky/6/59_40.jpg",</v>
      </c>
      <c r="H2768" t="str">
        <f t="shared" si="87"/>
        <v>59_40</v>
      </c>
    </row>
    <row r="2769" spans="1:8" x14ac:dyDescent="0.2">
      <c r="A2769" s="9" t="s">
        <v>51</v>
      </c>
      <c r="C2769" t="str">
        <f t="shared" si="86"/>
        <v>"https://www.zeldadungeon.net/maps/totk/tiles/sky/6/59_41.jpg",</v>
      </c>
      <c r="H2769" t="str">
        <f t="shared" si="87"/>
        <v>59_41</v>
      </c>
    </row>
    <row r="2770" spans="1:8" x14ac:dyDescent="0.2">
      <c r="A2770" s="9" t="s">
        <v>51</v>
      </c>
      <c r="C2770" t="str">
        <f t="shared" si="86"/>
        <v>"https://www.zeldadungeon.net/maps/totk/tiles/sky/6/59_42.jpg",</v>
      </c>
      <c r="H2770" t="str">
        <f t="shared" si="87"/>
        <v>59_42</v>
      </c>
    </row>
    <row r="2771" spans="1:8" x14ac:dyDescent="0.2">
      <c r="A2771" s="9" t="s">
        <v>51</v>
      </c>
      <c r="C2771" t="str">
        <f t="shared" si="86"/>
        <v>"https://www.zeldadungeon.net/maps/totk/tiles/sky/6/59_43.jpg",</v>
      </c>
      <c r="H2771" t="str">
        <f t="shared" si="87"/>
        <v>59_43</v>
      </c>
    </row>
    <row r="2772" spans="1:8" x14ac:dyDescent="0.2">
      <c r="A2772" s="9" t="s">
        <v>51</v>
      </c>
      <c r="C2772" t="str">
        <f t="shared" si="86"/>
        <v>"https://www.zeldadungeon.net/maps/totk/tiles/sky/6/59_44.jpg",</v>
      </c>
      <c r="H2772" t="str">
        <f t="shared" si="87"/>
        <v>59_44</v>
      </c>
    </row>
    <row r="2773" spans="1:8" x14ac:dyDescent="0.2">
      <c r="A2773" s="9" t="s">
        <v>51</v>
      </c>
      <c r="C2773" t="str">
        <f t="shared" si="86"/>
        <v>"https://www.zeldadungeon.net/maps/totk/tiles/sky/6/59_45.jpg",</v>
      </c>
      <c r="H2773" t="str">
        <f t="shared" si="87"/>
        <v>59_45</v>
      </c>
    </row>
    <row r="2774" spans="1:8" x14ac:dyDescent="0.2">
      <c r="A2774" s="9" t="s">
        <v>51</v>
      </c>
      <c r="C2774" t="str">
        <f t="shared" si="86"/>
        <v>"https://www.zeldadungeon.net/maps/totk/tiles/sky/6/59_46.jpg",</v>
      </c>
      <c r="H2774" t="str">
        <f t="shared" si="87"/>
        <v>59_46</v>
      </c>
    </row>
    <row r="2775" spans="1:8" x14ac:dyDescent="0.2">
      <c r="A2775" s="9" t="s">
        <v>51</v>
      </c>
      <c r="C2775" t="str">
        <f t="shared" si="86"/>
        <v>"https://www.zeldadungeon.net/maps/totk/tiles/sky/6/59_47.jpg",</v>
      </c>
      <c r="H2775" t="str">
        <f t="shared" si="87"/>
        <v>59_47</v>
      </c>
    </row>
    <row r="2776" spans="1:8" x14ac:dyDescent="0.2">
      <c r="A2776" s="9" t="s">
        <v>51</v>
      </c>
      <c r="C2776" t="str">
        <f t="shared" si="86"/>
        <v>"https://www.zeldadungeon.net/maps/totk/tiles/sky/6/59_48.jpg",</v>
      </c>
      <c r="H2776" t="str">
        <f t="shared" si="87"/>
        <v>59_48</v>
      </c>
    </row>
    <row r="2777" spans="1:8" x14ac:dyDescent="0.2">
      <c r="A2777" s="9" t="s">
        <v>51</v>
      </c>
      <c r="C2777" t="str">
        <f t="shared" si="86"/>
        <v>"https://www.zeldadungeon.net/maps/totk/tiles/sky/6/59_49.jpg",</v>
      </c>
      <c r="H2777" t="str">
        <f t="shared" si="87"/>
        <v>59_49</v>
      </c>
    </row>
    <row r="2778" spans="1:8" x14ac:dyDescent="0.2">
      <c r="A2778" s="9" t="s">
        <v>51</v>
      </c>
      <c r="C2778" t="str">
        <f t="shared" si="86"/>
        <v>"https://www.zeldadungeon.net/maps/totk/tiles/sky/6/59_50.jpg",</v>
      </c>
      <c r="H2778" t="str">
        <f t="shared" si="87"/>
        <v>59_50</v>
      </c>
    </row>
    <row r="2779" spans="1:8" x14ac:dyDescent="0.2">
      <c r="A2779" s="9" t="s">
        <v>51</v>
      </c>
      <c r="C2779" t="str">
        <f t="shared" si="86"/>
        <v>"https://www.zeldadungeon.net/maps/totk/tiles/sky/6/59_51.jpg",</v>
      </c>
      <c r="H2779" t="str">
        <f t="shared" si="87"/>
        <v>59_51</v>
      </c>
    </row>
    <row r="2780" spans="1:8" x14ac:dyDescent="0.2">
      <c r="A2780" s="9" t="s">
        <v>51</v>
      </c>
      <c r="C2780" t="str">
        <f t="shared" si="86"/>
        <v>"https://www.zeldadungeon.net/maps/totk/tiles/sky/6/59_52.jpg",</v>
      </c>
      <c r="H2780" t="str">
        <f t="shared" si="87"/>
        <v>59_52</v>
      </c>
    </row>
    <row r="2781" spans="1:8" x14ac:dyDescent="0.2">
      <c r="A2781" s="9" t="s">
        <v>51</v>
      </c>
      <c r="C2781" t="str">
        <f t="shared" si="86"/>
        <v>"https://www.zeldadungeon.net/maps/totk/tiles/sky/6/59_53.jpg",</v>
      </c>
      <c r="H2781" t="str">
        <f t="shared" si="87"/>
        <v>59_53</v>
      </c>
    </row>
    <row r="2782" spans="1:8" x14ac:dyDescent="0.2">
      <c r="A2782" s="9" t="s">
        <v>51</v>
      </c>
      <c r="C2782" t="str">
        <f t="shared" si="86"/>
        <v>"https://www.zeldadungeon.net/maps/totk/tiles/sky/6/59_54.jpg",</v>
      </c>
      <c r="H2782" t="str">
        <f t="shared" si="87"/>
        <v>59_54</v>
      </c>
    </row>
    <row r="2783" spans="1:8" x14ac:dyDescent="0.2">
      <c r="A2783" s="9" t="s">
        <v>51</v>
      </c>
      <c r="C2783" t="str">
        <f t="shared" si="86"/>
        <v>"https://www.zeldadungeon.net/maps/totk/tiles/sky/6/59_55.jpg",</v>
      </c>
      <c r="H2783" t="str">
        <f t="shared" si="87"/>
        <v>59_55</v>
      </c>
    </row>
    <row r="2784" spans="1:8" x14ac:dyDescent="0.2">
      <c r="A2784" s="9" t="s">
        <v>51</v>
      </c>
      <c r="C2784" t="str">
        <f t="shared" si="86"/>
        <v>"https://www.zeldadungeon.net/maps/totk/tiles/sky/6/60_8.jpg",</v>
      </c>
      <c r="H2784" t="str">
        <f t="shared" si="87"/>
        <v>60_8</v>
      </c>
    </row>
    <row r="2785" spans="1:8" x14ac:dyDescent="0.2">
      <c r="A2785" s="9" t="s">
        <v>51</v>
      </c>
      <c r="C2785" t="str">
        <f t="shared" si="86"/>
        <v>"https://www.zeldadungeon.net/maps/totk/tiles/sky/6/60_9.jpg",</v>
      </c>
      <c r="H2785" t="str">
        <f t="shared" si="87"/>
        <v>60_9</v>
      </c>
    </row>
    <row r="2786" spans="1:8" x14ac:dyDescent="0.2">
      <c r="A2786" s="9" t="s">
        <v>51</v>
      </c>
      <c r="C2786" t="str">
        <f t="shared" si="86"/>
        <v>"https://www.zeldadungeon.net/maps/totk/tiles/sky/6/60_10.jpg",</v>
      </c>
      <c r="H2786" t="str">
        <f t="shared" si="87"/>
        <v>60_10</v>
      </c>
    </row>
    <row r="2787" spans="1:8" x14ac:dyDescent="0.2">
      <c r="A2787" s="9" t="s">
        <v>51</v>
      </c>
      <c r="C2787" t="str">
        <f t="shared" si="86"/>
        <v>"https://www.zeldadungeon.net/maps/totk/tiles/sky/6/60_11.jpg",</v>
      </c>
      <c r="H2787" t="str">
        <f t="shared" si="87"/>
        <v>60_11</v>
      </c>
    </row>
    <row r="2788" spans="1:8" x14ac:dyDescent="0.2">
      <c r="A2788" s="9" t="s">
        <v>51</v>
      </c>
      <c r="C2788" t="str">
        <f t="shared" si="86"/>
        <v>"https://www.zeldadungeon.net/maps/totk/tiles/sky/6/60_12.jpg",</v>
      </c>
      <c r="H2788" t="str">
        <f t="shared" si="87"/>
        <v>60_12</v>
      </c>
    </row>
    <row r="2789" spans="1:8" x14ac:dyDescent="0.2">
      <c r="A2789" s="9" t="s">
        <v>51</v>
      </c>
      <c r="C2789" t="str">
        <f t="shared" si="86"/>
        <v>"https://www.zeldadungeon.net/maps/totk/tiles/sky/6/60_13.jpg",</v>
      </c>
      <c r="H2789" t="str">
        <f t="shared" si="87"/>
        <v>60_13</v>
      </c>
    </row>
    <row r="2790" spans="1:8" x14ac:dyDescent="0.2">
      <c r="A2790" s="9" t="s">
        <v>51</v>
      </c>
      <c r="C2790" t="str">
        <f t="shared" si="86"/>
        <v>"https://www.zeldadungeon.net/maps/totk/tiles/sky/6/60_14.jpg",</v>
      </c>
      <c r="H2790" t="str">
        <f t="shared" si="87"/>
        <v>60_14</v>
      </c>
    </row>
    <row r="2791" spans="1:8" x14ac:dyDescent="0.2">
      <c r="A2791" s="9" t="s">
        <v>51</v>
      </c>
      <c r="C2791" t="str">
        <f t="shared" si="86"/>
        <v>"https://www.zeldadungeon.net/maps/totk/tiles/sky/6/60_15.jpg",</v>
      </c>
      <c r="H2791" t="str">
        <f t="shared" si="87"/>
        <v>60_15</v>
      </c>
    </row>
    <row r="2792" spans="1:8" x14ac:dyDescent="0.2">
      <c r="A2792" s="9" t="s">
        <v>51</v>
      </c>
      <c r="C2792" t="str">
        <f t="shared" si="86"/>
        <v>"https://www.zeldadungeon.net/maps/totk/tiles/sky/6/60_16.jpg",</v>
      </c>
      <c r="H2792" t="str">
        <f t="shared" si="87"/>
        <v>60_16</v>
      </c>
    </row>
    <row r="2793" spans="1:8" x14ac:dyDescent="0.2">
      <c r="A2793" s="9" t="s">
        <v>51</v>
      </c>
      <c r="C2793" t="str">
        <f t="shared" si="86"/>
        <v>"https://www.zeldadungeon.net/maps/totk/tiles/sky/6/60_17.jpg",</v>
      </c>
      <c r="H2793" t="str">
        <f t="shared" si="87"/>
        <v>60_17</v>
      </c>
    </row>
    <row r="2794" spans="1:8" x14ac:dyDescent="0.2">
      <c r="A2794" s="9" t="s">
        <v>51</v>
      </c>
      <c r="C2794" t="str">
        <f t="shared" si="86"/>
        <v>"https://www.zeldadungeon.net/maps/totk/tiles/sky/6/60_18.jpg",</v>
      </c>
      <c r="H2794" t="str">
        <f t="shared" si="87"/>
        <v>60_18</v>
      </c>
    </row>
    <row r="2795" spans="1:8" x14ac:dyDescent="0.2">
      <c r="A2795" s="9" t="s">
        <v>51</v>
      </c>
      <c r="C2795" t="str">
        <f t="shared" si="86"/>
        <v>"https://www.zeldadungeon.net/maps/totk/tiles/sky/6/60_19.jpg",</v>
      </c>
      <c r="H2795" t="str">
        <f t="shared" si="87"/>
        <v>60_19</v>
      </c>
    </row>
    <row r="2796" spans="1:8" x14ac:dyDescent="0.2">
      <c r="A2796" s="9" t="s">
        <v>51</v>
      </c>
      <c r="C2796" t="str">
        <f t="shared" si="86"/>
        <v>"https://www.zeldadungeon.net/maps/totk/tiles/sky/6/60_20.jpg",</v>
      </c>
      <c r="H2796" t="str">
        <f t="shared" si="87"/>
        <v>60_20</v>
      </c>
    </row>
    <row r="2797" spans="1:8" x14ac:dyDescent="0.2">
      <c r="A2797" s="9" t="s">
        <v>51</v>
      </c>
      <c r="C2797" t="str">
        <f t="shared" si="86"/>
        <v>"https://www.zeldadungeon.net/maps/totk/tiles/sky/6/60_21.jpg",</v>
      </c>
      <c r="H2797" t="str">
        <f t="shared" si="87"/>
        <v>60_21</v>
      </c>
    </row>
    <row r="2798" spans="1:8" x14ac:dyDescent="0.2">
      <c r="A2798" s="9" t="s">
        <v>51</v>
      </c>
      <c r="C2798" t="str">
        <f t="shared" si="86"/>
        <v>"https://www.zeldadungeon.net/maps/totk/tiles/sky/6/60_22.jpg",</v>
      </c>
      <c r="H2798" t="str">
        <f t="shared" si="87"/>
        <v>60_22</v>
      </c>
    </row>
    <row r="2799" spans="1:8" x14ac:dyDescent="0.2">
      <c r="A2799" s="9" t="s">
        <v>51</v>
      </c>
      <c r="C2799" t="str">
        <f t="shared" si="86"/>
        <v>"https://www.zeldadungeon.net/maps/totk/tiles/sky/6/60_23.jpg",</v>
      </c>
      <c r="H2799" t="str">
        <f t="shared" si="87"/>
        <v>60_23</v>
      </c>
    </row>
    <row r="2800" spans="1:8" x14ac:dyDescent="0.2">
      <c r="A2800" s="9" t="s">
        <v>51</v>
      </c>
      <c r="C2800" t="str">
        <f t="shared" si="86"/>
        <v>"https://www.zeldadungeon.net/maps/totk/tiles/sky/6/60_24.jpg",</v>
      </c>
      <c r="H2800" t="str">
        <f t="shared" si="87"/>
        <v>60_24</v>
      </c>
    </row>
    <row r="2801" spans="1:8" x14ac:dyDescent="0.2">
      <c r="A2801" s="9" t="s">
        <v>51</v>
      </c>
      <c r="C2801" t="str">
        <f t="shared" si="86"/>
        <v>"https://www.zeldadungeon.net/maps/totk/tiles/sky/6/60_25.jpg",</v>
      </c>
      <c r="H2801" t="str">
        <f t="shared" si="87"/>
        <v>60_25</v>
      </c>
    </row>
    <row r="2802" spans="1:8" x14ac:dyDescent="0.2">
      <c r="A2802" s="9" t="s">
        <v>51</v>
      </c>
      <c r="C2802" t="str">
        <f t="shared" si="86"/>
        <v>"https://www.zeldadungeon.net/maps/totk/tiles/sky/6/60_26.jpg",</v>
      </c>
      <c r="H2802" t="str">
        <f t="shared" si="87"/>
        <v>60_26</v>
      </c>
    </row>
    <row r="2803" spans="1:8" x14ac:dyDescent="0.2">
      <c r="A2803" s="9" t="s">
        <v>51</v>
      </c>
      <c r="C2803" t="str">
        <f t="shared" si="86"/>
        <v>"https://www.zeldadungeon.net/maps/totk/tiles/sky/6/60_27.jpg",</v>
      </c>
      <c r="H2803" t="str">
        <f t="shared" si="87"/>
        <v>60_27</v>
      </c>
    </row>
    <row r="2804" spans="1:8" x14ac:dyDescent="0.2">
      <c r="A2804" s="9" t="s">
        <v>51</v>
      </c>
      <c r="C2804" t="str">
        <f t="shared" si="86"/>
        <v>"https://www.zeldadungeon.net/maps/totk/tiles/sky/6/60_28.jpg",</v>
      </c>
      <c r="H2804" t="str">
        <f t="shared" si="87"/>
        <v>60_28</v>
      </c>
    </row>
    <row r="2805" spans="1:8" x14ac:dyDescent="0.2">
      <c r="A2805" s="9" t="s">
        <v>51</v>
      </c>
      <c r="C2805" t="str">
        <f t="shared" si="86"/>
        <v>"https://www.zeldadungeon.net/maps/totk/tiles/sky/6/60_29.jpg",</v>
      </c>
      <c r="H2805" t="str">
        <f t="shared" si="87"/>
        <v>60_29</v>
      </c>
    </row>
    <row r="2806" spans="1:8" x14ac:dyDescent="0.2">
      <c r="A2806" s="9" t="s">
        <v>51</v>
      </c>
      <c r="C2806" t="str">
        <f t="shared" si="86"/>
        <v>"https://www.zeldadungeon.net/maps/totk/tiles/sky/6/60_30.jpg",</v>
      </c>
      <c r="H2806" t="str">
        <f t="shared" si="87"/>
        <v>60_30</v>
      </c>
    </row>
    <row r="2807" spans="1:8" x14ac:dyDescent="0.2">
      <c r="A2807" s="9" t="s">
        <v>51</v>
      </c>
      <c r="C2807" t="str">
        <f t="shared" si="86"/>
        <v>"https://www.zeldadungeon.net/maps/totk/tiles/sky/6/60_31.jpg",</v>
      </c>
      <c r="H2807" t="str">
        <f t="shared" si="87"/>
        <v>60_31</v>
      </c>
    </row>
    <row r="2808" spans="1:8" x14ac:dyDescent="0.2">
      <c r="A2808" s="9" t="s">
        <v>51</v>
      </c>
      <c r="C2808" t="str">
        <f t="shared" si="86"/>
        <v>"https://www.zeldadungeon.net/maps/totk/tiles/sky/6/60_32.jpg",</v>
      </c>
      <c r="H2808" t="str">
        <f t="shared" si="87"/>
        <v>60_32</v>
      </c>
    </row>
    <row r="2809" spans="1:8" x14ac:dyDescent="0.2">
      <c r="A2809" s="9" t="s">
        <v>51</v>
      </c>
      <c r="C2809" t="str">
        <f t="shared" si="86"/>
        <v>"https://www.zeldadungeon.net/maps/totk/tiles/sky/6/60_33.jpg",</v>
      </c>
      <c r="H2809" t="str">
        <f t="shared" si="87"/>
        <v>60_33</v>
      </c>
    </row>
    <row r="2810" spans="1:8" x14ac:dyDescent="0.2">
      <c r="A2810" s="9" t="s">
        <v>51</v>
      </c>
      <c r="C2810" t="str">
        <f t="shared" si="86"/>
        <v>"https://www.zeldadungeon.net/maps/totk/tiles/sky/6/60_34.jpg",</v>
      </c>
      <c r="H2810" t="str">
        <f t="shared" si="87"/>
        <v>60_34</v>
      </c>
    </row>
    <row r="2811" spans="1:8" x14ac:dyDescent="0.2">
      <c r="A2811" s="9" t="s">
        <v>51</v>
      </c>
      <c r="C2811" t="str">
        <f t="shared" si="86"/>
        <v>"https://www.zeldadungeon.net/maps/totk/tiles/sky/6/60_35.jpg",</v>
      </c>
      <c r="H2811" t="str">
        <f t="shared" si="87"/>
        <v>60_35</v>
      </c>
    </row>
    <row r="2812" spans="1:8" x14ac:dyDescent="0.2">
      <c r="A2812" s="9" t="s">
        <v>51</v>
      </c>
      <c r="C2812" t="str">
        <f t="shared" si="86"/>
        <v>"https://www.zeldadungeon.net/maps/totk/tiles/sky/6/60_36.jpg",</v>
      </c>
      <c r="H2812" t="str">
        <f t="shared" si="87"/>
        <v>60_36</v>
      </c>
    </row>
    <row r="2813" spans="1:8" x14ac:dyDescent="0.2">
      <c r="A2813" s="9" t="s">
        <v>51</v>
      </c>
      <c r="C2813" t="str">
        <f t="shared" si="86"/>
        <v>"https://www.zeldadungeon.net/maps/totk/tiles/sky/6/60_37.jpg",</v>
      </c>
      <c r="H2813" t="str">
        <f t="shared" si="87"/>
        <v>60_37</v>
      </c>
    </row>
    <row r="2814" spans="1:8" x14ac:dyDescent="0.2">
      <c r="A2814" s="9" t="s">
        <v>51</v>
      </c>
      <c r="C2814" t="str">
        <f t="shared" si="86"/>
        <v>"https://www.zeldadungeon.net/maps/totk/tiles/sky/6/60_38.jpg",</v>
      </c>
      <c r="H2814" t="str">
        <f t="shared" si="87"/>
        <v>60_38</v>
      </c>
    </row>
    <row r="2815" spans="1:8" x14ac:dyDescent="0.2">
      <c r="A2815" s="9" t="s">
        <v>51</v>
      </c>
      <c r="C2815" t="str">
        <f t="shared" si="86"/>
        <v>"https://www.zeldadungeon.net/maps/totk/tiles/sky/6/60_39.jpg",</v>
      </c>
      <c r="H2815" t="str">
        <f t="shared" si="87"/>
        <v>60_39</v>
      </c>
    </row>
    <row r="2816" spans="1:8" x14ac:dyDescent="0.2">
      <c r="A2816" s="9" t="s">
        <v>51</v>
      </c>
      <c r="C2816" t="str">
        <f t="shared" si="86"/>
        <v>"https://www.zeldadungeon.net/maps/totk/tiles/sky/6/60_40.jpg",</v>
      </c>
      <c r="H2816" t="str">
        <f t="shared" si="87"/>
        <v>60_40</v>
      </c>
    </row>
    <row r="2817" spans="1:8" x14ac:dyDescent="0.2">
      <c r="A2817" s="9" t="s">
        <v>51</v>
      </c>
      <c r="C2817" t="str">
        <f t="shared" ref="C2817:C2879" si="88">""""&amp;SUBSTITUTE(A2817,"zzz",H2817)&amp;""""&amp;","</f>
        <v>"https://www.zeldadungeon.net/maps/totk/tiles/sky/6/60_41.jpg",</v>
      </c>
      <c r="H2817" t="str">
        <f t="shared" ref="H2817:H2879" si="89">QUOTIENT(ROW(A2817),48)+2&amp;"_"&amp;MOD(ROW(A2817),48)+8</f>
        <v>60_41</v>
      </c>
    </row>
    <row r="2818" spans="1:8" x14ac:dyDescent="0.2">
      <c r="A2818" s="9" t="s">
        <v>51</v>
      </c>
      <c r="C2818" t="str">
        <f t="shared" si="88"/>
        <v>"https://www.zeldadungeon.net/maps/totk/tiles/sky/6/60_42.jpg",</v>
      </c>
      <c r="H2818" t="str">
        <f t="shared" si="89"/>
        <v>60_42</v>
      </c>
    </row>
    <row r="2819" spans="1:8" x14ac:dyDescent="0.2">
      <c r="A2819" s="9" t="s">
        <v>51</v>
      </c>
      <c r="C2819" t="str">
        <f t="shared" si="88"/>
        <v>"https://www.zeldadungeon.net/maps/totk/tiles/sky/6/60_43.jpg",</v>
      </c>
      <c r="H2819" t="str">
        <f t="shared" si="89"/>
        <v>60_43</v>
      </c>
    </row>
    <row r="2820" spans="1:8" x14ac:dyDescent="0.2">
      <c r="A2820" s="9" t="s">
        <v>51</v>
      </c>
      <c r="C2820" t="str">
        <f t="shared" si="88"/>
        <v>"https://www.zeldadungeon.net/maps/totk/tiles/sky/6/60_44.jpg",</v>
      </c>
      <c r="H2820" t="str">
        <f t="shared" si="89"/>
        <v>60_44</v>
      </c>
    </row>
    <row r="2821" spans="1:8" x14ac:dyDescent="0.2">
      <c r="A2821" s="9" t="s">
        <v>51</v>
      </c>
      <c r="C2821" t="str">
        <f t="shared" si="88"/>
        <v>"https://www.zeldadungeon.net/maps/totk/tiles/sky/6/60_45.jpg",</v>
      </c>
      <c r="H2821" t="str">
        <f t="shared" si="89"/>
        <v>60_45</v>
      </c>
    </row>
    <row r="2822" spans="1:8" x14ac:dyDescent="0.2">
      <c r="A2822" s="9" t="s">
        <v>51</v>
      </c>
      <c r="C2822" t="str">
        <f t="shared" si="88"/>
        <v>"https://www.zeldadungeon.net/maps/totk/tiles/sky/6/60_46.jpg",</v>
      </c>
      <c r="H2822" t="str">
        <f t="shared" si="89"/>
        <v>60_46</v>
      </c>
    </row>
    <row r="2823" spans="1:8" x14ac:dyDescent="0.2">
      <c r="A2823" s="9" t="s">
        <v>51</v>
      </c>
      <c r="C2823" t="str">
        <f t="shared" si="88"/>
        <v>"https://www.zeldadungeon.net/maps/totk/tiles/sky/6/60_47.jpg",</v>
      </c>
      <c r="H2823" t="str">
        <f t="shared" si="89"/>
        <v>60_47</v>
      </c>
    </row>
    <row r="2824" spans="1:8" x14ac:dyDescent="0.2">
      <c r="A2824" s="9" t="s">
        <v>51</v>
      </c>
      <c r="C2824" t="str">
        <f t="shared" si="88"/>
        <v>"https://www.zeldadungeon.net/maps/totk/tiles/sky/6/60_48.jpg",</v>
      </c>
      <c r="H2824" t="str">
        <f t="shared" si="89"/>
        <v>60_48</v>
      </c>
    </row>
    <row r="2825" spans="1:8" x14ac:dyDescent="0.2">
      <c r="A2825" s="9" t="s">
        <v>51</v>
      </c>
      <c r="C2825" t="str">
        <f t="shared" si="88"/>
        <v>"https://www.zeldadungeon.net/maps/totk/tiles/sky/6/60_49.jpg",</v>
      </c>
      <c r="H2825" t="str">
        <f t="shared" si="89"/>
        <v>60_49</v>
      </c>
    </row>
    <row r="2826" spans="1:8" x14ac:dyDescent="0.2">
      <c r="A2826" s="9" t="s">
        <v>51</v>
      </c>
      <c r="C2826" t="str">
        <f t="shared" si="88"/>
        <v>"https://www.zeldadungeon.net/maps/totk/tiles/sky/6/60_50.jpg",</v>
      </c>
      <c r="H2826" t="str">
        <f t="shared" si="89"/>
        <v>60_50</v>
      </c>
    </row>
    <row r="2827" spans="1:8" x14ac:dyDescent="0.2">
      <c r="A2827" s="9" t="s">
        <v>51</v>
      </c>
      <c r="C2827" t="str">
        <f t="shared" si="88"/>
        <v>"https://www.zeldadungeon.net/maps/totk/tiles/sky/6/60_51.jpg",</v>
      </c>
      <c r="H2827" t="str">
        <f t="shared" si="89"/>
        <v>60_51</v>
      </c>
    </row>
    <row r="2828" spans="1:8" x14ac:dyDescent="0.2">
      <c r="A2828" s="9" t="s">
        <v>51</v>
      </c>
      <c r="C2828" t="str">
        <f t="shared" si="88"/>
        <v>"https://www.zeldadungeon.net/maps/totk/tiles/sky/6/60_52.jpg",</v>
      </c>
      <c r="H2828" t="str">
        <f t="shared" si="89"/>
        <v>60_52</v>
      </c>
    </row>
    <row r="2829" spans="1:8" x14ac:dyDescent="0.2">
      <c r="A2829" s="9" t="s">
        <v>51</v>
      </c>
      <c r="C2829" t="str">
        <f t="shared" si="88"/>
        <v>"https://www.zeldadungeon.net/maps/totk/tiles/sky/6/60_53.jpg",</v>
      </c>
      <c r="H2829" t="str">
        <f t="shared" si="89"/>
        <v>60_53</v>
      </c>
    </row>
    <row r="2830" spans="1:8" x14ac:dyDescent="0.2">
      <c r="A2830" s="9" t="s">
        <v>51</v>
      </c>
      <c r="C2830" t="str">
        <f t="shared" si="88"/>
        <v>"https://www.zeldadungeon.net/maps/totk/tiles/sky/6/60_54.jpg",</v>
      </c>
      <c r="H2830" t="str">
        <f t="shared" si="89"/>
        <v>60_54</v>
      </c>
    </row>
    <row r="2831" spans="1:8" x14ac:dyDescent="0.2">
      <c r="A2831" s="9" t="s">
        <v>51</v>
      </c>
      <c r="C2831" t="str">
        <f t="shared" si="88"/>
        <v>"https://www.zeldadungeon.net/maps/totk/tiles/sky/6/60_55.jpg",</v>
      </c>
      <c r="H2831" t="str">
        <f t="shared" si="89"/>
        <v>60_55</v>
      </c>
    </row>
    <row r="2832" spans="1:8" x14ac:dyDescent="0.2">
      <c r="A2832" s="9" t="s">
        <v>51</v>
      </c>
      <c r="C2832" t="str">
        <f t="shared" si="88"/>
        <v>"https://www.zeldadungeon.net/maps/totk/tiles/sky/6/61_8.jpg",</v>
      </c>
      <c r="H2832" t="str">
        <f t="shared" si="89"/>
        <v>61_8</v>
      </c>
    </row>
    <row r="2833" spans="1:8" x14ac:dyDescent="0.2">
      <c r="A2833" s="9" t="s">
        <v>51</v>
      </c>
      <c r="C2833" t="str">
        <f t="shared" si="88"/>
        <v>"https://www.zeldadungeon.net/maps/totk/tiles/sky/6/61_9.jpg",</v>
      </c>
      <c r="H2833" t="str">
        <f t="shared" si="89"/>
        <v>61_9</v>
      </c>
    </row>
    <row r="2834" spans="1:8" x14ac:dyDescent="0.2">
      <c r="A2834" s="9" t="s">
        <v>51</v>
      </c>
      <c r="C2834" t="str">
        <f t="shared" si="88"/>
        <v>"https://www.zeldadungeon.net/maps/totk/tiles/sky/6/61_10.jpg",</v>
      </c>
      <c r="H2834" t="str">
        <f t="shared" si="89"/>
        <v>61_10</v>
      </c>
    </row>
    <row r="2835" spans="1:8" x14ac:dyDescent="0.2">
      <c r="A2835" s="9" t="s">
        <v>51</v>
      </c>
      <c r="C2835" t="str">
        <f t="shared" si="88"/>
        <v>"https://www.zeldadungeon.net/maps/totk/tiles/sky/6/61_11.jpg",</v>
      </c>
      <c r="H2835" t="str">
        <f t="shared" si="89"/>
        <v>61_11</v>
      </c>
    </row>
    <row r="2836" spans="1:8" x14ac:dyDescent="0.2">
      <c r="A2836" s="9" t="s">
        <v>51</v>
      </c>
      <c r="C2836" t="str">
        <f t="shared" si="88"/>
        <v>"https://www.zeldadungeon.net/maps/totk/tiles/sky/6/61_12.jpg",</v>
      </c>
      <c r="H2836" t="str">
        <f t="shared" si="89"/>
        <v>61_12</v>
      </c>
    </row>
    <row r="2837" spans="1:8" x14ac:dyDescent="0.2">
      <c r="A2837" s="9" t="s">
        <v>51</v>
      </c>
      <c r="C2837" t="str">
        <f t="shared" si="88"/>
        <v>"https://www.zeldadungeon.net/maps/totk/tiles/sky/6/61_13.jpg",</v>
      </c>
      <c r="H2837" t="str">
        <f t="shared" si="89"/>
        <v>61_13</v>
      </c>
    </row>
    <row r="2838" spans="1:8" x14ac:dyDescent="0.2">
      <c r="A2838" s="9" t="s">
        <v>51</v>
      </c>
      <c r="C2838" t="str">
        <f t="shared" si="88"/>
        <v>"https://www.zeldadungeon.net/maps/totk/tiles/sky/6/61_14.jpg",</v>
      </c>
      <c r="H2838" t="str">
        <f t="shared" si="89"/>
        <v>61_14</v>
      </c>
    </row>
    <row r="2839" spans="1:8" x14ac:dyDescent="0.2">
      <c r="A2839" s="9" t="s">
        <v>51</v>
      </c>
      <c r="C2839" t="str">
        <f t="shared" si="88"/>
        <v>"https://www.zeldadungeon.net/maps/totk/tiles/sky/6/61_15.jpg",</v>
      </c>
      <c r="H2839" t="str">
        <f t="shared" si="89"/>
        <v>61_15</v>
      </c>
    </row>
    <row r="2840" spans="1:8" x14ac:dyDescent="0.2">
      <c r="A2840" s="9" t="s">
        <v>51</v>
      </c>
      <c r="C2840" t="str">
        <f t="shared" si="88"/>
        <v>"https://www.zeldadungeon.net/maps/totk/tiles/sky/6/61_16.jpg",</v>
      </c>
      <c r="H2840" t="str">
        <f t="shared" si="89"/>
        <v>61_16</v>
      </c>
    </row>
    <row r="2841" spans="1:8" x14ac:dyDescent="0.2">
      <c r="A2841" s="9" t="s">
        <v>51</v>
      </c>
      <c r="C2841" t="str">
        <f t="shared" si="88"/>
        <v>"https://www.zeldadungeon.net/maps/totk/tiles/sky/6/61_17.jpg",</v>
      </c>
      <c r="H2841" t="str">
        <f t="shared" si="89"/>
        <v>61_17</v>
      </c>
    </row>
    <row r="2842" spans="1:8" x14ac:dyDescent="0.2">
      <c r="A2842" s="9" t="s">
        <v>51</v>
      </c>
      <c r="C2842" t="str">
        <f t="shared" si="88"/>
        <v>"https://www.zeldadungeon.net/maps/totk/tiles/sky/6/61_18.jpg",</v>
      </c>
      <c r="H2842" t="str">
        <f t="shared" si="89"/>
        <v>61_18</v>
      </c>
    </row>
    <row r="2843" spans="1:8" x14ac:dyDescent="0.2">
      <c r="A2843" s="9" t="s">
        <v>51</v>
      </c>
      <c r="C2843" t="str">
        <f t="shared" si="88"/>
        <v>"https://www.zeldadungeon.net/maps/totk/tiles/sky/6/61_19.jpg",</v>
      </c>
      <c r="H2843" t="str">
        <f t="shared" si="89"/>
        <v>61_19</v>
      </c>
    </row>
    <row r="2844" spans="1:8" x14ac:dyDescent="0.2">
      <c r="A2844" s="9" t="s">
        <v>51</v>
      </c>
      <c r="C2844" t="str">
        <f t="shared" si="88"/>
        <v>"https://www.zeldadungeon.net/maps/totk/tiles/sky/6/61_20.jpg",</v>
      </c>
      <c r="H2844" t="str">
        <f t="shared" si="89"/>
        <v>61_20</v>
      </c>
    </row>
    <row r="2845" spans="1:8" x14ac:dyDescent="0.2">
      <c r="A2845" s="9" t="s">
        <v>51</v>
      </c>
      <c r="C2845" t="str">
        <f t="shared" si="88"/>
        <v>"https://www.zeldadungeon.net/maps/totk/tiles/sky/6/61_21.jpg",</v>
      </c>
      <c r="H2845" t="str">
        <f t="shared" si="89"/>
        <v>61_21</v>
      </c>
    </row>
    <row r="2846" spans="1:8" x14ac:dyDescent="0.2">
      <c r="A2846" s="9" t="s">
        <v>51</v>
      </c>
      <c r="C2846" t="str">
        <f t="shared" si="88"/>
        <v>"https://www.zeldadungeon.net/maps/totk/tiles/sky/6/61_22.jpg",</v>
      </c>
      <c r="H2846" t="str">
        <f t="shared" si="89"/>
        <v>61_22</v>
      </c>
    </row>
    <row r="2847" spans="1:8" x14ac:dyDescent="0.2">
      <c r="A2847" s="9" t="s">
        <v>51</v>
      </c>
      <c r="C2847" t="str">
        <f t="shared" si="88"/>
        <v>"https://www.zeldadungeon.net/maps/totk/tiles/sky/6/61_23.jpg",</v>
      </c>
      <c r="H2847" t="str">
        <f t="shared" si="89"/>
        <v>61_23</v>
      </c>
    </row>
    <row r="2848" spans="1:8" x14ac:dyDescent="0.2">
      <c r="A2848" s="9" t="s">
        <v>51</v>
      </c>
      <c r="C2848" t="str">
        <f t="shared" si="88"/>
        <v>"https://www.zeldadungeon.net/maps/totk/tiles/sky/6/61_24.jpg",</v>
      </c>
      <c r="H2848" t="str">
        <f t="shared" si="89"/>
        <v>61_24</v>
      </c>
    </row>
    <row r="2849" spans="1:8" x14ac:dyDescent="0.2">
      <c r="A2849" s="9" t="s">
        <v>51</v>
      </c>
      <c r="C2849" t="str">
        <f t="shared" si="88"/>
        <v>"https://www.zeldadungeon.net/maps/totk/tiles/sky/6/61_25.jpg",</v>
      </c>
      <c r="H2849" t="str">
        <f t="shared" si="89"/>
        <v>61_25</v>
      </c>
    </row>
    <row r="2850" spans="1:8" x14ac:dyDescent="0.2">
      <c r="A2850" s="9" t="s">
        <v>51</v>
      </c>
      <c r="C2850" t="str">
        <f t="shared" si="88"/>
        <v>"https://www.zeldadungeon.net/maps/totk/tiles/sky/6/61_26.jpg",</v>
      </c>
      <c r="H2850" t="str">
        <f t="shared" si="89"/>
        <v>61_26</v>
      </c>
    </row>
    <row r="2851" spans="1:8" x14ac:dyDescent="0.2">
      <c r="A2851" s="9" t="s">
        <v>51</v>
      </c>
      <c r="C2851" t="str">
        <f t="shared" si="88"/>
        <v>"https://www.zeldadungeon.net/maps/totk/tiles/sky/6/61_27.jpg",</v>
      </c>
      <c r="H2851" t="str">
        <f t="shared" si="89"/>
        <v>61_27</v>
      </c>
    </row>
    <row r="2852" spans="1:8" x14ac:dyDescent="0.2">
      <c r="A2852" s="9" t="s">
        <v>51</v>
      </c>
      <c r="C2852" t="str">
        <f t="shared" si="88"/>
        <v>"https://www.zeldadungeon.net/maps/totk/tiles/sky/6/61_28.jpg",</v>
      </c>
      <c r="H2852" t="str">
        <f t="shared" si="89"/>
        <v>61_28</v>
      </c>
    </row>
    <row r="2853" spans="1:8" x14ac:dyDescent="0.2">
      <c r="A2853" s="9" t="s">
        <v>51</v>
      </c>
      <c r="C2853" t="str">
        <f t="shared" si="88"/>
        <v>"https://www.zeldadungeon.net/maps/totk/tiles/sky/6/61_29.jpg",</v>
      </c>
      <c r="H2853" t="str">
        <f t="shared" si="89"/>
        <v>61_29</v>
      </c>
    </row>
    <row r="2854" spans="1:8" x14ac:dyDescent="0.2">
      <c r="A2854" s="9" t="s">
        <v>51</v>
      </c>
      <c r="C2854" t="str">
        <f t="shared" si="88"/>
        <v>"https://www.zeldadungeon.net/maps/totk/tiles/sky/6/61_30.jpg",</v>
      </c>
      <c r="H2854" t="str">
        <f t="shared" si="89"/>
        <v>61_30</v>
      </c>
    </row>
    <row r="2855" spans="1:8" x14ac:dyDescent="0.2">
      <c r="A2855" s="9" t="s">
        <v>51</v>
      </c>
      <c r="C2855" t="str">
        <f t="shared" si="88"/>
        <v>"https://www.zeldadungeon.net/maps/totk/tiles/sky/6/61_31.jpg",</v>
      </c>
      <c r="H2855" t="str">
        <f t="shared" si="89"/>
        <v>61_31</v>
      </c>
    </row>
    <row r="2856" spans="1:8" x14ac:dyDescent="0.2">
      <c r="A2856" s="9" t="s">
        <v>51</v>
      </c>
      <c r="C2856" t="str">
        <f t="shared" si="88"/>
        <v>"https://www.zeldadungeon.net/maps/totk/tiles/sky/6/61_32.jpg",</v>
      </c>
      <c r="H2856" t="str">
        <f t="shared" si="89"/>
        <v>61_32</v>
      </c>
    </row>
    <row r="2857" spans="1:8" x14ac:dyDescent="0.2">
      <c r="A2857" s="9" t="s">
        <v>51</v>
      </c>
      <c r="C2857" t="str">
        <f t="shared" si="88"/>
        <v>"https://www.zeldadungeon.net/maps/totk/tiles/sky/6/61_33.jpg",</v>
      </c>
      <c r="H2857" t="str">
        <f t="shared" si="89"/>
        <v>61_33</v>
      </c>
    </row>
    <row r="2858" spans="1:8" x14ac:dyDescent="0.2">
      <c r="A2858" s="9" t="s">
        <v>51</v>
      </c>
      <c r="C2858" t="str">
        <f t="shared" si="88"/>
        <v>"https://www.zeldadungeon.net/maps/totk/tiles/sky/6/61_34.jpg",</v>
      </c>
      <c r="H2858" t="str">
        <f t="shared" si="89"/>
        <v>61_34</v>
      </c>
    </row>
    <row r="2859" spans="1:8" x14ac:dyDescent="0.2">
      <c r="A2859" s="9" t="s">
        <v>51</v>
      </c>
      <c r="C2859" t="str">
        <f t="shared" si="88"/>
        <v>"https://www.zeldadungeon.net/maps/totk/tiles/sky/6/61_35.jpg",</v>
      </c>
      <c r="H2859" t="str">
        <f t="shared" si="89"/>
        <v>61_35</v>
      </c>
    </row>
    <row r="2860" spans="1:8" x14ac:dyDescent="0.2">
      <c r="A2860" s="9" t="s">
        <v>51</v>
      </c>
      <c r="C2860" t="str">
        <f t="shared" si="88"/>
        <v>"https://www.zeldadungeon.net/maps/totk/tiles/sky/6/61_36.jpg",</v>
      </c>
      <c r="H2860" t="str">
        <f t="shared" si="89"/>
        <v>61_36</v>
      </c>
    </row>
    <row r="2861" spans="1:8" x14ac:dyDescent="0.2">
      <c r="A2861" s="9" t="s">
        <v>51</v>
      </c>
      <c r="C2861" t="str">
        <f t="shared" si="88"/>
        <v>"https://www.zeldadungeon.net/maps/totk/tiles/sky/6/61_37.jpg",</v>
      </c>
      <c r="H2861" t="str">
        <f t="shared" si="89"/>
        <v>61_37</v>
      </c>
    </row>
    <row r="2862" spans="1:8" x14ac:dyDescent="0.2">
      <c r="A2862" s="9" t="s">
        <v>51</v>
      </c>
      <c r="C2862" t="str">
        <f t="shared" si="88"/>
        <v>"https://www.zeldadungeon.net/maps/totk/tiles/sky/6/61_38.jpg",</v>
      </c>
      <c r="H2862" t="str">
        <f t="shared" si="89"/>
        <v>61_38</v>
      </c>
    </row>
    <row r="2863" spans="1:8" x14ac:dyDescent="0.2">
      <c r="A2863" s="9" t="s">
        <v>51</v>
      </c>
      <c r="C2863" t="str">
        <f t="shared" si="88"/>
        <v>"https://www.zeldadungeon.net/maps/totk/tiles/sky/6/61_39.jpg",</v>
      </c>
      <c r="H2863" t="str">
        <f t="shared" si="89"/>
        <v>61_39</v>
      </c>
    </row>
    <row r="2864" spans="1:8" x14ac:dyDescent="0.2">
      <c r="A2864" s="9" t="s">
        <v>51</v>
      </c>
      <c r="C2864" t="str">
        <f t="shared" si="88"/>
        <v>"https://www.zeldadungeon.net/maps/totk/tiles/sky/6/61_40.jpg",</v>
      </c>
      <c r="H2864" t="str">
        <f t="shared" si="89"/>
        <v>61_40</v>
      </c>
    </row>
    <row r="2865" spans="1:8" x14ac:dyDescent="0.2">
      <c r="A2865" s="9" t="s">
        <v>51</v>
      </c>
      <c r="C2865" t="str">
        <f t="shared" si="88"/>
        <v>"https://www.zeldadungeon.net/maps/totk/tiles/sky/6/61_41.jpg",</v>
      </c>
      <c r="H2865" t="str">
        <f t="shared" si="89"/>
        <v>61_41</v>
      </c>
    </row>
    <row r="2866" spans="1:8" x14ac:dyDescent="0.2">
      <c r="A2866" s="9" t="s">
        <v>51</v>
      </c>
      <c r="C2866" t="str">
        <f t="shared" si="88"/>
        <v>"https://www.zeldadungeon.net/maps/totk/tiles/sky/6/61_42.jpg",</v>
      </c>
      <c r="H2866" t="str">
        <f t="shared" si="89"/>
        <v>61_42</v>
      </c>
    </row>
    <row r="2867" spans="1:8" x14ac:dyDescent="0.2">
      <c r="A2867" s="9" t="s">
        <v>51</v>
      </c>
      <c r="C2867" t="str">
        <f t="shared" si="88"/>
        <v>"https://www.zeldadungeon.net/maps/totk/tiles/sky/6/61_43.jpg",</v>
      </c>
      <c r="H2867" t="str">
        <f t="shared" si="89"/>
        <v>61_43</v>
      </c>
    </row>
    <row r="2868" spans="1:8" x14ac:dyDescent="0.2">
      <c r="A2868" s="9" t="s">
        <v>51</v>
      </c>
      <c r="C2868" t="str">
        <f t="shared" si="88"/>
        <v>"https://www.zeldadungeon.net/maps/totk/tiles/sky/6/61_44.jpg",</v>
      </c>
      <c r="H2868" t="str">
        <f t="shared" si="89"/>
        <v>61_44</v>
      </c>
    </row>
    <row r="2869" spans="1:8" x14ac:dyDescent="0.2">
      <c r="A2869" s="9" t="s">
        <v>51</v>
      </c>
      <c r="C2869" t="str">
        <f t="shared" si="88"/>
        <v>"https://www.zeldadungeon.net/maps/totk/tiles/sky/6/61_45.jpg",</v>
      </c>
      <c r="H2869" t="str">
        <f t="shared" si="89"/>
        <v>61_45</v>
      </c>
    </row>
    <row r="2870" spans="1:8" x14ac:dyDescent="0.2">
      <c r="A2870" s="9" t="s">
        <v>51</v>
      </c>
      <c r="C2870" t="str">
        <f t="shared" si="88"/>
        <v>"https://www.zeldadungeon.net/maps/totk/tiles/sky/6/61_46.jpg",</v>
      </c>
      <c r="H2870" t="str">
        <f t="shared" si="89"/>
        <v>61_46</v>
      </c>
    </row>
    <row r="2871" spans="1:8" x14ac:dyDescent="0.2">
      <c r="A2871" s="9" t="s">
        <v>51</v>
      </c>
      <c r="C2871" t="str">
        <f t="shared" si="88"/>
        <v>"https://www.zeldadungeon.net/maps/totk/tiles/sky/6/61_47.jpg",</v>
      </c>
      <c r="H2871" t="str">
        <f t="shared" si="89"/>
        <v>61_47</v>
      </c>
    </row>
    <row r="2872" spans="1:8" x14ac:dyDescent="0.2">
      <c r="A2872" s="9" t="s">
        <v>51</v>
      </c>
      <c r="C2872" t="str">
        <f t="shared" si="88"/>
        <v>"https://www.zeldadungeon.net/maps/totk/tiles/sky/6/61_48.jpg",</v>
      </c>
      <c r="H2872" t="str">
        <f t="shared" si="89"/>
        <v>61_48</v>
      </c>
    </row>
    <row r="2873" spans="1:8" x14ac:dyDescent="0.2">
      <c r="A2873" s="9" t="s">
        <v>51</v>
      </c>
      <c r="C2873" t="str">
        <f t="shared" si="88"/>
        <v>"https://www.zeldadungeon.net/maps/totk/tiles/sky/6/61_49.jpg",</v>
      </c>
      <c r="H2873" t="str">
        <f t="shared" si="89"/>
        <v>61_49</v>
      </c>
    </row>
    <row r="2874" spans="1:8" x14ac:dyDescent="0.2">
      <c r="A2874" s="9" t="s">
        <v>51</v>
      </c>
      <c r="C2874" t="str">
        <f t="shared" si="88"/>
        <v>"https://www.zeldadungeon.net/maps/totk/tiles/sky/6/61_50.jpg",</v>
      </c>
      <c r="H2874" t="str">
        <f t="shared" si="89"/>
        <v>61_50</v>
      </c>
    </row>
    <row r="2875" spans="1:8" x14ac:dyDescent="0.2">
      <c r="A2875" s="9" t="s">
        <v>51</v>
      </c>
      <c r="C2875" t="str">
        <f t="shared" si="88"/>
        <v>"https://www.zeldadungeon.net/maps/totk/tiles/sky/6/61_51.jpg",</v>
      </c>
      <c r="H2875" t="str">
        <f t="shared" si="89"/>
        <v>61_51</v>
      </c>
    </row>
    <row r="2876" spans="1:8" x14ac:dyDescent="0.2">
      <c r="A2876" s="9" t="s">
        <v>51</v>
      </c>
      <c r="C2876" t="str">
        <f t="shared" si="88"/>
        <v>"https://www.zeldadungeon.net/maps/totk/tiles/sky/6/61_52.jpg",</v>
      </c>
      <c r="H2876" t="str">
        <f t="shared" si="89"/>
        <v>61_52</v>
      </c>
    </row>
    <row r="2877" spans="1:8" x14ac:dyDescent="0.2">
      <c r="A2877" s="9" t="s">
        <v>51</v>
      </c>
      <c r="C2877" t="str">
        <f t="shared" si="88"/>
        <v>"https://www.zeldadungeon.net/maps/totk/tiles/sky/6/61_53.jpg",</v>
      </c>
      <c r="H2877" t="str">
        <f t="shared" si="89"/>
        <v>61_53</v>
      </c>
    </row>
    <row r="2878" spans="1:8" x14ac:dyDescent="0.2">
      <c r="A2878" s="9" t="s">
        <v>51</v>
      </c>
      <c r="C2878" t="str">
        <f t="shared" si="88"/>
        <v>"https://www.zeldadungeon.net/maps/totk/tiles/sky/6/61_54.jpg",</v>
      </c>
      <c r="H2878" t="str">
        <f t="shared" si="89"/>
        <v>61_54</v>
      </c>
    </row>
    <row r="2879" spans="1:8" x14ac:dyDescent="0.2">
      <c r="A2879" s="9" t="s">
        <v>51</v>
      </c>
      <c r="C2879" t="str">
        <f t="shared" si="88"/>
        <v>"https://www.zeldadungeon.net/maps/totk/tiles/sky/6/61_55.jpg",</v>
      </c>
      <c r="H2879" t="str">
        <f t="shared" si="89"/>
        <v>61_55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792ED-274A-224B-BA43-D6440643BF06}">
  <sheetPr codeName="Sheet19"/>
  <dimension ref="A1:AG52"/>
  <sheetViews>
    <sheetView topLeftCell="R1" workbookViewId="0">
      <selection activeCell="AD10" sqref="AD10"/>
    </sheetView>
  </sheetViews>
  <sheetFormatPr baseColWidth="10" defaultRowHeight="16" x14ac:dyDescent="0.2"/>
  <cols>
    <col min="1" max="5" width="10.83203125" style="2"/>
    <col min="6" max="6" width="5" style="2" customWidth="1"/>
    <col min="7" max="11" width="10.83203125" style="2"/>
    <col min="12" max="13" width="11" style="2" bestFit="1" customWidth="1"/>
    <col min="14" max="15" width="13.33203125" style="2" bestFit="1" customWidth="1"/>
    <col min="16" max="17" width="11" style="2" bestFit="1" customWidth="1"/>
    <col min="18" max="19" width="13.33203125" style="2" bestFit="1" customWidth="1"/>
    <col min="20" max="27" width="10.83203125" style="2"/>
    <col min="28" max="28" width="10.83203125" style="2" customWidth="1"/>
    <col min="29" max="29" width="10.83203125" style="2"/>
    <col min="30" max="30" width="33.6640625" style="2" bestFit="1" customWidth="1"/>
    <col min="31" max="16384" width="10.83203125" style="2"/>
  </cols>
  <sheetData>
    <row r="1" spans="1:33" s="4" customFormat="1" x14ac:dyDescent="0.2">
      <c r="A1" s="4" t="s">
        <v>8</v>
      </c>
      <c r="B1" s="4" t="s">
        <v>7</v>
      </c>
      <c r="C1" s="4" t="s">
        <v>33</v>
      </c>
      <c r="D1" s="4" t="s">
        <v>5</v>
      </c>
      <c r="E1" s="4" t="s">
        <v>32</v>
      </c>
      <c r="L1" s="4" t="s">
        <v>50</v>
      </c>
      <c r="M1" s="4" t="s">
        <v>49</v>
      </c>
      <c r="N1" s="4" t="s">
        <v>48</v>
      </c>
      <c r="O1" s="4" t="s">
        <v>47</v>
      </c>
      <c r="P1" s="4" t="s">
        <v>46</v>
      </c>
      <c r="Q1" s="4" t="s">
        <v>45</v>
      </c>
      <c r="R1" s="4" t="s">
        <v>44</v>
      </c>
      <c r="S1" s="4" t="s">
        <v>43</v>
      </c>
      <c r="T1" s="4" t="s">
        <v>42</v>
      </c>
      <c r="U1" s="4" t="s">
        <v>41</v>
      </c>
      <c r="V1" s="4" t="s">
        <v>40</v>
      </c>
      <c r="W1" s="4" t="s">
        <v>39</v>
      </c>
      <c r="X1" s="4" t="s">
        <v>38</v>
      </c>
      <c r="Y1" s="4" t="s">
        <v>37</v>
      </c>
      <c r="Z1" s="4" t="s">
        <v>36</v>
      </c>
      <c r="AA1" s="4" t="s">
        <v>35</v>
      </c>
      <c r="AB1" s="4" t="s">
        <v>2108</v>
      </c>
      <c r="AC1" s="4" t="s">
        <v>2109</v>
      </c>
      <c r="AD1" s="4" t="s">
        <v>2119</v>
      </c>
      <c r="AE1" s="4" t="s">
        <v>8</v>
      </c>
    </row>
    <row r="2" spans="1:33" x14ac:dyDescent="0.2">
      <c r="A2" s="3">
        <v>1</v>
      </c>
      <c r="K2" s="2">
        <v>1</v>
      </c>
      <c r="L2" s="8">
        <v>2756</v>
      </c>
      <c r="M2" s="8">
        <v>1463</v>
      </c>
      <c r="N2" s="8">
        <v>-43</v>
      </c>
      <c r="O2" s="8">
        <v>528</v>
      </c>
      <c r="P2" s="8">
        <v>1653</v>
      </c>
      <c r="Q2" s="8">
        <v>986</v>
      </c>
      <c r="R2" s="8">
        <v>-778</v>
      </c>
      <c r="S2" s="8">
        <v>846</v>
      </c>
      <c r="T2" s="8">
        <f>L2-P2</f>
        <v>1103</v>
      </c>
      <c r="U2" s="8">
        <f>M2-Q2</f>
        <v>477</v>
      </c>
      <c r="V2" s="8">
        <f>N2-R2</f>
        <v>735</v>
      </c>
      <c r="W2" s="8">
        <f>O2-S2</f>
        <v>-318</v>
      </c>
      <c r="X2" s="2">
        <f>ABS(V2)/ABS(T2)</f>
        <v>0.6663644605621033</v>
      </c>
      <c r="Y2" s="2">
        <f>ABS(W2)/ABS(U2)</f>
        <v>0.66666666666666663</v>
      </c>
      <c r="Z2" s="2">
        <f>AVERAGE(N2-L2*0.666666666,R2-P2*0.666666666)</f>
        <v>-1880.1666651969999</v>
      </c>
      <c r="AA2" s="2">
        <f>AVERAGE(O2+M2*0.666666666,S2+Q2*0.666666666)</f>
        <v>1503.3333325170001</v>
      </c>
      <c r="AB2" s="2">
        <f>(N2-L2*0.666666666)-(R2-P2*0.666666666)</f>
        <v>-0.33333259799996995</v>
      </c>
      <c r="AC2" s="2">
        <f>(O2+M2*0.666666666)-(S2+Q2*0.666666666)</f>
        <v>-3.1800004762772005E-7</v>
      </c>
      <c r="AD2" s="7" t="str">
        <f>"gameStartX: "&amp;ROUND(Z2,0)&amp;", gameStartY: "&amp;ROUND(AA2,0)&amp;" },"</f>
        <v>gameStartX: -1880, gameStartY: 1503 },</v>
      </c>
      <c r="AE2" t="s">
        <v>2110</v>
      </c>
      <c r="AF2"/>
      <c r="AG2"/>
    </row>
    <row r="3" spans="1:33" x14ac:dyDescent="0.2">
      <c r="A3" s="3">
        <v>2</v>
      </c>
      <c r="K3" s="2">
        <v>2</v>
      </c>
      <c r="L3" s="8">
        <v>2915</v>
      </c>
      <c r="M3" s="8">
        <v>2371</v>
      </c>
      <c r="N3" s="8">
        <v>-1251</v>
      </c>
      <c r="O3" s="8">
        <v>-1392</v>
      </c>
      <c r="P3" s="8">
        <v>2813</v>
      </c>
      <c r="Q3" s="8">
        <v>1431</v>
      </c>
      <c r="R3" s="8">
        <v>-1319</v>
      </c>
      <c r="S3" s="8">
        <v>-765</v>
      </c>
      <c r="T3" s="8">
        <f t="shared" ref="T3:T4" si="0">L3-P3</f>
        <v>102</v>
      </c>
      <c r="U3" s="8">
        <f t="shared" ref="U3:U4" si="1">M3-Q3</f>
        <v>940</v>
      </c>
      <c r="V3" s="8">
        <f t="shared" ref="V3:V4" si="2">N3-R3</f>
        <v>68</v>
      </c>
      <c r="W3" s="8">
        <f t="shared" ref="W3:W4" si="3">O3-S3</f>
        <v>-627</v>
      </c>
      <c r="X3" s="2">
        <f>ABS(V3)/ABS(T3)</f>
        <v>0.66666666666666663</v>
      </c>
      <c r="Y3" s="2">
        <f t="shared" ref="Y3:Y4" si="4">ABS(W3)/ABS(U3)</f>
        <v>0.66702127659574473</v>
      </c>
      <c r="Z3" s="2">
        <f t="shared" ref="Z3:Z16" si="5">AVERAGE(N3-L3*0.666666666,R3-P3*0.666666666)</f>
        <v>-3194.3333314239999</v>
      </c>
      <c r="AA3" s="2">
        <f t="shared" ref="AA3:AA16" si="6">AVERAGE(O3+M3*0.666666666,S3+Q3*0.666666666)</f>
        <v>188.83333206599997</v>
      </c>
      <c r="AB3" s="2">
        <f t="shared" ref="AB3:AB16" si="7">(N3-L3*0.666666666)-(R3-P3*0.666666666)</f>
        <v>6.7999735620105639E-8</v>
      </c>
      <c r="AC3" s="2">
        <f t="shared" ref="AC3:AC16" si="8">(O3+M3*0.666666666)-(S3+Q3*0.666666666)</f>
        <v>-0.33333396000000448</v>
      </c>
      <c r="AD3" s="7" t="str">
        <f t="shared" ref="AD3:AD16" si="9">"gameStartX: "&amp;ROUND(Z3,0)&amp;", gameStartY: "&amp;ROUND(AA3,0)&amp;" },"</f>
        <v>gameStartX: -3194, gameStartY: 189 },</v>
      </c>
      <c r="AE3" t="s">
        <v>2111</v>
      </c>
      <c r="AF3"/>
      <c r="AG3"/>
    </row>
    <row r="4" spans="1:33" x14ac:dyDescent="0.2">
      <c r="A4" s="3">
        <v>3</v>
      </c>
      <c r="K4" s="2">
        <v>3</v>
      </c>
      <c r="L4" s="8">
        <v>3905</v>
      </c>
      <c r="M4" s="8">
        <v>2642</v>
      </c>
      <c r="N4" s="8">
        <v>-1909</v>
      </c>
      <c r="O4" s="8">
        <v>1247</v>
      </c>
      <c r="P4" s="8">
        <v>3330</v>
      </c>
      <c r="Q4" s="8">
        <v>3158</v>
      </c>
      <c r="R4" s="8">
        <v>-2292</v>
      </c>
      <c r="S4" s="8">
        <v>903</v>
      </c>
      <c r="T4" s="8">
        <f t="shared" si="0"/>
        <v>575</v>
      </c>
      <c r="U4" s="8">
        <f t="shared" si="1"/>
        <v>-516</v>
      </c>
      <c r="V4" s="8">
        <f t="shared" si="2"/>
        <v>383</v>
      </c>
      <c r="W4" s="8">
        <f t="shared" si="3"/>
        <v>344</v>
      </c>
      <c r="X4" s="2">
        <f t="shared" ref="X4" si="10">ABS(V4)/ABS(T4)</f>
        <v>0.6660869565217391</v>
      </c>
      <c r="Y4" s="2">
        <f t="shared" si="4"/>
        <v>0.66666666666666663</v>
      </c>
      <c r="Z4" s="2">
        <f t="shared" si="5"/>
        <v>-4512.1666642549999</v>
      </c>
      <c r="AA4" s="2">
        <f t="shared" si="6"/>
        <v>3008.3333314000001</v>
      </c>
      <c r="AB4" s="2">
        <f t="shared" si="7"/>
        <v>-0.33333295000011276</v>
      </c>
      <c r="AC4" s="2">
        <f t="shared" si="8"/>
        <v>3.4400000004097819E-7</v>
      </c>
      <c r="AD4" s="7" t="str">
        <f t="shared" si="9"/>
        <v>gameStartX: -4512, gameStartY: 3008 },</v>
      </c>
      <c r="AE4" t="s">
        <v>787</v>
      </c>
      <c r="AF4"/>
      <c r="AG4"/>
    </row>
    <row r="5" spans="1:33" x14ac:dyDescent="0.2">
      <c r="A5" s="3">
        <v>4</v>
      </c>
      <c r="B5" s="2">
        <v>2</v>
      </c>
      <c r="C5" s="2">
        <v>7</v>
      </c>
      <c r="D5" s="2">
        <v>1</v>
      </c>
      <c r="E5" s="2">
        <v>8</v>
      </c>
      <c r="K5" s="2">
        <v>4</v>
      </c>
      <c r="L5" s="8">
        <v>1445</v>
      </c>
      <c r="M5" s="8">
        <v>2017</v>
      </c>
      <c r="N5" s="8">
        <v>-3924</v>
      </c>
      <c r="O5" s="8">
        <v>2790</v>
      </c>
      <c r="P5" s="8">
        <v>2702</v>
      </c>
      <c r="Q5" s="8">
        <v>3023</v>
      </c>
      <c r="R5" s="8">
        <v>-3087</v>
      </c>
      <c r="S5" s="8">
        <v>2120</v>
      </c>
      <c r="T5" s="8">
        <f>L5-P5</f>
        <v>-1257</v>
      </c>
      <c r="U5" s="8">
        <f>M5-Q5</f>
        <v>-1006</v>
      </c>
      <c r="V5" s="8">
        <f>N5-R5</f>
        <v>-837</v>
      </c>
      <c r="W5" s="8">
        <f>O5-S5</f>
        <v>670</v>
      </c>
      <c r="X5" s="2">
        <f>ABS(V5)/ABS(T5)</f>
        <v>0.66587112171837703</v>
      </c>
      <c r="Y5" s="2">
        <f>ABS(W5)/ABS(U5)</f>
        <v>0.66600397614314111</v>
      </c>
      <c r="Z5" s="2">
        <f t="shared" si="5"/>
        <v>-4887.8333319510002</v>
      </c>
      <c r="AA5" s="2">
        <f t="shared" si="6"/>
        <v>4134.9999983199996</v>
      </c>
      <c r="AB5" s="2">
        <f t="shared" si="7"/>
        <v>0.99999916199976724</v>
      </c>
      <c r="AC5" s="2">
        <f t="shared" si="8"/>
        <v>-0.66666599600011978</v>
      </c>
      <c r="AD5" s="7" t="str">
        <f t="shared" si="9"/>
        <v>gameStartX: -4888, gameStartY: 4135 },</v>
      </c>
      <c r="AE5" t="s">
        <v>800</v>
      </c>
      <c r="AF5"/>
      <c r="AG5"/>
    </row>
    <row r="6" spans="1:33" x14ac:dyDescent="0.2">
      <c r="A6" s="3">
        <v>5</v>
      </c>
      <c r="K6" s="2">
        <v>5</v>
      </c>
      <c r="L6" s="8">
        <v>3571</v>
      </c>
      <c r="M6" s="8">
        <v>902</v>
      </c>
      <c r="N6" s="8">
        <v>-815</v>
      </c>
      <c r="O6" s="8">
        <v>3535</v>
      </c>
      <c r="P6" s="8">
        <v>2894</v>
      </c>
      <c r="Q6" s="8">
        <v>1524</v>
      </c>
      <c r="R6" s="8">
        <v>-1267</v>
      </c>
      <c r="S6" s="8">
        <v>3120</v>
      </c>
      <c r="T6" s="8">
        <f t="shared" ref="T6:T16" si="11">L6-P6</f>
        <v>677</v>
      </c>
      <c r="U6" s="8">
        <f t="shared" ref="U6:U16" si="12">M6-Q6</f>
        <v>-622</v>
      </c>
      <c r="V6" s="8">
        <f t="shared" ref="V6:V16" si="13">N6-R6</f>
        <v>452</v>
      </c>
      <c r="W6" s="8">
        <f t="shared" ref="W6:W16" si="14">O6-S6</f>
        <v>415</v>
      </c>
      <c r="X6" s="2">
        <f t="shared" ref="X6:X16" si="15">ABS(V6)/ABS(T6)</f>
        <v>0.66765140324963068</v>
      </c>
      <c r="Y6" s="2">
        <f t="shared" ref="Y6:Y16" si="16">ABS(W6)/ABS(U6)</f>
        <v>0.66720257234726688</v>
      </c>
      <c r="Z6" s="2">
        <f t="shared" si="5"/>
        <v>-3195.9999978450001</v>
      </c>
      <c r="AA6" s="2">
        <f t="shared" si="6"/>
        <v>4136.1666658579998</v>
      </c>
      <c r="AB6" s="2">
        <f t="shared" si="7"/>
        <v>0.66666711800007761</v>
      </c>
      <c r="AC6" s="2">
        <f t="shared" si="8"/>
        <v>0.33333374799985904</v>
      </c>
      <c r="AD6" s="7" t="str">
        <f t="shared" si="9"/>
        <v>gameStartX: -3196, gameStartY: 4136 },</v>
      </c>
      <c r="AE6" t="s">
        <v>1684</v>
      </c>
      <c r="AF6"/>
      <c r="AG6"/>
    </row>
    <row r="7" spans="1:33" x14ac:dyDescent="0.2">
      <c r="A7" s="3">
        <v>6</v>
      </c>
      <c r="K7" s="2">
        <v>6</v>
      </c>
      <c r="L7" s="8">
        <v>1119</v>
      </c>
      <c r="M7" s="8">
        <v>2339</v>
      </c>
      <c r="N7" s="8">
        <v>-570</v>
      </c>
      <c r="O7" s="8">
        <v>2577</v>
      </c>
      <c r="P7" s="8">
        <v>1593</v>
      </c>
      <c r="Q7" s="8">
        <v>2955</v>
      </c>
      <c r="R7" s="8">
        <v>-253</v>
      </c>
      <c r="S7" s="8">
        <v>2165</v>
      </c>
      <c r="T7" s="8">
        <f>L7-P7</f>
        <v>-474</v>
      </c>
      <c r="U7" s="8">
        <f>M7-Q7</f>
        <v>-616</v>
      </c>
      <c r="V7" s="8">
        <f t="shared" si="13"/>
        <v>-317</v>
      </c>
      <c r="W7" s="8">
        <f t="shared" si="14"/>
        <v>412</v>
      </c>
      <c r="X7" s="2">
        <f>ABS(V7)/ABS(T7)</f>
        <v>0.66877637130801693</v>
      </c>
      <c r="Y7" s="2">
        <f t="shared" si="16"/>
        <v>0.66883116883116878</v>
      </c>
      <c r="Z7" s="2">
        <f t="shared" si="5"/>
        <v>-1315.499999096</v>
      </c>
      <c r="AA7" s="2">
        <f t="shared" si="6"/>
        <v>4135.6666649019999</v>
      </c>
      <c r="AB7" s="2">
        <f t="shared" si="7"/>
        <v>-1.0000003160000688</v>
      </c>
      <c r="AC7" s="2">
        <f t="shared" si="8"/>
        <v>1.3333337439999013</v>
      </c>
      <c r="AD7" s="7" t="str">
        <f t="shared" si="9"/>
        <v>gameStartX: -1315, gameStartY: 4136 },</v>
      </c>
      <c r="AE7" t="s">
        <v>789</v>
      </c>
      <c r="AF7"/>
      <c r="AG7"/>
    </row>
    <row r="8" spans="1:33" x14ac:dyDescent="0.2">
      <c r="A8" s="3">
        <v>7</v>
      </c>
      <c r="K8" s="2">
        <v>7</v>
      </c>
      <c r="L8" s="8">
        <v>2835</v>
      </c>
      <c r="M8" s="8">
        <v>1777</v>
      </c>
      <c r="N8" s="8">
        <v>2266</v>
      </c>
      <c r="O8" s="8">
        <v>2951</v>
      </c>
      <c r="P8" s="8">
        <v>3174</v>
      </c>
      <c r="Q8" s="8">
        <v>2818</v>
      </c>
      <c r="R8" s="8">
        <v>2492</v>
      </c>
      <c r="S8" s="8">
        <v>2257</v>
      </c>
      <c r="T8" s="8">
        <f t="shared" si="11"/>
        <v>-339</v>
      </c>
      <c r="U8" s="8">
        <f t="shared" si="12"/>
        <v>-1041</v>
      </c>
      <c r="V8" s="8">
        <f t="shared" si="13"/>
        <v>-226</v>
      </c>
      <c r="W8" s="8">
        <f t="shared" si="14"/>
        <v>694</v>
      </c>
      <c r="X8" s="2">
        <f t="shared" si="15"/>
        <v>0.66666666666666663</v>
      </c>
      <c r="Y8" s="2">
        <f t="shared" si="16"/>
        <v>0.66666666666666663</v>
      </c>
      <c r="Z8" s="2">
        <f t="shared" si="5"/>
        <v>376.00000200299996</v>
      </c>
      <c r="AA8" s="2">
        <f t="shared" si="6"/>
        <v>4135.6666651350006</v>
      </c>
      <c r="AB8" s="2">
        <f t="shared" si="7"/>
        <v>-2.2599988369620405E-7</v>
      </c>
      <c r="AC8" s="2">
        <f t="shared" si="8"/>
        <v>6.9399993662955239E-7</v>
      </c>
      <c r="AD8" s="7" t="str">
        <f t="shared" si="9"/>
        <v>gameStartX: 376, gameStartY: 4136 },</v>
      </c>
      <c r="AE8" t="s">
        <v>1252</v>
      </c>
      <c r="AF8"/>
      <c r="AG8"/>
    </row>
    <row r="9" spans="1:33" x14ac:dyDescent="0.2">
      <c r="A9" s="3">
        <v>8</v>
      </c>
      <c r="K9" s="2">
        <v>8</v>
      </c>
      <c r="L9" s="8">
        <v>2003</v>
      </c>
      <c r="M9" s="8">
        <v>3787</v>
      </c>
      <c r="N9" s="8">
        <v>3968</v>
      </c>
      <c r="O9" s="8">
        <v>1612</v>
      </c>
      <c r="P9" s="8">
        <v>966</v>
      </c>
      <c r="Q9" s="8">
        <v>1173</v>
      </c>
      <c r="R9" s="8">
        <v>3277</v>
      </c>
      <c r="S9" s="8">
        <v>3354</v>
      </c>
      <c r="T9" s="8">
        <f t="shared" si="11"/>
        <v>1037</v>
      </c>
      <c r="U9" s="8">
        <f t="shared" si="12"/>
        <v>2614</v>
      </c>
      <c r="V9" s="8">
        <f t="shared" si="13"/>
        <v>691</v>
      </c>
      <c r="W9" s="8">
        <f t="shared" si="14"/>
        <v>-1742</v>
      </c>
      <c r="X9" s="2">
        <f t="shared" si="15"/>
        <v>0.66634522661523621</v>
      </c>
      <c r="Y9" s="2">
        <f t="shared" si="16"/>
        <v>0.66641162968630452</v>
      </c>
      <c r="Z9" s="2">
        <f t="shared" si="5"/>
        <v>2632.8333343229997</v>
      </c>
      <c r="AA9" s="2">
        <f t="shared" si="6"/>
        <v>4136.3333316799999</v>
      </c>
      <c r="AB9" s="2">
        <f t="shared" si="7"/>
        <v>-0.33333264200018675</v>
      </c>
      <c r="AC9" s="2">
        <f t="shared" si="8"/>
        <v>0.66666492399963317</v>
      </c>
      <c r="AD9" s="7" t="str">
        <f t="shared" si="9"/>
        <v>gameStartX: 2633, gameStartY: 4136 },</v>
      </c>
      <c r="AE9" t="s">
        <v>1113</v>
      </c>
      <c r="AF9"/>
      <c r="AG9"/>
    </row>
    <row r="10" spans="1:33" x14ac:dyDescent="0.2">
      <c r="A10" s="3">
        <v>9</v>
      </c>
      <c r="K10" s="2">
        <v>9</v>
      </c>
      <c r="L10" s="8">
        <v>2702</v>
      </c>
      <c r="M10" s="8">
        <v>2102</v>
      </c>
      <c r="N10" s="8">
        <v>3305</v>
      </c>
      <c r="O10" s="8">
        <v>478</v>
      </c>
      <c r="P10" s="8">
        <v>1442</v>
      </c>
      <c r="Q10" s="8">
        <v>1666</v>
      </c>
      <c r="R10" s="8">
        <v>2465</v>
      </c>
      <c r="S10" s="8">
        <v>769</v>
      </c>
      <c r="T10" s="8">
        <f t="shared" si="11"/>
        <v>1260</v>
      </c>
      <c r="U10" s="8">
        <f t="shared" si="12"/>
        <v>436</v>
      </c>
      <c r="V10" s="8">
        <f t="shared" si="13"/>
        <v>840</v>
      </c>
      <c r="W10" s="8">
        <f t="shared" si="14"/>
        <v>-291</v>
      </c>
      <c r="X10" s="2">
        <f>ABS(V10)/ABS(T10)</f>
        <v>0.66666666666666663</v>
      </c>
      <c r="Y10" s="2">
        <f t="shared" si="16"/>
        <v>0.66743119266055051</v>
      </c>
      <c r="Z10" s="2">
        <f t="shared" si="5"/>
        <v>1503.666668048</v>
      </c>
      <c r="AA10" s="2">
        <f t="shared" si="6"/>
        <v>1879.4999987440001</v>
      </c>
      <c r="AB10" s="2">
        <f t="shared" si="7"/>
        <v>8.399997568631079E-7</v>
      </c>
      <c r="AC10" s="2">
        <f t="shared" si="8"/>
        <v>-0.33333362400003352</v>
      </c>
      <c r="AD10" s="7" t="str">
        <f t="shared" si="9"/>
        <v>gameStartX: 1504, gameStartY: 1879 },</v>
      </c>
      <c r="AE10" t="s">
        <v>2118</v>
      </c>
      <c r="AF10"/>
      <c r="AG10"/>
    </row>
    <row r="11" spans="1:33" x14ac:dyDescent="0.2">
      <c r="A11" s="3">
        <v>10</v>
      </c>
      <c r="K11" s="2">
        <v>10</v>
      </c>
      <c r="L11" s="8">
        <v>2692</v>
      </c>
      <c r="M11" s="8">
        <v>4611</v>
      </c>
      <c r="N11" s="8">
        <v>1795</v>
      </c>
      <c r="O11" s="8">
        <v>-1571</v>
      </c>
      <c r="P11" s="8">
        <v>3020</v>
      </c>
      <c r="Q11" s="8">
        <v>3372</v>
      </c>
      <c r="R11" s="8">
        <v>2014</v>
      </c>
      <c r="S11" s="8">
        <v>-745</v>
      </c>
      <c r="T11" s="8">
        <f t="shared" si="11"/>
        <v>-328</v>
      </c>
      <c r="U11" s="8">
        <f t="shared" si="12"/>
        <v>1239</v>
      </c>
      <c r="V11" s="8">
        <f t="shared" si="13"/>
        <v>-219</v>
      </c>
      <c r="W11" s="8">
        <f t="shared" si="14"/>
        <v>-826</v>
      </c>
      <c r="X11" s="2">
        <f t="shared" si="15"/>
        <v>0.66768292682926833</v>
      </c>
      <c r="Y11" s="2">
        <f t="shared" si="16"/>
        <v>0.66666666666666663</v>
      </c>
      <c r="Z11" s="2">
        <f t="shared" si="5"/>
        <v>0.50000190399998701</v>
      </c>
      <c r="AA11" s="2">
        <f t="shared" si="6"/>
        <v>1502.9999973390002</v>
      </c>
      <c r="AB11" s="2">
        <f t="shared" si="7"/>
        <v>-0.33333355199988546</v>
      </c>
      <c r="AC11" s="2">
        <f t="shared" si="8"/>
        <v>-8.2599990491871722E-7</v>
      </c>
      <c r="AD11" s="7" t="str">
        <f t="shared" si="9"/>
        <v>gameStartX: 1, gameStartY: 1503 },</v>
      </c>
      <c r="AE11" t="s">
        <v>2117</v>
      </c>
      <c r="AF11"/>
      <c r="AG11"/>
    </row>
    <row r="12" spans="1:33" x14ac:dyDescent="0.2">
      <c r="A12" s="3">
        <v>11</v>
      </c>
      <c r="K12" s="2">
        <v>11</v>
      </c>
      <c r="L12" s="8">
        <v>2807</v>
      </c>
      <c r="M12" s="8">
        <v>3071</v>
      </c>
      <c r="N12" s="8">
        <v>3751</v>
      </c>
      <c r="O12" s="8">
        <v>-2047</v>
      </c>
      <c r="P12" s="8">
        <v>2947</v>
      </c>
      <c r="Q12" s="8">
        <v>1972</v>
      </c>
      <c r="R12" s="8">
        <v>3844</v>
      </c>
      <c r="S12" s="8">
        <v>-1314</v>
      </c>
      <c r="T12" s="8">
        <f t="shared" si="11"/>
        <v>-140</v>
      </c>
      <c r="U12" s="8">
        <f t="shared" si="12"/>
        <v>1099</v>
      </c>
      <c r="V12" s="8">
        <f t="shared" si="13"/>
        <v>-93</v>
      </c>
      <c r="W12" s="8">
        <f t="shared" si="14"/>
        <v>-733</v>
      </c>
      <c r="X12" s="2">
        <f t="shared" si="15"/>
        <v>0.66428571428571426</v>
      </c>
      <c r="Y12" s="2">
        <f t="shared" si="16"/>
        <v>0.66696997270245673</v>
      </c>
      <c r="Z12" s="2">
        <f t="shared" si="5"/>
        <v>1879.5000019179997</v>
      </c>
      <c r="AA12" s="2">
        <f t="shared" si="6"/>
        <v>0.4999983190000421</v>
      </c>
      <c r="AB12" s="2">
        <f t="shared" si="7"/>
        <v>0.33333324000000175</v>
      </c>
      <c r="AC12" s="2">
        <f t="shared" si="8"/>
        <v>-0.33333406600013404</v>
      </c>
      <c r="AD12" s="7" t="str">
        <f t="shared" si="9"/>
        <v>gameStartX: 1880, gameStartY: 0 },</v>
      </c>
      <c r="AE12" t="s">
        <v>2113</v>
      </c>
      <c r="AF12"/>
      <c r="AG12"/>
    </row>
    <row r="13" spans="1:33" x14ac:dyDescent="0.2">
      <c r="A13" s="3">
        <v>12</v>
      </c>
      <c r="K13" s="2">
        <v>12</v>
      </c>
      <c r="L13" s="8">
        <v>3751</v>
      </c>
      <c r="M13" s="8">
        <v>3299</v>
      </c>
      <c r="N13" s="8">
        <v>3628</v>
      </c>
      <c r="O13" s="8">
        <v>-3326</v>
      </c>
      <c r="P13" s="8">
        <v>2827</v>
      </c>
      <c r="Q13" s="8">
        <v>3483</v>
      </c>
      <c r="R13" s="8">
        <v>3012</v>
      </c>
      <c r="S13" s="8">
        <v>-3449</v>
      </c>
      <c r="T13" s="8">
        <f t="shared" si="11"/>
        <v>924</v>
      </c>
      <c r="U13" s="8">
        <f t="shared" si="12"/>
        <v>-184</v>
      </c>
      <c r="V13" s="8">
        <f t="shared" si="13"/>
        <v>616</v>
      </c>
      <c r="W13" s="8">
        <f t="shared" si="14"/>
        <v>123</v>
      </c>
      <c r="X13" s="2">
        <f t="shared" si="15"/>
        <v>0.66666666666666663</v>
      </c>
      <c r="Y13" s="2">
        <f t="shared" si="16"/>
        <v>0.66847826086956519</v>
      </c>
      <c r="Z13" s="2">
        <f t="shared" si="5"/>
        <v>1127.3333355260002</v>
      </c>
      <c r="AA13" s="2">
        <f t="shared" si="6"/>
        <v>-1126.8333355939999</v>
      </c>
      <c r="AB13" s="2">
        <f t="shared" si="7"/>
        <v>6.1600007938977797E-7</v>
      </c>
      <c r="AC13" s="2">
        <f t="shared" si="8"/>
        <v>0.33333345600021858</v>
      </c>
      <c r="AD13" s="7" t="str">
        <f t="shared" si="9"/>
        <v>gameStartX: 1127, gameStartY: -1127 },</v>
      </c>
      <c r="AE13" t="s">
        <v>805</v>
      </c>
      <c r="AF13"/>
      <c r="AG13"/>
    </row>
    <row r="14" spans="1:33" x14ac:dyDescent="0.2">
      <c r="A14" s="3">
        <v>13</v>
      </c>
      <c r="K14" s="2">
        <v>13</v>
      </c>
      <c r="L14" s="8">
        <v>2603</v>
      </c>
      <c r="M14" s="8">
        <v>2761</v>
      </c>
      <c r="N14" s="8">
        <v>232</v>
      </c>
      <c r="O14" s="8">
        <v>-2593</v>
      </c>
      <c r="P14" s="8">
        <v>3532</v>
      </c>
      <c r="Q14" s="8">
        <v>1306</v>
      </c>
      <c r="R14" s="8">
        <v>851</v>
      </c>
      <c r="S14" s="8">
        <v>-1623</v>
      </c>
      <c r="T14" s="8">
        <f t="shared" si="11"/>
        <v>-929</v>
      </c>
      <c r="U14" s="8">
        <f t="shared" si="12"/>
        <v>1455</v>
      </c>
      <c r="V14" s="8">
        <f t="shared" si="13"/>
        <v>-619</v>
      </c>
      <c r="W14" s="8">
        <f t="shared" si="14"/>
        <v>-970</v>
      </c>
      <c r="X14" s="2">
        <f t="shared" si="15"/>
        <v>0.66630785791173308</v>
      </c>
      <c r="Y14" s="2">
        <f t="shared" si="16"/>
        <v>0.66666666666666663</v>
      </c>
      <c r="Z14" s="2">
        <f t="shared" si="5"/>
        <v>-1503.4999979550003</v>
      </c>
      <c r="AA14" s="2">
        <f t="shared" si="6"/>
        <v>-752.33333468899991</v>
      </c>
      <c r="AB14" s="2">
        <f t="shared" si="7"/>
        <v>0.33333271400010744</v>
      </c>
      <c r="AC14" s="2">
        <f t="shared" si="8"/>
        <v>-9.7000008736358723E-7</v>
      </c>
      <c r="AD14" s="7" t="str">
        <f t="shared" si="9"/>
        <v>gameStartX: -1503, gameStartY: -752 },</v>
      </c>
      <c r="AE14" t="s">
        <v>794</v>
      </c>
      <c r="AF14"/>
      <c r="AG14"/>
    </row>
    <row r="15" spans="1:33" x14ac:dyDescent="0.2">
      <c r="A15" s="3">
        <v>14</v>
      </c>
      <c r="K15" s="2">
        <v>14</v>
      </c>
      <c r="L15" s="8">
        <v>5225</v>
      </c>
      <c r="M15" s="8">
        <v>2237</v>
      </c>
      <c r="N15" s="8">
        <v>-2156</v>
      </c>
      <c r="O15" s="8">
        <v>-2620</v>
      </c>
      <c r="P15" s="8">
        <v>4801</v>
      </c>
      <c r="Q15" s="8">
        <v>1581</v>
      </c>
      <c r="R15" s="8">
        <v>-2439</v>
      </c>
      <c r="S15" s="8">
        <v>-2183</v>
      </c>
      <c r="T15" s="8">
        <f t="shared" si="11"/>
        <v>424</v>
      </c>
      <c r="U15" s="8">
        <f t="shared" si="12"/>
        <v>656</v>
      </c>
      <c r="V15" s="8">
        <f t="shared" si="13"/>
        <v>283</v>
      </c>
      <c r="W15" s="8">
        <f t="shared" si="14"/>
        <v>-437</v>
      </c>
      <c r="X15" s="2">
        <f t="shared" si="15"/>
        <v>0.66745283018867929</v>
      </c>
      <c r="Y15" s="2">
        <f t="shared" si="16"/>
        <v>0.66615853658536583</v>
      </c>
      <c r="Z15" s="2">
        <f t="shared" si="5"/>
        <v>-5639.4999966579999</v>
      </c>
      <c r="AA15" s="2">
        <f t="shared" si="6"/>
        <v>-1128.8333346059999</v>
      </c>
      <c r="AB15" s="2">
        <f t="shared" si="7"/>
        <v>0.33333361599943601</v>
      </c>
      <c r="AC15" s="2">
        <f t="shared" si="8"/>
        <v>0.33333289600000171</v>
      </c>
      <c r="AD15" s="7" t="str">
        <f t="shared" si="9"/>
        <v>gameStartX: -5639, gameStartY: -1129 },</v>
      </c>
      <c r="AE15" t="s">
        <v>798</v>
      </c>
      <c r="AF15"/>
      <c r="AG15"/>
    </row>
    <row r="16" spans="1:33" x14ac:dyDescent="0.2">
      <c r="A16" s="3">
        <v>15</v>
      </c>
      <c r="K16" s="2">
        <v>15</v>
      </c>
      <c r="L16" s="8">
        <v>2108</v>
      </c>
      <c r="M16" s="8">
        <v>2178</v>
      </c>
      <c r="N16" s="8">
        <v>-4235</v>
      </c>
      <c r="O16" s="8">
        <v>-700</v>
      </c>
      <c r="P16" s="8">
        <v>4081</v>
      </c>
      <c r="Q16" s="8">
        <v>1844</v>
      </c>
      <c r="R16" s="8">
        <v>-2920</v>
      </c>
      <c r="S16" s="8">
        <v>-477</v>
      </c>
      <c r="T16" s="8">
        <f t="shared" si="11"/>
        <v>-1973</v>
      </c>
      <c r="U16" s="8">
        <f t="shared" si="12"/>
        <v>334</v>
      </c>
      <c r="V16" s="8">
        <f t="shared" si="13"/>
        <v>-1315</v>
      </c>
      <c r="W16" s="8">
        <f t="shared" si="14"/>
        <v>-223</v>
      </c>
      <c r="X16" s="2">
        <f t="shared" si="15"/>
        <v>0.66649771920932588</v>
      </c>
      <c r="Y16" s="2">
        <f t="shared" si="16"/>
        <v>0.66766467065868262</v>
      </c>
      <c r="Z16" s="2">
        <f t="shared" si="5"/>
        <v>-5640.4999979370004</v>
      </c>
      <c r="AA16" s="2">
        <f t="shared" si="6"/>
        <v>752.16666532600004</v>
      </c>
      <c r="AB16" s="2">
        <f t="shared" si="7"/>
        <v>0.33333201799996459</v>
      </c>
      <c r="AC16" s="2">
        <f t="shared" si="8"/>
        <v>-0.33333355599984316</v>
      </c>
      <c r="AD16" s="7" t="str">
        <f t="shared" si="9"/>
        <v>gameStartX: -5640, gameStartY: 752 },</v>
      </c>
      <c r="AE16" t="s">
        <v>797</v>
      </c>
      <c r="AF16"/>
      <c r="AG16"/>
    </row>
    <row r="17" spans="1:24" x14ac:dyDescent="0.2">
      <c r="A17" s="3"/>
    </row>
    <row r="18" spans="1:24" x14ac:dyDescent="0.2">
      <c r="A18" s="3"/>
      <c r="L18" s="7" t="s">
        <v>34</v>
      </c>
      <c r="R18" s="4" t="s">
        <v>8</v>
      </c>
      <c r="S18" s="4" t="s">
        <v>7</v>
      </c>
      <c r="T18" s="4" t="s">
        <v>33</v>
      </c>
      <c r="U18" s="4" t="s">
        <v>5</v>
      </c>
      <c r="V18" s="4" t="s">
        <v>32</v>
      </c>
    </row>
    <row r="19" spans="1:24" x14ac:dyDescent="0.2">
      <c r="A19" s="3"/>
      <c r="R19" s="3">
        <v>1</v>
      </c>
      <c r="S19" s="2">
        <v>10</v>
      </c>
      <c r="T19" s="2">
        <v>8</v>
      </c>
      <c r="U19" s="2">
        <v>12</v>
      </c>
      <c r="V19" s="2">
        <v>7</v>
      </c>
      <c r="X19" s="2" t="str">
        <f t="shared" ref="X19:X33" si="17">R19&amp;": ("&amp;2*S19&amp;", "&amp;2*T19&amp;", "&amp;2*U19&amp;", "&amp;2*V19&amp;"),"</f>
        <v>1: (20, 16, 24, 14),</v>
      </c>
    </row>
    <row r="20" spans="1:24" x14ac:dyDescent="0.2">
      <c r="A20" s="3"/>
      <c r="R20" s="3">
        <v>2</v>
      </c>
      <c r="S20" s="2">
        <v>6</v>
      </c>
      <c r="T20" s="2">
        <v>12</v>
      </c>
      <c r="U20" s="2">
        <v>15</v>
      </c>
      <c r="V20" s="2">
        <v>8</v>
      </c>
      <c r="X20" s="2" t="str">
        <f t="shared" si="17"/>
        <v>2: (12, 24, 30, 16),</v>
      </c>
    </row>
    <row r="21" spans="1:24" x14ac:dyDescent="0.2">
      <c r="A21" s="3"/>
      <c r="R21" s="3">
        <v>3</v>
      </c>
      <c r="S21" s="2">
        <v>3</v>
      </c>
      <c r="T21" s="2">
        <v>11</v>
      </c>
      <c r="U21" s="2">
        <v>8</v>
      </c>
      <c r="V21" s="2">
        <v>10</v>
      </c>
      <c r="X21" s="2" t="str">
        <f t="shared" si="17"/>
        <v>3: (6, 22, 16, 20),</v>
      </c>
    </row>
    <row r="22" spans="1:24" x14ac:dyDescent="0.2">
      <c r="A22" s="4" t="s">
        <v>31</v>
      </c>
      <c r="B22" s="4"/>
      <c r="C22" s="4"/>
      <c r="D22" s="4"/>
      <c r="E22" s="4"/>
      <c r="F22" s="4"/>
      <c r="G22" s="4"/>
      <c r="H22" s="4"/>
      <c r="I22" s="4"/>
      <c r="J22" s="4"/>
      <c r="O22" s="5"/>
      <c r="R22" s="3">
        <v>4</v>
      </c>
      <c r="S22" s="2">
        <v>1</v>
      </c>
      <c r="T22" s="2">
        <v>7</v>
      </c>
      <c r="U22" s="2">
        <v>5</v>
      </c>
      <c r="V22" s="2">
        <v>8</v>
      </c>
      <c r="X22" s="2" t="str">
        <f t="shared" si="17"/>
        <v>4: (2, 14, 10, 16),</v>
      </c>
    </row>
    <row r="23" spans="1:24" x14ac:dyDescent="0.2">
      <c r="A23" s="6"/>
      <c r="B23" s="6"/>
      <c r="C23" s="6"/>
      <c r="D23" s="6"/>
      <c r="F23" s="2" t="s">
        <v>30</v>
      </c>
      <c r="G23" s="2">
        <v>5</v>
      </c>
      <c r="H23" s="2" t="s">
        <v>20</v>
      </c>
      <c r="I23" s="2">
        <v>4</v>
      </c>
      <c r="R23" s="3">
        <v>5</v>
      </c>
      <c r="S23" s="2">
        <v>15</v>
      </c>
      <c r="T23" s="2">
        <v>10</v>
      </c>
      <c r="U23" s="2">
        <v>12</v>
      </c>
      <c r="V23" s="2">
        <v>11</v>
      </c>
      <c r="X23" s="2" t="str">
        <f t="shared" si="17"/>
        <v>5: (30, 20, 24, 22),</v>
      </c>
    </row>
    <row r="24" spans="1:24" x14ac:dyDescent="0.2">
      <c r="A24" s="2" t="s">
        <v>29</v>
      </c>
      <c r="B24" s="2">
        <v>3384</v>
      </c>
      <c r="C24" s="2" t="s">
        <v>23</v>
      </c>
      <c r="D24" s="2">
        <v>3384</v>
      </c>
      <c r="O24" s="5"/>
      <c r="R24" s="3">
        <v>6</v>
      </c>
      <c r="S24" s="2">
        <v>10</v>
      </c>
      <c r="T24" s="2">
        <v>11</v>
      </c>
      <c r="U24" s="2">
        <v>18</v>
      </c>
      <c r="V24" s="2">
        <v>10</v>
      </c>
      <c r="X24" s="2" t="str">
        <f t="shared" si="17"/>
        <v>6: (20, 22, 36, 20),</v>
      </c>
    </row>
    <row r="25" spans="1:24" x14ac:dyDescent="0.2">
      <c r="F25" s="2" t="s">
        <v>28</v>
      </c>
      <c r="G25" s="2" t="s">
        <v>27</v>
      </c>
      <c r="H25" s="2" t="s">
        <v>20</v>
      </c>
      <c r="I25" s="2" t="s">
        <v>26</v>
      </c>
      <c r="J25" s="2" t="s">
        <v>25</v>
      </c>
      <c r="R25" s="3">
        <v>7</v>
      </c>
      <c r="S25" s="2">
        <v>16</v>
      </c>
      <c r="T25" s="2">
        <v>8</v>
      </c>
      <c r="U25" s="2">
        <v>5</v>
      </c>
      <c r="V25" s="2">
        <v>10</v>
      </c>
      <c r="X25" s="2" t="str">
        <f t="shared" si="17"/>
        <v>7: (32, 16, 10, 20),</v>
      </c>
    </row>
    <row r="26" spans="1:24" x14ac:dyDescent="0.2">
      <c r="A26" s="2" t="s">
        <v>24</v>
      </c>
      <c r="B26" s="2">
        <v>564</v>
      </c>
      <c r="C26" s="2" t="s">
        <v>23</v>
      </c>
      <c r="D26" s="2">
        <v>564</v>
      </c>
      <c r="F26" s="2" t="s">
        <v>22</v>
      </c>
      <c r="G26" s="2" t="s">
        <v>21</v>
      </c>
      <c r="H26" s="2" t="s">
        <v>20</v>
      </c>
      <c r="I26" s="2" t="s">
        <v>19</v>
      </c>
      <c r="J26" s="2" t="s">
        <v>18</v>
      </c>
      <c r="R26" s="3">
        <v>8</v>
      </c>
      <c r="S26" s="2">
        <v>20</v>
      </c>
      <c r="T26" s="2">
        <v>9</v>
      </c>
      <c r="U26" s="2">
        <v>16</v>
      </c>
      <c r="V26" s="2">
        <v>10</v>
      </c>
      <c r="X26" s="2" t="str">
        <f t="shared" si="17"/>
        <v>8: (40, 18, 32, 20),</v>
      </c>
    </row>
    <row r="27" spans="1:24" x14ac:dyDescent="0.2">
      <c r="R27" s="3">
        <v>9</v>
      </c>
      <c r="S27" s="2">
        <v>19</v>
      </c>
      <c r="T27" s="2">
        <v>10</v>
      </c>
      <c r="U27" s="2">
        <v>11</v>
      </c>
      <c r="V27" s="2">
        <v>8</v>
      </c>
      <c r="X27" s="2" t="str">
        <f t="shared" si="17"/>
        <v>9: (38, 20, 22, 16),</v>
      </c>
    </row>
    <row r="28" spans="1:24" x14ac:dyDescent="0.2">
      <c r="R28" s="3">
        <v>10</v>
      </c>
      <c r="S28" s="2">
        <v>18</v>
      </c>
      <c r="T28" s="2">
        <v>11</v>
      </c>
      <c r="U28" s="2">
        <v>19</v>
      </c>
      <c r="V28" s="2">
        <v>9</v>
      </c>
      <c r="X28" s="2" t="str">
        <f t="shared" si="17"/>
        <v>10: (36, 22, 38, 18),</v>
      </c>
    </row>
    <row r="29" spans="1:24" x14ac:dyDescent="0.2">
      <c r="R29" s="3">
        <v>11</v>
      </c>
      <c r="S29" s="2">
        <v>21</v>
      </c>
      <c r="T29" s="2">
        <v>7</v>
      </c>
      <c r="U29" s="2">
        <v>5</v>
      </c>
      <c r="V29" s="2">
        <v>8</v>
      </c>
      <c r="X29" s="2" t="str">
        <f t="shared" si="17"/>
        <v>11: (42, 14, 10, 16),</v>
      </c>
    </row>
    <row r="30" spans="1:24" x14ac:dyDescent="0.2">
      <c r="R30" s="3">
        <v>12</v>
      </c>
      <c r="S30" s="2">
        <v>0</v>
      </c>
      <c r="T30" s="2">
        <v>15</v>
      </c>
      <c r="U30" s="2">
        <v>19</v>
      </c>
      <c r="V30" s="2">
        <v>9</v>
      </c>
      <c r="X30" s="2" t="str">
        <f t="shared" si="17"/>
        <v>12: (0, 30, 38, 18),</v>
      </c>
    </row>
    <row r="31" spans="1:24" x14ac:dyDescent="0.2">
      <c r="R31" s="3">
        <v>13</v>
      </c>
      <c r="S31" s="2">
        <v>12</v>
      </c>
      <c r="T31" s="2">
        <v>9</v>
      </c>
      <c r="U31" s="2">
        <v>5</v>
      </c>
      <c r="V31" s="2">
        <v>8</v>
      </c>
      <c r="X31" s="2" t="str">
        <f t="shared" si="17"/>
        <v>13: (24, 18, 10, 16),</v>
      </c>
    </row>
    <row r="32" spans="1:24" x14ac:dyDescent="0.2">
      <c r="A32" s="2" t="s">
        <v>17</v>
      </c>
      <c r="R32" s="3">
        <v>14</v>
      </c>
      <c r="S32" s="2">
        <v>5</v>
      </c>
      <c r="T32" s="2">
        <v>8</v>
      </c>
      <c r="U32" s="2">
        <v>5</v>
      </c>
      <c r="V32" s="2">
        <v>7</v>
      </c>
      <c r="X32" s="2" t="str">
        <f t="shared" si="17"/>
        <v>14: (10, 16, 10, 14),</v>
      </c>
    </row>
    <row r="33" spans="1:24" x14ac:dyDescent="0.2">
      <c r="A33" s="2" t="s">
        <v>16</v>
      </c>
      <c r="B33" s="2">
        <v>8.1999999999999993</v>
      </c>
      <c r="R33" s="3">
        <v>15</v>
      </c>
      <c r="S33" s="2">
        <v>0</v>
      </c>
      <c r="T33" s="2">
        <v>11</v>
      </c>
      <c r="U33" s="2">
        <v>14</v>
      </c>
      <c r="V33" s="2">
        <v>9</v>
      </c>
      <c r="X33" s="2" t="str">
        <f t="shared" si="17"/>
        <v>15: (0, 22, 28, 18),</v>
      </c>
    </row>
    <row r="34" spans="1:24" x14ac:dyDescent="0.2">
      <c r="A34" s="2" t="s">
        <v>15</v>
      </c>
      <c r="B34" s="5" t="s">
        <v>14</v>
      </c>
    </row>
    <row r="36" spans="1:24" x14ac:dyDescent="0.2">
      <c r="A36" s="2" t="s">
        <v>13</v>
      </c>
      <c r="B36" s="5">
        <v>0.45</v>
      </c>
      <c r="H36" t="s">
        <v>12</v>
      </c>
      <c r="I36"/>
      <c r="J36" t="s">
        <v>11</v>
      </c>
      <c r="K36"/>
      <c r="L36"/>
      <c r="M36"/>
      <c r="N36" t="s">
        <v>10</v>
      </c>
      <c r="O36"/>
      <c r="P36" t="s">
        <v>9</v>
      </c>
      <c r="R36" s="4" t="s">
        <v>8</v>
      </c>
      <c r="S36" s="4" t="s">
        <v>7</v>
      </c>
      <c r="T36" s="4" t="s">
        <v>6</v>
      </c>
      <c r="U36" s="4" t="s">
        <v>5</v>
      </c>
      <c r="V36" s="4" t="s">
        <v>4</v>
      </c>
    </row>
    <row r="37" spans="1:24" x14ac:dyDescent="0.2">
      <c r="H37" t="s">
        <v>3</v>
      </c>
      <c r="I37"/>
      <c r="J37" t="s">
        <v>2</v>
      </c>
      <c r="K37"/>
      <c r="L37"/>
      <c r="M37"/>
      <c r="N37" t="s">
        <v>1</v>
      </c>
      <c r="O37"/>
      <c r="P37" t="s">
        <v>0</v>
      </c>
      <c r="R37" s="3">
        <v>1</v>
      </c>
      <c r="S37" s="2">
        <v>22</v>
      </c>
      <c r="T37" s="2">
        <v>36</v>
      </c>
      <c r="U37" s="2">
        <v>24</v>
      </c>
      <c r="V37" s="2">
        <f t="shared" ref="V37:V51" si="18">U37+V19*2-2</f>
        <v>36</v>
      </c>
      <c r="X37" s="2" t="str">
        <f t="shared" ref="X37:X52" si="19">R37&amp;": ("&amp;S37&amp;", "&amp;T37&amp;", "&amp;U37&amp;", "&amp;V37&amp;"),"</f>
        <v>1: (22, 36, 24, 36),</v>
      </c>
    </row>
    <row r="38" spans="1:24" x14ac:dyDescent="0.2">
      <c r="R38" s="3">
        <v>2</v>
      </c>
      <c r="S38" s="2">
        <v>14</v>
      </c>
      <c r="T38" s="2">
        <v>36</v>
      </c>
      <c r="U38" s="2">
        <v>30</v>
      </c>
      <c r="V38" s="2">
        <f t="shared" si="18"/>
        <v>44</v>
      </c>
      <c r="X38" s="2" t="str">
        <f t="shared" si="19"/>
        <v>2: (14, 36, 30, 44),</v>
      </c>
    </row>
    <row r="39" spans="1:24" x14ac:dyDescent="0.2">
      <c r="R39" s="3">
        <v>3</v>
      </c>
      <c r="S39" s="2">
        <v>8</v>
      </c>
      <c r="T39" s="2">
        <v>28</v>
      </c>
      <c r="U39" s="2">
        <v>16</v>
      </c>
      <c r="V39" s="2">
        <f t="shared" si="18"/>
        <v>34</v>
      </c>
      <c r="X39" s="2" t="str">
        <f t="shared" si="19"/>
        <v>3: (8, 28, 16, 34),</v>
      </c>
    </row>
    <row r="40" spans="1:24" x14ac:dyDescent="0.2">
      <c r="R40" s="3">
        <v>4</v>
      </c>
      <c r="S40" s="2">
        <v>4</v>
      </c>
      <c r="T40" s="2">
        <v>16</v>
      </c>
      <c r="U40" s="2">
        <v>10</v>
      </c>
      <c r="V40" s="2">
        <f t="shared" si="18"/>
        <v>24</v>
      </c>
      <c r="X40" s="2" t="str">
        <f t="shared" si="19"/>
        <v>4: (4, 16, 10, 24),</v>
      </c>
    </row>
    <row r="41" spans="1:24" x14ac:dyDescent="0.2">
      <c r="R41" s="3">
        <v>5</v>
      </c>
      <c r="S41" s="2">
        <v>32</v>
      </c>
      <c r="T41" s="2">
        <v>50</v>
      </c>
      <c r="U41" s="2">
        <v>24</v>
      </c>
      <c r="V41" s="2">
        <f t="shared" si="18"/>
        <v>44</v>
      </c>
      <c r="X41" s="2" t="str">
        <f t="shared" si="19"/>
        <v>5: (32, 50, 24, 44),</v>
      </c>
    </row>
    <row r="42" spans="1:24" x14ac:dyDescent="0.2">
      <c r="R42" s="3">
        <v>6</v>
      </c>
      <c r="S42" s="2">
        <v>22</v>
      </c>
      <c r="T42" s="2">
        <v>42</v>
      </c>
      <c r="U42" s="2">
        <v>36</v>
      </c>
      <c r="V42" s="2">
        <f t="shared" si="18"/>
        <v>54</v>
      </c>
      <c r="X42" s="2" t="str">
        <f t="shared" si="19"/>
        <v>6: (22, 42, 36, 54),</v>
      </c>
    </row>
    <row r="43" spans="1:24" x14ac:dyDescent="0.2">
      <c r="R43" s="3">
        <v>7</v>
      </c>
      <c r="S43" s="2">
        <v>34</v>
      </c>
      <c r="T43" s="2">
        <v>48</v>
      </c>
      <c r="U43" s="2">
        <v>10</v>
      </c>
      <c r="V43" s="2">
        <f t="shared" si="18"/>
        <v>28</v>
      </c>
      <c r="X43" s="2" t="str">
        <f t="shared" si="19"/>
        <v>7: (34, 48, 10, 28),</v>
      </c>
    </row>
    <row r="44" spans="1:24" x14ac:dyDescent="0.2">
      <c r="R44" s="3">
        <v>8</v>
      </c>
      <c r="S44" s="2">
        <v>42</v>
      </c>
      <c r="T44" s="2">
        <v>58</v>
      </c>
      <c r="U44" s="2">
        <v>32</v>
      </c>
      <c r="V44" s="2">
        <f t="shared" si="18"/>
        <v>50</v>
      </c>
      <c r="X44" s="2" t="str">
        <f t="shared" si="19"/>
        <v>8: (42, 58, 32, 50),</v>
      </c>
    </row>
    <row r="45" spans="1:24" x14ac:dyDescent="0.2">
      <c r="R45" s="3">
        <v>9</v>
      </c>
      <c r="S45" s="2">
        <v>40</v>
      </c>
      <c r="T45" s="2">
        <v>58</v>
      </c>
      <c r="U45" s="2">
        <v>22</v>
      </c>
      <c r="V45" s="2">
        <f t="shared" si="18"/>
        <v>36</v>
      </c>
      <c r="X45" s="2" t="str">
        <f t="shared" si="19"/>
        <v>9: (40, 58, 22, 36),</v>
      </c>
    </row>
    <row r="46" spans="1:24" x14ac:dyDescent="0.2">
      <c r="R46" s="3">
        <v>10</v>
      </c>
      <c r="S46" s="2">
        <v>38</v>
      </c>
      <c r="T46" s="2">
        <v>58</v>
      </c>
      <c r="U46" s="2">
        <v>38</v>
      </c>
      <c r="V46" s="2">
        <f t="shared" si="18"/>
        <v>54</v>
      </c>
      <c r="X46" s="2" t="str">
        <f t="shared" si="19"/>
        <v>10: (38, 58, 38, 54),</v>
      </c>
    </row>
    <row r="47" spans="1:24" x14ac:dyDescent="0.2">
      <c r="R47" s="3">
        <v>11</v>
      </c>
      <c r="S47" s="2">
        <v>44</v>
      </c>
      <c r="T47" s="2">
        <v>56</v>
      </c>
      <c r="U47" s="2">
        <v>10</v>
      </c>
      <c r="V47" s="2">
        <f t="shared" si="18"/>
        <v>24</v>
      </c>
      <c r="X47" s="2" t="str">
        <f t="shared" si="19"/>
        <v>11: (44, 56, 10, 24),</v>
      </c>
    </row>
    <row r="48" spans="1:24" x14ac:dyDescent="0.2">
      <c r="R48" s="3">
        <v>12</v>
      </c>
      <c r="S48" s="2">
        <v>2</v>
      </c>
      <c r="T48" s="2">
        <v>30</v>
      </c>
      <c r="U48" s="2">
        <v>38</v>
      </c>
      <c r="V48" s="2">
        <f t="shared" si="18"/>
        <v>54</v>
      </c>
      <c r="X48" s="2" t="str">
        <f t="shared" si="19"/>
        <v>12: (2, 30, 38, 54),</v>
      </c>
    </row>
    <row r="49" spans="18:24" x14ac:dyDescent="0.2">
      <c r="R49" s="3">
        <v>13</v>
      </c>
      <c r="S49" s="2">
        <v>26</v>
      </c>
      <c r="T49" s="2">
        <v>42</v>
      </c>
      <c r="U49" s="2">
        <v>10</v>
      </c>
      <c r="V49" s="2">
        <f t="shared" si="18"/>
        <v>24</v>
      </c>
      <c r="X49" s="2" t="str">
        <f t="shared" si="19"/>
        <v>13: (26, 42, 10, 24),</v>
      </c>
    </row>
    <row r="50" spans="18:24" x14ac:dyDescent="0.2">
      <c r="R50" s="3">
        <v>14</v>
      </c>
      <c r="S50" s="2">
        <v>12</v>
      </c>
      <c r="T50" s="2">
        <v>26</v>
      </c>
      <c r="U50" s="2">
        <v>10</v>
      </c>
      <c r="V50" s="2">
        <f t="shared" si="18"/>
        <v>22</v>
      </c>
      <c r="X50" s="2" t="str">
        <f t="shared" si="19"/>
        <v>14: (12, 26, 10, 22),</v>
      </c>
    </row>
    <row r="51" spans="18:24" x14ac:dyDescent="0.2">
      <c r="R51" s="3">
        <v>15</v>
      </c>
      <c r="S51" s="2">
        <v>2</v>
      </c>
      <c r="T51" s="2">
        <v>22</v>
      </c>
      <c r="U51" s="2">
        <v>28</v>
      </c>
      <c r="V51" s="2">
        <f t="shared" si="18"/>
        <v>44</v>
      </c>
      <c r="X51" s="2" t="str">
        <f t="shared" si="19"/>
        <v>15: (2, 22, 28, 44),</v>
      </c>
    </row>
    <row r="52" spans="18:24" x14ac:dyDescent="0.2">
      <c r="R52" s="2">
        <v>16</v>
      </c>
      <c r="S52" s="2">
        <v>2</v>
      </c>
      <c r="T52" s="2">
        <v>60</v>
      </c>
      <c r="U52" s="2">
        <v>8</v>
      </c>
      <c r="V52" s="2">
        <v>55</v>
      </c>
      <c r="X52" s="2" t="str">
        <f t="shared" si="19"/>
        <v>16: (2, 60, 8, 55),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73C9F-E61B-2945-A5E9-27CE90D35E90}">
  <sheetPr codeName="Sheet20"/>
  <dimension ref="B1:C65"/>
  <sheetViews>
    <sheetView topLeftCell="A33" workbookViewId="0">
      <selection activeCell="B51" sqref="B51"/>
    </sheetView>
  </sheetViews>
  <sheetFormatPr baseColWidth="10" defaultRowHeight="16" x14ac:dyDescent="0.2"/>
  <cols>
    <col min="2" max="2" width="34.33203125" bestFit="1" customWidth="1"/>
  </cols>
  <sheetData>
    <row r="1" spans="2:3" x14ac:dyDescent="0.2">
      <c r="B1" t="s">
        <v>2919</v>
      </c>
      <c r="C1" t="s">
        <v>2920</v>
      </c>
    </row>
    <row r="2" spans="2:3" x14ac:dyDescent="0.2">
      <c r="B2" t="s">
        <v>2111</v>
      </c>
    </row>
    <row r="3" spans="2:3" x14ac:dyDescent="0.2">
      <c r="B3" t="s">
        <v>787</v>
      </c>
    </row>
    <row r="4" spans="2:3" x14ac:dyDescent="0.2">
      <c r="B4" t="s">
        <v>2921</v>
      </c>
      <c r="C4" t="s">
        <v>2922</v>
      </c>
    </row>
    <row r="5" spans="2:3" x14ac:dyDescent="0.2">
      <c r="B5" t="s">
        <v>1684</v>
      </c>
    </row>
    <row r="6" spans="2:3" x14ac:dyDescent="0.2">
      <c r="B6" t="s">
        <v>789</v>
      </c>
    </row>
    <row r="7" spans="2:3" x14ac:dyDescent="0.2">
      <c r="B7" t="s">
        <v>2923</v>
      </c>
      <c r="C7" t="s">
        <v>2924</v>
      </c>
    </row>
    <row r="8" spans="2:3" x14ac:dyDescent="0.2">
      <c r="B8" t="s">
        <v>2925</v>
      </c>
      <c r="C8" t="s">
        <v>2926</v>
      </c>
    </row>
    <row r="9" spans="2:3" x14ac:dyDescent="0.2">
      <c r="B9" t="s">
        <v>2927</v>
      </c>
      <c r="C9" t="s">
        <v>2928</v>
      </c>
    </row>
    <row r="10" spans="2:3" x14ac:dyDescent="0.2">
      <c r="B10" t="s">
        <v>803</v>
      </c>
    </row>
    <row r="11" spans="2:3" x14ac:dyDescent="0.2">
      <c r="B11" t="s">
        <v>2929</v>
      </c>
      <c r="C11" t="s">
        <v>2930</v>
      </c>
    </row>
    <row r="12" spans="2:3" x14ac:dyDescent="0.2">
      <c r="B12" t="s">
        <v>2931</v>
      </c>
      <c r="C12" t="s">
        <v>2932</v>
      </c>
    </row>
    <row r="13" spans="2:3" x14ac:dyDescent="0.2">
      <c r="B13" t="s">
        <v>2933</v>
      </c>
      <c r="C13" t="s">
        <v>2934</v>
      </c>
    </row>
    <row r="14" spans="2:3" x14ac:dyDescent="0.2">
      <c r="B14" t="s">
        <v>2935</v>
      </c>
      <c r="C14" t="s">
        <v>2936</v>
      </c>
    </row>
    <row r="15" spans="2:3" x14ac:dyDescent="0.2">
      <c r="B15" t="s">
        <v>797</v>
      </c>
    </row>
    <row r="18" spans="2:3" x14ac:dyDescent="0.2">
      <c r="B18" t="s">
        <v>2110</v>
      </c>
      <c r="C18" s="21">
        <v>1</v>
      </c>
    </row>
    <row r="19" spans="2:3" x14ac:dyDescent="0.2">
      <c r="B19" t="s">
        <v>2111</v>
      </c>
      <c r="C19" s="21">
        <v>2</v>
      </c>
    </row>
    <row r="20" spans="2:3" x14ac:dyDescent="0.2">
      <c r="B20" t="s">
        <v>787</v>
      </c>
      <c r="C20" s="21">
        <v>3</v>
      </c>
    </row>
    <row r="21" spans="2:3" x14ac:dyDescent="0.2">
      <c r="B21" t="s">
        <v>800</v>
      </c>
      <c r="C21" s="21">
        <v>4</v>
      </c>
    </row>
    <row r="22" spans="2:3" x14ac:dyDescent="0.2">
      <c r="B22" t="s">
        <v>1684</v>
      </c>
      <c r="C22" s="21">
        <v>5</v>
      </c>
    </row>
    <row r="23" spans="2:3" x14ac:dyDescent="0.2">
      <c r="B23" t="s">
        <v>789</v>
      </c>
      <c r="C23" s="21">
        <v>6</v>
      </c>
    </row>
    <row r="24" spans="2:3" x14ac:dyDescent="0.2">
      <c r="B24" t="s">
        <v>1252</v>
      </c>
      <c r="C24" s="21">
        <v>7</v>
      </c>
    </row>
    <row r="25" spans="2:3" x14ac:dyDescent="0.2">
      <c r="B25" t="s">
        <v>1113</v>
      </c>
      <c r="C25" s="21">
        <v>8</v>
      </c>
    </row>
    <row r="26" spans="2:3" x14ac:dyDescent="0.2">
      <c r="B26" t="s">
        <v>801</v>
      </c>
      <c r="C26" s="21">
        <v>9</v>
      </c>
    </row>
    <row r="27" spans="2:3" x14ac:dyDescent="0.2">
      <c r="B27" t="s">
        <v>803</v>
      </c>
      <c r="C27" s="21">
        <v>10</v>
      </c>
    </row>
    <row r="28" spans="2:3" x14ac:dyDescent="0.2">
      <c r="B28" t="s">
        <v>804</v>
      </c>
      <c r="C28" s="21">
        <v>11</v>
      </c>
    </row>
    <row r="29" spans="2:3" x14ac:dyDescent="0.2">
      <c r="B29" t="s">
        <v>805</v>
      </c>
      <c r="C29" s="21">
        <v>12</v>
      </c>
    </row>
    <row r="30" spans="2:3" x14ac:dyDescent="0.2">
      <c r="B30" t="s">
        <v>794</v>
      </c>
      <c r="C30" s="21">
        <v>13</v>
      </c>
    </row>
    <row r="31" spans="2:3" x14ac:dyDescent="0.2">
      <c r="B31" t="s">
        <v>798</v>
      </c>
      <c r="C31" s="21">
        <v>14</v>
      </c>
    </row>
    <row r="32" spans="2:3" x14ac:dyDescent="0.2">
      <c r="B32" t="s">
        <v>797</v>
      </c>
      <c r="C32" s="21">
        <v>15</v>
      </c>
    </row>
    <row r="33" spans="2:3" x14ac:dyDescent="0.2">
      <c r="C33" s="21"/>
    </row>
    <row r="35" spans="2:3" x14ac:dyDescent="0.2">
      <c r="B35" t="s">
        <v>8</v>
      </c>
      <c r="C35" t="s">
        <v>2120</v>
      </c>
    </row>
    <row r="36" spans="2:3" x14ac:dyDescent="0.2">
      <c r="B36" t="s">
        <v>2924</v>
      </c>
      <c r="C36" s="21">
        <v>7</v>
      </c>
    </row>
    <row r="37" spans="2:3" x14ac:dyDescent="0.2">
      <c r="B37" t="s">
        <v>2926</v>
      </c>
      <c r="C37" s="21">
        <v>8</v>
      </c>
    </row>
    <row r="38" spans="2:3" x14ac:dyDescent="0.2">
      <c r="B38" t="s">
        <v>2932</v>
      </c>
      <c r="C38" s="21">
        <v>12</v>
      </c>
    </row>
    <row r="39" spans="2:3" x14ac:dyDescent="0.2">
      <c r="B39" t="s">
        <v>2936</v>
      </c>
      <c r="C39" s="21">
        <v>14</v>
      </c>
    </row>
    <row r="40" spans="2:3" x14ac:dyDescent="0.2">
      <c r="B40" t="s">
        <v>2920</v>
      </c>
      <c r="C40" s="21">
        <v>1</v>
      </c>
    </row>
    <row r="41" spans="2:3" x14ac:dyDescent="0.2">
      <c r="B41" t="s">
        <v>2934</v>
      </c>
      <c r="C41" s="21">
        <v>13</v>
      </c>
    </row>
    <row r="42" spans="2:3" x14ac:dyDescent="0.2">
      <c r="B42" t="s">
        <v>2928</v>
      </c>
      <c r="C42" s="21">
        <v>9</v>
      </c>
    </row>
    <row r="43" spans="2:3" x14ac:dyDescent="0.2">
      <c r="B43" t="s">
        <v>2930</v>
      </c>
      <c r="C43" s="21">
        <v>11</v>
      </c>
    </row>
    <row r="44" spans="2:3" x14ac:dyDescent="0.2">
      <c r="B44" t="s">
        <v>2922</v>
      </c>
      <c r="C44" s="21">
        <v>4</v>
      </c>
    </row>
    <row r="45" spans="2:3" x14ac:dyDescent="0.2">
      <c r="B45" t="s">
        <v>2925</v>
      </c>
      <c r="C45">
        <v>8</v>
      </c>
    </row>
    <row r="46" spans="2:3" x14ac:dyDescent="0.2">
      <c r="B46" t="s">
        <v>2931</v>
      </c>
      <c r="C46">
        <v>12</v>
      </c>
    </row>
    <row r="47" spans="2:3" x14ac:dyDescent="0.2">
      <c r="B47" t="s">
        <v>2923</v>
      </c>
      <c r="C47">
        <v>7</v>
      </c>
    </row>
    <row r="48" spans="2:3" x14ac:dyDescent="0.2">
      <c r="B48" t="s">
        <v>2933</v>
      </c>
      <c r="C48">
        <v>13</v>
      </c>
    </row>
    <row r="49" spans="2:3" x14ac:dyDescent="0.2">
      <c r="B49" t="s">
        <v>2935</v>
      </c>
      <c r="C49">
        <v>14</v>
      </c>
    </row>
    <row r="50" spans="2:3" x14ac:dyDescent="0.2">
      <c r="B50" t="s">
        <v>797</v>
      </c>
      <c r="C50">
        <v>15</v>
      </c>
    </row>
    <row r="51" spans="2:3" x14ac:dyDescent="0.2">
      <c r="B51" t="s">
        <v>789</v>
      </c>
      <c r="C51">
        <v>6</v>
      </c>
    </row>
    <row r="52" spans="2:3" x14ac:dyDescent="0.2">
      <c r="B52" t="s">
        <v>2921</v>
      </c>
      <c r="C52">
        <v>4</v>
      </c>
    </row>
    <row r="53" spans="2:3" x14ac:dyDescent="0.2">
      <c r="B53" t="s">
        <v>787</v>
      </c>
      <c r="C53">
        <v>3</v>
      </c>
    </row>
    <row r="54" spans="2:3" x14ac:dyDescent="0.2">
      <c r="B54" t="s">
        <v>803</v>
      </c>
      <c r="C54">
        <v>10</v>
      </c>
    </row>
    <row r="55" spans="2:3" x14ac:dyDescent="0.2">
      <c r="B55" t="s">
        <v>2929</v>
      </c>
      <c r="C55">
        <v>11</v>
      </c>
    </row>
    <row r="56" spans="2:3" x14ac:dyDescent="0.2">
      <c r="B56" t="s">
        <v>2919</v>
      </c>
      <c r="C56">
        <v>1</v>
      </c>
    </row>
    <row r="57" spans="2:3" x14ac:dyDescent="0.2">
      <c r="B57" t="s">
        <v>2111</v>
      </c>
      <c r="C57">
        <v>2</v>
      </c>
    </row>
    <row r="58" spans="2:3" x14ac:dyDescent="0.2">
      <c r="B58" t="s">
        <v>1684</v>
      </c>
      <c r="C58">
        <v>5</v>
      </c>
    </row>
    <row r="59" spans="2:3" x14ac:dyDescent="0.2">
      <c r="B59" t="s">
        <v>2927</v>
      </c>
      <c r="C59">
        <v>9</v>
      </c>
    </row>
    <row r="60" spans="2:3" x14ac:dyDescent="0.2">
      <c r="C60" s="21"/>
    </row>
    <row r="61" spans="2:3" x14ac:dyDescent="0.2">
      <c r="C61" s="21"/>
    </row>
    <row r="62" spans="2:3" x14ac:dyDescent="0.2">
      <c r="C62" s="21"/>
    </row>
    <row r="63" spans="2:3" x14ac:dyDescent="0.2">
      <c r="C63" s="21"/>
    </row>
    <row r="64" spans="2:3" x14ac:dyDescent="0.2">
      <c r="C64" s="21"/>
    </row>
    <row r="65" spans="3:3" x14ac:dyDescent="0.2">
      <c r="C65" s="21"/>
    </row>
  </sheetData>
  <autoFilter ref="B35:C65" xr:uid="{D9573C9F-E61B-2945-A5E9-27CE90D35E90}">
    <sortState xmlns:xlrd2="http://schemas.microsoft.com/office/spreadsheetml/2017/richdata2" ref="B36:C65">
      <sortCondition ref="B35:B65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Checklist</vt:lpstr>
      <vt:lpstr>100%</vt:lpstr>
      <vt:lpstr>Named Locations</vt:lpstr>
      <vt:lpstr>Wells</vt:lpstr>
      <vt:lpstr>Shops</vt:lpstr>
      <vt:lpstr>Temples</vt:lpstr>
      <vt:lpstr>Statues</vt:lpstr>
      <vt:lpstr>Ancient Tablets</vt:lpstr>
      <vt:lpstr>Great Fairies</vt:lpstr>
      <vt:lpstr>Cherry Trees</vt:lpstr>
      <vt:lpstr>Hudson Signs</vt:lpstr>
      <vt:lpstr>Old Maps</vt:lpstr>
      <vt:lpstr>Schematics</vt:lpstr>
      <vt:lpstr>Caves</vt:lpstr>
      <vt:lpstr>Chasms</vt:lpstr>
      <vt:lpstr>Dispensers</vt:lpstr>
      <vt:lpstr>Dragon Tears</vt:lpstr>
      <vt:lpstr>Forge Constructs</vt:lpstr>
      <vt:lpstr>Lightroots</vt:lpstr>
      <vt:lpstr>Shrines</vt:lpstr>
      <vt:lpstr>Stables</vt:lpstr>
      <vt:lpstr>Towers</vt:lpstr>
      <vt:lpstr>Villages</vt:lpstr>
      <vt:lpstr>TEMPLATE</vt:lpstr>
      <vt:lpstr>Sheet1</vt:lpstr>
      <vt:lpstr>Sheet2</vt:lpstr>
      <vt:lpstr>Sheet13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Kugler</dc:creator>
  <cp:lastModifiedBy>Aaron Kugler</cp:lastModifiedBy>
  <dcterms:created xsi:type="dcterms:W3CDTF">2026-06-29T12:38:03Z</dcterms:created>
  <dcterms:modified xsi:type="dcterms:W3CDTF">2026-07-13T12:39:38Z</dcterms:modified>
</cp:coreProperties>
</file>